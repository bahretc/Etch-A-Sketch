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hb-my.sharepoint.com/personal/cbahret_vhb_com/Documents/Documents/"/>
    </mc:Choice>
  </mc:AlternateContent>
  <xr:revisionPtr revIDLastSave="101" documentId="8_{E7364529-C94A-4DE7-8DC4-552C31FD2E51}" xr6:coauthVersionLast="47" xr6:coauthVersionMax="47" xr10:uidLastSave="{44D2EB15-9E1C-4B97-8AF7-60E809651CB7}"/>
  <bookViews>
    <workbookView xWindow="-96" yWindow="-96" windowWidth="23232" windowHeight="13872" xr2:uid="{B9CA381F-1C0B-4176-BDC4-F2FDE79DB3E8}"/>
  </bookViews>
  <sheets>
    <sheet name="41000079736_FicheFirst5" sheetId="1" r:id="rId1"/>
    <sheet name="ID" sheetId="2" r:id="rId2"/>
    <sheet name="Index" sheetId="3" r:id="rId3"/>
  </sheets>
  <definedNames>
    <definedName name="_xlnm._FilterDatabase" localSheetId="0" hidden="1">'41000079736_FicheFirst5'!$A$1:$Q$1643</definedName>
    <definedName name="_xlnm._FilterDatabase" localSheetId="1" hidden="1">ID!$C$1:$D$1</definedName>
  </definedNames>
  <calcPr calcId="0" iterateDelta="1E-4"/>
</workbook>
</file>

<file path=xl/calcChain.xml><?xml version="1.0" encoding="utf-8"?>
<calcChain xmlns="http://schemas.openxmlformats.org/spreadsheetml/2006/main">
  <c r="R10" i="1" l="1"/>
  <c r="R11" i="1"/>
  <c r="R2" i="1"/>
  <c r="R3" i="1"/>
  <c r="R4" i="1"/>
  <c r="R5" i="1"/>
  <c r="R6" i="1"/>
  <c r="R7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" i="1"/>
  <c r="R80" i="1"/>
  <c r="R81" i="1"/>
  <c r="R82" i="1"/>
  <c r="R83" i="1"/>
  <c r="R84" i="1"/>
  <c r="R85" i="1"/>
  <c r="R86" i="1"/>
  <c r="R9" i="1"/>
  <c r="C1641" i="2"/>
  <c r="C1640" i="2"/>
  <c r="C1639" i="2"/>
  <c r="C1638" i="2"/>
  <c r="C1637" i="2"/>
  <c r="C1636" i="2"/>
  <c r="C1635" i="2"/>
  <c r="C1634" i="2"/>
  <c r="C1633" i="2"/>
  <c r="C1632" i="2"/>
  <c r="C1631" i="2"/>
  <c r="C1630" i="2"/>
  <c r="C1629" i="2"/>
  <c r="C1628" i="2"/>
  <c r="C1627" i="2"/>
  <c r="C1626" i="2"/>
  <c r="C1625" i="2"/>
  <c r="C1624" i="2"/>
  <c r="C1623" i="2"/>
  <c r="C1622" i="2"/>
  <c r="C1621" i="2"/>
  <c r="C1620" i="2"/>
  <c r="C1619" i="2"/>
  <c r="C1618" i="2"/>
  <c r="C1617" i="2"/>
  <c r="C1616" i="2"/>
  <c r="C1615" i="2"/>
  <c r="C1614" i="2"/>
  <c r="C1613" i="2"/>
  <c r="C1612" i="2"/>
  <c r="C1611" i="2"/>
  <c r="C1610" i="2"/>
  <c r="C1609" i="2"/>
  <c r="C1608" i="2"/>
  <c r="C1607" i="2"/>
  <c r="C1606" i="2"/>
  <c r="C1605" i="2"/>
  <c r="C1604" i="2"/>
  <c r="C1603" i="2"/>
  <c r="C1602" i="2"/>
  <c r="C1601" i="2"/>
  <c r="C1600" i="2"/>
  <c r="C1599" i="2"/>
  <c r="C1598" i="2"/>
  <c r="C1597" i="2"/>
  <c r="C1596" i="2"/>
  <c r="C1595" i="2"/>
  <c r="C1594" i="2"/>
  <c r="C1593" i="2"/>
  <c r="C1592" i="2"/>
  <c r="C1591" i="2"/>
  <c r="C1590" i="2"/>
  <c r="C1589" i="2"/>
  <c r="C1588" i="2"/>
  <c r="C1587" i="2"/>
  <c r="C1586" i="2"/>
  <c r="C1585" i="2"/>
  <c r="C1584" i="2"/>
  <c r="C1583" i="2"/>
  <c r="C1582" i="2"/>
  <c r="C1581" i="2"/>
  <c r="C1580" i="2"/>
  <c r="C1579" i="2"/>
  <c r="C1578" i="2"/>
  <c r="C1577" i="2"/>
  <c r="C1576" i="2"/>
  <c r="C1575" i="2"/>
  <c r="C1574" i="2"/>
  <c r="C1573" i="2"/>
  <c r="C1572" i="2"/>
  <c r="C1571" i="2"/>
  <c r="C1570" i="2"/>
  <c r="C1569" i="2"/>
  <c r="C1568" i="2"/>
  <c r="C1567" i="2"/>
  <c r="C1566" i="2"/>
  <c r="C1565" i="2"/>
  <c r="C1564" i="2"/>
  <c r="C1563" i="2"/>
  <c r="C1562" i="2"/>
  <c r="C1561" i="2"/>
  <c r="C1560" i="2"/>
  <c r="C1559" i="2"/>
  <c r="C1558" i="2"/>
  <c r="C1557" i="2"/>
  <c r="C1556" i="2"/>
  <c r="C1555" i="2"/>
  <c r="C1554" i="2"/>
  <c r="C1553" i="2"/>
  <c r="C1552" i="2"/>
  <c r="C1551" i="2"/>
  <c r="C1550" i="2"/>
  <c r="C1549" i="2"/>
  <c r="C1548" i="2"/>
  <c r="C1547" i="2"/>
  <c r="C1546" i="2"/>
  <c r="C1545" i="2"/>
  <c r="C1544" i="2"/>
  <c r="C1543" i="2"/>
  <c r="C1542" i="2"/>
  <c r="C1541" i="2"/>
  <c r="C1540" i="2"/>
  <c r="C1539" i="2"/>
  <c r="C1538" i="2"/>
  <c r="C1537" i="2"/>
  <c r="C1536" i="2"/>
  <c r="C1535" i="2"/>
  <c r="C1534" i="2"/>
  <c r="C1533" i="2"/>
  <c r="C1532" i="2"/>
  <c r="C1531" i="2"/>
  <c r="C1530" i="2"/>
  <c r="C1529" i="2"/>
  <c r="C1528" i="2"/>
  <c r="C1527" i="2"/>
  <c r="C1526" i="2"/>
  <c r="C1525" i="2"/>
  <c r="C1524" i="2"/>
  <c r="C1523" i="2"/>
  <c r="C1522" i="2"/>
  <c r="C1521" i="2"/>
  <c r="C1520" i="2"/>
  <c r="C1519" i="2"/>
  <c r="C1518" i="2"/>
  <c r="C1517" i="2"/>
  <c r="C1516" i="2"/>
  <c r="C1515" i="2"/>
  <c r="C1514" i="2"/>
  <c r="C1513" i="2"/>
  <c r="C1512" i="2"/>
  <c r="C1511" i="2"/>
  <c r="C1510" i="2"/>
  <c r="C1509" i="2"/>
  <c r="C1508" i="2"/>
  <c r="C1507" i="2"/>
  <c r="C1506" i="2"/>
  <c r="C1505" i="2"/>
  <c r="C1504" i="2"/>
  <c r="C1503" i="2"/>
  <c r="C1502" i="2"/>
  <c r="C1501" i="2"/>
  <c r="C1500" i="2"/>
  <c r="C1499" i="2"/>
  <c r="C1498" i="2"/>
  <c r="C1497" i="2"/>
  <c r="C1496" i="2"/>
  <c r="C1495" i="2"/>
  <c r="C1494" i="2"/>
  <c r="C1493" i="2"/>
  <c r="C1492" i="2"/>
  <c r="C1491" i="2"/>
  <c r="C1490" i="2"/>
  <c r="C1489" i="2"/>
  <c r="C1488" i="2"/>
  <c r="C1487" i="2"/>
  <c r="C1486" i="2"/>
  <c r="C1485" i="2"/>
  <c r="C1484" i="2"/>
  <c r="C1483" i="2"/>
  <c r="C1482" i="2"/>
  <c r="C1481" i="2"/>
  <c r="C1480" i="2"/>
  <c r="C1479" i="2"/>
  <c r="C1478" i="2"/>
  <c r="C1477" i="2"/>
  <c r="C1476" i="2"/>
  <c r="C1475" i="2"/>
  <c r="C1474" i="2"/>
  <c r="C1473" i="2"/>
  <c r="C1472" i="2"/>
  <c r="C1471" i="2"/>
  <c r="C1470" i="2"/>
  <c r="C1469" i="2"/>
  <c r="C1468" i="2"/>
  <c r="C1467" i="2"/>
  <c r="C1466" i="2"/>
  <c r="C1465" i="2"/>
  <c r="C1464" i="2"/>
  <c r="C1463" i="2"/>
  <c r="C1462" i="2"/>
  <c r="C1461" i="2"/>
  <c r="C1460" i="2"/>
  <c r="C1459" i="2"/>
  <c r="C1458" i="2"/>
  <c r="C1457" i="2"/>
  <c r="C1456" i="2"/>
  <c r="C1455" i="2"/>
  <c r="C1454" i="2"/>
  <c r="C1453" i="2"/>
  <c r="C1452" i="2"/>
  <c r="C1451" i="2"/>
  <c r="C1450" i="2"/>
  <c r="C1449" i="2"/>
  <c r="C1448" i="2"/>
  <c r="C1447" i="2"/>
  <c r="C1446" i="2"/>
  <c r="C1445" i="2"/>
  <c r="C1444" i="2"/>
  <c r="C1443" i="2"/>
  <c r="C1442" i="2"/>
  <c r="C1441" i="2"/>
  <c r="C1440" i="2"/>
  <c r="C1439" i="2"/>
  <c r="C1438" i="2"/>
  <c r="C1437" i="2"/>
  <c r="C1436" i="2"/>
  <c r="C1435" i="2"/>
  <c r="C1434" i="2"/>
  <c r="C1433" i="2"/>
  <c r="C1432" i="2"/>
  <c r="C1431" i="2"/>
  <c r="C1430" i="2"/>
  <c r="C1429" i="2"/>
  <c r="C1428" i="2"/>
  <c r="C1427" i="2"/>
  <c r="C1426" i="2"/>
  <c r="C1425" i="2"/>
  <c r="C1424" i="2"/>
  <c r="C1423" i="2"/>
  <c r="C1422" i="2"/>
  <c r="C1421" i="2"/>
  <c r="C1420" i="2"/>
  <c r="C1419" i="2"/>
  <c r="C1418" i="2"/>
  <c r="C1417" i="2"/>
  <c r="C1416" i="2"/>
  <c r="C1415" i="2"/>
  <c r="C1414" i="2"/>
  <c r="C1413" i="2"/>
  <c r="C1412" i="2"/>
  <c r="C1411" i="2"/>
  <c r="C1410" i="2"/>
  <c r="C1409" i="2"/>
  <c r="C1408" i="2"/>
  <c r="C1407" i="2"/>
  <c r="C1406" i="2"/>
  <c r="C1405" i="2"/>
  <c r="C1404" i="2"/>
  <c r="C1403" i="2"/>
  <c r="C1402" i="2"/>
  <c r="C1401" i="2"/>
  <c r="C1400" i="2"/>
  <c r="C1399" i="2"/>
  <c r="C1398" i="2"/>
  <c r="C1397" i="2"/>
  <c r="C1396" i="2"/>
  <c r="C1395" i="2"/>
  <c r="C1394" i="2"/>
  <c r="C1393" i="2"/>
  <c r="C1392" i="2"/>
  <c r="C1391" i="2"/>
  <c r="C1390" i="2"/>
  <c r="C1389" i="2"/>
  <c r="C1388" i="2"/>
  <c r="C1387" i="2"/>
  <c r="C1386" i="2"/>
  <c r="C1385" i="2"/>
  <c r="C1384" i="2"/>
  <c r="C1383" i="2"/>
  <c r="C1382" i="2"/>
  <c r="C1381" i="2"/>
  <c r="C1380" i="2"/>
  <c r="C1379" i="2"/>
  <c r="C1378" i="2"/>
  <c r="C1377" i="2"/>
  <c r="C1376" i="2"/>
  <c r="C1375" i="2"/>
  <c r="C1374" i="2"/>
  <c r="C1373" i="2"/>
  <c r="C1372" i="2"/>
  <c r="C1371" i="2"/>
  <c r="C1370" i="2"/>
  <c r="C1369" i="2"/>
  <c r="C1368" i="2"/>
  <c r="C1367" i="2"/>
  <c r="C1366" i="2"/>
  <c r="C1365" i="2"/>
  <c r="C1364" i="2"/>
  <c r="C1363" i="2"/>
  <c r="C1362" i="2"/>
  <c r="C1361" i="2"/>
  <c r="C1360" i="2"/>
  <c r="C1359" i="2"/>
  <c r="C1358" i="2"/>
  <c r="C1357" i="2"/>
  <c r="C1356" i="2"/>
  <c r="C1355" i="2"/>
  <c r="C1354" i="2"/>
  <c r="C1353" i="2"/>
  <c r="C1352" i="2"/>
  <c r="C1351" i="2"/>
  <c r="C1350" i="2"/>
  <c r="C1349" i="2"/>
  <c r="C1348" i="2"/>
  <c r="C1347" i="2"/>
  <c r="C1346" i="2"/>
  <c r="C1345" i="2"/>
  <c r="C1344" i="2"/>
  <c r="C1343" i="2"/>
  <c r="C1342" i="2"/>
  <c r="C1341" i="2"/>
  <c r="C1340" i="2"/>
  <c r="C1339" i="2"/>
  <c r="C1338" i="2"/>
  <c r="C1337" i="2"/>
  <c r="C1336" i="2"/>
  <c r="C1335" i="2"/>
  <c r="C1334" i="2"/>
  <c r="C1333" i="2"/>
  <c r="C1332" i="2"/>
  <c r="C1331" i="2"/>
  <c r="C1330" i="2"/>
  <c r="C1329" i="2"/>
  <c r="C1328" i="2"/>
  <c r="C1327" i="2"/>
  <c r="C1326" i="2"/>
  <c r="C1325" i="2"/>
  <c r="C1324" i="2"/>
  <c r="C1323" i="2"/>
  <c r="C1322" i="2"/>
  <c r="C1321" i="2"/>
  <c r="C1320" i="2"/>
  <c r="C1319" i="2"/>
  <c r="C1318" i="2"/>
  <c r="C1317" i="2"/>
  <c r="C1316" i="2"/>
  <c r="C1315" i="2"/>
  <c r="C1314" i="2"/>
  <c r="C1313" i="2"/>
  <c r="C1312" i="2"/>
  <c r="C1311" i="2"/>
  <c r="C1310" i="2"/>
  <c r="C1309" i="2"/>
  <c r="C1308" i="2"/>
  <c r="C1307" i="2"/>
  <c r="C1306" i="2"/>
  <c r="C1305" i="2"/>
  <c r="C1304" i="2"/>
  <c r="C1303" i="2"/>
  <c r="C1302" i="2"/>
  <c r="C1301" i="2"/>
  <c r="C1300" i="2"/>
  <c r="C1299" i="2"/>
  <c r="C1298" i="2"/>
  <c r="C1297" i="2"/>
  <c r="C1296" i="2"/>
  <c r="C1295" i="2"/>
  <c r="C1294" i="2"/>
  <c r="C1293" i="2"/>
  <c r="C1292" i="2"/>
  <c r="C1291" i="2"/>
  <c r="C1290" i="2"/>
  <c r="C1289" i="2"/>
  <c r="C1288" i="2"/>
  <c r="C1287" i="2"/>
  <c r="C1286" i="2"/>
  <c r="C1285" i="2"/>
  <c r="C1284" i="2"/>
  <c r="C1283" i="2"/>
  <c r="C1282" i="2"/>
  <c r="C1281" i="2"/>
  <c r="C1280" i="2"/>
  <c r="C1279" i="2"/>
  <c r="C1278" i="2"/>
  <c r="C1277" i="2"/>
  <c r="C1276" i="2"/>
  <c r="C1275" i="2"/>
  <c r="C1274" i="2"/>
  <c r="C1273" i="2"/>
  <c r="C1272" i="2"/>
  <c r="C1271" i="2"/>
  <c r="C1270" i="2"/>
  <c r="C1269" i="2"/>
  <c r="C1268" i="2"/>
  <c r="C1267" i="2"/>
  <c r="C1266" i="2"/>
  <c r="C1265" i="2"/>
  <c r="C1264" i="2"/>
  <c r="C1263" i="2"/>
  <c r="C1262" i="2"/>
  <c r="C1261" i="2"/>
  <c r="C1260" i="2"/>
  <c r="C1259" i="2"/>
  <c r="C1258" i="2"/>
  <c r="C1257" i="2"/>
  <c r="C1256" i="2"/>
  <c r="C1255" i="2"/>
  <c r="C1254" i="2"/>
  <c r="C1253" i="2"/>
  <c r="C1252" i="2"/>
  <c r="C1251" i="2"/>
  <c r="C1250" i="2"/>
  <c r="C1249" i="2"/>
  <c r="C1248" i="2"/>
  <c r="C1247" i="2"/>
  <c r="C1246" i="2"/>
  <c r="C1245" i="2"/>
  <c r="C1244" i="2"/>
  <c r="C1243" i="2"/>
  <c r="C1242" i="2"/>
  <c r="C1241" i="2"/>
  <c r="C1240" i="2"/>
  <c r="C1239" i="2"/>
  <c r="C1238" i="2"/>
  <c r="C1237" i="2"/>
  <c r="C1236" i="2"/>
  <c r="C1235" i="2"/>
  <c r="C1234" i="2"/>
  <c r="C1233" i="2"/>
  <c r="C1232" i="2"/>
  <c r="C1231" i="2"/>
  <c r="C1230" i="2"/>
  <c r="C1229" i="2"/>
  <c r="C1228" i="2"/>
  <c r="C1227" i="2"/>
  <c r="C1226" i="2"/>
  <c r="C1225" i="2"/>
  <c r="C1224" i="2"/>
  <c r="C1223" i="2"/>
  <c r="C1222" i="2"/>
  <c r="C1221" i="2"/>
  <c r="C1220" i="2"/>
  <c r="C1219" i="2"/>
  <c r="C1218" i="2"/>
  <c r="C1217" i="2"/>
  <c r="C1216" i="2"/>
  <c r="C1215" i="2"/>
  <c r="C1214" i="2"/>
  <c r="C1213" i="2"/>
  <c r="C1212" i="2"/>
  <c r="C1211" i="2"/>
  <c r="C1210" i="2"/>
  <c r="C1209" i="2"/>
  <c r="C1208" i="2"/>
  <c r="C1207" i="2"/>
  <c r="C1206" i="2"/>
  <c r="C1205" i="2"/>
  <c r="C1204" i="2"/>
  <c r="C1203" i="2"/>
  <c r="C1202" i="2"/>
  <c r="C1201" i="2"/>
  <c r="C1200" i="2"/>
  <c r="C1199" i="2"/>
  <c r="C1198" i="2"/>
  <c r="C1197" i="2"/>
  <c r="C1196" i="2"/>
  <c r="C1195" i="2"/>
  <c r="C1194" i="2"/>
  <c r="C1193" i="2"/>
  <c r="C1192" i="2"/>
  <c r="C1191" i="2"/>
  <c r="C1190" i="2"/>
  <c r="C1189" i="2"/>
  <c r="C1188" i="2"/>
  <c r="C1187" i="2"/>
  <c r="C1186" i="2"/>
  <c r="C1185" i="2"/>
  <c r="C1184" i="2"/>
  <c r="C1183" i="2"/>
  <c r="C1182" i="2"/>
  <c r="C1181" i="2"/>
  <c r="C1180" i="2"/>
  <c r="C1179" i="2"/>
  <c r="C1178" i="2"/>
  <c r="C1177" i="2"/>
  <c r="C1176" i="2"/>
  <c r="C1175" i="2"/>
  <c r="C1174" i="2"/>
  <c r="C1173" i="2"/>
  <c r="C1172" i="2"/>
  <c r="C1171" i="2"/>
  <c r="C1170" i="2"/>
  <c r="C1169" i="2"/>
  <c r="C1168" i="2"/>
  <c r="C1167" i="2"/>
  <c r="C1166" i="2"/>
  <c r="C1165" i="2"/>
  <c r="C1164" i="2"/>
  <c r="C1163" i="2"/>
  <c r="C1162" i="2"/>
  <c r="C1161" i="2"/>
  <c r="C1160" i="2"/>
  <c r="C1159" i="2"/>
  <c r="C1158" i="2"/>
  <c r="C1157" i="2"/>
  <c r="C1156" i="2"/>
  <c r="C1155" i="2"/>
  <c r="C1154" i="2"/>
  <c r="C1153" i="2"/>
  <c r="C1152" i="2"/>
  <c r="C1151" i="2"/>
  <c r="C1150" i="2"/>
  <c r="C1149" i="2"/>
  <c r="C1148" i="2"/>
  <c r="C1147" i="2"/>
  <c r="C1146" i="2"/>
  <c r="C1145" i="2"/>
  <c r="C1144" i="2"/>
  <c r="C1143" i="2"/>
  <c r="C1142" i="2"/>
  <c r="C1141" i="2"/>
  <c r="C1140" i="2"/>
  <c r="C1139" i="2"/>
  <c r="C1138" i="2"/>
  <c r="C1137" i="2"/>
  <c r="C1136" i="2"/>
  <c r="C1135" i="2"/>
  <c r="C1134" i="2"/>
  <c r="C1133" i="2"/>
  <c r="C1132" i="2"/>
  <c r="C1131" i="2"/>
  <c r="C1130" i="2"/>
  <c r="C1129" i="2"/>
  <c r="C1128" i="2"/>
  <c r="C1127" i="2"/>
  <c r="C1126" i="2"/>
  <c r="C1125" i="2"/>
  <c r="C1124" i="2"/>
  <c r="C1123" i="2"/>
  <c r="C1122" i="2"/>
  <c r="C1121" i="2"/>
  <c r="C1120" i="2"/>
  <c r="C1119" i="2"/>
  <c r="C1118" i="2"/>
  <c r="C1117" i="2"/>
  <c r="C1116" i="2"/>
  <c r="C1115" i="2"/>
  <c r="C1114" i="2"/>
  <c r="C1113" i="2"/>
  <c r="C1112" i="2"/>
  <c r="C1111" i="2"/>
  <c r="C1110" i="2"/>
  <c r="C1109" i="2"/>
  <c r="C1108" i="2"/>
  <c r="C1107" i="2"/>
  <c r="C1106" i="2"/>
  <c r="C1105" i="2"/>
  <c r="C1104" i="2"/>
  <c r="C1103" i="2"/>
  <c r="C1102" i="2"/>
  <c r="C1101" i="2"/>
  <c r="C1100" i="2"/>
  <c r="C1099" i="2"/>
  <c r="C1098" i="2"/>
  <c r="C1097" i="2"/>
  <c r="C1096" i="2"/>
  <c r="C1095" i="2"/>
  <c r="C1094" i="2"/>
  <c r="C1093" i="2"/>
  <c r="C1092" i="2"/>
  <c r="C1091" i="2"/>
  <c r="C1090" i="2"/>
  <c r="C1089" i="2"/>
  <c r="C1088" i="2"/>
  <c r="C1087" i="2"/>
  <c r="C1086" i="2"/>
  <c r="C1085" i="2"/>
  <c r="C1084" i="2"/>
  <c r="C1083" i="2"/>
  <c r="C1082" i="2"/>
  <c r="C1081" i="2"/>
  <c r="C1080" i="2"/>
  <c r="C1079" i="2"/>
  <c r="C1078" i="2"/>
  <c r="C1077" i="2"/>
  <c r="C1076" i="2"/>
  <c r="C1075" i="2"/>
  <c r="C1074" i="2"/>
  <c r="C1073" i="2"/>
  <c r="C1072" i="2"/>
  <c r="C1071" i="2"/>
  <c r="C1070" i="2"/>
  <c r="C1069" i="2"/>
  <c r="C1068" i="2"/>
  <c r="C1067" i="2"/>
  <c r="C1066" i="2"/>
  <c r="C1065" i="2"/>
  <c r="C1064" i="2"/>
  <c r="C1063" i="2"/>
  <c r="C1062" i="2"/>
  <c r="C1061" i="2"/>
  <c r="C1060" i="2"/>
  <c r="C1059" i="2"/>
  <c r="C1058" i="2"/>
  <c r="C1057" i="2"/>
  <c r="C1056" i="2"/>
  <c r="C1055" i="2"/>
  <c r="C1054" i="2"/>
  <c r="C1053" i="2"/>
  <c r="C1052" i="2"/>
  <c r="C1051" i="2"/>
  <c r="C1050" i="2"/>
  <c r="C1049" i="2"/>
  <c r="C1048" i="2"/>
  <c r="C1047" i="2"/>
  <c r="C1046" i="2"/>
  <c r="C1045" i="2"/>
  <c r="C1044" i="2"/>
  <c r="C1043" i="2"/>
  <c r="C1042" i="2"/>
  <c r="C1041" i="2"/>
  <c r="C1040" i="2"/>
  <c r="C1039" i="2"/>
  <c r="C1038" i="2"/>
  <c r="C1037" i="2"/>
  <c r="C1036" i="2"/>
  <c r="C1035" i="2"/>
  <c r="C1034" i="2"/>
  <c r="C1033" i="2"/>
  <c r="C1032" i="2"/>
  <c r="C1031" i="2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</calcChain>
</file>

<file path=xl/sharedStrings.xml><?xml version="1.0" encoding="utf-8"?>
<sst xmlns="http://schemas.openxmlformats.org/spreadsheetml/2006/main" count="10964" uniqueCount="467">
  <si>
    <t>NC 180</t>
  </si>
  <si>
    <t>NC 226</t>
  </si>
  <si>
    <t>SR 1103</t>
  </si>
  <si>
    <t>NC 198</t>
  </si>
  <si>
    <t>POST</t>
  </si>
  <si>
    <t>Muni.
Code</t>
  </si>
  <si>
    <t>On Road</t>
  </si>
  <si>
    <t>From Road</t>
  </si>
  <si>
    <t>Toward Road</t>
  </si>
  <si>
    <t>Milepost Road</t>
  </si>
  <si>
    <t>MP</t>
  </si>
  <si>
    <t>MA</t>
  </si>
  <si>
    <t>Crash ID</t>
  </si>
  <si>
    <t>Date</t>
  </si>
  <si>
    <t>T</t>
  </si>
  <si>
    <t>C</t>
  </si>
  <si>
    <t>F</t>
  </si>
  <si>
    <t>L</t>
  </si>
  <si>
    <t>S</t>
  </si>
  <si>
    <t xml:space="preserve">*LCL 1671 E MARION ST </t>
  </si>
  <si>
    <t xml:space="preserve">*LCL THREE LALKES DR </t>
  </si>
  <si>
    <t>O</t>
  </si>
  <si>
    <t xml:space="preserve">*LCL 2302 S POST RD </t>
  </si>
  <si>
    <t>W</t>
  </si>
  <si>
    <t>DEAD END</t>
  </si>
  <si>
    <t xml:space="preserve">*LCL 2844 BLACKSBURG RD </t>
  </si>
  <si>
    <t xml:space="preserve">*LCL 400 N POST RD </t>
  </si>
  <si>
    <t>SE</t>
  </si>
  <si>
    <t>ELIZABETH</t>
  </si>
  <si>
    <t xml:space="preserve">*LCL PVA JERRY'S MART </t>
  </si>
  <si>
    <t>E</t>
  </si>
  <si>
    <t xml:space="preserve">*LCL PVA ONE STOP </t>
  </si>
  <si>
    <t xml:space="preserve">*PP 2546 PLEASANT HILL CHR </t>
  </si>
  <si>
    <t xml:space="preserve">*PP 605 POLKVILLE RD </t>
  </si>
  <si>
    <t>ELIZABETH CH</t>
  </si>
  <si>
    <t xml:space="preserve">*LCL EAST MARTION STREET </t>
  </si>
  <si>
    <t xml:space="preserve">*LCL CORVAIR ST </t>
  </si>
  <si>
    <t>FIELDS</t>
  </si>
  <si>
    <t>PVA 1302 S POST RD</t>
  </si>
  <si>
    <t>SR 2202</t>
  </si>
  <si>
    <t>PVA 1901 S POST RD</t>
  </si>
  <si>
    <t>PVA 2302 S POST RD</t>
  </si>
  <si>
    <t>PVA 631 S POST RD</t>
  </si>
  <si>
    <t>US 74</t>
  </si>
  <si>
    <t xml:space="preserve">*LCL FAN DR </t>
  </si>
  <si>
    <t>B</t>
  </si>
  <si>
    <t xml:space="preserve">*LCL FRANK GRIGG DR </t>
  </si>
  <si>
    <t>SR 1821</t>
  </si>
  <si>
    <t xml:space="preserve">*LCL GANTT DR </t>
  </si>
  <si>
    <t>SR 1100</t>
  </si>
  <si>
    <t xml:space="preserve">*PP 1401 POLKVILLE RD </t>
  </si>
  <si>
    <t>SR 1344</t>
  </si>
  <si>
    <t xml:space="preserve">*PP 2213 CLEVELAND AVE </t>
  </si>
  <si>
    <t xml:space="preserve">*PP 2438 CLEVELAND AVE </t>
  </si>
  <si>
    <t>SR 2212</t>
  </si>
  <si>
    <t>PVA 206 CAROLINA AVE</t>
  </si>
  <si>
    <t>US 29</t>
  </si>
  <si>
    <t>PVA 2206 POLKVILLE RD</t>
  </si>
  <si>
    <t>SR 1860</t>
  </si>
  <si>
    <t>PVA 3020 POLKVILLE RD</t>
  </si>
  <si>
    <t>SR 1345</t>
  </si>
  <si>
    <t>PVA APPLES OF GOLD</t>
  </si>
  <si>
    <t>SR 1104</t>
  </si>
  <si>
    <t>PVA UNION ELEM SCHOOL</t>
  </si>
  <si>
    <t>SR 1820</t>
  </si>
  <si>
    <t>POLKVILLE</t>
  </si>
  <si>
    <t xml:space="preserve">*LCL GARRET PL </t>
  </si>
  <si>
    <t>KING</t>
  </si>
  <si>
    <t>N</t>
  </si>
  <si>
    <t xml:space="preserve">*LCL MANGEL DR </t>
  </si>
  <si>
    <t>DIXON</t>
  </si>
  <si>
    <t xml:space="preserve">*LCL PVA 1800 S POST RD </t>
  </si>
  <si>
    <t>PVA 1698 E MARION ST</t>
  </si>
  <si>
    <t>PVA NC 74 E DIXON BVD B</t>
  </si>
  <si>
    <t>PVA 122 S POST RD</t>
  </si>
  <si>
    <t>PVA DEAD END</t>
  </si>
  <si>
    <t>PVA 130 S POST RD</t>
  </si>
  <si>
    <t>MARION</t>
  </si>
  <si>
    <t>PVA 137 S POST RD</t>
  </si>
  <si>
    <t>PVA 1502 S POST RD</t>
  </si>
  <si>
    <t>PVA 1523 S POST RD</t>
  </si>
  <si>
    <t>PVA 1548 S POST RD</t>
  </si>
  <si>
    <t xml:space="preserve">*LCL 3 LAKES RD </t>
  </si>
  <si>
    <t>PVA 1698 MARION ST</t>
  </si>
  <si>
    <t>PVA MARION ST</t>
  </si>
  <si>
    <t>PVA 1709 S POST ROAD</t>
  </si>
  <si>
    <t>PVA 1713 S POST RD</t>
  </si>
  <si>
    <t>PVA 1750 E DIXON BLVD</t>
  </si>
  <si>
    <t>PVA 1752 E DIXON BLVD</t>
  </si>
  <si>
    <t>PVA 1791 IDLEWILD DR</t>
  </si>
  <si>
    <t>PVA 1800 E DIXON BLVD</t>
  </si>
  <si>
    <t xml:space="preserve">*LCL ALEN ST </t>
  </si>
  <si>
    <t>PVA 1801 E DIXON BLVD</t>
  </si>
  <si>
    <t>COUNTY HOME</t>
  </si>
  <si>
    <t>ALLEN</t>
  </si>
  <si>
    <t>PVA 1808 E DIXON BLVD</t>
  </si>
  <si>
    <t>PVA 1818 W DIXON BLVD</t>
  </si>
  <si>
    <t>PVA 2003 S POST RD</t>
  </si>
  <si>
    <t>PVA 220 S POST RD</t>
  </si>
  <si>
    <t>GARRETT</t>
  </si>
  <si>
    <t>PVA 2300 S POST RD</t>
  </si>
  <si>
    <t>PVA 2301 S POST RD</t>
  </si>
  <si>
    <t>NW</t>
  </si>
  <si>
    <t>PVA 2430 BLACKSBURG RD</t>
  </si>
  <si>
    <t>PVA 2520 BLACKSBURG RD</t>
  </si>
  <si>
    <t>PVA 2719 BLACKSBURG RD</t>
  </si>
  <si>
    <t>PVA 2912 POLKVILLE RD</t>
  </si>
  <si>
    <t>SR 1811</t>
  </si>
  <si>
    <t>PVA 400 N POST RD</t>
  </si>
  <si>
    <t>PVA N POST RD</t>
  </si>
  <si>
    <t>PVA 400 N POST ROAD</t>
  </si>
  <si>
    <t>PVA 4001 POLKVILLE RD</t>
  </si>
  <si>
    <t>PVA 4312 POLKVILLE RD</t>
  </si>
  <si>
    <t>PVA 4328 POLKVILLE RD</t>
  </si>
  <si>
    <t>PVA 4401 POLKVILLE RD</t>
  </si>
  <si>
    <t>PVA 4601 POLKVILLE RD</t>
  </si>
  <si>
    <t>PVA 4606 POLKVILLE ROAD</t>
  </si>
  <si>
    <t>PVA 706 E DIXON BLVD</t>
  </si>
  <si>
    <t>PVA 904 S POST RD</t>
  </si>
  <si>
    <t>PVA ANGELOS PIZZA</t>
  </si>
  <si>
    <t>PVA BOLTONS GRILL</t>
  </si>
  <si>
    <t>PVA BRADSHAW'S FOOD MART</t>
  </si>
  <si>
    <t xml:space="preserve">PVA BRADSHAW'S </t>
  </si>
  <si>
    <t>PVA BRADSHAWS</t>
  </si>
  <si>
    <t>PVA BRADSHAWS GROCERY</t>
  </si>
  <si>
    <t>PVA BURNS HIGH SCHOOL</t>
  </si>
  <si>
    <t>PVA DEVINY LUMBER</t>
  </si>
  <si>
    <t>PVA DM&amp;E CORPORATION</t>
  </si>
  <si>
    <t>PVA DOLLAR GENERAL</t>
  </si>
  <si>
    <t>PVA EMS BASE 6</t>
  </si>
  <si>
    <t>PVA FIRST BAPTIST</t>
  </si>
  <si>
    <t>PVA HOME TOWN MARKET</t>
  </si>
  <si>
    <t>PVA HOMETOWN MARKET</t>
  </si>
  <si>
    <t>PVA KEBOS</t>
  </si>
  <si>
    <t>PVA KEBOS KWIK STOP</t>
  </si>
  <si>
    <t>SR 1337</t>
  </si>
  <si>
    <t>PVA M &amp; D QUICK STOP</t>
  </si>
  <si>
    <t>PVA NUMBER 3 HANDY MART</t>
  </si>
  <si>
    <t>PVA NUMBER THREE HANDY MAR</t>
  </si>
  <si>
    <t>PVA ONE STOP</t>
  </si>
  <si>
    <t>PVA ONE STOP SHOP</t>
  </si>
  <si>
    <t>PVA POLKVILLE COMM MART</t>
  </si>
  <si>
    <t>PVA POLKVILLE COMMUNITY MA</t>
  </si>
  <si>
    <t>PVA POLKVILLE DISCOUNT</t>
  </si>
  <si>
    <t>SR 1363</t>
  </si>
  <si>
    <t>PVA POLKVILLE MERCHANDISE</t>
  </si>
  <si>
    <t>PVA POST OFFICE</t>
  </si>
  <si>
    <t>PVA SHOP &amp; SAVE</t>
  </si>
  <si>
    <t>PVA SOUTHERN STAR</t>
  </si>
  <si>
    <t>PVA US 74 (E DIXON BVD) P</t>
  </si>
  <si>
    <t>PVA NC 180 (S POST RD)</t>
  </si>
  <si>
    <t>MANCHESTER</t>
  </si>
  <si>
    <t>PVA VEER QUIK AND FAST</t>
  </si>
  <si>
    <t>CHERRY</t>
  </si>
  <si>
    <t xml:space="preserve">*LCL DAL DR </t>
  </si>
  <si>
    <t>MAIN</t>
  </si>
  <si>
    <t>MULBERRY</t>
  </si>
  <si>
    <t>LAUREL</t>
  </si>
  <si>
    <t>NC 10</t>
  </si>
  <si>
    <t>NC 182</t>
  </si>
  <si>
    <t>SR 1562</t>
  </si>
  <si>
    <t>STAMEY</t>
  </si>
  <si>
    <t>CHERRYVILLE</t>
  </si>
  <si>
    <t>NC 150</t>
  </si>
  <si>
    <t>TROY</t>
  </si>
  <si>
    <t>SPAKE</t>
  </si>
  <si>
    <t>DALTON</t>
  </si>
  <si>
    <t>A</t>
  </si>
  <si>
    <t>LITTLE POND</t>
  </si>
  <si>
    <t>SR 2067</t>
  </si>
  <si>
    <t xml:space="preserve">*LCL BRENARD DR </t>
  </si>
  <si>
    <t>SR 2068</t>
  </si>
  <si>
    <t>NC 18</t>
  </si>
  <si>
    <t>SR 2220</t>
  </si>
  <si>
    <t>Y</t>
  </si>
  <si>
    <t>SR 1132</t>
  </si>
  <si>
    <t>SR 2564</t>
  </si>
  <si>
    <t>SR 1134</t>
  </si>
  <si>
    <t>SR 2217</t>
  </si>
  <si>
    <t>SR 1108</t>
  </si>
  <si>
    <t>SR 1140</t>
  </si>
  <si>
    <t>SR 1859</t>
  </si>
  <si>
    <t>SR 1908</t>
  </si>
  <si>
    <t>DEKALB</t>
  </si>
  <si>
    <t>SR 1880</t>
  </si>
  <si>
    <t>SR 2214</t>
  </si>
  <si>
    <t>SR 1107</t>
  </si>
  <si>
    <t>SR 2382</t>
  </si>
  <si>
    <t>DEEP GREEN</t>
  </si>
  <si>
    <t>SR 2423</t>
  </si>
  <si>
    <t>K</t>
  </si>
  <si>
    <t>SR 2367</t>
  </si>
  <si>
    <t>SR 2425</t>
  </si>
  <si>
    <t>SW</t>
  </si>
  <si>
    <t>SR 1298</t>
  </si>
  <si>
    <t>SR 1281</t>
  </si>
  <si>
    <t>SR 1110</t>
  </si>
  <si>
    <t>SR 2426</t>
  </si>
  <si>
    <t>SR 1279</t>
  </si>
  <si>
    <t>SR 1282</t>
  </si>
  <si>
    <t>SR 2205</t>
  </si>
  <si>
    <t>SR 2210</t>
  </si>
  <si>
    <t>SR 1105</t>
  </si>
  <si>
    <t>SR 1236</t>
  </si>
  <si>
    <t>NE</t>
  </si>
  <si>
    <t>IDLEWILD</t>
  </si>
  <si>
    <t>SR 1226</t>
  </si>
  <si>
    <t>SR 1233</t>
  </si>
  <si>
    <t>SR 2329</t>
  </si>
  <si>
    <t>TOWER</t>
  </si>
  <si>
    <t>SR 2427</t>
  </si>
  <si>
    <t>SR 2200</t>
  </si>
  <si>
    <t>ROCKY CREEK</t>
  </si>
  <si>
    <t>EARL</t>
  </si>
  <si>
    <t>JOES LAKE</t>
  </si>
  <si>
    <t>PVA HALLELUJAH BLVD</t>
  </si>
  <si>
    <t>SR 1232</t>
  </si>
  <si>
    <t>TAYLOR</t>
  </si>
  <si>
    <t>MAGEL</t>
  </si>
  <si>
    <t>CARMEL</t>
  </si>
  <si>
    <t>SR 2050</t>
  </si>
  <si>
    <t xml:space="preserve">*LCL MEGAL RD </t>
  </si>
  <si>
    <t xml:space="preserve">*LCL E DIXON BLVD (HWY) </t>
  </si>
  <si>
    <t xml:space="preserve">*LCL US 74 EAST DIXON </t>
  </si>
  <si>
    <t xml:space="preserve">*LCL E MAIRION ST </t>
  </si>
  <si>
    <t>PVA US HWY 74E, DIXON</t>
  </si>
  <si>
    <t>PVA S POST RD</t>
  </si>
  <si>
    <t>US 74BUS</t>
  </si>
  <si>
    <t>FAIRGROUND</t>
  </si>
  <si>
    <t>WOODLAWN</t>
  </si>
  <si>
    <t>KEMPER</t>
  </si>
  <si>
    <t>LEAR</t>
  </si>
  <si>
    <t xml:space="preserve">*LCL FAIRGROUNDS BLVD </t>
  </si>
  <si>
    <t>TONGA</t>
  </si>
  <si>
    <t>CRYSTAL</t>
  </si>
  <si>
    <t>MAUNEY</t>
  </si>
  <si>
    <t>SR 2052</t>
  </si>
  <si>
    <t>SR 2125</t>
  </si>
  <si>
    <t>SR 2062</t>
  </si>
  <si>
    <t xml:space="preserve">*LCL ELIZABETH CHRUCH RD </t>
  </si>
  <si>
    <t>CORVAIR</t>
  </si>
  <si>
    <t>FALCON</t>
  </si>
  <si>
    <t>SR 2152</t>
  </si>
  <si>
    <t>LOWMAN</t>
  </si>
  <si>
    <t>SR 2026</t>
  </si>
  <si>
    <t>FARVIEW</t>
  </si>
  <si>
    <t>FAIRVIEW</t>
  </si>
  <si>
    <t>SR 2033</t>
  </si>
  <si>
    <t>AIRPORT</t>
  </si>
  <si>
    <t>CRESCENT</t>
  </si>
  <si>
    <t>SR 1926</t>
  </si>
  <si>
    <t xml:space="preserve">*LCL N CRESENT CIR </t>
  </si>
  <si>
    <t xml:space="preserve">*LCL NORTH CRESENT CIR </t>
  </si>
  <si>
    <t>SR 2607</t>
  </si>
  <si>
    <t>SR 1929</t>
  </si>
  <si>
    <t>SR 1979</t>
  </si>
  <si>
    <t>PRINCESS</t>
  </si>
  <si>
    <t>SR 1933</t>
  </si>
  <si>
    <t>SR 1972</t>
  </si>
  <si>
    <t>SR 1937</t>
  </si>
  <si>
    <t>CENTERFIELD</t>
  </si>
  <si>
    <t>SR 1939</t>
  </si>
  <si>
    <t>SR 1925</t>
  </si>
  <si>
    <t>SR 1924</t>
  </si>
  <si>
    <t>SR 1602</t>
  </si>
  <si>
    <t>SR 1985</t>
  </si>
  <si>
    <t>DEERBROOK</t>
  </si>
  <si>
    <t>SR 1106</t>
  </si>
  <si>
    <t>SR 2201</t>
  </si>
  <si>
    <t>SR 2002</t>
  </si>
  <si>
    <t>SR 2206</t>
  </si>
  <si>
    <t>SR 1102</t>
  </si>
  <si>
    <t>SR 1130</t>
  </si>
  <si>
    <t>SR 1243</t>
  </si>
  <si>
    <t>SR 2000</t>
  </si>
  <si>
    <t>SR 2022</t>
  </si>
  <si>
    <t>SR 2085</t>
  </si>
  <si>
    <t>SR 2230</t>
  </si>
  <si>
    <t>VALE</t>
  </si>
  <si>
    <t>WYKE</t>
  </si>
  <si>
    <t>SR 2215</t>
  </si>
  <si>
    <t>SL-SC</t>
  </si>
  <si>
    <t>SR 2301</t>
  </si>
  <si>
    <t>SR 2432</t>
  </si>
  <si>
    <t>SR 2216</t>
  </si>
  <si>
    <t>FIFTH</t>
  </si>
  <si>
    <t>SR 2226</t>
  </si>
  <si>
    <t>SR 2213</t>
  </si>
  <si>
    <t>SR 2377</t>
  </si>
  <si>
    <t xml:space="preserve">*LCL PANSY LN </t>
  </si>
  <si>
    <t>KNOLL</t>
  </si>
  <si>
    <t>RECYCLING</t>
  </si>
  <si>
    <t>ROYAL</t>
  </si>
  <si>
    <t>SECOND</t>
  </si>
  <si>
    <t>SEVENTH</t>
  </si>
  <si>
    <t>SR 2218</t>
  </si>
  <si>
    <t>SR 2225</t>
  </si>
  <si>
    <t>SR 2342</t>
  </si>
  <si>
    <t>SR 2476</t>
  </si>
  <si>
    <t>SR 2417</t>
  </si>
  <si>
    <t>SR 2233</t>
  </si>
  <si>
    <t>SR 2235</t>
  </si>
  <si>
    <t>SR 2121</t>
  </si>
  <si>
    <t>CAROLINA</t>
  </si>
  <si>
    <t>LINDEN</t>
  </si>
  <si>
    <t>SR 2245</t>
  </si>
  <si>
    <t>SR 2337</t>
  </si>
  <si>
    <t>SR 2122</t>
  </si>
  <si>
    <t>SR 2231</t>
  </si>
  <si>
    <t>SR 2232</t>
  </si>
  <si>
    <t>SR 2467</t>
  </si>
  <si>
    <t>MCGINNIS</t>
  </si>
  <si>
    <t>SR 2228</t>
  </si>
  <si>
    <t>GRACE</t>
  </si>
  <si>
    <t>HERNDON</t>
  </si>
  <si>
    <t>SR 2405</t>
  </si>
  <si>
    <t>GARDEN</t>
  </si>
  <si>
    <t>GRAHAMS FORT</t>
  </si>
  <si>
    <t>SILVERADO</t>
  </si>
  <si>
    <t>SR 2208</t>
  </si>
  <si>
    <t>SR 2366</t>
  </si>
  <si>
    <t>JACKSON</t>
  </si>
  <si>
    <t>SR 2238</t>
  </si>
  <si>
    <t>SR 2338</t>
  </si>
  <si>
    <t>KIM</t>
  </si>
  <si>
    <t>SR 2330</t>
  </si>
  <si>
    <t>SR 2403</t>
  </si>
  <si>
    <t>SR 2359</t>
  </si>
  <si>
    <t>SR 1213</t>
  </si>
  <si>
    <t>GANT</t>
  </si>
  <si>
    <t>SULPHUR SPRINGS</t>
  </si>
  <si>
    <t>CONGRESS</t>
  </si>
  <si>
    <t>EAVES</t>
  </si>
  <si>
    <t>RANDOLPH</t>
  </si>
  <si>
    <t>FANNING</t>
  </si>
  <si>
    <t>HAWKINS</t>
  </si>
  <si>
    <t>WAL MART</t>
  </si>
  <si>
    <t>GROVER</t>
  </si>
  <si>
    <t>SR 1861</t>
  </si>
  <si>
    <t xml:space="preserve">*LCL CHATFIELD ROAD </t>
  </si>
  <si>
    <t>SR 1343</t>
  </si>
  <si>
    <t>MCCRACKEN</t>
  </si>
  <si>
    <t>LESTER</t>
  </si>
  <si>
    <t>SR 1832</t>
  </si>
  <si>
    <t>SR 1836</t>
  </si>
  <si>
    <t>SR 1809</t>
  </si>
  <si>
    <t>SR 1808</t>
  </si>
  <si>
    <t>SR 1350</t>
  </si>
  <si>
    <t>SR 1422</t>
  </si>
  <si>
    <t>SR 1424</t>
  </si>
  <si>
    <t>SR 1854</t>
  </si>
  <si>
    <t>SR 1845</t>
  </si>
  <si>
    <t>SR 1341</t>
  </si>
  <si>
    <t>SR 1423</t>
  </si>
  <si>
    <t>SR 1364</t>
  </si>
  <si>
    <t>FLETCHER</t>
  </si>
  <si>
    <t>SR 1362</t>
  </si>
  <si>
    <t>SR 1404</t>
  </si>
  <si>
    <t>SR 1376</t>
  </si>
  <si>
    <t>SR 1520</t>
  </si>
  <si>
    <t>SR 1384</t>
  </si>
  <si>
    <t>SR 1361</t>
  </si>
  <si>
    <t>SR 1567</t>
  </si>
  <si>
    <t>SR 1537</t>
  </si>
  <si>
    <t>SR 1510</t>
  </si>
  <si>
    <t>SR 1379</t>
  </si>
  <si>
    <t>SR 1393</t>
  </si>
  <si>
    <t>SR 1373</t>
  </si>
  <si>
    <t>SR 1392</t>
  </si>
  <si>
    <t>SR 1378</t>
  </si>
  <si>
    <t>SR 1522</t>
  </si>
  <si>
    <t>SR 1529</t>
  </si>
  <si>
    <t>SR 1530</t>
  </si>
  <si>
    <t>CL-RUTHERFORD</t>
  </si>
  <si>
    <t>DOGWOOD</t>
  </si>
  <si>
    <t>GRACIE</t>
  </si>
  <si>
    <t>HARDEN</t>
  </si>
  <si>
    <t>AMESBURY</t>
  </si>
  <si>
    <t>DESTINY</t>
  </si>
  <si>
    <t xml:space="preserve">*LCL RABBIT RUN LANE </t>
  </si>
  <si>
    <t>SR 1001</t>
  </si>
  <si>
    <t xml:space="preserve">*LCL TWIN PONDS VENTURES </t>
  </si>
  <si>
    <t>SR 1346</t>
  </si>
  <si>
    <t>SR 1413</t>
  </si>
  <si>
    <t>SR 1511</t>
  </si>
  <si>
    <t>SR 1528</t>
  </si>
  <si>
    <t>SR 1819</t>
  </si>
  <si>
    <t>SR 1827</t>
  </si>
  <si>
    <t>SR 2409</t>
  </si>
  <si>
    <t>SERVICE</t>
  </si>
  <si>
    <t>SR 2380</t>
  </si>
  <si>
    <t>SR 2204</t>
  </si>
  <si>
    <t>SR 2303</t>
  </si>
  <si>
    <t>SR 2384</t>
  </si>
  <si>
    <t>SR 1101</t>
  </si>
  <si>
    <t>SR 1217</t>
  </si>
  <si>
    <t>SUNSET</t>
  </si>
  <si>
    <t>SR 1339</t>
  </si>
  <si>
    <t>SR 1850</t>
  </si>
  <si>
    <t>SR 1342</t>
  </si>
  <si>
    <t>SR 1936</t>
  </si>
  <si>
    <t>SR 1927</t>
  </si>
  <si>
    <t>SR 2049</t>
  </si>
  <si>
    <t>MAGNOLIA</t>
  </si>
  <si>
    <t>WOLFE</t>
  </si>
  <si>
    <t>SR 2336</t>
  </si>
  <si>
    <t xml:space="preserve">*PP 2578 SOUTH POST RD </t>
  </si>
  <si>
    <t>SR 2243</t>
  </si>
  <si>
    <t xml:space="preserve">*PP DAYVIEW DR </t>
  </si>
  <si>
    <t>ADKIN</t>
  </si>
  <si>
    <t>OLD BOILING SPRINGS</t>
  </si>
  <si>
    <t>FLINT</t>
  </si>
  <si>
    <t xml:space="preserve">*LCL COUNTHOME RD </t>
  </si>
  <si>
    <t>HOEY CHURCH</t>
  </si>
  <si>
    <t>DUKE</t>
  </si>
  <si>
    <t>FOXBOROUGH</t>
  </si>
  <si>
    <t>COUNTRY HOME</t>
  </si>
  <si>
    <t>PVA E DIXON BLVD</t>
  </si>
  <si>
    <t xml:space="preserve">*LCL LCL </t>
  </si>
  <si>
    <t>US 74 WB COUPLET</t>
  </si>
  <si>
    <t>SR 1314</t>
  </si>
  <si>
    <t>THREE LAKES</t>
  </si>
  <si>
    <t xml:space="preserve">*LCL 3 LAKES DR </t>
  </si>
  <si>
    <t>PVA WOODLAWN AVE</t>
  </si>
  <si>
    <t>CRASH</t>
  </si>
  <si>
    <t>IS?</t>
  </si>
  <si>
    <t>Fiche?</t>
  </si>
  <si>
    <t>ID</t>
  </si>
  <si>
    <t>ON</t>
  </si>
  <si>
    <t>RD</t>
  </si>
  <si>
    <t>CD</t>
  </si>
  <si>
    <t>SVRTY</t>
  </si>
  <si>
    <t>DATE</t>
  </si>
  <si>
    <t>TYPE</t>
  </si>
  <si>
    <t>unknown</t>
  </si>
  <si>
    <t>ROR-R</t>
  </si>
  <si>
    <t>ROR-L</t>
  </si>
  <si>
    <t>ROR-T</t>
  </si>
  <si>
    <t>jackknife</t>
  </si>
  <si>
    <t>overturn</t>
  </si>
  <si>
    <t>other</t>
  </si>
  <si>
    <t>pedestrian</t>
  </si>
  <si>
    <t>cyclist</t>
  </si>
  <si>
    <t>RR</t>
  </si>
  <si>
    <t>animal</t>
  </si>
  <si>
    <t>MO</t>
  </si>
  <si>
    <t>FO</t>
  </si>
  <si>
    <t>PMV</t>
  </si>
  <si>
    <t>RE</t>
  </si>
  <si>
    <t>RE-T</t>
  </si>
  <si>
    <t>LTSR</t>
  </si>
  <si>
    <t>LTDR</t>
  </si>
  <si>
    <t>RTSR</t>
  </si>
  <si>
    <t>RTDR</t>
  </si>
  <si>
    <t>head-on</t>
  </si>
  <si>
    <t>SSSD</t>
  </si>
  <si>
    <t>SSOD</t>
  </si>
  <si>
    <t>angle</t>
  </si>
  <si>
    <t>backing</t>
  </si>
  <si>
    <t>Miles</t>
  </si>
  <si>
    <t>Dir
From</t>
  </si>
  <si>
    <t>NIS</t>
  </si>
  <si>
    <t>IS</t>
  </si>
  <si>
    <t>NOT IN STUDY - REPORT NOT REVIEWED</t>
  </si>
  <si>
    <t>DEL</t>
  </si>
  <si>
    <t>Dollar General</t>
  </si>
  <si>
    <t>pva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</si>
</sst>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1"/>
      <name val="Calibri"/>
      <family val="2"/>
    </font>
    <font>
      <sz val="1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19" fillId="0" borderId="0" xfId="42" applyFont="1"/>
    <xf numFmtId="0" fontId="18" fillId="0" borderId="0" xfId="42"/>
    <xf numFmtId="0" fontId="20" fillId="0" borderId="0" xfId="42" applyFont="1"/>
    <xf numFmtId="164" fontId="20" fillId="0" borderId="0" xfId="42" applyNumberFormat="1" applyFont="1"/>
    <xf numFmtId="20" fontId="20" fillId="0" borderId="0" xfId="42" applyNumberFormat="1" applyFont="1"/>
    <xf numFmtId="0" fontId="16" fillId="33" borderId="0" xfId="0" applyFont="1" applyFill="1"/>
    <xf numFmtId="0" fontId="0" fillId="33" borderId="0" xfId="0" applyFill="1"/>
    <xf numFmtId="14" fontId="0" fillId="33" borderId="0" xfId="0" applyNumberForma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A58B2FAD-7A3B-44B8-9298-A803D42BDA5F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CB321-C518-4120-874B-4814EBF3B45D}">
  <dimension ref="A1:R1643"/>
  <sheetViews>
    <sheetView tabSelected="1" workbookViewId="0">
      <selection activeCell="K12" sqref="K9:K12"/>
    </sheetView>
  </sheetViews>
  <sheetFormatPr defaultRowHeight="14.4" x14ac:dyDescent="0.55000000000000004"/>
  <cols>
    <col min="2" max="2" width="27.1015625" bestFit="1" customWidth="1"/>
    <col min="9" max="9" width="3.41796875" bestFit="1" customWidth="1"/>
    <col min="10" max="10" width="3.15625" bestFit="1" customWidth="1"/>
    <col min="11" max="11" width="9.68359375" bestFit="1" customWidth="1"/>
    <col min="12" max="12" width="9.9453125" bestFit="1" customWidth="1"/>
    <col min="13" max="13" width="2.68359375" bestFit="1" customWidth="1"/>
    <col min="14" max="14" width="1.89453125" bestFit="1" customWidth="1"/>
    <col min="15" max="15" width="2.68359375" bestFit="1" customWidth="1"/>
    <col min="16" max="16" width="1.68359375" bestFit="1" customWidth="1"/>
    <col min="17" max="17" width="2" bestFit="1" customWidth="1"/>
  </cols>
  <sheetData>
    <row r="1" spans="1:18" ht="28.8" x14ac:dyDescent="0.55000000000000004">
      <c r="A1" s="1" t="s">
        <v>5</v>
      </c>
      <c r="B1" t="s">
        <v>6</v>
      </c>
      <c r="C1" s="1" t="s">
        <v>459</v>
      </c>
      <c r="D1" s="1" t="s">
        <v>460</v>
      </c>
      <c r="E1" t="s">
        <v>7</v>
      </c>
      <c r="F1" t="s">
        <v>8</v>
      </c>
      <c r="G1" t="s">
        <v>9</v>
      </c>
      <c r="H1" t="s">
        <v>10</v>
      </c>
      <c r="I1" t="s">
        <v>425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</row>
    <row r="2" spans="1:18" x14ac:dyDescent="0.55000000000000004">
      <c r="A2">
        <v>0</v>
      </c>
      <c r="B2" t="s">
        <v>0</v>
      </c>
      <c r="C2">
        <v>0</v>
      </c>
      <c r="E2" t="s">
        <v>2</v>
      </c>
      <c r="F2" t="s">
        <v>0</v>
      </c>
      <c r="G2" t="s">
        <v>0</v>
      </c>
      <c r="H2">
        <v>4.601</v>
      </c>
      <c r="I2" t="s">
        <v>462</v>
      </c>
      <c r="K2">
        <v>106442060</v>
      </c>
      <c r="L2" s="2">
        <v>44184</v>
      </c>
      <c r="M2">
        <v>24</v>
      </c>
      <c r="N2">
        <v>1</v>
      </c>
      <c r="O2">
        <v>7</v>
      </c>
      <c r="P2">
        <v>5</v>
      </c>
      <c r="Q2" t="s">
        <v>21</v>
      </c>
      <c r="R2" t="str">
        <f>IF(M2=17,"animal","")</f>
        <v/>
      </c>
    </row>
    <row r="3" spans="1:18" x14ac:dyDescent="0.55000000000000004">
      <c r="A3">
        <v>0</v>
      </c>
      <c r="B3" t="s">
        <v>0</v>
      </c>
      <c r="C3">
        <v>0</v>
      </c>
      <c r="E3" t="s">
        <v>2</v>
      </c>
      <c r="F3" t="s">
        <v>62</v>
      </c>
      <c r="G3" t="s">
        <v>0</v>
      </c>
      <c r="H3">
        <v>4.601</v>
      </c>
      <c r="I3" t="s">
        <v>462</v>
      </c>
      <c r="K3">
        <v>106423994</v>
      </c>
      <c r="L3" s="2">
        <v>44166</v>
      </c>
      <c r="M3">
        <v>30</v>
      </c>
      <c r="N3">
        <v>1</v>
      </c>
      <c r="O3">
        <v>0</v>
      </c>
      <c r="P3">
        <v>2</v>
      </c>
      <c r="Q3" t="s">
        <v>45</v>
      </c>
      <c r="R3" t="str">
        <f>IF(M3=17,"animal","")</f>
        <v/>
      </c>
    </row>
    <row r="4" spans="1:18" x14ac:dyDescent="0.55000000000000004">
      <c r="A4">
        <v>0</v>
      </c>
      <c r="B4" t="s">
        <v>0</v>
      </c>
      <c r="C4">
        <v>0</v>
      </c>
      <c r="E4" t="s">
        <v>2</v>
      </c>
      <c r="F4" t="s">
        <v>62</v>
      </c>
      <c r="G4" t="s">
        <v>0</v>
      </c>
      <c r="H4">
        <v>4.601</v>
      </c>
      <c r="I4" t="s">
        <v>462</v>
      </c>
      <c r="K4">
        <v>106691473</v>
      </c>
      <c r="L4" s="2">
        <v>44432</v>
      </c>
      <c r="M4">
        <v>26</v>
      </c>
      <c r="N4">
        <v>1</v>
      </c>
      <c r="O4">
        <v>7</v>
      </c>
      <c r="P4">
        <v>1</v>
      </c>
      <c r="Q4" t="s">
        <v>21</v>
      </c>
      <c r="R4" t="str">
        <f>IF(M4=17,"animal","")</f>
        <v/>
      </c>
    </row>
    <row r="5" spans="1:18" x14ac:dyDescent="0.55000000000000004">
      <c r="A5">
        <v>0</v>
      </c>
      <c r="B5" t="s">
        <v>0</v>
      </c>
      <c r="C5">
        <v>0</v>
      </c>
      <c r="E5" t="s">
        <v>2</v>
      </c>
      <c r="F5" t="s">
        <v>62</v>
      </c>
      <c r="G5" t="s">
        <v>0</v>
      </c>
      <c r="H5">
        <v>4.601</v>
      </c>
      <c r="I5" t="s">
        <v>462</v>
      </c>
      <c r="K5">
        <v>104908181</v>
      </c>
      <c r="L5" s="2">
        <v>42682</v>
      </c>
      <c r="M5">
        <v>30</v>
      </c>
      <c r="N5">
        <v>1</v>
      </c>
      <c r="O5">
        <v>7</v>
      </c>
      <c r="P5">
        <v>4</v>
      </c>
      <c r="Q5" t="s">
        <v>21</v>
      </c>
      <c r="R5" t="str">
        <f>IF(M5=17,"animal","")</f>
        <v/>
      </c>
    </row>
    <row r="6" spans="1:18" x14ac:dyDescent="0.55000000000000004">
      <c r="A6">
        <v>414</v>
      </c>
      <c r="B6" t="s">
        <v>0</v>
      </c>
      <c r="C6">
        <v>0</v>
      </c>
      <c r="E6" t="s">
        <v>2</v>
      </c>
      <c r="F6" t="s">
        <v>62</v>
      </c>
      <c r="G6" t="s">
        <v>0</v>
      </c>
      <c r="H6">
        <v>4.601</v>
      </c>
      <c r="I6" t="s">
        <v>462</v>
      </c>
      <c r="K6">
        <v>106032499</v>
      </c>
      <c r="L6" s="2">
        <v>43752</v>
      </c>
      <c r="M6">
        <v>24</v>
      </c>
      <c r="N6">
        <v>1</v>
      </c>
      <c r="O6">
        <v>7</v>
      </c>
      <c r="P6">
        <v>1</v>
      </c>
      <c r="Q6" t="s">
        <v>21</v>
      </c>
      <c r="R6" t="str">
        <f>IF(M6=17,"animal","")</f>
        <v/>
      </c>
    </row>
    <row r="7" spans="1:18" x14ac:dyDescent="0.55000000000000004">
      <c r="A7">
        <v>0</v>
      </c>
      <c r="B7" t="s">
        <v>0</v>
      </c>
      <c r="C7">
        <v>0</v>
      </c>
      <c r="E7" t="s">
        <v>2</v>
      </c>
      <c r="F7" t="s">
        <v>208</v>
      </c>
      <c r="G7" t="s">
        <v>0</v>
      </c>
      <c r="H7">
        <v>4.601</v>
      </c>
      <c r="I7" t="s">
        <v>462</v>
      </c>
      <c r="K7">
        <v>106234219</v>
      </c>
      <c r="L7" s="2">
        <v>43974</v>
      </c>
      <c r="M7">
        <v>26</v>
      </c>
      <c r="N7">
        <v>1</v>
      </c>
      <c r="O7">
        <v>7</v>
      </c>
      <c r="P7">
        <v>5</v>
      </c>
      <c r="Q7" t="s">
        <v>45</v>
      </c>
      <c r="R7" t="str">
        <f>IF(M7=17,"animal","")</f>
        <v/>
      </c>
    </row>
    <row r="8" spans="1:18" x14ac:dyDescent="0.55000000000000004">
      <c r="A8">
        <v>0</v>
      </c>
      <c r="B8" t="s">
        <v>2</v>
      </c>
      <c r="C8">
        <v>0</v>
      </c>
      <c r="E8" t="s">
        <v>0</v>
      </c>
      <c r="F8" t="s">
        <v>1</v>
      </c>
      <c r="G8" t="s">
        <v>2</v>
      </c>
      <c r="H8">
        <v>3.6440000000000001</v>
      </c>
      <c r="I8" t="s">
        <v>462</v>
      </c>
      <c r="K8">
        <v>105162557</v>
      </c>
      <c r="L8" s="2">
        <v>42932</v>
      </c>
      <c r="M8">
        <v>21</v>
      </c>
      <c r="N8">
        <v>1</v>
      </c>
      <c r="O8">
        <v>7</v>
      </c>
      <c r="P8">
        <v>1</v>
      </c>
      <c r="Q8" t="s">
        <v>21</v>
      </c>
      <c r="R8" t="str">
        <f>IF(M8=17,"animal","")</f>
        <v/>
      </c>
    </row>
    <row r="9" spans="1:18" x14ac:dyDescent="0.55000000000000004">
      <c r="A9">
        <v>0</v>
      </c>
      <c r="B9" t="s">
        <v>0</v>
      </c>
      <c r="C9">
        <v>0.02</v>
      </c>
      <c r="D9" t="s">
        <v>18</v>
      </c>
      <c r="E9" t="s">
        <v>2</v>
      </c>
      <c r="F9" t="s">
        <v>62</v>
      </c>
      <c r="G9" t="s">
        <v>0</v>
      </c>
      <c r="H9">
        <v>4.5810000000000004</v>
      </c>
      <c r="I9" t="s">
        <v>464</v>
      </c>
      <c r="K9">
        <v>105334401</v>
      </c>
      <c r="L9" s="2">
        <v>43096</v>
      </c>
      <c r="M9">
        <v>17</v>
      </c>
      <c r="N9">
        <v>1</v>
      </c>
      <c r="O9">
        <v>0</v>
      </c>
      <c r="P9">
        <v>5</v>
      </c>
      <c r="Q9" t="s">
        <v>21</v>
      </c>
      <c r="R9" t="str">
        <f>IF(M9=17,"animal","")</f>
        <v>animal</v>
      </c>
    </row>
    <row r="10" spans="1:18" x14ac:dyDescent="0.55000000000000004">
      <c r="A10">
        <v>0</v>
      </c>
      <c r="B10" t="s">
        <v>0</v>
      </c>
      <c r="C10">
        <v>1.9E-2</v>
      </c>
      <c r="D10" t="s">
        <v>18</v>
      </c>
      <c r="E10" t="s">
        <v>2</v>
      </c>
      <c r="F10" t="s">
        <v>62</v>
      </c>
      <c r="G10" t="s">
        <v>0</v>
      </c>
      <c r="H10">
        <v>4.5819999999999999</v>
      </c>
      <c r="I10" t="s">
        <v>464</v>
      </c>
      <c r="K10">
        <v>106251888</v>
      </c>
      <c r="L10" s="2">
        <v>43998</v>
      </c>
      <c r="M10">
        <v>29</v>
      </c>
      <c r="N10">
        <v>2</v>
      </c>
      <c r="O10">
        <v>0</v>
      </c>
      <c r="P10">
        <v>3</v>
      </c>
      <c r="Q10" t="s">
        <v>21</v>
      </c>
      <c r="R10" t="str">
        <f>IF(M10=17,"animal","")</f>
        <v/>
      </c>
    </row>
    <row r="11" spans="1:18" x14ac:dyDescent="0.55000000000000004">
      <c r="A11">
        <v>0</v>
      </c>
      <c r="B11" t="s">
        <v>0</v>
      </c>
      <c r="C11">
        <v>1.0999999999999999E-2</v>
      </c>
      <c r="D11" t="s">
        <v>18</v>
      </c>
      <c r="E11" t="s">
        <v>2</v>
      </c>
      <c r="F11" t="s">
        <v>62</v>
      </c>
      <c r="G11" t="s">
        <v>0</v>
      </c>
      <c r="H11">
        <v>4.59</v>
      </c>
      <c r="I11" t="s">
        <v>464</v>
      </c>
      <c r="K11">
        <v>106482677</v>
      </c>
      <c r="L11" s="2">
        <v>44233</v>
      </c>
      <c r="M11">
        <v>19</v>
      </c>
      <c r="N11">
        <v>6</v>
      </c>
      <c r="O11">
        <v>0</v>
      </c>
      <c r="P11">
        <v>5</v>
      </c>
      <c r="Q11" t="s">
        <v>21</v>
      </c>
      <c r="R11" t="str">
        <f>IF(M11=17,"animal","")</f>
        <v/>
      </c>
    </row>
    <row r="12" spans="1:18" x14ac:dyDescent="0.55000000000000004">
      <c r="A12">
        <v>0</v>
      </c>
      <c r="B12" t="s">
        <v>0</v>
      </c>
      <c r="C12">
        <v>5.0000000000000001E-3</v>
      </c>
      <c r="D12" t="s">
        <v>68</v>
      </c>
      <c r="E12" t="s">
        <v>2</v>
      </c>
      <c r="F12" t="s">
        <v>1</v>
      </c>
      <c r="G12" t="s">
        <v>0</v>
      </c>
      <c r="H12">
        <v>4.6059999999999999</v>
      </c>
      <c r="I12" t="s">
        <v>464</v>
      </c>
      <c r="K12">
        <v>106653569</v>
      </c>
      <c r="L12" s="2">
        <v>44411</v>
      </c>
      <c r="M12">
        <v>17</v>
      </c>
      <c r="N12">
        <v>2</v>
      </c>
      <c r="O12">
        <v>0</v>
      </c>
      <c r="P12">
        <v>5</v>
      </c>
      <c r="Q12" t="s">
        <v>21</v>
      </c>
      <c r="R12" t="str">
        <f>IF(M12=17,"animal","")</f>
        <v>animal</v>
      </c>
    </row>
    <row r="13" spans="1:18" x14ac:dyDescent="0.55000000000000004">
      <c r="A13">
        <v>414</v>
      </c>
      <c r="B13" t="s">
        <v>0</v>
      </c>
      <c r="C13">
        <v>0</v>
      </c>
      <c r="E13" t="s">
        <v>200</v>
      </c>
      <c r="F13" t="s">
        <v>2</v>
      </c>
      <c r="G13" t="s">
        <v>0</v>
      </c>
      <c r="H13">
        <v>3.73</v>
      </c>
      <c r="I13" t="s">
        <v>461</v>
      </c>
      <c r="K13">
        <v>105994404</v>
      </c>
      <c r="L13" s="2">
        <v>43726</v>
      </c>
      <c r="M13">
        <v>19</v>
      </c>
      <c r="N13">
        <v>1</v>
      </c>
      <c r="O13">
        <v>8</v>
      </c>
      <c r="P13">
        <v>5</v>
      </c>
      <c r="Q13" t="s">
        <v>15</v>
      </c>
      <c r="R13" t="str">
        <f>IF(M13=17,"animal","")</f>
        <v/>
      </c>
    </row>
    <row r="14" spans="1:18" x14ac:dyDescent="0.55000000000000004">
      <c r="A14">
        <v>414</v>
      </c>
      <c r="B14" t="s">
        <v>0</v>
      </c>
      <c r="C14">
        <v>0</v>
      </c>
      <c r="E14" t="s">
        <v>62</v>
      </c>
      <c r="F14" t="s">
        <v>2</v>
      </c>
      <c r="G14" t="s">
        <v>0</v>
      </c>
      <c r="H14">
        <v>3.8969999999999998</v>
      </c>
      <c r="I14" t="s">
        <v>461</v>
      </c>
      <c r="K14">
        <v>104926692</v>
      </c>
      <c r="L14" s="2">
        <v>42701</v>
      </c>
      <c r="M14">
        <v>21</v>
      </c>
      <c r="N14">
        <v>1</v>
      </c>
      <c r="O14">
        <v>0</v>
      </c>
      <c r="P14">
        <v>1</v>
      </c>
      <c r="Q14" t="s">
        <v>21</v>
      </c>
      <c r="R14" t="str">
        <f>IF(M14=17,"animal","")</f>
        <v/>
      </c>
    </row>
    <row r="15" spans="1:18" x14ac:dyDescent="0.55000000000000004">
      <c r="A15">
        <v>414</v>
      </c>
      <c r="B15" t="s">
        <v>0</v>
      </c>
      <c r="C15">
        <v>0</v>
      </c>
      <c r="E15" t="s">
        <v>62</v>
      </c>
      <c r="F15" t="s">
        <v>2</v>
      </c>
      <c r="G15" t="s">
        <v>0</v>
      </c>
      <c r="H15">
        <v>3.8969999999999998</v>
      </c>
      <c r="I15" t="s">
        <v>461</v>
      </c>
      <c r="K15">
        <v>104853056</v>
      </c>
      <c r="L15" s="2">
        <v>42627</v>
      </c>
      <c r="M15">
        <v>21</v>
      </c>
      <c r="N15">
        <v>1</v>
      </c>
      <c r="O15">
        <v>8</v>
      </c>
      <c r="P15">
        <v>1</v>
      </c>
      <c r="Q15" t="s">
        <v>15</v>
      </c>
      <c r="R15" t="str">
        <f>IF(M15=17,"animal","")</f>
        <v/>
      </c>
    </row>
    <row r="16" spans="1:18" x14ac:dyDescent="0.55000000000000004">
      <c r="A16">
        <v>414</v>
      </c>
      <c r="B16" t="s">
        <v>0</v>
      </c>
      <c r="C16">
        <v>1.9E-2</v>
      </c>
      <c r="D16" t="s">
        <v>204</v>
      </c>
      <c r="E16" t="s">
        <v>62</v>
      </c>
      <c r="F16" t="s">
        <v>2</v>
      </c>
      <c r="G16" t="s">
        <v>0</v>
      </c>
      <c r="H16">
        <v>3.9159999999999999</v>
      </c>
      <c r="I16" t="s">
        <v>461</v>
      </c>
      <c r="K16">
        <v>106467747</v>
      </c>
      <c r="L16" s="2">
        <v>44215</v>
      </c>
      <c r="M16">
        <v>18</v>
      </c>
      <c r="N16">
        <v>1</v>
      </c>
      <c r="O16">
        <v>0</v>
      </c>
      <c r="P16">
        <v>1</v>
      </c>
      <c r="Q16" t="s">
        <v>21</v>
      </c>
      <c r="R16" t="str">
        <f>IF(M16=17,"animal","")</f>
        <v/>
      </c>
    </row>
    <row r="17" spans="1:18" x14ac:dyDescent="0.55000000000000004">
      <c r="A17">
        <v>0</v>
      </c>
      <c r="B17" t="s">
        <v>0</v>
      </c>
      <c r="C17">
        <v>0.1</v>
      </c>
      <c r="D17" t="s">
        <v>68</v>
      </c>
      <c r="E17" t="s">
        <v>62</v>
      </c>
      <c r="F17" t="s">
        <v>2</v>
      </c>
      <c r="G17" t="s">
        <v>0</v>
      </c>
      <c r="H17">
        <v>3.9969999999999999</v>
      </c>
      <c r="I17" t="s">
        <v>461</v>
      </c>
      <c r="K17">
        <v>105853443</v>
      </c>
      <c r="L17" s="2">
        <v>43590</v>
      </c>
      <c r="M17">
        <v>28</v>
      </c>
      <c r="N17">
        <v>2</v>
      </c>
      <c r="O17">
        <v>0</v>
      </c>
      <c r="P17">
        <v>3</v>
      </c>
      <c r="Q17" t="s">
        <v>21</v>
      </c>
      <c r="R17" t="str">
        <f>IF(M17=17,"animal","")</f>
        <v/>
      </c>
    </row>
    <row r="18" spans="1:18" x14ac:dyDescent="0.55000000000000004">
      <c r="A18">
        <v>414</v>
      </c>
      <c r="B18" t="s">
        <v>0</v>
      </c>
      <c r="C18">
        <v>0.5</v>
      </c>
      <c r="D18" t="s">
        <v>18</v>
      </c>
      <c r="E18" t="s">
        <v>2</v>
      </c>
      <c r="F18" t="s">
        <v>62</v>
      </c>
      <c r="G18" t="s">
        <v>0</v>
      </c>
      <c r="H18">
        <v>4.101</v>
      </c>
      <c r="I18" t="s">
        <v>461</v>
      </c>
      <c r="K18">
        <v>105438292</v>
      </c>
      <c r="L18" s="2">
        <v>43197</v>
      </c>
      <c r="M18">
        <v>21</v>
      </c>
      <c r="N18">
        <v>2</v>
      </c>
      <c r="O18">
        <v>0</v>
      </c>
      <c r="P18">
        <v>1</v>
      </c>
      <c r="Q18" t="s">
        <v>21</v>
      </c>
      <c r="R18" t="str">
        <f>IF(M18=17,"animal","")</f>
        <v/>
      </c>
    </row>
    <row r="19" spans="1:18" x14ac:dyDescent="0.55000000000000004">
      <c r="A19">
        <v>0</v>
      </c>
      <c r="B19" t="s">
        <v>0</v>
      </c>
      <c r="C19">
        <v>0.25</v>
      </c>
      <c r="D19" t="s">
        <v>68</v>
      </c>
      <c r="E19" t="s">
        <v>62</v>
      </c>
      <c r="F19" t="s">
        <v>2</v>
      </c>
      <c r="G19" t="s">
        <v>0</v>
      </c>
      <c r="H19">
        <v>4.1470000000000002</v>
      </c>
      <c r="I19" t="s">
        <v>461</v>
      </c>
      <c r="K19">
        <v>105457585</v>
      </c>
      <c r="L19" s="2">
        <v>43213</v>
      </c>
      <c r="M19">
        <v>19</v>
      </c>
      <c r="N19">
        <v>3</v>
      </c>
      <c r="O19">
        <v>0</v>
      </c>
      <c r="P19">
        <v>1</v>
      </c>
      <c r="Q19" t="s">
        <v>21</v>
      </c>
      <c r="R19" t="str">
        <f>IF(M19=17,"animal","")</f>
        <v/>
      </c>
    </row>
    <row r="20" spans="1:18" x14ac:dyDescent="0.55000000000000004">
      <c r="A20">
        <v>0</v>
      </c>
      <c r="B20" t="s">
        <v>0</v>
      </c>
      <c r="C20">
        <v>0.3</v>
      </c>
      <c r="D20" t="s">
        <v>68</v>
      </c>
      <c r="E20" t="s">
        <v>62</v>
      </c>
      <c r="F20" t="s">
        <v>2</v>
      </c>
      <c r="G20" t="s">
        <v>0</v>
      </c>
      <c r="H20">
        <v>4.1970000000000001</v>
      </c>
      <c r="I20" t="s">
        <v>461</v>
      </c>
      <c r="K20">
        <v>106360350</v>
      </c>
      <c r="L20" s="2">
        <v>44111</v>
      </c>
      <c r="M20">
        <v>17</v>
      </c>
      <c r="N20">
        <v>1</v>
      </c>
      <c r="O20">
        <v>0</v>
      </c>
      <c r="P20">
        <v>5</v>
      </c>
      <c r="Q20" t="s">
        <v>21</v>
      </c>
      <c r="R20" t="str">
        <f>IF(M20=17,"animal","")</f>
        <v>animal</v>
      </c>
    </row>
    <row r="21" spans="1:18" x14ac:dyDescent="0.55000000000000004">
      <c r="A21">
        <v>0</v>
      </c>
      <c r="B21" t="s">
        <v>0</v>
      </c>
      <c r="C21">
        <v>0.3</v>
      </c>
      <c r="D21" t="s">
        <v>68</v>
      </c>
      <c r="E21" t="s">
        <v>62</v>
      </c>
      <c r="F21" t="s">
        <v>2</v>
      </c>
      <c r="G21" t="s">
        <v>0</v>
      </c>
      <c r="H21">
        <v>4.1970000000000001</v>
      </c>
      <c r="I21" t="s">
        <v>461</v>
      </c>
      <c r="K21">
        <v>106129401</v>
      </c>
      <c r="L21" s="2">
        <v>43848</v>
      </c>
      <c r="M21">
        <v>19</v>
      </c>
      <c r="N21">
        <v>2</v>
      </c>
      <c r="O21">
        <v>0</v>
      </c>
      <c r="P21">
        <v>5</v>
      </c>
      <c r="Q21" t="s">
        <v>15</v>
      </c>
      <c r="R21" t="str">
        <f>IF(M21=17,"animal","")</f>
        <v/>
      </c>
    </row>
    <row r="22" spans="1:18" x14ac:dyDescent="0.55000000000000004">
      <c r="A22">
        <v>0</v>
      </c>
      <c r="B22" t="s">
        <v>0</v>
      </c>
      <c r="C22">
        <v>5.0000000000000001E-3</v>
      </c>
      <c r="D22" t="s">
        <v>68</v>
      </c>
      <c r="E22" t="s">
        <v>203</v>
      </c>
      <c r="F22" t="s">
        <v>2</v>
      </c>
      <c r="G22" t="s">
        <v>0</v>
      </c>
      <c r="H22">
        <v>4.2130000000000001</v>
      </c>
      <c r="I22" t="s">
        <v>461</v>
      </c>
      <c r="K22">
        <v>106528289</v>
      </c>
      <c r="L22" s="2">
        <v>44282</v>
      </c>
      <c r="M22">
        <v>19</v>
      </c>
      <c r="N22">
        <v>1</v>
      </c>
      <c r="O22">
        <v>0</v>
      </c>
      <c r="P22">
        <v>1</v>
      </c>
      <c r="Q22" t="s">
        <v>15</v>
      </c>
      <c r="R22" t="str">
        <f>IF(M22=17,"animal","")</f>
        <v/>
      </c>
    </row>
    <row r="23" spans="1:18" x14ac:dyDescent="0.55000000000000004">
      <c r="A23">
        <v>0</v>
      </c>
      <c r="B23" t="s">
        <v>0</v>
      </c>
      <c r="C23">
        <v>0.3</v>
      </c>
      <c r="D23" t="s">
        <v>18</v>
      </c>
      <c r="E23" t="s">
        <v>2</v>
      </c>
      <c r="F23" t="s">
        <v>62</v>
      </c>
      <c r="G23" t="s">
        <v>0</v>
      </c>
      <c r="H23">
        <v>4.3010000000000002</v>
      </c>
      <c r="I23" t="s">
        <v>461</v>
      </c>
      <c r="K23">
        <v>105624267</v>
      </c>
      <c r="L23" s="2">
        <v>43374</v>
      </c>
      <c r="M23">
        <v>21</v>
      </c>
      <c r="N23">
        <v>1</v>
      </c>
      <c r="O23">
        <v>0</v>
      </c>
      <c r="P23">
        <v>1</v>
      </c>
      <c r="Q23" t="s">
        <v>15</v>
      </c>
      <c r="R23" t="str">
        <f>IF(M23=17,"animal","")</f>
        <v/>
      </c>
    </row>
    <row r="24" spans="1:18" x14ac:dyDescent="0.55000000000000004">
      <c r="A24">
        <v>0</v>
      </c>
      <c r="B24" t="s">
        <v>0</v>
      </c>
      <c r="C24">
        <v>0.2</v>
      </c>
      <c r="D24" t="s">
        <v>18</v>
      </c>
      <c r="E24" t="s">
        <v>2</v>
      </c>
      <c r="F24" t="s">
        <v>0</v>
      </c>
      <c r="G24" t="s">
        <v>0</v>
      </c>
      <c r="H24">
        <v>4.4009999999999998</v>
      </c>
      <c r="I24" t="s">
        <v>461</v>
      </c>
      <c r="K24">
        <v>106621873</v>
      </c>
      <c r="L24" s="2">
        <v>44375</v>
      </c>
      <c r="M24">
        <v>24</v>
      </c>
      <c r="N24">
        <v>1</v>
      </c>
      <c r="O24">
        <v>0</v>
      </c>
      <c r="P24">
        <v>1</v>
      </c>
      <c r="Q24" t="s">
        <v>15</v>
      </c>
      <c r="R24" t="str">
        <f>IF(M24=17,"animal","")</f>
        <v/>
      </c>
    </row>
    <row r="25" spans="1:18" x14ac:dyDescent="0.55000000000000004">
      <c r="A25">
        <v>0</v>
      </c>
      <c r="B25" t="s">
        <v>0</v>
      </c>
      <c r="C25">
        <v>0.2</v>
      </c>
      <c r="D25" t="s">
        <v>18</v>
      </c>
      <c r="E25" t="s">
        <v>2</v>
      </c>
      <c r="F25" t="s">
        <v>1</v>
      </c>
      <c r="G25" t="s">
        <v>0</v>
      </c>
      <c r="H25">
        <v>4.4009999999999998</v>
      </c>
      <c r="I25" t="s">
        <v>461</v>
      </c>
      <c r="K25">
        <v>105749217</v>
      </c>
      <c r="L25" s="2">
        <v>43485</v>
      </c>
      <c r="M25">
        <v>24</v>
      </c>
      <c r="N25">
        <v>1</v>
      </c>
      <c r="O25">
        <v>0</v>
      </c>
      <c r="P25">
        <v>1</v>
      </c>
      <c r="Q25" t="s">
        <v>15</v>
      </c>
      <c r="R25" t="str">
        <f>IF(M25=17,"animal","")</f>
        <v/>
      </c>
    </row>
    <row r="26" spans="1:18" x14ac:dyDescent="0.55000000000000004">
      <c r="A26">
        <v>0</v>
      </c>
      <c r="B26" t="s">
        <v>0</v>
      </c>
      <c r="C26">
        <v>0.2</v>
      </c>
      <c r="D26" t="s">
        <v>18</v>
      </c>
      <c r="E26" t="s">
        <v>2</v>
      </c>
      <c r="F26" t="s">
        <v>62</v>
      </c>
      <c r="G26" t="s">
        <v>0</v>
      </c>
      <c r="H26">
        <v>4.4009999999999998</v>
      </c>
      <c r="I26" t="s">
        <v>461</v>
      </c>
      <c r="K26">
        <v>106241704</v>
      </c>
      <c r="L26" s="2">
        <v>43982</v>
      </c>
      <c r="M26">
        <v>24</v>
      </c>
      <c r="N26">
        <v>1</v>
      </c>
      <c r="O26">
        <v>4</v>
      </c>
      <c r="P26">
        <v>1</v>
      </c>
      <c r="Q26" t="s">
        <v>15</v>
      </c>
      <c r="R26" t="str">
        <f>IF(M26=17,"animal","")</f>
        <v/>
      </c>
    </row>
    <row r="27" spans="1:18" x14ac:dyDescent="0.55000000000000004">
      <c r="A27">
        <v>0</v>
      </c>
      <c r="B27" t="s">
        <v>0</v>
      </c>
      <c r="C27">
        <v>0.2</v>
      </c>
      <c r="D27" t="s">
        <v>18</v>
      </c>
      <c r="E27" t="s">
        <v>2</v>
      </c>
      <c r="F27" t="s">
        <v>62</v>
      </c>
      <c r="G27" t="s">
        <v>0</v>
      </c>
      <c r="H27">
        <v>4.4009999999999998</v>
      </c>
      <c r="I27" t="s">
        <v>461</v>
      </c>
      <c r="K27">
        <v>105930206</v>
      </c>
      <c r="L27" s="2">
        <v>43665</v>
      </c>
      <c r="M27">
        <v>24</v>
      </c>
      <c r="N27">
        <v>1</v>
      </c>
      <c r="O27">
        <v>4</v>
      </c>
      <c r="P27">
        <v>1</v>
      </c>
      <c r="Q27" t="s">
        <v>21</v>
      </c>
      <c r="R27" t="str">
        <f>IF(M27=17,"animal","")</f>
        <v/>
      </c>
    </row>
    <row r="28" spans="1:18" x14ac:dyDescent="0.55000000000000004">
      <c r="A28">
        <v>0</v>
      </c>
      <c r="B28" t="s">
        <v>0</v>
      </c>
      <c r="C28">
        <v>0.2</v>
      </c>
      <c r="D28" t="s">
        <v>18</v>
      </c>
      <c r="E28" t="s">
        <v>2</v>
      </c>
      <c r="F28" t="s">
        <v>62</v>
      </c>
      <c r="G28" t="s">
        <v>0</v>
      </c>
      <c r="H28">
        <v>4.4009999999999998</v>
      </c>
      <c r="I28" t="s">
        <v>461</v>
      </c>
      <c r="K28">
        <v>106251622</v>
      </c>
      <c r="L28" s="2">
        <v>43996</v>
      </c>
      <c r="M28">
        <v>19</v>
      </c>
      <c r="N28">
        <v>1</v>
      </c>
      <c r="O28">
        <v>0</v>
      </c>
      <c r="P28">
        <v>5</v>
      </c>
      <c r="Q28" t="s">
        <v>15</v>
      </c>
      <c r="R28" t="str">
        <f>IF(M28=17,"animal","")</f>
        <v/>
      </c>
    </row>
    <row r="29" spans="1:18" x14ac:dyDescent="0.55000000000000004">
      <c r="A29">
        <v>414</v>
      </c>
      <c r="B29" t="s">
        <v>0</v>
      </c>
      <c r="C29">
        <v>0.2</v>
      </c>
      <c r="D29" t="s">
        <v>18</v>
      </c>
      <c r="E29" t="s">
        <v>2</v>
      </c>
      <c r="F29" t="s">
        <v>62</v>
      </c>
      <c r="G29" t="s">
        <v>0</v>
      </c>
      <c r="H29">
        <v>4.4009999999999998</v>
      </c>
      <c r="I29" t="s">
        <v>461</v>
      </c>
      <c r="K29">
        <v>104908833</v>
      </c>
      <c r="L29" s="2">
        <v>42684</v>
      </c>
      <c r="M29">
        <v>17</v>
      </c>
      <c r="N29">
        <v>1</v>
      </c>
      <c r="O29">
        <v>0</v>
      </c>
      <c r="P29">
        <v>1</v>
      </c>
      <c r="Q29" t="s">
        <v>21</v>
      </c>
      <c r="R29" t="str">
        <f>IF(M29=17,"animal","")</f>
        <v>animal</v>
      </c>
    </row>
    <row r="30" spans="1:18" x14ac:dyDescent="0.55000000000000004">
      <c r="A30">
        <v>0</v>
      </c>
      <c r="B30" t="s">
        <v>0</v>
      </c>
      <c r="C30">
        <v>0.1</v>
      </c>
      <c r="D30" t="s">
        <v>18</v>
      </c>
      <c r="E30" t="s">
        <v>2</v>
      </c>
      <c r="F30" t="s">
        <v>1</v>
      </c>
      <c r="G30" t="s">
        <v>0</v>
      </c>
      <c r="H30">
        <v>4.5010000000000003</v>
      </c>
      <c r="I30" t="s">
        <v>461</v>
      </c>
      <c r="K30">
        <v>106480708</v>
      </c>
      <c r="L30" s="2">
        <v>44230</v>
      </c>
      <c r="M30">
        <v>17</v>
      </c>
      <c r="N30">
        <v>1</v>
      </c>
      <c r="O30">
        <v>0</v>
      </c>
      <c r="P30">
        <v>5</v>
      </c>
      <c r="Q30" t="s">
        <v>21</v>
      </c>
      <c r="R30" t="str">
        <f>IF(M30=17,"animal","")</f>
        <v>animal</v>
      </c>
    </row>
    <row r="31" spans="1:18" x14ac:dyDescent="0.55000000000000004">
      <c r="A31">
        <v>0</v>
      </c>
      <c r="B31" t="s">
        <v>0</v>
      </c>
      <c r="C31">
        <v>0.1</v>
      </c>
      <c r="D31" t="s">
        <v>18</v>
      </c>
      <c r="E31" t="s">
        <v>2</v>
      </c>
      <c r="F31" t="s">
        <v>62</v>
      </c>
      <c r="G31" t="s">
        <v>0</v>
      </c>
      <c r="H31">
        <v>4.5010000000000003</v>
      </c>
      <c r="I31" t="s">
        <v>461</v>
      </c>
      <c r="K31">
        <v>105790006</v>
      </c>
      <c r="L31" s="2">
        <v>43520</v>
      </c>
      <c r="M31">
        <v>20</v>
      </c>
      <c r="N31">
        <v>1</v>
      </c>
      <c r="O31">
        <v>0</v>
      </c>
      <c r="P31">
        <v>5</v>
      </c>
      <c r="Q31" t="s">
        <v>21</v>
      </c>
      <c r="R31" t="str">
        <f>IF(M31=17,"animal","")</f>
        <v/>
      </c>
    </row>
    <row r="32" spans="1:18" x14ac:dyDescent="0.55000000000000004">
      <c r="A32">
        <v>0</v>
      </c>
      <c r="B32" t="s">
        <v>0</v>
      </c>
      <c r="C32">
        <v>0.1</v>
      </c>
      <c r="D32" t="s">
        <v>18</v>
      </c>
      <c r="E32" t="s">
        <v>2</v>
      </c>
      <c r="F32" t="s">
        <v>62</v>
      </c>
      <c r="G32" t="s">
        <v>0</v>
      </c>
      <c r="H32">
        <v>4.5010000000000003</v>
      </c>
      <c r="I32" t="s">
        <v>461</v>
      </c>
      <c r="K32">
        <v>105818255</v>
      </c>
      <c r="L32" s="2">
        <v>43552</v>
      </c>
      <c r="M32">
        <v>5</v>
      </c>
      <c r="N32">
        <v>1</v>
      </c>
      <c r="O32">
        <v>0</v>
      </c>
      <c r="P32">
        <v>5</v>
      </c>
      <c r="Q32" t="s">
        <v>45</v>
      </c>
      <c r="R32" t="str">
        <f>IF(M32=17,"animal","")</f>
        <v/>
      </c>
    </row>
    <row r="33" spans="1:18" x14ac:dyDescent="0.55000000000000004">
      <c r="A33">
        <v>0</v>
      </c>
      <c r="B33" t="s">
        <v>0</v>
      </c>
      <c r="C33">
        <v>0.1</v>
      </c>
      <c r="D33" t="s">
        <v>18</v>
      </c>
      <c r="E33" t="s">
        <v>2</v>
      </c>
      <c r="F33" t="s">
        <v>203</v>
      </c>
      <c r="G33" t="s">
        <v>0</v>
      </c>
      <c r="H33">
        <v>4.5010000000000003</v>
      </c>
      <c r="I33" t="s">
        <v>461</v>
      </c>
      <c r="K33">
        <v>106428132</v>
      </c>
      <c r="L33" s="2">
        <v>44169</v>
      </c>
      <c r="M33">
        <v>26</v>
      </c>
      <c r="N33">
        <v>3</v>
      </c>
      <c r="O33">
        <v>0</v>
      </c>
      <c r="P33">
        <v>2</v>
      </c>
      <c r="Q33" t="s">
        <v>15</v>
      </c>
      <c r="R33" t="str">
        <f>IF(M33=17,"animal","")</f>
        <v/>
      </c>
    </row>
    <row r="34" spans="1:18" x14ac:dyDescent="0.55000000000000004">
      <c r="A34">
        <v>0</v>
      </c>
      <c r="B34" t="s">
        <v>0</v>
      </c>
      <c r="C34">
        <v>0.1</v>
      </c>
      <c r="D34" t="s">
        <v>18</v>
      </c>
      <c r="E34" t="s">
        <v>2</v>
      </c>
      <c r="F34" t="s">
        <v>203</v>
      </c>
      <c r="G34" t="s">
        <v>0</v>
      </c>
      <c r="H34">
        <v>4.5010000000000003</v>
      </c>
      <c r="I34" t="s">
        <v>461</v>
      </c>
      <c r="K34">
        <v>105979241</v>
      </c>
      <c r="L34" s="2">
        <v>43711</v>
      </c>
      <c r="M34">
        <v>21</v>
      </c>
      <c r="N34">
        <v>1</v>
      </c>
      <c r="O34">
        <v>0</v>
      </c>
      <c r="P34">
        <v>1</v>
      </c>
      <c r="Q34" t="s">
        <v>21</v>
      </c>
      <c r="R34" t="str">
        <f>IF(M34=17,"animal","")</f>
        <v/>
      </c>
    </row>
    <row r="35" spans="1:18" x14ac:dyDescent="0.55000000000000004">
      <c r="A35">
        <v>0</v>
      </c>
      <c r="B35" t="s">
        <v>0</v>
      </c>
      <c r="C35">
        <v>0.1</v>
      </c>
      <c r="D35" t="s">
        <v>18</v>
      </c>
      <c r="E35" t="s">
        <v>2</v>
      </c>
      <c r="F35" t="s">
        <v>203</v>
      </c>
      <c r="G35" t="s">
        <v>0</v>
      </c>
      <c r="H35">
        <v>4.5010000000000003</v>
      </c>
      <c r="I35" t="s">
        <v>461</v>
      </c>
      <c r="K35">
        <v>106319477</v>
      </c>
      <c r="L35" s="2">
        <v>44069</v>
      </c>
      <c r="M35">
        <v>24</v>
      </c>
      <c r="N35">
        <v>1</v>
      </c>
      <c r="O35">
        <v>4</v>
      </c>
      <c r="P35">
        <v>1</v>
      </c>
      <c r="Q35" t="s">
        <v>15</v>
      </c>
      <c r="R35" t="s">
        <v>465</v>
      </c>
    </row>
    <row r="36" spans="1:18" x14ac:dyDescent="0.55000000000000004">
      <c r="A36">
        <v>0</v>
      </c>
      <c r="B36" t="s">
        <v>0</v>
      </c>
      <c r="C36">
        <v>0.1</v>
      </c>
      <c r="D36" t="s">
        <v>18</v>
      </c>
      <c r="E36" t="s">
        <v>2</v>
      </c>
      <c r="F36" t="s">
        <v>203</v>
      </c>
      <c r="G36" t="s">
        <v>0</v>
      </c>
      <c r="H36">
        <v>4.5010000000000003</v>
      </c>
      <c r="I36" t="s">
        <v>461</v>
      </c>
      <c r="K36">
        <v>106427910</v>
      </c>
      <c r="L36" s="2">
        <v>44169</v>
      </c>
      <c r="M36">
        <v>18</v>
      </c>
      <c r="N36">
        <v>1</v>
      </c>
      <c r="O36">
        <v>0</v>
      </c>
      <c r="P36">
        <v>5</v>
      </c>
      <c r="Q36" t="s">
        <v>21</v>
      </c>
      <c r="R36" t="str">
        <f>IF(M36=17,"animal","")</f>
        <v/>
      </c>
    </row>
    <row r="37" spans="1:18" x14ac:dyDescent="0.55000000000000004">
      <c r="A37">
        <v>0</v>
      </c>
      <c r="B37" t="s">
        <v>1</v>
      </c>
      <c r="C37">
        <v>0.1</v>
      </c>
      <c r="D37" t="s">
        <v>18</v>
      </c>
      <c r="E37" t="s">
        <v>2</v>
      </c>
      <c r="F37" t="s">
        <v>203</v>
      </c>
      <c r="G37" t="s">
        <v>0</v>
      </c>
      <c r="H37">
        <v>4.5010000000000003</v>
      </c>
      <c r="I37" t="s">
        <v>461</v>
      </c>
      <c r="K37">
        <v>106251485</v>
      </c>
      <c r="L37" s="2">
        <v>43992</v>
      </c>
      <c r="M37">
        <v>23</v>
      </c>
      <c r="N37">
        <v>2</v>
      </c>
      <c r="O37">
        <v>0</v>
      </c>
      <c r="P37">
        <v>1</v>
      </c>
      <c r="Q37" t="s">
        <v>167</v>
      </c>
      <c r="R37" t="str">
        <f>IF(M37=17,"animal","")</f>
        <v/>
      </c>
    </row>
    <row r="38" spans="1:18" x14ac:dyDescent="0.55000000000000004">
      <c r="A38">
        <v>414</v>
      </c>
      <c r="B38" t="s">
        <v>0</v>
      </c>
      <c r="C38">
        <v>0.1</v>
      </c>
      <c r="D38" t="s">
        <v>18</v>
      </c>
      <c r="E38" t="s">
        <v>2</v>
      </c>
      <c r="F38" t="s">
        <v>203</v>
      </c>
      <c r="G38" t="s">
        <v>0</v>
      </c>
      <c r="H38">
        <v>4.5010000000000003</v>
      </c>
      <c r="I38" t="s">
        <v>461</v>
      </c>
      <c r="K38">
        <v>105477360</v>
      </c>
      <c r="L38" s="2">
        <v>43232</v>
      </c>
      <c r="M38">
        <v>24</v>
      </c>
      <c r="N38">
        <v>1</v>
      </c>
      <c r="O38">
        <v>0</v>
      </c>
      <c r="P38">
        <v>1</v>
      </c>
      <c r="Q38" t="s">
        <v>15</v>
      </c>
      <c r="R38" t="str">
        <f>IF(M38=17,"animal","")</f>
        <v/>
      </c>
    </row>
    <row r="39" spans="1:18" x14ac:dyDescent="0.55000000000000004">
      <c r="A39">
        <v>0</v>
      </c>
      <c r="B39" t="s">
        <v>1</v>
      </c>
      <c r="C39">
        <v>1</v>
      </c>
      <c r="D39" t="s">
        <v>23</v>
      </c>
      <c r="E39" t="s">
        <v>0</v>
      </c>
      <c r="F39" t="s">
        <v>56</v>
      </c>
      <c r="G39" t="s">
        <v>0</v>
      </c>
      <c r="H39">
        <v>4.5579999999999998</v>
      </c>
      <c r="I39" t="s">
        <v>461</v>
      </c>
      <c r="J39" t="s">
        <v>174</v>
      </c>
      <c r="K39">
        <v>104900718</v>
      </c>
      <c r="L39" s="2">
        <v>42673</v>
      </c>
      <c r="M39">
        <v>17</v>
      </c>
      <c r="N39">
        <v>1</v>
      </c>
      <c r="O39">
        <v>0</v>
      </c>
      <c r="P39">
        <v>5</v>
      </c>
      <c r="Q39" t="s">
        <v>21</v>
      </c>
      <c r="R39" t="str">
        <f>IF(M39=17,"animal","")</f>
        <v>animal</v>
      </c>
    </row>
    <row r="40" spans="1:18" x14ac:dyDescent="0.55000000000000004">
      <c r="A40">
        <v>0</v>
      </c>
      <c r="B40" t="s">
        <v>0</v>
      </c>
      <c r="C40">
        <v>3.7999999999999999E-2</v>
      </c>
      <c r="D40" t="s">
        <v>18</v>
      </c>
      <c r="E40" t="s">
        <v>2</v>
      </c>
      <c r="F40" t="s">
        <v>62</v>
      </c>
      <c r="G40" t="s">
        <v>0</v>
      </c>
      <c r="H40">
        <v>4.5629999999999997</v>
      </c>
      <c r="I40" t="s">
        <v>461</v>
      </c>
      <c r="K40">
        <v>105980684</v>
      </c>
      <c r="L40" s="2">
        <v>43712</v>
      </c>
      <c r="M40">
        <v>21</v>
      </c>
      <c r="N40">
        <v>1</v>
      </c>
      <c r="O40">
        <v>0</v>
      </c>
      <c r="P40">
        <v>1</v>
      </c>
      <c r="Q40" t="s">
        <v>15</v>
      </c>
      <c r="R40" t="str">
        <f>IF(M40=17,"animal","")</f>
        <v/>
      </c>
    </row>
    <row r="41" spans="1:18" x14ac:dyDescent="0.55000000000000004">
      <c r="A41">
        <v>0</v>
      </c>
      <c r="B41" t="s">
        <v>0</v>
      </c>
      <c r="C41">
        <v>0.5</v>
      </c>
      <c r="D41" t="s">
        <v>18</v>
      </c>
      <c r="E41" t="s">
        <v>1</v>
      </c>
      <c r="F41" t="s">
        <v>2</v>
      </c>
      <c r="G41" t="s">
        <v>0</v>
      </c>
      <c r="H41">
        <v>4.63</v>
      </c>
      <c r="I41" t="s">
        <v>461</v>
      </c>
      <c r="J41" t="s">
        <v>174</v>
      </c>
      <c r="K41">
        <v>105686495</v>
      </c>
      <c r="L41" s="2">
        <v>43427</v>
      </c>
      <c r="M41">
        <v>17</v>
      </c>
      <c r="N41">
        <v>1</v>
      </c>
      <c r="O41">
        <v>0</v>
      </c>
      <c r="P41">
        <v>5</v>
      </c>
      <c r="Q41" t="s">
        <v>21</v>
      </c>
      <c r="R41" t="str">
        <f>IF(M41=17,"animal","")</f>
        <v>animal</v>
      </c>
    </row>
    <row r="42" spans="1:18" x14ac:dyDescent="0.55000000000000004">
      <c r="A42">
        <v>0</v>
      </c>
      <c r="B42" t="s">
        <v>0</v>
      </c>
      <c r="C42">
        <v>5.7000000000000002E-2</v>
      </c>
      <c r="D42" t="s">
        <v>68</v>
      </c>
      <c r="E42" t="s">
        <v>2</v>
      </c>
      <c r="F42" t="s">
        <v>1</v>
      </c>
      <c r="G42" t="s">
        <v>0</v>
      </c>
      <c r="H42">
        <v>4.6580000000000004</v>
      </c>
      <c r="I42" t="s">
        <v>461</v>
      </c>
      <c r="K42">
        <v>105096805</v>
      </c>
      <c r="L42" s="2">
        <v>42866</v>
      </c>
      <c r="M42">
        <v>21</v>
      </c>
      <c r="N42">
        <v>1</v>
      </c>
      <c r="O42">
        <v>0</v>
      </c>
      <c r="P42">
        <v>1</v>
      </c>
      <c r="Q42" t="s">
        <v>21</v>
      </c>
      <c r="R42" t="str">
        <f>IF(M42=17,"animal","")</f>
        <v/>
      </c>
    </row>
    <row r="43" spans="1:18" x14ac:dyDescent="0.55000000000000004">
      <c r="A43">
        <v>0</v>
      </c>
      <c r="B43" t="s">
        <v>0</v>
      </c>
      <c r="C43">
        <v>5.7000000000000002E-2</v>
      </c>
      <c r="D43" t="s">
        <v>68</v>
      </c>
      <c r="E43" t="s">
        <v>2</v>
      </c>
      <c r="F43" t="s">
        <v>208</v>
      </c>
      <c r="G43" t="s">
        <v>0</v>
      </c>
      <c r="H43">
        <v>4.6580000000000004</v>
      </c>
      <c r="I43" t="s">
        <v>461</v>
      </c>
      <c r="K43">
        <v>105454582</v>
      </c>
      <c r="L43" s="2">
        <v>43212</v>
      </c>
      <c r="M43">
        <v>21</v>
      </c>
      <c r="N43">
        <v>1</v>
      </c>
      <c r="O43">
        <v>0</v>
      </c>
      <c r="P43">
        <v>1</v>
      </c>
      <c r="Q43" t="s">
        <v>45</v>
      </c>
      <c r="R43" t="str">
        <f>IF(M43=17,"animal","")</f>
        <v/>
      </c>
    </row>
    <row r="44" spans="1:18" x14ac:dyDescent="0.55000000000000004">
      <c r="A44">
        <v>0</v>
      </c>
      <c r="B44" t="s">
        <v>0</v>
      </c>
      <c r="C44">
        <v>0.1</v>
      </c>
      <c r="D44" t="s">
        <v>68</v>
      </c>
      <c r="E44" t="s">
        <v>2</v>
      </c>
      <c r="F44" t="s">
        <v>1</v>
      </c>
      <c r="G44" t="s">
        <v>0</v>
      </c>
      <c r="H44">
        <v>4.7009999999999996</v>
      </c>
      <c r="I44" t="s">
        <v>461</v>
      </c>
      <c r="K44">
        <v>106284846</v>
      </c>
      <c r="L44" s="2">
        <v>44028</v>
      </c>
      <c r="M44">
        <v>14</v>
      </c>
      <c r="N44">
        <v>1</v>
      </c>
      <c r="O44">
        <v>0</v>
      </c>
      <c r="P44">
        <v>5</v>
      </c>
      <c r="Q44" t="s">
        <v>45</v>
      </c>
      <c r="R44" t="str">
        <f>IF(M44=17,"animal","")</f>
        <v/>
      </c>
    </row>
    <row r="45" spans="1:18" x14ac:dyDescent="0.55000000000000004">
      <c r="A45">
        <v>0</v>
      </c>
      <c r="B45" t="s">
        <v>0</v>
      </c>
      <c r="C45">
        <v>0.1</v>
      </c>
      <c r="D45" t="s">
        <v>68</v>
      </c>
      <c r="E45" t="s">
        <v>2</v>
      </c>
      <c r="F45" t="s">
        <v>208</v>
      </c>
      <c r="G45" t="s">
        <v>0</v>
      </c>
      <c r="H45">
        <v>4.7009999999999996</v>
      </c>
      <c r="I45" t="s">
        <v>461</v>
      </c>
      <c r="K45">
        <v>106029936</v>
      </c>
      <c r="L45" s="2">
        <v>43755</v>
      </c>
      <c r="M45">
        <v>21</v>
      </c>
      <c r="N45">
        <v>1</v>
      </c>
      <c r="O45">
        <v>0</v>
      </c>
      <c r="P45">
        <v>1</v>
      </c>
      <c r="Q45" t="s">
        <v>15</v>
      </c>
      <c r="R45" t="str">
        <f>IF(M45=17,"animal","")</f>
        <v/>
      </c>
    </row>
    <row r="46" spans="1:18" x14ac:dyDescent="0.55000000000000004">
      <c r="A46">
        <v>0</v>
      </c>
      <c r="B46" t="s">
        <v>0</v>
      </c>
      <c r="C46">
        <v>0.1</v>
      </c>
      <c r="D46" t="s">
        <v>68</v>
      </c>
      <c r="E46" t="s">
        <v>2</v>
      </c>
      <c r="F46" t="s">
        <v>208</v>
      </c>
      <c r="G46" t="s">
        <v>0</v>
      </c>
      <c r="H46">
        <v>4.7009999999999996</v>
      </c>
      <c r="I46" t="s">
        <v>461</v>
      </c>
      <c r="K46">
        <v>105403429</v>
      </c>
      <c r="L46" s="2">
        <v>43158</v>
      </c>
      <c r="M46">
        <v>27</v>
      </c>
      <c r="N46">
        <v>1</v>
      </c>
      <c r="O46">
        <v>0</v>
      </c>
      <c r="P46">
        <v>5</v>
      </c>
      <c r="Q46" t="s">
        <v>190</v>
      </c>
      <c r="R46" t="str">
        <f>IF(M46=17,"animal","")</f>
        <v/>
      </c>
    </row>
    <row r="47" spans="1:18" x14ac:dyDescent="0.55000000000000004">
      <c r="A47">
        <v>0</v>
      </c>
      <c r="B47" t="s">
        <v>0</v>
      </c>
      <c r="C47">
        <v>0.2</v>
      </c>
      <c r="D47" t="s">
        <v>18</v>
      </c>
      <c r="E47" t="s">
        <v>208</v>
      </c>
      <c r="F47" t="s">
        <v>2</v>
      </c>
      <c r="G47" t="s">
        <v>0</v>
      </c>
      <c r="H47">
        <v>4.7039999999999997</v>
      </c>
      <c r="I47" t="s">
        <v>461</v>
      </c>
      <c r="K47">
        <v>106234323</v>
      </c>
      <c r="L47" s="2">
        <v>43976</v>
      </c>
      <c r="M47">
        <v>17</v>
      </c>
      <c r="N47">
        <v>1</v>
      </c>
      <c r="O47">
        <v>0</v>
      </c>
      <c r="P47">
        <v>1</v>
      </c>
      <c r="Q47" t="s">
        <v>21</v>
      </c>
      <c r="R47" t="str">
        <f>IF(M47=17,"animal","")</f>
        <v>animal</v>
      </c>
    </row>
    <row r="48" spans="1:18" x14ac:dyDescent="0.55000000000000004">
      <c r="A48">
        <v>0</v>
      </c>
      <c r="B48" t="s">
        <v>0</v>
      </c>
      <c r="C48">
        <v>0.2</v>
      </c>
      <c r="D48" t="s">
        <v>68</v>
      </c>
      <c r="E48" t="s">
        <v>2</v>
      </c>
      <c r="F48" t="s">
        <v>1</v>
      </c>
      <c r="G48" t="s">
        <v>0</v>
      </c>
      <c r="H48">
        <v>4.8010000000000002</v>
      </c>
      <c r="I48" t="s">
        <v>461</v>
      </c>
      <c r="K48">
        <v>106065068</v>
      </c>
      <c r="L48" s="2">
        <v>43787</v>
      </c>
      <c r="M48">
        <v>17</v>
      </c>
      <c r="N48">
        <v>2</v>
      </c>
      <c r="O48">
        <v>0</v>
      </c>
      <c r="P48">
        <v>1</v>
      </c>
      <c r="Q48" t="s">
        <v>21</v>
      </c>
      <c r="R48" t="str">
        <f>IF(M48=17,"animal","")</f>
        <v>animal</v>
      </c>
    </row>
    <row r="49" spans="1:18" x14ac:dyDescent="0.55000000000000004">
      <c r="A49">
        <v>0</v>
      </c>
      <c r="B49" t="s">
        <v>0</v>
      </c>
      <c r="C49">
        <v>0.2</v>
      </c>
      <c r="D49" t="s">
        <v>68</v>
      </c>
      <c r="E49" t="s">
        <v>2</v>
      </c>
      <c r="F49" t="s">
        <v>1</v>
      </c>
      <c r="G49" t="s">
        <v>0</v>
      </c>
      <c r="H49">
        <v>4.8010000000000002</v>
      </c>
      <c r="I49" t="s">
        <v>461</v>
      </c>
      <c r="K49">
        <v>106041041</v>
      </c>
      <c r="L49" s="2">
        <v>43766</v>
      </c>
      <c r="M49">
        <v>21</v>
      </c>
      <c r="N49">
        <v>1</v>
      </c>
      <c r="O49">
        <v>0</v>
      </c>
      <c r="P49">
        <v>5</v>
      </c>
      <c r="Q49" t="s">
        <v>21</v>
      </c>
      <c r="R49" t="str">
        <f>IF(M49=17,"animal","")</f>
        <v/>
      </c>
    </row>
    <row r="50" spans="1:18" x14ac:dyDescent="0.55000000000000004">
      <c r="A50">
        <v>0</v>
      </c>
      <c r="B50" t="s">
        <v>0</v>
      </c>
      <c r="C50">
        <v>0.1</v>
      </c>
      <c r="D50" t="s">
        <v>18</v>
      </c>
      <c r="E50" t="s">
        <v>208</v>
      </c>
      <c r="F50" t="s">
        <v>2</v>
      </c>
      <c r="G50" t="s">
        <v>0</v>
      </c>
      <c r="H50">
        <v>4.8040000000000003</v>
      </c>
      <c r="I50" t="s">
        <v>461</v>
      </c>
      <c r="K50">
        <v>105623379</v>
      </c>
      <c r="L50" s="2">
        <v>43371</v>
      </c>
      <c r="M50">
        <v>19</v>
      </c>
      <c r="N50">
        <v>1</v>
      </c>
      <c r="O50">
        <v>5</v>
      </c>
      <c r="P50">
        <v>1</v>
      </c>
      <c r="Q50" t="s">
        <v>21</v>
      </c>
      <c r="R50" t="str">
        <f>IF(M50=17,"animal","")</f>
        <v/>
      </c>
    </row>
    <row r="51" spans="1:18" x14ac:dyDescent="0.55000000000000004">
      <c r="A51">
        <v>0</v>
      </c>
      <c r="B51" t="s">
        <v>0</v>
      </c>
      <c r="C51">
        <v>0.3</v>
      </c>
      <c r="D51" t="s">
        <v>18</v>
      </c>
      <c r="E51" t="s">
        <v>1</v>
      </c>
      <c r="F51" t="s">
        <v>2</v>
      </c>
      <c r="G51" t="s">
        <v>0</v>
      </c>
      <c r="H51">
        <v>4.83</v>
      </c>
      <c r="I51" t="s">
        <v>461</v>
      </c>
      <c r="J51" t="s">
        <v>174</v>
      </c>
      <c r="K51">
        <v>105520552</v>
      </c>
      <c r="L51" s="2">
        <v>43273</v>
      </c>
      <c r="M51">
        <v>24</v>
      </c>
      <c r="N51">
        <v>1</v>
      </c>
      <c r="O51">
        <v>0</v>
      </c>
      <c r="P51">
        <v>1</v>
      </c>
      <c r="Q51" t="s">
        <v>21</v>
      </c>
      <c r="R51" t="str">
        <f>IF(M51=17,"animal","")</f>
        <v/>
      </c>
    </row>
    <row r="52" spans="1:18" x14ac:dyDescent="0.55000000000000004">
      <c r="A52">
        <v>0</v>
      </c>
      <c r="B52" t="s">
        <v>0</v>
      </c>
      <c r="C52">
        <v>0.3</v>
      </c>
      <c r="D52" t="s">
        <v>18</v>
      </c>
      <c r="E52" t="s">
        <v>1</v>
      </c>
      <c r="F52" t="s">
        <v>2</v>
      </c>
      <c r="G52" t="s">
        <v>0</v>
      </c>
      <c r="H52">
        <v>4.83</v>
      </c>
      <c r="I52" t="s">
        <v>461</v>
      </c>
      <c r="J52" t="s">
        <v>174</v>
      </c>
      <c r="K52">
        <v>105284007</v>
      </c>
      <c r="L52" s="2">
        <v>43047</v>
      </c>
      <c r="M52">
        <v>21</v>
      </c>
      <c r="N52">
        <v>2</v>
      </c>
      <c r="O52">
        <v>0</v>
      </c>
      <c r="P52">
        <v>1</v>
      </c>
      <c r="Q52" t="s">
        <v>21</v>
      </c>
      <c r="R52" t="str">
        <f>IF(M52=17,"animal","")</f>
        <v/>
      </c>
    </row>
    <row r="53" spans="1:18" x14ac:dyDescent="0.55000000000000004">
      <c r="A53">
        <v>0</v>
      </c>
      <c r="B53" t="s">
        <v>1</v>
      </c>
      <c r="C53">
        <v>6.6000000000000003E-2</v>
      </c>
      <c r="D53" t="s">
        <v>18</v>
      </c>
      <c r="E53" t="s">
        <v>209</v>
      </c>
      <c r="F53" t="s">
        <v>2</v>
      </c>
      <c r="G53" t="s">
        <v>0</v>
      </c>
      <c r="H53">
        <v>4.8380000000000001</v>
      </c>
      <c r="I53" t="s">
        <v>461</v>
      </c>
      <c r="K53">
        <v>105755156</v>
      </c>
      <c r="L53" s="2">
        <v>43490</v>
      </c>
      <c r="M53">
        <v>21</v>
      </c>
      <c r="N53">
        <v>1</v>
      </c>
      <c r="O53">
        <v>0</v>
      </c>
      <c r="P53">
        <v>1</v>
      </c>
      <c r="Q53" t="s">
        <v>21</v>
      </c>
      <c r="R53" t="str">
        <f>IF(M53=17,"animal","")</f>
        <v/>
      </c>
    </row>
    <row r="54" spans="1:18" x14ac:dyDescent="0.55000000000000004">
      <c r="A54">
        <v>0</v>
      </c>
      <c r="B54" t="s">
        <v>0</v>
      </c>
      <c r="C54">
        <v>1.9E-2</v>
      </c>
      <c r="D54" t="s">
        <v>18</v>
      </c>
      <c r="E54" t="s">
        <v>208</v>
      </c>
      <c r="F54" t="s">
        <v>2</v>
      </c>
      <c r="G54" t="s">
        <v>0</v>
      </c>
      <c r="H54">
        <v>4.8849999999999998</v>
      </c>
      <c r="I54" t="s">
        <v>461</v>
      </c>
      <c r="K54">
        <v>106669314</v>
      </c>
      <c r="L54" s="2">
        <v>44432</v>
      </c>
      <c r="M54">
        <v>19</v>
      </c>
      <c r="N54">
        <v>1</v>
      </c>
      <c r="O54">
        <v>0</v>
      </c>
      <c r="P54">
        <v>5</v>
      </c>
      <c r="Q54" t="s">
        <v>15</v>
      </c>
      <c r="R54" t="str">
        <f>IF(M54=17,"animal","")</f>
        <v/>
      </c>
    </row>
    <row r="55" spans="1:18" x14ac:dyDescent="0.55000000000000004">
      <c r="A55">
        <v>0</v>
      </c>
      <c r="B55" t="s">
        <v>0</v>
      </c>
      <c r="C55">
        <v>0.3</v>
      </c>
      <c r="D55" t="s">
        <v>68</v>
      </c>
      <c r="E55" t="s">
        <v>2</v>
      </c>
      <c r="F55" t="s">
        <v>209</v>
      </c>
      <c r="G55" t="s">
        <v>0</v>
      </c>
      <c r="H55">
        <v>4.9009999999999998</v>
      </c>
      <c r="I55" t="s">
        <v>461</v>
      </c>
      <c r="K55">
        <v>105394895</v>
      </c>
      <c r="L55" s="2">
        <v>43157</v>
      </c>
      <c r="M55">
        <v>19</v>
      </c>
      <c r="N55">
        <v>1</v>
      </c>
      <c r="O55">
        <v>0</v>
      </c>
      <c r="P55">
        <v>1</v>
      </c>
      <c r="R55" t="str">
        <f>IF(M55=17,"animal","")</f>
        <v/>
      </c>
    </row>
    <row r="56" spans="1:18" x14ac:dyDescent="0.55000000000000004">
      <c r="A56">
        <v>0</v>
      </c>
      <c r="B56" t="s">
        <v>0</v>
      </c>
      <c r="C56">
        <v>3.0000000000000001E-3</v>
      </c>
      <c r="D56" t="s">
        <v>18</v>
      </c>
      <c r="E56" t="s">
        <v>208</v>
      </c>
      <c r="F56" t="s">
        <v>2</v>
      </c>
      <c r="G56" t="s">
        <v>0</v>
      </c>
      <c r="H56">
        <v>4.9009999999999998</v>
      </c>
      <c r="I56" t="s">
        <v>461</v>
      </c>
      <c r="K56">
        <v>106441027</v>
      </c>
      <c r="L56" s="2">
        <v>44183</v>
      </c>
      <c r="M56">
        <v>19</v>
      </c>
      <c r="N56">
        <v>1</v>
      </c>
      <c r="O56">
        <v>0</v>
      </c>
      <c r="P56">
        <v>5</v>
      </c>
      <c r="Q56" t="s">
        <v>21</v>
      </c>
      <c r="R56" t="str">
        <f>IF(M56=17,"animal","")</f>
        <v/>
      </c>
    </row>
    <row r="57" spans="1:18" x14ac:dyDescent="0.55000000000000004">
      <c r="A57">
        <v>0</v>
      </c>
      <c r="B57" t="s">
        <v>1</v>
      </c>
      <c r="C57">
        <v>0.2</v>
      </c>
      <c r="D57" t="s">
        <v>18</v>
      </c>
      <c r="E57" t="s">
        <v>0</v>
      </c>
      <c r="F57" t="s">
        <v>2</v>
      </c>
      <c r="G57" t="s">
        <v>0</v>
      </c>
      <c r="H57">
        <v>4.93</v>
      </c>
      <c r="I57" t="s">
        <v>461</v>
      </c>
      <c r="J57" t="s">
        <v>174</v>
      </c>
      <c r="K57">
        <v>104926204</v>
      </c>
      <c r="L57" s="2">
        <v>42699</v>
      </c>
      <c r="M57">
        <v>21</v>
      </c>
      <c r="N57">
        <v>1</v>
      </c>
      <c r="O57">
        <v>0</v>
      </c>
      <c r="P57">
        <v>1</v>
      </c>
      <c r="Q57" t="s">
        <v>15</v>
      </c>
      <c r="R57" t="str">
        <f>IF(M57=17,"animal","")</f>
        <v/>
      </c>
    </row>
    <row r="58" spans="1:18" x14ac:dyDescent="0.55000000000000004">
      <c r="A58">
        <v>0</v>
      </c>
      <c r="B58" t="s">
        <v>0</v>
      </c>
      <c r="C58">
        <v>0.2</v>
      </c>
      <c r="D58" t="s">
        <v>18</v>
      </c>
      <c r="E58" t="s">
        <v>1</v>
      </c>
      <c r="F58" t="s">
        <v>2</v>
      </c>
      <c r="G58" t="s">
        <v>0</v>
      </c>
      <c r="H58">
        <v>4.93</v>
      </c>
      <c r="I58" t="s">
        <v>461</v>
      </c>
      <c r="J58" t="s">
        <v>174</v>
      </c>
      <c r="K58">
        <v>104938727</v>
      </c>
      <c r="L58" s="2">
        <v>42710</v>
      </c>
      <c r="M58">
        <v>21</v>
      </c>
      <c r="N58">
        <v>1</v>
      </c>
      <c r="O58">
        <v>0</v>
      </c>
      <c r="P58">
        <v>5</v>
      </c>
      <c r="Q58" t="s">
        <v>15</v>
      </c>
      <c r="R58" t="str">
        <f>IF(M58=17,"animal","")</f>
        <v/>
      </c>
    </row>
    <row r="59" spans="1:18" x14ac:dyDescent="0.55000000000000004">
      <c r="A59">
        <v>0</v>
      </c>
      <c r="B59" t="s">
        <v>0</v>
      </c>
      <c r="C59">
        <v>0.1</v>
      </c>
      <c r="D59" t="s">
        <v>18</v>
      </c>
      <c r="E59" t="s">
        <v>1</v>
      </c>
      <c r="F59" t="s">
        <v>2</v>
      </c>
      <c r="G59" t="s">
        <v>0</v>
      </c>
      <c r="H59">
        <v>5.03</v>
      </c>
      <c r="I59" t="s">
        <v>461</v>
      </c>
      <c r="J59" t="s">
        <v>174</v>
      </c>
      <c r="K59">
        <v>105722111</v>
      </c>
      <c r="L59" s="2">
        <v>43458</v>
      </c>
      <c r="M59">
        <v>21</v>
      </c>
      <c r="N59">
        <v>1</v>
      </c>
      <c r="O59">
        <v>0</v>
      </c>
      <c r="P59">
        <v>1</v>
      </c>
      <c r="Q59" t="s">
        <v>21</v>
      </c>
      <c r="R59" t="str">
        <f>IF(M59=17,"animal","")</f>
        <v/>
      </c>
    </row>
    <row r="60" spans="1:18" x14ac:dyDescent="0.55000000000000004">
      <c r="A60">
        <v>0</v>
      </c>
      <c r="B60" t="s">
        <v>0</v>
      </c>
      <c r="C60">
        <v>0.1</v>
      </c>
      <c r="D60" t="s">
        <v>18</v>
      </c>
      <c r="E60" t="s">
        <v>1</v>
      </c>
      <c r="F60" t="s">
        <v>2</v>
      </c>
      <c r="G60" t="s">
        <v>0</v>
      </c>
      <c r="H60">
        <v>5.03</v>
      </c>
      <c r="I60" t="s">
        <v>461</v>
      </c>
      <c r="J60" t="s">
        <v>174</v>
      </c>
      <c r="K60">
        <v>105115703</v>
      </c>
      <c r="L60" s="2">
        <v>42881</v>
      </c>
      <c r="M60">
        <v>21</v>
      </c>
      <c r="N60">
        <v>1</v>
      </c>
      <c r="O60">
        <v>0</v>
      </c>
      <c r="P60">
        <v>1</v>
      </c>
      <c r="Q60" t="s">
        <v>15</v>
      </c>
      <c r="R60" t="str">
        <f>IF(M60=17,"animal","")</f>
        <v/>
      </c>
    </row>
    <row r="61" spans="1:18" x14ac:dyDescent="0.55000000000000004">
      <c r="A61">
        <v>0</v>
      </c>
      <c r="B61" t="s">
        <v>1</v>
      </c>
      <c r="C61">
        <v>4.7E-2</v>
      </c>
      <c r="D61" t="s">
        <v>18</v>
      </c>
      <c r="E61" t="s">
        <v>0</v>
      </c>
      <c r="F61" t="s">
        <v>2</v>
      </c>
      <c r="G61" t="s">
        <v>0</v>
      </c>
      <c r="H61">
        <v>5.0830000000000002</v>
      </c>
      <c r="I61" t="s">
        <v>461</v>
      </c>
      <c r="J61" t="s">
        <v>174</v>
      </c>
      <c r="K61">
        <v>104954122</v>
      </c>
      <c r="L61" s="2">
        <v>42722</v>
      </c>
      <c r="M61">
        <v>21</v>
      </c>
      <c r="N61">
        <v>1</v>
      </c>
      <c r="O61">
        <v>0</v>
      </c>
      <c r="P61">
        <v>1</v>
      </c>
      <c r="Q61" t="s">
        <v>21</v>
      </c>
      <c r="R61" t="str">
        <f>IF(M61=17,"animal","")</f>
        <v/>
      </c>
    </row>
    <row r="62" spans="1:18" x14ac:dyDescent="0.55000000000000004">
      <c r="A62">
        <v>0</v>
      </c>
      <c r="B62" t="s">
        <v>0</v>
      </c>
      <c r="C62">
        <v>0.5</v>
      </c>
      <c r="D62" t="s">
        <v>68</v>
      </c>
      <c r="E62" t="s">
        <v>2</v>
      </c>
      <c r="F62" t="s">
        <v>1</v>
      </c>
      <c r="G62" t="s">
        <v>0</v>
      </c>
      <c r="H62">
        <v>5.101</v>
      </c>
      <c r="I62" t="s">
        <v>461</v>
      </c>
      <c r="K62">
        <v>106338237</v>
      </c>
      <c r="L62" s="2">
        <v>44089</v>
      </c>
      <c r="M62">
        <v>21</v>
      </c>
      <c r="N62">
        <v>1</v>
      </c>
      <c r="O62">
        <v>0</v>
      </c>
      <c r="P62">
        <v>1</v>
      </c>
      <c r="Q62" t="s">
        <v>21</v>
      </c>
      <c r="R62" t="str">
        <f>IF(M62=17,"animal","")</f>
        <v/>
      </c>
    </row>
    <row r="63" spans="1:18" x14ac:dyDescent="0.55000000000000004">
      <c r="A63">
        <v>0</v>
      </c>
      <c r="B63" t="s">
        <v>0</v>
      </c>
      <c r="C63">
        <v>2.1000000000000001E-2</v>
      </c>
      <c r="D63" t="s">
        <v>18</v>
      </c>
      <c r="E63" t="s">
        <v>1</v>
      </c>
      <c r="F63" t="s">
        <v>2</v>
      </c>
      <c r="G63" t="s">
        <v>0</v>
      </c>
      <c r="H63">
        <v>5.109</v>
      </c>
      <c r="I63" t="s">
        <v>461</v>
      </c>
      <c r="J63" t="s">
        <v>174</v>
      </c>
      <c r="K63">
        <v>106239189</v>
      </c>
      <c r="L63" s="2">
        <v>43978</v>
      </c>
      <c r="M63">
        <v>23</v>
      </c>
      <c r="N63">
        <v>2</v>
      </c>
      <c r="O63">
        <v>0</v>
      </c>
      <c r="P63">
        <v>1</v>
      </c>
      <c r="Q63" t="s">
        <v>15</v>
      </c>
      <c r="R63" t="str">
        <f>IF(M63=17,"animal","")</f>
        <v/>
      </c>
    </row>
    <row r="64" spans="1:18" x14ac:dyDescent="0.55000000000000004">
      <c r="A64">
        <v>0</v>
      </c>
      <c r="B64" t="s">
        <v>0</v>
      </c>
      <c r="C64">
        <v>1.9E-2</v>
      </c>
      <c r="D64" t="s">
        <v>18</v>
      </c>
      <c r="E64" t="s">
        <v>1</v>
      </c>
      <c r="F64" t="s">
        <v>2</v>
      </c>
      <c r="G64" t="s">
        <v>0</v>
      </c>
      <c r="H64">
        <v>5.1109999999999998</v>
      </c>
      <c r="I64" t="s">
        <v>461</v>
      </c>
      <c r="J64" t="s">
        <v>174</v>
      </c>
      <c r="K64">
        <v>104979318</v>
      </c>
      <c r="L64" s="2">
        <v>42746</v>
      </c>
      <c r="M64">
        <v>27</v>
      </c>
      <c r="N64">
        <v>1</v>
      </c>
      <c r="O64">
        <v>0</v>
      </c>
      <c r="P64">
        <v>5</v>
      </c>
      <c r="Q64" t="s">
        <v>45</v>
      </c>
      <c r="R64" t="str">
        <f>IF(M64=17,"animal","")</f>
        <v/>
      </c>
    </row>
    <row r="65" spans="1:18" x14ac:dyDescent="0.55000000000000004">
      <c r="A65">
        <v>0</v>
      </c>
      <c r="B65" t="s">
        <v>0</v>
      </c>
      <c r="C65">
        <v>1.4999999999999999E-2</v>
      </c>
      <c r="D65" t="s">
        <v>18</v>
      </c>
      <c r="E65" t="s">
        <v>1</v>
      </c>
      <c r="F65" t="s">
        <v>2</v>
      </c>
      <c r="G65" t="s">
        <v>0</v>
      </c>
      <c r="H65">
        <v>5.1150000000000002</v>
      </c>
      <c r="I65" t="s">
        <v>461</v>
      </c>
      <c r="J65" t="s">
        <v>174</v>
      </c>
      <c r="K65">
        <v>106654034</v>
      </c>
      <c r="L65" s="2">
        <v>44414</v>
      </c>
      <c r="M65">
        <v>21</v>
      </c>
      <c r="N65">
        <v>1</v>
      </c>
      <c r="O65">
        <v>0</v>
      </c>
      <c r="P65">
        <v>5</v>
      </c>
      <c r="Q65" t="s">
        <v>15</v>
      </c>
      <c r="R65" t="str">
        <f>IF(M65=17,"animal","")</f>
        <v/>
      </c>
    </row>
    <row r="66" spans="1:18" x14ac:dyDescent="0.55000000000000004">
      <c r="A66">
        <v>0</v>
      </c>
      <c r="B66" t="s">
        <v>1</v>
      </c>
      <c r="C66">
        <v>0.01</v>
      </c>
      <c r="D66" t="s">
        <v>18</v>
      </c>
      <c r="E66" t="s">
        <v>0</v>
      </c>
      <c r="F66" t="s">
        <v>2</v>
      </c>
      <c r="G66" t="s">
        <v>0</v>
      </c>
      <c r="H66">
        <v>5.12</v>
      </c>
      <c r="I66" t="s">
        <v>461</v>
      </c>
      <c r="J66" t="s">
        <v>174</v>
      </c>
      <c r="K66">
        <v>104896983</v>
      </c>
      <c r="L66" s="2">
        <v>42670</v>
      </c>
      <c r="M66">
        <v>21</v>
      </c>
      <c r="N66">
        <v>1</v>
      </c>
      <c r="O66">
        <v>5</v>
      </c>
      <c r="P66">
        <v>1</v>
      </c>
      <c r="Q66" t="s">
        <v>21</v>
      </c>
      <c r="R66" t="str">
        <f>IF(M66=17,"animal","")</f>
        <v/>
      </c>
    </row>
    <row r="67" spans="1:18" x14ac:dyDescent="0.55000000000000004">
      <c r="A67">
        <v>0</v>
      </c>
      <c r="B67" t="s">
        <v>1</v>
      </c>
      <c r="C67">
        <v>0</v>
      </c>
      <c r="E67" t="s">
        <v>0</v>
      </c>
      <c r="F67" t="s">
        <v>2</v>
      </c>
      <c r="G67" t="s">
        <v>0</v>
      </c>
      <c r="H67">
        <v>5.13</v>
      </c>
      <c r="I67" t="s">
        <v>461</v>
      </c>
      <c r="J67" t="s">
        <v>174</v>
      </c>
      <c r="K67">
        <v>104891925</v>
      </c>
      <c r="L67" s="2">
        <v>42668</v>
      </c>
      <c r="M67">
        <v>24</v>
      </c>
      <c r="N67">
        <v>1</v>
      </c>
      <c r="O67">
        <v>9</v>
      </c>
      <c r="P67">
        <v>1</v>
      </c>
      <c r="Q67" t="s">
        <v>21</v>
      </c>
      <c r="R67" t="str">
        <f>IF(M67=17,"animal","")</f>
        <v/>
      </c>
    </row>
    <row r="68" spans="1:18" x14ac:dyDescent="0.55000000000000004">
      <c r="A68">
        <v>0</v>
      </c>
      <c r="B68" t="s">
        <v>1</v>
      </c>
      <c r="C68">
        <v>0</v>
      </c>
      <c r="E68" t="s">
        <v>0</v>
      </c>
      <c r="F68" t="s">
        <v>2</v>
      </c>
      <c r="G68" t="s">
        <v>0</v>
      </c>
      <c r="H68">
        <v>5.13</v>
      </c>
      <c r="I68" t="s">
        <v>461</v>
      </c>
      <c r="J68" t="s">
        <v>174</v>
      </c>
      <c r="K68">
        <v>106222537</v>
      </c>
      <c r="L68" s="2">
        <v>43960</v>
      </c>
      <c r="M68">
        <v>23</v>
      </c>
      <c r="N68">
        <v>1</v>
      </c>
      <c r="O68">
        <v>8</v>
      </c>
      <c r="P68">
        <v>1</v>
      </c>
      <c r="Q68" t="s">
        <v>15</v>
      </c>
      <c r="R68" t="str">
        <f>IF(M68=17,"animal","")</f>
        <v/>
      </c>
    </row>
    <row r="69" spans="1:18" x14ac:dyDescent="0.55000000000000004">
      <c r="A69">
        <v>0</v>
      </c>
      <c r="B69" t="s">
        <v>1</v>
      </c>
      <c r="C69">
        <v>0</v>
      </c>
      <c r="E69" t="s">
        <v>0</v>
      </c>
      <c r="F69" t="s">
        <v>2</v>
      </c>
      <c r="G69" t="s">
        <v>0</v>
      </c>
      <c r="H69">
        <v>5.13</v>
      </c>
      <c r="I69" t="s">
        <v>461</v>
      </c>
      <c r="J69" t="s">
        <v>174</v>
      </c>
      <c r="K69">
        <v>105869215</v>
      </c>
      <c r="L69" s="2">
        <v>43604</v>
      </c>
      <c r="M69">
        <v>19</v>
      </c>
      <c r="N69">
        <v>1</v>
      </c>
      <c r="O69">
        <v>8</v>
      </c>
      <c r="P69">
        <v>1</v>
      </c>
      <c r="Q69" t="s">
        <v>15</v>
      </c>
      <c r="R69" t="str">
        <f>IF(M69=17,"animal","")</f>
        <v/>
      </c>
    </row>
    <row r="70" spans="1:18" x14ac:dyDescent="0.55000000000000004">
      <c r="A70">
        <v>0</v>
      </c>
      <c r="B70" t="s">
        <v>0</v>
      </c>
      <c r="C70">
        <v>0</v>
      </c>
      <c r="E70" t="s">
        <v>1</v>
      </c>
      <c r="F70" t="s">
        <v>2</v>
      </c>
      <c r="G70" t="s">
        <v>0</v>
      </c>
      <c r="H70">
        <v>5.13</v>
      </c>
      <c r="I70" t="s">
        <v>461</v>
      </c>
      <c r="J70" t="s">
        <v>174</v>
      </c>
      <c r="K70">
        <v>106055984</v>
      </c>
      <c r="L70" s="2">
        <v>43778</v>
      </c>
      <c r="M70">
        <v>21</v>
      </c>
      <c r="N70">
        <v>1</v>
      </c>
      <c r="O70">
        <v>8</v>
      </c>
      <c r="P70">
        <v>1</v>
      </c>
      <c r="Q70" t="s">
        <v>21</v>
      </c>
      <c r="R70" t="str">
        <f>IF(M70=17,"animal","")</f>
        <v/>
      </c>
    </row>
    <row r="71" spans="1:18" x14ac:dyDescent="0.55000000000000004">
      <c r="A71">
        <v>0</v>
      </c>
      <c r="B71" t="s">
        <v>0</v>
      </c>
      <c r="C71">
        <v>0</v>
      </c>
      <c r="E71" t="s">
        <v>1</v>
      </c>
      <c r="F71" t="s">
        <v>2</v>
      </c>
      <c r="G71" t="s">
        <v>0</v>
      </c>
      <c r="H71">
        <v>5.13</v>
      </c>
      <c r="I71" t="s">
        <v>461</v>
      </c>
      <c r="J71" t="s">
        <v>174</v>
      </c>
      <c r="K71">
        <v>105924760</v>
      </c>
      <c r="L71" s="2">
        <v>43659</v>
      </c>
      <c r="M71">
        <v>24</v>
      </c>
      <c r="N71">
        <v>2</v>
      </c>
      <c r="O71">
        <v>8</v>
      </c>
      <c r="P71">
        <v>1</v>
      </c>
      <c r="Q71" t="s">
        <v>45</v>
      </c>
      <c r="R71" t="str">
        <f>IF(M71=17,"animal","")</f>
        <v/>
      </c>
    </row>
    <row r="72" spans="1:18" x14ac:dyDescent="0.55000000000000004">
      <c r="A72">
        <v>0</v>
      </c>
      <c r="B72" t="s">
        <v>0</v>
      </c>
      <c r="C72">
        <v>0</v>
      </c>
      <c r="E72" t="s">
        <v>1</v>
      </c>
      <c r="F72" t="s">
        <v>2</v>
      </c>
      <c r="G72" t="s">
        <v>0</v>
      </c>
      <c r="H72">
        <v>5.13</v>
      </c>
      <c r="I72" t="s">
        <v>461</v>
      </c>
      <c r="J72" t="s">
        <v>174</v>
      </c>
      <c r="K72">
        <v>105394968</v>
      </c>
      <c r="L72" s="2">
        <v>43157</v>
      </c>
      <c r="M72">
        <v>19</v>
      </c>
      <c r="N72">
        <v>2</v>
      </c>
      <c r="O72">
        <v>8</v>
      </c>
      <c r="P72">
        <v>3</v>
      </c>
      <c r="Q72" t="s">
        <v>21</v>
      </c>
      <c r="R72" t="str">
        <f>IF(M72=17,"animal","")</f>
        <v/>
      </c>
    </row>
    <row r="73" spans="1:18" x14ac:dyDescent="0.55000000000000004">
      <c r="A73">
        <v>0</v>
      </c>
      <c r="B73" t="s">
        <v>0</v>
      </c>
      <c r="C73">
        <v>0</v>
      </c>
      <c r="E73" t="s">
        <v>1</v>
      </c>
      <c r="F73" t="s">
        <v>2</v>
      </c>
      <c r="G73" t="s">
        <v>0</v>
      </c>
      <c r="H73">
        <v>5.13</v>
      </c>
      <c r="I73" t="s">
        <v>461</v>
      </c>
      <c r="J73" t="s">
        <v>174</v>
      </c>
      <c r="K73">
        <v>105283969</v>
      </c>
      <c r="L73" s="2">
        <v>43047</v>
      </c>
      <c r="M73">
        <v>23</v>
      </c>
      <c r="N73">
        <v>1</v>
      </c>
      <c r="O73">
        <v>9</v>
      </c>
      <c r="P73">
        <v>1</v>
      </c>
      <c r="Q73" t="s">
        <v>15</v>
      </c>
      <c r="R73" t="str">
        <f>IF(M73=17,"animal","")</f>
        <v/>
      </c>
    </row>
    <row r="74" spans="1:18" x14ac:dyDescent="0.55000000000000004">
      <c r="A74">
        <v>0</v>
      </c>
      <c r="B74" t="s">
        <v>0</v>
      </c>
      <c r="C74">
        <v>0</v>
      </c>
      <c r="E74" t="s">
        <v>0</v>
      </c>
      <c r="F74" t="s">
        <v>2</v>
      </c>
      <c r="G74" t="s">
        <v>0</v>
      </c>
      <c r="H74">
        <v>999.99900000000002</v>
      </c>
      <c r="I74" t="s">
        <v>461</v>
      </c>
      <c r="K74">
        <v>105400940</v>
      </c>
      <c r="L74" s="2">
        <v>43161</v>
      </c>
      <c r="M74">
        <v>24</v>
      </c>
      <c r="N74">
        <v>1</v>
      </c>
      <c r="O74">
        <v>9</v>
      </c>
      <c r="P74">
        <v>1</v>
      </c>
      <c r="Q74" t="s">
        <v>21</v>
      </c>
      <c r="R74" t="str">
        <f>IF(M74=17,"animal","")</f>
        <v/>
      </c>
    </row>
    <row r="75" spans="1:18" x14ac:dyDescent="0.55000000000000004">
      <c r="A75">
        <v>0</v>
      </c>
      <c r="B75" t="s">
        <v>2</v>
      </c>
      <c r="C75">
        <v>0</v>
      </c>
      <c r="E75" t="s">
        <v>200</v>
      </c>
      <c r="F75" t="s">
        <v>0</v>
      </c>
      <c r="G75" t="s">
        <v>2</v>
      </c>
      <c r="H75">
        <v>2.919</v>
      </c>
      <c r="I75" t="s">
        <v>461</v>
      </c>
      <c r="K75">
        <v>106291349</v>
      </c>
      <c r="L75" s="2">
        <v>44040</v>
      </c>
      <c r="M75">
        <v>30</v>
      </c>
      <c r="N75">
        <v>1</v>
      </c>
      <c r="O75">
        <v>8</v>
      </c>
      <c r="P75">
        <v>1</v>
      </c>
      <c r="Q75" t="s">
        <v>21</v>
      </c>
      <c r="R75" t="str">
        <f>IF(M75=17,"animal","")</f>
        <v/>
      </c>
    </row>
    <row r="76" spans="1:18" x14ac:dyDescent="0.55000000000000004">
      <c r="A76">
        <v>0</v>
      </c>
      <c r="B76" t="s">
        <v>2</v>
      </c>
      <c r="C76">
        <v>0</v>
      </c>
      <c r="E76" t="s">
        <v>200</v>
      </c>
      <c r="F76" t="s">
        <v>0</v>
      </c>
      <c r="G76" t="s">
        <v>2</v>
      </c>
      <c r="H76">
        <v>2.919</v>
      </c>
      <c r="I76" t="s">
        <v>461</v>
      </c>
      <c r="K76">
        <v>105300157</v>
      </c>
      <c r="L76" s="2">
        <v>43063</v>
      </c>
      <c r="M76">
        <v>24</v>
      </c>
      <c r="N76">
        <v>1</v>
      </c>
      <c r="O76">
        <v>8</v>
      </c>
      <c r="P76">
        <v>5</v>
      </c>
      <c r="Q76" t="s">
        <v>21</v>
      </c>
      <c r="R76" t="str">
        <f>IF(M76=17,"animal","")</f>
        <v/>
      </c>
    </row>
    <row r="77" spans="1:18" x14ac:dyDescent="0.55000000000000004">
      <c r="A77">
        <v>0</v>
      </c>
      <c r="B77" t="s">
        <v>2</v>
      </c>
      <c r="C77">
        <v>0.1</v>
      </c>
      <c r="D77" t="s">
        <v>68</v>
      </c>
      <c r="E77" t="s">
        <v>270</v>
      </c>
      <c r="F77" t="s">
        <v>0</v>
      </c>
      <c r="G77" t="s">
        <v>2</v>
      </c>
      <c r="H77">
        <v>3.0190000000000001</v>
      </c>
      <c r="I77" t="s">
        <v>461</v>
      </c>
      <c r="K77">
        <v>104912499</v>
      </c>
      <c r="L77" s="2">
        <v>42685</v>
      </c>
      <c r="M77">
        <v>19</v>
      </c>
      <c r="N77">
        <v>1</v>
      </c>
      <c r="O77">
        <v>5</v>
      </c>
      <c r="P77">
        <v>5</v>
      </c>
      <c r="Q77" t="s">
        <v>190</v>
      </c>
      <c r="R77" t="str">
        <f>IF(M77=17,"animal","")</f>
        <v/>
      </c>
    </row>
    <row r="78" spans="1:18" x14ac:dyDescent="0.55000000000000004">
      <c r="A78">
        <v>0</v>
      </c>
      <c r="B78" t="s">
        <v>2</v>
      </c>
      <c r="C78">
        <v>0.5</v>
      </c>
      <c r="D78" t="s">
        <v>18</v>
      </c>
      <c r="E78" t="s">
        <v>0</v>
      </c>
      <c r="F78" t="s">
        <v>319</v>
      </c>
      <c r="G78" t="s">
        <v>2</v>
      </c>
      <c r="H78">
        <v>3.1440000000000001</v>
      </c>
      <c r="I78" t="s">
        <v>461</v>
      </c>
      <c r="K78">
        <v>104908811</v>
      </c>
      <c r="L78" s="2">
        <v>42683</v>
      </c>
      <c r="M78">
        <v>19</v>
      </c>
      <c r="N78">
        <v>1</v>
      </c>
      <c r="O78">
        <v>0</v>
      </c>
      <c r="P78">
        <v>1</v>
      </c>
      <c r="Q78" t="s">
        <v>21</v>
      </c>
      <c r="R78" t="str">
        <f>IF(M78=17,"animal","")</f>
        <v/>
      </c>
    </row>
    <row r="79" spans="1:18" x14ac:dyDescent="0.55000000000000004">
      <c r="A79">
        <v>0</v>
      </c>
      <c r="B79" t="s">
        <v>2</v>
      </c>
      <c r="C79">
        <v>0.25</v>
      </c>
      <c r="D79" t="s">
        <v>30</v>
      </c>
      <c r="E79" t="s">
        <v>0</v>
      </c>
      <c r="F79" t="s">
        <v>200</v>
      </c>
      <c r="G79" t="s">
        <v>2</v>
      </c>
      <c r="H79">
        <v>3.3940000000000001</v>
      </c>
      <c r="I79" t="s">
        <v>461</v>
      </c>
      <c r="K79">
        <v>105430525</v>
      </c>
      <c r="L79" s="2">
        <v>43189</v>
      </c>
      <c r="M79">
        <v>21</v>
      </c>
      <c r="N79">
        <v>1</v>
      </c>
      <c r="O79">
        <v>0</v>
      </c>
      <c r="P79">
        <v>1</v>
      </c>
      <c r="Q79" t="s">
        <v>21</v>
      </c>
      <c r="R79" t="str">
        <f>IF(M79=17,"animal","")</f>
        <v/>
      </c>
    </row>
    <row r="80" spans="1:18" x14ac:dyDescent="0.55000000000000004">
      <c r="A80">
        <v>0</v>
      </c>
      <c r="B80" t="s">
        <v>2</v>
      </c>
      <c r="C80">
        <v>0.3</v>
      </c>
      <c r="D80" t="s">
        <v>30</v>
      </c>
      <c r="E80" t="s">
        <v>393</v>
      </c>
      <c r="F80" t="s">
        <v>0</v>
      </c>
      <c r="G80" t="s">
        <v>2</v>
      </c>
      <c r="H80">
        <v>3.6779999999999999</v>
      </c>
      <c r="I80" t="s">
        <v>461</v>
      </c>
      <c r="K80">
        <v>106416857</v>
      </c>
      <c r="L80" s="2">
        <v>44159</v>
      </c>
      <c r="M80">
        <v>29</v>
      </c>
      <c r="N80">
        <v>1</v>
      </c>
      <c r="O80">
        <v>0</v>
      </c>
      <c r="P80">
        <v>1</v>
      </c>
      <c r="Q80" t="s">
        <v>21</v>
      </c>
      <c r="R80" t="str">
        <f>IF(M80=17,"animal","")</f>
        <v/>
      </c>
    </row>
    <row r="81" spans="1:18" x14ac:dyDescent="0.55000000000000004">
      <c r="A81">
        <v>0</v>
      </c>
      <c r="B81" t="s">
        <v>2</v>
      </c>
      <c r="C81">
        <v>0.1</v>
      </c>
      <c r="D81" t="s">
        <v>23</v>
      </c>
      <c r="E81" t="s">
        <v>0</v>
      </c>
      <c r="F81" t="s">
        <v>393</v>
      </c>
      <c r="G81" t="s">
        <v>2</v>
      </c>
      <c r="H81">
        <v>3.7440000000000002</v>
      </c>
      <c r="I81" t="s">
        <v>461</v>
      </c>
      <c r="K81">
        <v>106210496</v>
      </c>
      <c r="L81" s="2">
        <v>43945</v>
      </c>
      <c r="M81">
        <v>29</v>
      </c>
      <c r="N81">
        <v>1</v>
      </c>
      <c r="O81">
        <v>0</v>
      </c>
      <c r="P81">
        <v>1</v>
      </c>
      <c r="Q81" t="s">
        <v>21</v>
      </c>
      <c r="R81" t="str">
        <f>IF(M81=17,"animal","")</f>
        <v/>
      </c>
    </row>
    <row r="82" spans="1:18" x14ac:dyDescent="0.55000000000000004">
      <c r="A82">
        <v>0</v>
      </c>
      <c r="B82" t="s">
        <v>2</v>
      </c>
      <c r="C82">
        <v>0.2</v>
      </c>
      <c r="D82" t="s">
        <v>23</v>
      </c>
      <c r="E82" t="s">
        <v>0</v>
      </c>
      <c r="F82" t="s">
        <v>393</v>
      </c>
      <c r="G82" t="s">
        <v>2</v>
      </c>
      <c r="H82">
        <v>3.8439999999999999</v>
      </c>
      <c r="I82" t="s">
        <v>461</v>
      </c>
      <c r="K82">
        <v>105687104</v>
      </c>
      <c r="L82" s="2">
        <v>43426</v>
      </c>
      <c r="M82">
        <v>20</v>
      </c>
      <c r="N82">
        <v>1</v>
      </c>
      <c r="O82">
        <v>0</v>
      </c>
      <c r="P82">
        <v>5</v>
      </c>
      <c r="Q82" t="s">
        <v>21</v>
      </c>
      <c r="R82" t="str">
        <f>IF(M82=17,"animal","")</f>
        <v/>
      </c>
    </row>
    <row r="83" spans="1:18" x14ac:dyDescent="0.55000000000000004">
      <c r="A83">
        <v>0</v>
      </c>
      <c r="B83" t="s">
        <v>2</v>
      </c>
      <c r="C83">
        <v>0</v>
      </c>
      <c r="E83" t="s">
        <v>393</v>
      </c>
      <c r="F83" t="s">
        <v>0</v>
      </c>
      <c r="G83" t="s">
        <v>2</v>
      </c>
      <c r="H83">
        <v>3.9780000000000002</v>
      </c>
      <c r="I83" t="s">
        <v>461</v>
      </c>
      <c r="K83">
        <v>106330710</v>
      </c>
      <c r="L83" s="2">
        <v>44061</v>
      </c>
      <c r="M83">
        <v>23</v>
      </c>
      <c r="N83">
        <v>1</v>
      </c>
      <c r="O83">
        <v>8</v>
      </c>
      <c r="P83">
        <v>1</v>
      </c>
      <c r="Q83" t="s">
        <v>21</v>
      </c>
      <c r="R83" t="str">
        <f>IF(M83=17,"animal","")</f>
        <v/>
      </c>
    </row>
    <row r="84" spans="1:18" x14ac:dyDescent="0.55000000000000004">
      <c r="A84">
        <v>0</v>
      </c>
      <c r="B84" t="s">
        <v>2</v>
      </c>
      <c r="C84">
        <v>0.4</v>
      </c>
      <c r="D84" t="s">
        <v>23</v>
      </c>
      <c r="E84" t="s">
        <v>0</v>
      </c>
      <c r="F84" t="s">
        <v>393</v>
      </c>
      <c r="G84" t="s">
        <v>2</v>
      </c>
      <c r="H84">
        <v>4.0439999999999996</v>
      </c>
      <c r="I84" t="s">
        <v>461</v>
      </c>
      <c r="K84">
        <v>105496072</v>
      </c>
      <c r="L84" s="2">
        <v>43251</v>
      </c>
      <c r="M84">
        <v>20</v>
      </c>
      <c r="N84">
        <v>1</v>
      </c>
      <c r="O84">
        <v>5</v>
      </c>
      <c r="P84">
        <v>5</v>
      </c>
      <c r="R84" t="str">
        <f>IF(M84=17,"animal","")</f>
        <v/>
      </c>
    </row>
    <row r="85" spans="1:18" x14ac:dyDescent="0.55000000000000004">
      <c r="A85">
        <v>0</v>
      </c>
      <c r="B85" t="s">
        <v>2</v>
      </c>
      <c r="C85">
        <v>0.4</v>
      </c>
      <c r="D85" t="s">
        <v>68</v>
      </c>
      <c r="E85" t="s">
        <v>1</v>
      </c>
      <c r="F85" t="s">
        <v>393</v>
      </c>
      <c r="G85" t="s">
        <v>2</v>
      </c>
      <c r="H85">
        <v>4.0439999999999996</v>
      </c>
      <c r="I85" t="s">
        <v>461</v>
      </c>
      <c r="K85">
        <v>105790758</v>
      </c>
      <c r="L85" s="2">
        <v>43526</v>
      </c>
      <c r="M85">
        <v>17</v>
      </c>
      <c r="N85">
        <v>1</v>
      </c>
      <c r="O85">
        <v>0</v>
      </c>
      <c r="P85">
        <v>5</v>
      </c>
      <c r="Q85" t="s">
        <v>21</v>
      </c>
      <c r="R85" t="str">
        <f>IF(M85=17,"animal","")</f>
        <v>animal</v>
      </c>
    </row>
    <row r="86" spans="1:18" x14ac:dyDescent="0.55000000000000004">
      <c r="A86">
        <v>0</v>
      </c>
      <c r="B86" t="s">
        <v>2</v>
      </c>
      <c r="C86">
        <v>0</v>
      </c>
      <c r="E86" t="s">
        <v>49</v>
      </c>
      <c r="F86" t="s">
        <v>0</v>
      </c>
      <c r="G86" t="s">
        <v>2</v>
      </c>
      <c r="H86">
        <v>4.625</v>
      </c>
      <c r="I86" t="s">
        <v>461</v>
      </c>
      <c r="K86">
        <v>105763080</v>
      </c>
      <c r="L86" s="2">
        <v>43498</v>
      </c>
      <c r="M86">
        <v>26</v>
      </c>
      <c r="N86">
        <v>1</v>
      </c>
      <c r="O86">
        <v>8</v>
      </c>
      <c r="P86">
        <v>5</v>
      </c>
      <c r="Q86" t="s">
        <v>21</v>
      </c>
      <c r="R86" t="str">
        <f>IF(M86=17,"animal","")</f>
        <v/>
      </c>
    </row>
    <row r="87" spans="1:18" x14ac:dyDescent="0.55000000000000004">
      <c r="A87">
        <v>414</v>
      </c>
      <c r="B87" t="s">
        <v>128</v>
      </c>
      <c r="C87">
        <v>1E-3</v>
      </c>
      <c r="D87" t="s">
        <v>18</v>
      </c>
      <c r="E87" t="s">
        <v>0</v>
      </c>
      <c r="F87" t="s">
        <v>24</v>
      </c>
      <c r="H87">
        <v>999.99900000000002</v>
      </c>
      <c r="I87" t="s">
        <v>461</v>
      </c>
      <c r="K87">
        <v>105496108</v>
      </c>
      <c r="L87" s="2">
        <v>43251</v>
      </c>
      <c r="M87">
        <v>31</v>
      </c>
      <c r="N87">
        <v>1</v>
      </c>
      <c r="O87">
        <v>4</v>
      </c>
      <c r="P87">
        <v>1</v>
      </c>
      <c r="Q87" t="s">
        <v>21</v>
      </c>
      <c r="R87" t="s">
        <v>466</v>
      </c>
    </row>
    <row r="88" spans="1:18" x14ac:dyDescent="0.55000000000000004">
      <c r="A88">
        <v>0</v>
      </c>
      <c r="B88" t="s">
        <v>128</v>
      </c>
      <c r="C88">
        <v>4.0000000000000001E-3</v>
      </c>
      <c r="D88" t="s">
        <v>23</v>
      </c>
      <c r="E88" t="s">
        <v>0</v>
      </c>
      <c r="F88" t="s">
        <v>24</v>
      </c>
      <c r="H88">
        <v>999.99900000000002</v>
      </c>
      <c r="I88" t="s">
        <v>461</v>
      </c>
      <c r="K88">
        <v>105607138</v>
      </c>
      <c r="L88" s="2">
        <v>43361</v>
      </c>
      <c r="M88">
        <v>21</v>
      </c>
      <c r="N88">
        <v>1</v>
      </c>
      <c r="O88">
        <v>4</v>
      </c>
      <c r="P88">
        <v>1</v>
      </c>
      <c r="Q88" t="s">
        <v>21</v>
      </c>
      <c r="R88" t="s">
        <v>466</v>
      </c>
    </row>
    <row r="89" spans="1:18" x14ac:dyDescent="0.55000000000000004">
      <c r="A89">
        <v>0</v>
      </c>
      <c r="B89" t="s">
        <v>128</v>
      </c>
      <c r="C89">
        <v>1.9E-2</v>
      </c>
      <c r="D89" t="s">
        <v>23</v>
      </c>
      <c r="E89" t="s">
        <v>0</v>
      </c>
      <c r="F89" t="s">
        <v>24</v>
      </c>
      <c r="H89">
        <v>999.99900000000002</v>
      </c>
      <c r="I89" t="s">
        <v>461</v>
      </c>
      <c r="K89">
        <v>105661666</v>
      </c>
      <c r="L89" s="2">
        <v>43406</v>
      </c>
      <c r="M89">
        <v>20</v>
      </c>
      <c r="N89">
        <v>2</v>
      </c>
      <c r="O89">
        <v>4</v>
      </c>
      <c r="P89">
        <v>5</v>
      </c>
      <c r="Q89" t="s">
        <v>21</v>
      </c>
      <c r="R89" t="s">
        <v>466</v>
      </c>
    </row>
    <row r="90" spans="1:18" x14ac:dyDescent="0.55000000000000004">
      <c r="A90">
        <v>414</v>
      </c>
      <c r="B90" t="s">
        <v>79</v>
      </c>
      <c r="C90">
        <v>8.9999999999999993E-3</v>
      </c>
      <c r="D90" t="s">
        <v>23</v>
      </c>
      <c r="E90" t="s">
        <v>0</v>
      </c>
      <c r="F90" t="s">
        <v>75</v>
      </c>
      <c r="H90">
        <v>999.99900000000002</v>
      </c>
      <c r="I90" t="s">
        <v>461</v>
      </c>
      <c r="K90">
        <v>105629260</v>
      </c>
      <c r="L90" s="2">
        <v>43381</v>
      </c>
      <c r="M90">
        <v>21</v>
      </c>
      <c r="N90">
        <v>1</v>
      </c>
      <c r="O90">
        <v>0</v>
      </c>
      <c r="P90">
        <v>1</v>
      </c>
      <c r="Q90" t="s">
        <v>21</v>
      </c>
      <c r="R90" t="s">
        <v>466</v>
      </c>
    </row>
    <row r="91" spans="1:18" x14ac:dyDescent="0.55000000000000004">
      <c r="A91">
        <v>0</v>
      </c>
      <c r="B91" t="s">
        <v>136</v>
      </c>
      <c r="C91">
        <v>6.0000000000000001E-3</v>
      </c>
      <c r="D91" t="s">
        <v>23</v>
      </c>
      <c r="E91" t="s">
        <v>0</v>
      </c>
      <c r="H91">
        <v>999.99900000000002</v>
      </c>
      <c r="I91" t="s">
        <v>461</v>
      </c>
      <c r="K91">
        <v>105902771</v>
      </c>
      <c r="L91" s="2">
        <v>43636</v>
      </c>
      <c r="M91">
        <v>20</v>
      </c>
      <c r="N91">
        <v>1</v>
      </c>
      <c r="O91">
        <v>4</v>
      </c>
      <c r="P91">
        <v>1</v>
      </c>
      <c r="Q91" t="s">
        <v>21</v>
      </c>
      <c r="R91" t="s">
        <v>466</v>
      </c>
    </row>
    <row r="92" spans="1:18" x14ac:dyDescent="0.55000000000000004">
      <c r="A92">
        <v>414</v>
      </c>
      <c r="B92" t="s">
        <v>140</v>
      </c>
      <c r="C92">
        <v>1.0999999999999999E-2</v>
      </c>
      <c r="D92" t="s">
        <v>23</v>
      </c>
      <c r="E92" t="s">
        <v>0</v>
      </c>
      <c r="H92">
        <v>999.99900000000002</v>
      </c>
      <c r="I92" t="s">
        <v>461</v>
      </c>
      <c r="K92">
        <v>105342644</v>
      </c>
      <c r="L92" s="2">
        <v>43105</v>
      </c>
      <c r="M92">
        <v>20</v>
      </c>
      <c r="N92">
        <v>1</v>
      </c>
      <c r="O92">
        <v>4</v>
      </c>
      <c r="P92">
        <v>1</v>
      </c>
      <c r="Q92" t="s">
        <v>21</v>
      </c>
      <c r="R92" t="s">
        <v>466</v>
      </c>
    </row>
    <row r="93" spans="1:18" x14ac:dyDescent="0.55000000000000004">
      <c r="A93">
        <v>0</v>
      </c>
      <c r="B93" t="s">
        <v>32</v>
      </c>
      <c r="C93">
        <v>6.0000000000000001E-3</v>
      </c>
      <c r="D93" t="s">
        <v>18</v>
      </c>
      <c r="E93" t="s">
        <v>2</v>
      </c>
      <c r="F93" t="s">
        <v>24</v>
      </c>
      <c r="H93">
        <v>999.99900000000002</v>
      </c>
      <c r="I93" t="s">
        <v>461</v>
      </c>
      <c r="K93">
        <v>106534586</v>
      </c>
      <c r="L93" s="2">
        <v>44284</v>
      </c>
      <c r="M93">
        <v>20</v>
      </c>
      <c r="N93">
        <v>1</v>
      </c>
      <c r="O93">
        <v>0</v>
      </c>
      <c r="P93">
        <v>1</v>
      </c>
      <c r="Q93" t="s">
        <v>21</v>
      </c>
      <c r="R93" t="s">
        <v>466</v>
      </c>
    </row>
    <row r="94" spans="1:18" x14ac:dyDescent="0.55000000000000004">
      <c r="A94">
        <v>414</v>
      </c>
      <c r="B94" t="s">
        <v>128</v>
      </c>
      <c r="C94">
        <v>1.9E-2</v>
      </c>
      <c r="D94" t="s">
        <v>18</v>
      </c>
      <c r="E94" t="s">
        <v>2</v>
      </c>
      <c r="F94" t="s">
        <v>75</v>
      </c>
      <c r="H94">
        <v>999.99900000000002</v>
      </c>
      <c r="I94" t="s">
        <v>461</v>
      </c>
      <c r="K94">
        <v>106340641</v>
      </c>
      <c r="L94" s="2">
        <v>44085</v>
      </c>
      <c r="M94">
        <v>31</v>
      </c>
      <c r="N94">
        <v>1</v>
      </c>
      <c r="O94">
        <v>4</v>
      </c>
      <c r="P94">
        <v>6</v>
      </c>
      <c r="Q94" t="s">
        <v>21</v>
      </c>
      <c r="R94" t="s">
        <v>466</v>
      </c>
    </row>
    <row r="95" spans="1:18" x14ac:dyDescent="0.55000000000000004">
      <c r="L95" s="2"/>
    </row>
    <row r="96" spans="1:18" s="9" customFormat="1" x14ac:dyDescent="0.55000000000000004">
      <c r="A96" s="8" t="s">
        <v>463</v>
      </c>
      <c r="L96" s="10"/>
    </row>
    <row r="97" spans="1:17" x14ac:dyDescent="0.55000000000000004">
      <c r="A97">
        <v>498</v>
      </c>
      <c r="B97" t="s">
        <v>153</v>
      </c>
      <c r="C97">
        <v>0</v>
      </c>
      <c r="E97" t="s">
        <v>4</v>
      </c>
      <c r="F97" t="s">
        <v>154</v>
      </c>
      <c r="G97" t="s">
        <v>153</v>
      </c>
      <c r="H97">
        <v>999.99900000000002</v>
      </c>
      <c r="I97" t="s">
        <v>461</v>
      </c>
      <c r="K97">
        <v>105391029</v>
      </c>
      <c r="L97" s="2">
        <v>43133</v>
      </c>
      <c r="M97">
        <v>30</v>
      </c>
      <c r="N97">
        <v>1</v>
      </c>
      <c r="O97">
        <v>7</v>
      </c>
      <c r="P97">
        <v>1</v>
      </c>
      <c r="Q97" t="s">
        <v>15</v>
      </c>
    </row>
    <row r="98" spans="1:17" x14ac:dyDescent="0.55000000000000004">
      <c r="A98">
        <v>224</v>
      </c>
      <c r="B98" t="s">
        <v>155</v>
      </c>
      <c r="C98">
        <v>0</v>
      </c>
      <c r="E98" t="s">
        <v>1</v>
      </c>
      <c r="F98" t="s">
        <v>24</v>
      </c>
      <c r="G98" t="s">
        <v>155</v>
      </c>
      <c r="H98">
        <v>999.99900000000002</v>
      </c>
      <c r="I98" t="s">
        <v>461</v>
      </c>
      <c r="K98">
        <v>106093624</v>
      </c>
      <c r="L98" s="2">
        <v>43810</v>
      </c>
      <c r="M98">
        <v>30</v>
      </c>
      <c r="N98">
        <v>1</v>
      </c>
      <c r="O98">
        <v>7</v>
      </c>
      <c r="P98">
        <v>1</v>
      </c>
      <c r="Q98" t="s">
        <v>15</v>
      </c>
    </row>
    <row r="99" spans="1:17" x14ac:dyDescent="0.55000000000000004">
      <c r="A99">
        <v>224</v>
      </c>
      <c r="B99" t="s">
        <v>156</v>
      </c>
      <c r="C99">
        <v>1.9E-2</v>
      </c>
      <c r="D99" t="s">
        <v>30</v>
      </c>
      <c r="E99" t="s">
        <v>1</v>
      </c>
      <c r="F99" t="s">
        <v>157</v>
      </c>
      <c r="G99" t="s">
        <v>156</v>
      </c>
      <c r="H99">
        <v>0.13100000000000001</v>
      </c>
      <c r="I99" t="s">
        <v>461</v>
      </c>
      <c r="K99">
        <v>106162597</v>
      </c>
      <c r="L99" s="2">
        <v>43881</v>
      </c>
      <c r="M99">
        <v>20</v>
      </c>
      <c r="N99">
        <v>1</v>
      </c>
      <c r="O99">
        <v>0</v>
      </c>
      <c r="P99">
        <v>1</v>
      </c>
      <c r="Q99" t="s">
        <v>21</v>
      </c>
    </row>
    <row r="100" spans="1:17" x14ac:dyDescent="0.55000000000000004">
      <c r="A100">
        <v>430</v>
      </c>
      <c r="B100" t="s">
        <v>158</v>
      </c>
      <c r="C100">
        <v>0</v>
      </c>
      <c r="E100" t="s">
        <v>1</v>
      </c>
      <c r="F100" t="s">
        <v>159</v>
      </c>
      <c r="G100" t="s">
        <v>158</v>
      </c>
      <c r="H100">
        <v>0</v>
      </c>
      <c r="I100" t="s">
        <v>461</v>
      </c>
      <c r="K100">
        <v>106286156</v>
      </c>
      <c r="L100" s="2">
        <v>44035</v>
      </c>
      <c r="M100">
        <v>19</v>
      </c>
      <c r="N100">
        <v>2</v>
      </c>
      <c r="O100">
        <v>9</v>
      </c>
      <c r="P100">
        <v>1</v>
      </c>
      <c r="Q100" t="s">
        <v>21</v>
      </c>
    </row>
    <row r="101" spans="1:17" x14ac:dyDescent="0.55000000000000004">
      <c r="A101">
        <v>430</v>
      </c>
      <c r="B101" t="s">
        <v>158</v>
      </c>
      <c r="C101">
        <v>0</v>
      </c>
      <c r="E101" t="s">
        <v>1</v>
      </c>
      <c r="F101" t="s">
        <v>160</v>
      </c>
      <c r="G101" t="s">
        <v>158</v>
      </c>
      <c r="H101">
        <v>0</v>
      </c>
      <c r="I101" t="s">
        <v>461</v>
      </c>
      <c r="K101">
        <v>106055128</v>
      </c>
      <c r="L101" s="2">
        <v>43776</v>
      </c>
      <c r="M101">
        <v>21</v>
      </c>
      <c r="N101">
        <v>2</v>
      </c>
      <c r="O101">
        <v>8</v>
      </c>
      <c r="P101">
        <v>4</v>
      </c>
      <c r="Q101" t="s">
        <v>21</v>
      </c>
    </row>
    <row r="102" spans="1:17" x14ac:dyDescent="0.55000000000000004">
      <c r="A102">
        <v>430</v>
      </c>
      <c r="B102" t="s">
        <v>158</v>
      </c>
      <c r="C102">
        <v>0.01</v>
      </c>
      <c r="D102" t="s">
        <v>68</v>
      </c>
      <c r="E102" t="s">
        <v>1</v>
      </c>
      <c r="F102" t="s">
        <v>161</v>
      </c>
      <c r="G102" t="s">
        <v>158</v>
      </c>
      <c r="H102">
        <v>0.01</v>
      </c>
      <c r="I102" t="s">
        <v>461</v>
      </c>
      <c r="K102">
        <v>104934545</v>
      </c>
      <c r="L102" s="2">
        <v>42706</v>
      </c>
      <c r="M102">
        <v>17</v>
      </c>
      <c r="N102">
        <v>1</v>
      </c>
      <c r="O102">
        <v>0</v>
      </c>
      <c r="P102">
        <v>5</v>
      </c>
      <c r="Q102" t="s">
        <v>21</v>
      </c>
    </row>
    <row r="103" spans="1:17" x14ac:dyDescent="0.55000000000000004">
      <c r="A103">
        <v>498</v>
      </c>
      <c r="B103" t="s">
        <v>162</v>
      </c>
      <c r="C103">
        <v>1.9E-2</v>
      </c>
      <c r="D103" t="s">
        <v>23</v>
      </c>
      <c r="E103" t="s">
        <v>4</v>
      </c>
      <c r="F103" t="s">
        <v>77</v>
      </c>
      <c r="G103" t="s">
        <v>163</v>
      </c>
      <c r="H103">
        <v>17.934000000000001</v>
      </c>
      <c r="I103" t="s">
        <v>461</v>
      </c>
      <c r="K103">
        <v>104907318</v>
      </c>
      <c r="L103" s="2">
        <v>42657</v>
      </c>
      <c r="M103">
        <v>27</v>
      </c>
      <c r="N103">
        <v>1</v>
      </c>
      <c r="O103">
        <v>0</v>
      </c>
      <c r="P103">
        <v>1</v>
      </c>
      <c r="Q103" t="s">
        <v>15</v>
      </c>
    </row>
    <row r="104" spans="1:17" x14ac:dyDescent="0.55000000000000004">
      <c r="A104">
        <v>498</v>
      </c>
      <c r="B104" t="s">
        <v>162</v>
      </c>
      <c r="C104">
        <v>2E-3</v>
      </c>
      <c r="D104" t="s">
        <v>18</v>
      </c>
      <c r="E104" t="s">
        <v>4</v>
      </c>
      <c r="F104" t="s">
        <v>164</v>
      </c>
      <c r="G104" t="s">
        <v>163</v>
      </c>
      <c r="H104">
        <v>17.951000000000001</v>
      </c>
      <c r="I104" t="s">
        <v>461</v>
      </c>
      <c r="K104">
        <v>105345972</v>
      </c>
      <c r="L104" s="2">
        <v>43090</v>
      </c>
      <c r="M104">
        <v>17</v>
      </c>
      <c r="N104">
        <v>2</v>
      </c>
      <c r="O104">
        <v>0</v>
      </c>
      <c r="P104">
        <v>6</v>
      </c>
      <c r="Q104" t="s">
        <v>21</v>
      </c>
    </row>
    <row r="105" spans="1:17" x14ac:dyDescent="0.55000000000000004">
      <c r="A105">
        <v>498</v>
      </c>
      <c r="B105" t="s">
        <v>163</v>
      </c>
      <c r="C105">
        <v>0</v>
      </c>
      <c r="E105" t="s">
        <v>0</v>
      </c>
      <c r="F105" t="s">
        <v>170</v>
      </c>
      <c r="G105" t="s">
        <v>163</v>
      </c>
      <c r="H105">
        <v>17.952999999999999</v>
      </c>
      <c r="I105" t="s">
        <v>461</v>
      </c>
      <c r="K105">
        <v>105878517</v>
      </c>
      <c r="L105" s="2">
        <v>43589</v>
      </c>
      <c r="M105">
        <v>30</v>
      </c>
      <c r="N105">
        <v>1</v>
      </c>
      <c r="O105">
        <v>7</v>
      </c>
      <c r="P105">
        <v>4</v>
      </c>
      <c r="Q105" t="s">
        <v>15</v>
      </c>
    </row>
    <row r="106" spans="1:17" x14ac:dyDescent="0.55000000000000004">
      <c r="A106">
        <v>498</v>
      </c>
      <c r="B106" t="s">
        <v>163</v>
      </c>
      <c r="C106">
        <v>0</v>
      </c>
      <c r="E106" t="s">
        <v>0</v>
      </c>
      <c r="F106" t="s">
        <v>165</v>
      </c>
      <c r="G106" t="s">
        <v>163</v>
      </c>
      <c r="H106">
        <v>17.952999999999999</v>
      </c>
      <c r="I106" t="s">
        <v>461</v>
      </c>
      <c r="K106">
        <v>105679796</v>
      </c>
      <c r="L106" s="2">
        <v>43406</v>
      </c>
      <c r="M106">
        <v>30</v>
      </c>
      <c r="N106">
        <v>1</v>
      </c>
      <c r="O106">
        <v>7</v>
      </c>
      <c r="P106">
        <v>5</v>
      </c>
      <c r="Q106" t="s">
        <v>15</v>
      </c>
    </row>
    <row r="107" spans="1:17" x14ac:dyDescent="0.55000000000000004">
      <c r="A107">
        <v>498</v>
      </c>
      <c r="B107" t="s">
        <v>163</v>
      </c>
      <c r="C107">
        <v>0</v>
      </c>
      <c r="E107" t="s">
        <v>0</v>
      </c>
      <c r="F107" t="s">
        <v>169</v>
      </c>
      <c r="G107" t="s">
        <v>163</v>
      </c>
      <c r="H107">
        <v>17.952999999999999</v>
      </c>
      <c r="I107" t="s">
        <v>461</v>
      </c>
      <c r="K107">
        <v>106478858</v>
      </c>
      <c r="L107" s="2">
        <v>44226</v>
      </c>
      <c r="M107">
        <v>23</v>
      </c>
      <c r="N107">
        <v>1</v>
      </c>
      <c r="O107">
        <v>7</v>
      </c>
      <c r="P107">
        <v>1</v>
      </c>
      <c r="Q107" t="s">
        <v>21</v>
      </c>
    </row>
    <row r="108" spans="1:17" x14ac:dyDescent="0.55000000000000004">
      <c r="A108">
        <v>498</v>
      </c>
      <c r="B108" t="s">
        <v>163</v>
      </c>
      <c r="C108">
        <v>0</v>
      </c>
      <c r="E108" t="s">
        <v>0</v>
      </c>
      <c r="F108" t="s">
        <v>171</v>
      </c>
      <c r="G108" t="s">
        <v>163</v>
      </c>
      <c r="H108">
        <v>17.952999999999999</v>
      </c>
      <c r="I108" t="s">
        <v>461</v>
      </c>
      <c r="K108">
        <v>105151977</v>
      </c>
      <c r="L108" s="2">
        <v>42921</v>
      </c>
      <c r="M108">
        <v>21</v>
      </c>
      <c r="N108">
        <v>1</v>
      </c>
      <c r="O108">
        <v>7</v>
      </c>
      <c r="P108">
        <v>1</v>
      </c>
      <c r="Q108" t="s">
        <v>21</v>
      </c>
    </row>
    <row r="109" spans="1:17" x14ac:dyDescent="0.55000000000000004">
      <c r="A109">
        <v>498</v>
      </c>
      <c r="B109" t="s">
        <v>162</v>
      </c>
      <c r="C109">
        <v>0</v>
      </c>
      <c r="D109" t="s">
        <v>18</v>
      </c>
      <c r="E109" t="s">
        <v>4</v>
      </c>
      <c r="F109" t="s">
        <v>162</v>
      </c>
      <c r="G109" t="s">
        <v>163</v>
      </c>
      <c r="H109">
        <v>17.952999999999999</v>
      </c>
      <c r="I109" t="s">
        <v>461</v>
      </c>
      <c r="K109">
        <v>105384257</v>
      </c>
      <c r="L109" s="2">
        <v>43131</v>
      </c>
      <c r="M109">
        <v>30</v>
      </c>
      <c r="N109">
        <v>1</v>
      </c>
      <c r="O109">
        <v>7</v>
      </c>
      <c r="P109">
        <v>1</v>
      </c>
      <c r="Q109" t="s">
        <v>15</v>
      </c>
    </row>
    <row r="110" spans="1:17" x14ac:dyDescent="0.55000000000000004">
      <c r="A110">
        <v>498</v>
      </c>
      <c r="B110" t="s">
        <v>162</v>
      </c>
      <c r="C110">
        <v>0</v>
      </c>
      <c r="D110" t="s">
        <v>30</v>
      </c>
      <c r="E110" t="s">
        <v>4</v>
      </c>
      <c r="F110" t="s">
        <v>166</v>
      </c>
      <c r="G110" t="s">
        <v>163</v>
      </c>
      <c r="H110">
        <v>17.952999999999999</v>
      </c>
      <c r="I110" t="s">
        <v>461</v>
      </c>
      <c r="K110">
        <v>105384382</v>
      </c>
      <c r="L110" s="2">
        <v>43131</v>
      </c>
      <c r="M110">
        <v>21</v>
      </c>
      <c r="N110">
        <v>1</v>
      </c>
      <c r="O110">
        <v>0</v>
      </c>
      <c r="P110">
        <v>1</v>
      </c>
      <c r="Q110" t="s">
        <v>21</v>
      </c>
    </row>
    <row r="111" spans="1:17" x14ac:dyDescent="0.55000000000000004">
      <c r="A111">
        <v>498</v>
      </c>
      <c r="B111" t="s">
        <v>162</v>
      </c>
      <c r="C111">
        <v>0</v>
      </c>
      <c r="E111" t="s">
        <v>4</v>
      </c>
      <c r="F111" t="s">
        <v>166</v>
      </c>
      <c r="G111" t="s">
        <v>163</v>
      </c>
      <c r="H111">
        <v>17.952999999999999</v>
      </c>
      <c r="I111" t="s">
        <v>461</v>
      </c>
      <c r="K111">
        <v>106472930</v>
      </c>
      <c r="L111" s="2">
        <v>44191</v>
      </c>
      <c r="M111">
        <v>30</v>
      </c>
      <c r="N111">
        <v>1</v>
      </c>
      <c r="O111">
        <v>7</v>
      </c>
      <c r="P111">
        <v>4</v>
      </c>
      <c r="Q111" t="s">
        <v>167</v>
      </c>
    </row>
    <row r="112" spans="1:17" x14ac:dyDescent="0.55000000000000004">
      <c r="A112">
        <v>498</v>
      </c>
      <c r="B112" t="s">
        <v>162</v>
      </c>
      <c r="C112">
        <v>0</v>
      </c>
      <c r="E112" t="s">
        <v>4</v>
      </c>
      <c r="F112" t="s">
        <v>168</v>
      </c>
      <c r="G112" t="s">
        <v>163</v>
      </c>
      <c r="H112">
        <v>17.952999999999999</v>
      </c>
      <c r="I112" t="s">
        <v>461</v>
      </c>
      <c r="K112">
        <v>106556563</v>
      </c>
      <c r="L112" s="2">
        <v>44279</v>
      </c>
      <c r="M112">
        <v>30</v>
      </c>
      <c r="N112">
        <v>1</v>
      </c>
      <c r="P112">
        <v>1</v>
      </c>
      <c r="Q112" t="s">
        <v>21</v>
      </c>
    </row>
    <row r="113" spans="1:17" x14ac:dyDescent="0.55000000000000004">
      <c r="A113">
        <v>498</v>
      </c>
      <c r="B113" t="s">
        <v>162</v>
      </c>
      <c r="C113">
        <v>0</v>
      </c>
      <c r="E113" t="s">
        <v>4</v>
      </c>
      <c r="F113" t="s">
        <v>165</v>
      </c>
      <c r="G113" t="s">
        <v>163</v>
      </c>
      <c r="H113">
        <v>17.952999999999999</v>
      </c>
      <c r="I113" t="s">
        <v>461</v>
      </c>
      <c r="K113">
        <v>106002593</v>
      </c>
      <c r="L113" s="2">
        <v>43720</v>
      </c>
      <c r="M113">
        <v>21</v>
      </c>
      <c r="N113">
        <v>1</v>
      </c>
      <c r="O113">
        <v>0</v>
      </c>
      <c r="P113">
        <v>1</v>
      </c>
      <c r="Q113" t="s">
        <v>21</v>
      </c>
    </row>
    <row r="114" spans="1:17" x14ac:dyDescent="0.55000000000000004">
      <c r="A114">
        <v>498</v>
      </c>
      <c r="B114" t="s">
        <v>162</v>
      </c>
      <c r="C114">
        <v>0</v>
      </c>
      <c r="E114" t="s">
        <v>4</v>
      </c>
      <c r="F114" t="s">
        <v>165</v>
      </c>
      <c r="G114" t="s">
        <v>163</v>
      </c>
      <c r="H114">
        <v>17.952999999999999</v>
      </c>
      <c r="I114" t="s">
        <v>461</v>
      </c>
      <c r="K114">
        <v>105732928</v>
      </c>
      <c r="L114" s="2">
        <v>43451</v>
      </c>
      <c r="M114">
        <v>21</v>
      </c>
      <c r="N114">
        <v>1</v>
      </c>
      <c r="O114">
        <v>7</v>
      </c>
      <c r="P114">
        <v>1</v>
      </c>
      <c r="Q114" t="s">
        <v>21</v>
      </c>
    </row>
    <row r="115" spans="1:17" x14ac:dyDescent="0.55000000000000004">
      <c r="A115">
        <v>498</v>
      </c>
      <c r="B115" t="s">
        <v>162</v>
      </c>
      <c r="C115">
        <v>0</v>
      </c>
      <c r="E115" t="s">
        <v>4</v>
      </c>
      <c r="F115" t="s">
        <v>165</v>
      </c>
      <c r="G115" t="s">
        <v>163</v>
      </c>
      <c r="H115">
        <v>17.952999999999999</v>
      </c>
      <c r="I115" t="s">
        <v>461</v>
      </c>
      <c r="K115">
        <v>105732922</v>
      </c>
      <c r="L115" s="2">
        <v>43446</v>
      </c>
      <c r="M115">
        <v>21</v>
      </c>
      <c r="N115">
        <v>1</v>
      </c>
      <c r="O115">
        <v>0</v>
      </c>
      <c r="P115">
        <v>1</v>
      </c>
      <c r="Q115" t="s">
        <v>21</v>
      </c>
    </row>
    <row r="116" spans="1:17" x14ac:dyDescent="0.55000000000000004">
      <c r="A116">
        <v>498</v>
      </c>
      <c r="B116" t="s">
        <v>162</v>
      </c>
      <c r="C116">
        <v>0</v>
      </c>
      <c r="E116" t="s">
        <v>4</v>
      </c>
      <c r="F116" t="s">
        <v>164</v>
      </c>
      <c r="G116" t="s">
        <v>163</v>
      </c>
      <c r="H116">
        <v>17.952999999999999</v>
      </c>
      <c r="I116" t="s">
        <v>461</v>
      </c>
      <c r="K116">
        <v>105540848</v>
      </c>
      <c r="L116" s="2">
        <v>43285</v>
      </c>
      <c r="M116">
        <v>30</v>
      </c>
      <c r="N116">
        <v>1</v>
      </c>
      <c r="O116">
        <v>7</v>
      </c>
      <c r="P116">
        <v>4</v>
      </c>
      <c r="Q116" t="s">
        <v>21</v>
      </c>
    </row>
    <row r="117" spans="1:17" x14ac:dyDescent="0.55000000000000004">
      <c r="A117">
        <v>498</v>
      </c>
      <c r="B117" t="s">
        <v>162</v>
      </c>
      <c r="C117">
        <v>0</v>
      </c>
      <c r="E117" t="s">
        <v>4</v>
      </c>
      <c r="F117" t="s">
        <v>164</v>
      </c>
      <c r="G117" t="s">
        <v>163</v>
      </c>
      <c r="H117">
        <v>17.952999999999999</v>
      </c>
      <c r="I117" t="s">
        <v>461</v>
      </c>
      <c r="K117">
        <v>105099574</v>
      </c>
      <c r="L117" s="2">
        <v>42853</v>
      </c>
      <c r="M117">
        <v>30</v>
      </c>
      <c r="N117">
        <v>1</v>
      </c>
      <c r="O117">
        <v>0</v>
      </c>
      <c r="P117">
        <v>1</v>
      </c>
      <c r="Q117" t="s">
        <v>15</v>
      </c>
    </row>
    <row r="118" spans="1:17" x14ac:dyDescent="0.55000000000000004">
      <c r="A118">
        <v>498</v>
      </c>
      <c r="B118" t="s">
        <v>162</v>
      </c>
      <c r="C118">
        <v>0</v>
      </c>
      <c r="E118" t="s">
        <v>4</v>
      </c>
      <c r="F118" t="s">
        <v>164</v>
      </c>
      <c r="G118" t="s">
        <v>163</v>
      </c>
      <c r="H118">
        <v>17.952999999999999</v>
      </c>
      <c r="I118" t="s">
        <v>461</v>
      </c>
      <c r="K118">
        <v>106287225</v>
      </c>
      <c r="L118" s="2">
        <v>43986</v>
      </c>
      <c r="M118">
        <v>30</v>
      </c>
      <c r="N118">
        <v>1</v>
      </c>
      <c r="O118">
        <v>7</v>
      </c>
      <c r="P118">
        <v>1</v>
      </c>
      <c r="Q118" t="s">
        <v>21</v>
      </c>
    </row>
    <row r="119" spans="1:17" x14ac:dyDescent="0.55000000000000004">
      <c r="A119">
        <v>498</v>
      </c>
      <c r="B119" t="s">
        <v>162</v>
      </c>
      <c r="C119">
        <v>0</v>
      </c>
      <c r="E119" t="s">
        <v>4</v>
      </c>
      <c r="F119" t="s">
        <v>164</v>
      </c>
      <c r="G119" t="s">
        <v>163</v>
      </c>
      <c r="H119">
        <v>17.952999999999999</v>
      </c>
      <c r="I119" t="s">
        <v>461</v>
      </c>
      <c r="K119">
        <v>106673397</v>
      </c>
      <c r="L119" s="2">
        <v>44385</v>
      </c>
      <c r="M119">
        <v>32</v>
      </c>
      <c r="N119">
        <v>1</v>
      </c>
      <c r="O119">
        <v>7</v>
      </c>
      <c r="P119">
        <v>1</v>
      </c>
      <c r="Q119" t="s">
        <v>21</v>
      </c>
    </row>
    <row r="120" spans="1:17" x14ac:dyDescent="0.55000000000000004">
      <c r="A120">
        <v>498</v>
      </c>
      <c r="B120" t="s">
        <v>162</v>
      </c>
      <c r="C120">
        <v>0</v>
      </c>
      <c r="E120" t="s">
        <v>4</v>
      </c>
      <c r="G120" t="s">
        <v>163</v>
      </c>
      <c r="H120">
        <v>17.952999999999999</v>
      </c>
      <c r="I120" t="s">
        <v>461</v>
      </c>
      <c r="K120">
        <v>106648766</v>
      </c>
      <c r="L120" s="2">
        <v>44349</v>
      </c>
      <c r="M120">
        <v>30</v>
      </c>
      <c r="N120">
        <v>1</v>
      </c>
      <c r="P120">
        <v>1</v>
      </c>
      <c r="Q120" t="s">
        <v>15</v>
      </c>
    </row>
    <row r="121" spans="1:17" x14ac:dyDescent="0.55000000000000004">
      <c r="A121">
        <v>498</v>
      </c>
      <c r="B121" t="s">
        <v>162</v>
      </c>
      <c r="C121">
        <v>1.9E-2</v>
      </c>
      <c r="D121" t="s">
        <v>68</v>
      </c>
      <c r="E121" t="s">
        <v>4</v>
      </c>
      <c r="F121" t="s">
        <v>164</v>
      </c>
      <c r="G121" t="s">
        <v>163</v>
      </c>
      <c r="H121">
        <v>17.972000000000001</v>
      </c>
      <c r="I121" t="s">
        <v>461</v>
      </c>
      <c r="K121">
        <v>106285159</v>
      </c>
      <c r="L121" s="2">
        <v>43980</v>
      </c>
      <c r="M121">
        <v>21</v>
      </c>
      <c r="N121">
        <v>1</v>
      </c>
      <c r="O121">
        <v>0</v>
      </c>
      <c r="P121">
        <v>1</v>
      </c>
      <c r="Q121" t="s">
        <v>45</v>
      </c>
    </row>
    <row r="122" spans="1:17" x14ac:dyDescent="0.55000000000000004">
      <c r="A122">
        <v>0</v>
      </c>
      <c r="B122" t="s">
        <v>172</v>
      </c>
      <c r="C122">
        <v>0</v>
      </c>
      <c r="E122" t="s">
        <v>0</v>
      </c>
      <c r="F122" t="s">
        <v>179</v>
      </c>
      <c r="G122" t="s">
        <v>172</v>
      </c>
      <c r="H122">
        <v>2.1869999999999998</v>
      </c>
      <c r="I122" t="s">
        <v>461</v>
      </c>
      <c r="J122" t="s">
        <v>174</v>
      </c>
      <c r="K122">
        <v>106214298</v>
      </c>
      <c r="L122" s="2">
        <v>43950</v>
      </c>
      <c r="M122">
        <v>30</v>
      </c>
      <c r="N122">
        <v>1</v>
      </c>
      <c r="O122">
        <v>7</v>
      </c>
      <c r="P122">
        <v>1</v>
      </c>
      <c r="Q122" t="s">
        <v>21</v>
      </c>
    </row>
    <row r="123" spans="1:17" x14ac:dyDescent="0.55000000000000004">
      <c r="A123">
        <v>0</v>
      </c>
      <c r="B123" t="s">
        <v>172</v>
      </c>
      <c r="C123">
        <v>0</v>
      </c>
      <c r="E123" t="s">
        <v>0</v>
      </c>
      <c r="F123" t="s">
        <v>175</v>
      </c>
      <c r="G123" t="s">
        <v>172</v>
      </c>
      <c r="H123">
        <v>2.1869999999999998</v>
      </c>
      <c r="I123" t="s">
        <v>461</v>
      </c>
      <c r="J123" t="s">
        <v>174</v>
      </c>
      <c r="K123">
        <v>106618516</v>
      </c>
      <c r="L123" s="2">
        <v>44367</v>
      </c>
      <c r="M123">
        <v>24</v>
      </c>
      <c r="N123">
        <v>1</v>
      </c>
      <c r="O123">
        <v>7</v>
      </c>
      <c r="P123">
        <v>5</v>
      </c>
      <c r="Q123" t="s">
        <v>21</v>
      </c>
    </row>
    <row r="124" spans="1:17" x14ac:dyDescent="0.55000000000000004">
      <c r="A124">
        <v>0</v>
      </c>
      <c r="B124" t="s">
        <v>172</v>
      </c>
      <c r="C124">
        <v>0</v>
      </c>
      <c r="E124" t="s">
        <v>0</v>
      </c>
      <c r="F124" t="s">
        <v>175</v>
      </c>
      <c r="G124" t="s">
        <v>172</v>
      </c>
      <c r="H124">
        <v>2.1869999999999998</v>
      </c>
      <c r="I124" t="s">
        <v>461</v>
      </c>
      <c r="J124" t="s">
        <v>174</v>
      </c>
      <c r="K124">
        <v>106463799</v>
      </c>
      <c r="L124" s="2">
        <v>44201</v>
      </c>
      <c r="M124">
        <v>24</v>
      </c>
      <c r="N124">
        <v>1</v>
      </c>
      <c r="O124">
        <v>7</v>
      </c>
      <c r="P124">
        <v>1</v>
      </c>
      <c r="Q124" t="s">
        <v>21</v>
      </c>
    </row>
    <row r="125" spans="1:17" x14ac:dyDescent="0.55000000000000004">
      <c r="A125">
        <v>0</v>
      </c>
      <c r="B125" t="s">
        <v>172</v>
      </c>
      <c r="C125">
        <v>0</v>
      </c>
      <c r="E125" t="s">
        <v>0</v>
      </c>
      <c r="F125" t="s">
        <v>177</v>
      </c>
      <c r="G125" t="s">
        <v>172</v>
      </c>
      <c r="H125">
        <v>2.1869999999999998</v>
      </c>
      <c r="I125" t="s">
        <v>461</v>
      </c>
      <c r="J125" t="s">
        <v>174</v>
      </c>
      <c r="K125">
        <v>106166034</v>
      </c>
      <c r="L125" s="2">
        <v>43882</v>
      </c>
      <c r="M125">
        <v>30</v>
      </c>
      <c r="N125">
        <v>1</v>
      </c>
      <c r="O125">
        <v>7</v>
      </c>
      <c r="P125">
        <v>5</v>
      </c>
      <c r="Q125" t="s">
        <v>21</v>
      </c>
    </row>
    <row r="126" spans="1:17" x14ac:dyDescent="0.55000000000000004">
      <c r="A126">
        <v>0</v>
      </c>
      <c r="B126" t="s">
        <v>172</v>
      </c>
      <c r="C126">
        <v>0</v>
      </c>
      <c r="E126" t="s">
        <v>0</v>
      </c>
      <c r="F126" t="s">
        <v>177</v>
      </c>
      <c r="G126" t="s">
        <v>172</v>
      </c>
      <c r="H126">
        <v>2.1869999999999998</v>
      </c>
      <c r="I126" t="s">
        <v>461</v>
      </c>
      <c r="J126" t="s">
        <v>174</v>
      </c>
      <c r="K126">
        <v>105017162</v>
      </c>
      <c r="L126" s="2">
        <v>42785</v>
      </c>
      <c r="M126">
        <v>21</v>
      </c>
      <c r="N126">
        <v>1</v>
      </c>
      <c r="O126">
        <v>7</v>
      </c>
      <c r="P126">
        <v>5</v>
      </c>
      <c r="Q126" t="s">
        <v>21</v>
      </c>
    </row>
    <row r="127" spans="1:17" x14ac:dyDescent="0.55000000000000004">
      <c r="A127">
        <v>0</v>
      </c>
      <c r="B127" t="s">
        <v>172</v>
      </c>
      <c r="C127">
        <v>0</v>
      </c>
      <c r="E127" t="s">
        <v>0</v>
      </c>
      <c r="F127" t="s">
        <v>180</v>
      </c>
      <c r="G127" t="s">
        <v>172</v>
      </c>
      <c r="H127">
        <v>2.1869999999999998</v>
      </c>
      <c r="I127" t="s">
        <v>461</v>
      </c>
      <c r="J127" t="s">
        <v>174</v>
      </c>
      <c r="K127">
        <v>105337165</v>
      </c>
      <c r="L127" s="2">
        <v>43097</v>
      </c>
      <c r="M127">
        <v>19</v>
      </c>
      <c r="N127">
        <v>1</v>
      </c>
      <c r="O127">
        <v>0</v>
      </c>
      <c r="P127">
        <v>5</v>
      </c>
      <c r="Q127" t="s">
        <v>21</v>
      </c>
    </row>
    <row r="128" spans="1:17" x14ac:dyDescent="0.55000000000000004">
      <c r="A128">
        <v>0</v>
      </c>
      <c r="B128" t="s">
        <v>172</v>
      </c>
      <c r="C128">
        <v>0</v>
      </c>
      <c r="E128" t="s">
        <v>0</v>
      </c>
      <c r="F128" t="s">
        <v>178</v>
      </c>
      <c r="G128" t="s">
        <v>172</v>
      </c>
      <c r="H128">
        <v>2.1869999999999998</v>
      </c>
      <c r="I128" t="s">
        <v>461</v>
      </c>
      <c r="J128" t="s">
        <v>174</v>
      </c>
      <c r="K128">
        <v>105661571</v>
      </c>
      <c r="L128" s="2">
        <v>43406</v>
      </c>
      <c r="M128">
        <v>30</v>
      </c>
      <c r="N128">
        <v>1</v>
      </c>
      <c r="O128">
        <v>7</v>
      </c>
      <c r="P128">
        <v>2</v>
      </c>
      <c r="Q128" t="s">
        <v>15</v>
      </c>
    </row>
    <row r="129" spans="1:17" x14ac:dyDescent="0.55000000000000004">
      <c r="A129">
        <v>0</v>
      </c>
      <c r="B129" t="s">
        <v>172</v>
      </c>
      <c r="C129">
        <v>0</v>
      </c>
      <c r="E129" t="s">
        <v>0</v>
      </c>
      <c r="F129" t="s">
        <v>173</v>
      </c>
      <c r="G129" t="s">
        <v>172</v>
      </c>
      <c r="H129">
        <v>2.1869999999999998</v>
      </c>
      <c r="I129" t="s">
        <v>461</v>
      </c>
      <c r="J129" t="s">
        <v>174</v>
      </c>
      <c r="K129">
        <v>106665038</v>
      </c>
      <c r="L129" s="2">
        <v>44428</v>
      </c>
      <c r="M129">
        <v>19</v>
      </c>
      <c r="N129">
        <v>1</v>
      </c>
      <c r="O129">
        <v>7</v>
      </c>
      <c r="P129">
        <v>5</v>
      </c>
      <c r="Q129" t="s">
        <v>21</v>
      </c>
    </row>
    <row r="130" spans="1:17" x14ac:dyDescent="0.55000000000000004">
      <c r="A130">
        <v>0</v>
      </c>
      <c r="B130" t="s">
        <v>172</v>
      </c>
      <c r="C130">
        <v>0</v>
      </c>
      <c r="E130" t="s">
        <v>0</v>
      </c>
      <c r="F130" t="s">
        <v>173</v>
      </c>
      <c r="G130" t="s">
        <v>172</v>
      </c>
      <c r="H130">
        <v>2.1869999999999998</v>
      </c>
      <c r="I130" t="s">
        <v>461</v>
      </c>
      <c r="J130" t="s">
        <v>174</v>
      </c>
      <c r="K130">
        <v>104944176</v>
      </c>
      <c r="L130" s="2">
        <v>42711</v>
      </c>
      <c r="M130">
        <v>30</v>
      </c>
      <c r="N130">
        <v>1</v>
      </c>
      <c r="O130">
        <v>7</v>
      </c>
      <c r="P130">
        <v>5</v>
      </c>
      <c r="Q130" t="s">
        <v>21</v>
      </c>
    </row>
    <row r="131" spans="1:17" x14ac:dyDescent="0.55000000000000004">
      <c r="A131">
        <v>0</v>
      </c>
      <c r="B131" t="s">
        <v>172</v>
      </c>
      <c r="C131">
        <v>0</v>
      </c>
      <c r="E131" t="s">
        <v>0</v>
      </c>
      <c r="F131" t="s">
        <v>173</v>
      </c>
      <c r="G131" t="s">
        <v>172</v>
      </c>
      <c r="H131">
        <v>2.1869999999999998</v>
      </c>
      <c r="I131" t="s">
        <v>461</v>
      </c>
      <c r="J131" t="s">
        <v>174</v>
      </c>
      <c r="K131">
        <v>106158177</v>
      </c>
      <c r="L131" s="2">
        <v>43876</v>
      </c>
      <c r="M131">
        <v>23</v>
      </c>
      <c r="N131">
        <v>1</v>
      </c>
      <c r="O131">
        <v>7</v>
      </c>
      <c r="P131">
        <v>5</v>
      </c>
      <c r="Q131" t="s">
        <v>15</v>
      </c>
    </row>
    <row r="132" spans="1:17" x14ac:dyDescent="0.55000000000000004">
      <c r="A132">
        <v>0</v>
      </c>
      <c r="B132" t="s">
        <v>172</v>
      </c>
      <c r="C132">
        <v>0</v>
      </c>
      <c r="E132" t="s">
        <v>0</v>
      </c>
      <c r="F132" t="s">
        <v>173</v>
      </c>
      <c r="G132" t="s">
        <v>172</v>
      </c>
      <c r="H132">
        <v>2.1869999999999998</v>
      </c>
      <c r="I132" t="s">
        <v>461</v>
      </c>
      <c r="J132" t="s">
        <v>174</v>
      </c>
      <c r="K132">
        <v>105234553</v>
      </c>
      <c r="L132" s="2">
        <v>43005</v>
      </c>
      <c r="M132">
        <v>30</v>
      </c>
      <c r="N132">
        <v>1</v>
      </c>
      <c r="O132">
        <v>7</v>
      </c>
      <c r="P132">
        <v>4</v>
      </c>
      <c r="Q132" t="s">
        <v>21</v>
      </c>
    </row>
    <row r="133" spans="1:17" x14ac:dyDescent="0.55000000000000004">
      <c r="A133">
        <v>0</v>
      </c>
      <c r="B133" t="s">
        <v>172</v>
      </c>
      <c r="C133">
        <v>0</v>
      </c>
      <c r="E133" t="s">
        <v>0</v>
      </c>
      <c r="F133" t="s">
        <v>176</v>
      </c>
      <c r="G133" t="s">
        <v>172</v>
      </c>
      <c r="H133">
        <v>2.1869999999999998</v>
      </c>
      <c r="I133" t="s">
        <v>461</v>
      </c>
      <c r="J133" t="s">
        <v>174</v>
      </c>
      <c r="K133">
        <v>106120987</v>
      </c>
      <c r="L133" s="2">
        <v>43839</v>
      </c>
      <c r="M133">
        <v>24</v>
      </c>
      <c r="N133">
        <v>1</v>
      </c>
      <c r="O133">
        <v>7</v>
      </c>
      <c r="P133">
        <v>2</v>
      </c>
      <c r="Q133" t="s">
        <v>21</v>
      </c>
    </row>
    <row r="134" spans="1:17" x14ac:dyDescent="0.55000000000000004">
      <c r="A134">
        <v>0</v>
      </c>
      <c r="B134" t="s">
        <v>172</v>
      </c>
      <c r="C134">
        <v>0</v>
      </c>
      <c r="E134" t="s">
        <v>0</v>
      </c>
      <c r="F134" t="s">
        <v>176</v>
      </c>
      <c r="G134" t="s">
        <v>172</v>
      </c>
      <c r="H134">
        <v>2.1869999999999998</v>
      </c>
      <c r="I134" t="s">
        <v>461</v>
      </c>
      <c r="J134" t="s">
        <v>174</v>
      </c>
      <c r="K134">
        <v>105678852</v>
      </c>
      <c r="L134" s="2">
        <v>43420</v>
      </c>
      <c r="M134">
        <v>23</v>
      </c>
      <c r="N134">
        <v>1</v>
      </c>
      <c r="O134">
        <v>7</v>
      </c>
      <c r="P134">
        <v>3</v>
      </c>
      <c r="Q134" t="s">
        <v>45</v>
      </c>
    </row>
    <row r="135" spans="1:17" x14ac:dyDescent="0.55000000000000004">
      <c r="A135">
        <v>0</v>
      </c>
      <c r="B135" t="s">
        <v>172</v>
      </c>
      <c r="C135">
        <v>0</v>
      </c>
      <c r="E135" t="s">
        <v>0</v>
      </c>
      <c r="F135" t="s">
        <v>135</v>
      </c>
      <c r="G135" t="s">
        <v>172</v>
      </c>
      <c r="H135">
        <v>13.22</v>
      </c>
      <c r="I135" t="s">
        <v>461</v>
      </c>
      <c r="J135" t="s">
        <v>174</v>
      </c>
      <c r="K135">
        <v>106371815</v>
      </c>
      <c r="L135" s="2">
        <v>44121</v>
      </c>
      <c r="M135">
        <v>23</v>
      </c>
      <c r="N135">
        <v>1</v>
      </c>
      <c r="O135">
        <v>8</v>
      </c>
      <c r="P135">
        <v>1</v>
      </c>
      <c r="Q135" t="s">
        <v>21</v>
      </c>
    </row>
    <row r="136" spans="1:17" x14ac:dyDescent="0.55000000000000004">
      <c r="A136">
        <v>0</v>
      </c>
      <c r="B136" t="s">
        <v>172</v>
      </c>
      <c r="C136">
        <v>0</v>
      </c>
      <c r="E136" t="s">
        <v>0</v>
      </c>
      <c r="F136" t="s">
        <v>135</v>
      </c>
      <c r="G136" t="s">
        <v>172</v>
      </c>
      <c r="H136">
        <v>13.22</v>
      </c>
      <c r="I136" t="s">
        <v>461</v>
      </c>
      <c r="J136" t="s">
        <v>174</v>
      </c>
      <c r="K136">
        <v>106235987</v>
      </c>
      <c r="L136" s="2">
        <v>43969</v>
      </c>
      <c r="M136">
        <v>23</v>
      </c>
      <c r="N136">
        <v>2</v>
      </c>
      <c r="O136">
        <v>8</v>
      </c>
      <c r="P136">
        <v>1</v>
      </c>
      <c r="Q136" t="s">
        <v>15</v>
      </c>
    </row>
    <row r="137" spans="1:17" x14ac:dyDescent="0.55000000000000004">
      <c r="A137">
        <v>0</v>
      </c>
      <c r="B137" t="s">
        <v>172</v>
      </c>
      <c r="C137">
        <v>0</v>
      </c>
      <c r="E137" t="s">
        <v>0</v>
      </c>
      <c r="F137" t="s">
        <v>135</v>
      </c>
      <c r="G137" t="s">
        <v>172</v>
      </c>
      <c r="H137">
        <v>13.22</v>
      </c>
      <c r="I137" t="s">
        <v>461</v>
      </c>
      <c r="J137" t="s">
        <v>174</v>
      </c>
      <c r="K137">
        <v>105694494</v>
      </c>
      <c r="L137" s="2">
        <v>43433</v>
      </c>
      <c r="M137">
        <v>23</v>
      </c>
      <c r="N137">
        <v>1</v>
      </c>
      <c r="O137">
        <v>8</v>
      </c>
      <c r="P137">
        <v>1</v>
      </c>
      <c r="Q137" t="s">
        <v>15</v>
      </c>
    </row>
    <row r="138" spans="1:17" x14ac:dyDescent="0.55000000000000004">
      <c r="A138">
        <v>0</v>
      </c>
      <c r="B138" t="s">
        <v>172</v>
      </c>
      <c r="C138">
        <v>0</v>
      </c>
      <c r="E138" t="s">
        <v>0</v>
      </c>
      <c r="F138" t="s">
        <v>135</v>
      </c>
      <c r="G138" t="s">
        <v>172</v>
      </c>
      <c r="H138">
        <v>13.22</v>
      </c>
      <c r="I138" t="s">
        <v>461</v>
      </c>
      <c r="J138" t="s">
        <v>174</v>
      </c>
      <c r="K138">
        <v>105801362</v>
      </c>
      <c r="L138" s="2">
        <v>43535</v>
      </c>
      <c r="M138">
        <v>23</v>
      </c>
      <c r="N138">
        <v>1</v>
      </c>
      <c r="O138">
        <v>8</v>
      </c>
      <c r="P138">
        <v>1</v>
      </c>
      <c r="Q138" t="s">
        <v>21</v>
      </c>
    </row>
    <row r="139" spans="1:17" x14ac:dyDescent="0.55000000000000004">
      <c r="A139">
        <v>0</v>
      </c>
      <c r="B139" t="s">
        <v>172</v>
      </c>
      <c r="C139">
        <v>0</v>
      </c>
      <c r="E139" t="s">
        <v>0</v>
      </c>
      <c r="F139" t="s">
        <v>135</v>
      </c>
      <c r="G139" t="s">
        <v>172</v>
      </c>
      <c r="H139">
        <v>13.22</v>
      </c>
      <c r="I139" t="s">
        <v>461</v>
      </c>
      <c r="J139" t="s">
        <v>174</v>
      </c>
      <c r="K139">
        <v>105648550</v>
      </c>
      <c r="L139" s="2">
        <v>43397</v>
      </c>
      <c r="M139">
        <v>23</v>
      </c>
      <c r="N139">
        <v>1</v>
      </c>
      <c r="O139">
        <v>8</v>
      </c>
      <c r="P139">
        <v>1</v>
      </c>
      <c r="Q139" t="s">
        <v>45</v>
      </c>
    </row>
    <row r="140" spans="1:17" x14ac:dyDescent="0.55000000000000004">
      <c r="A140">
        <v>0</v>
      </c>
      <c r="B140" t="s">
        <v>172</v>
      </c>
      <c r="C140">
        <v>0</v>
      </c>
      <c r="E140" t="s">
        <v>0</v>
      </c>
      <c r="F140" t="s">
        <v>135</v>
      </c>
      <c r="G140" t="s">
        <v>172</v>
      </c>
      <c r="H140">
        <v>13.22</v>
      </c>
      <c r="I140" t="s">
        <v>461</v>
      </c>
      <c r="J140" t="s">
        <v>174</v>
      </c>
      <c r="K140">
        <v>105145284</v>
      </c>
      <c r="L140" s="2">
        <v>42912</v>
      </c>
      <c r="M140">
        <v>21</v>
      </c>
      <c r="N140">
        <v>1</v>
      </c>
      <c r="O140">
        <v>8</v>
      </c>
      <c r="P140">
        <v>1</v>
      </c>
      <c r="Q140" t="s">
        <v>15</v>
      </c>
    </row>
    <row r="141" spans="1:17" x14ac:dyDescent="0.55000000000000004">
      <c r="A141">
        <v>0</v>
      </c>
      <c r="B141" t="s">
        <v>172</v>
      </c>
      <c r="C141">
        <v>0</v>
      </c>
      <c r="E141" t="s">
        <v>0</v>
      </c>
      <c r="F141" t="s">
        <v>135</v>
      </c>
      <c r="G141" t="s">
        <v>172</v>
      </c>
      <c r="H141">
        <v>13.22</v>
      </c>
      <c r="I141" t="s">
        <v>461</v>
      </c>
      <c r="J141" t="s">
        <v>174</v>
      </c>
      <c r="K141">
        <v>105298974</v>
      </c>
      <c r="L141" s="2">
        <v>43060</v>
      </c>
      <c r="M141">
        <v>23</v>
      </c>
      <c r="N141">
        <v>1</v>
      </c>
      <c r="O141">
        <v>8</v>
      </c>
      <c r="P141">
        <v>1</v>
      </c>
      <c r="Q141" t="s">
        <v>15</v>
      </c>
    </row>
    <row r="142" spans="1:17" x14ac:dyDescent="0.55000000000000004">
      <c r="A142">
        <v>0</v>
      </c>
      <c r="B142" t="s">
        <v>172</v>
      </c>
      <c r="C142">
        <v>0</v>
      </c>
      <c r="E142" t="s">
        <v>0</v>
      </c>
      <c r="F142" t="s">
        <v>135</v>
      </c>
      <c r="G142" t="s">
        <v>172</v>
      </c>
      <c r="H142">
        <v>13.22</v>
      </c>
      <c r="I142" t="s">
        <v>461</v>
      </c>
      <c r="J142" t="s">
        <v>174</v>
      </c>
      <c r="K142">
        <v>105210702</v>
      </c>
      <c r="L142" s="2">
        <v>42982</v>
      </c>
      <c r="M142">
        <v>23</v>
      </c>
      <c r="N142">
        <v>1</v>
      </c>
      <c r="O142">
        <v>8</v>
      </c>
      <c r="P142">
        <v>1</v>
      </c>
      <c r="Q142" t="s">
        <v>21</v>
      </c>
    </row>
    <row r="143" spans="1:17" x14ac:dyDescent="0.55000000000000004">
      <c r="A143">
        <v>0</v>
      </c>
      <c r="B143" t="s">
        <v>172</v>
      </c>
      <c r="C143">
        <v>0</v>
      </c>
      <c r="E143" t="s">
        <v>0</v>
      </c>
      <c r="F143" t="s">
        <v>181</v>
      </c>
      <c r="G143" t="s">
        <v>172</v>
      </c>
      <c r="H143">
        <v>13.22</v>
      </c>
      <c r="I143" t="s">
        <v>461</v>
      </c>
      <c r="J143" t="s">
        <v>174</v>
      </c>
      <c r="K143">
        <v>106592846</v>
      </c>
      <c r="L143" s="2">
        <v>44342</v>
      </c>
      <c r="M143">
        <v>28</v>
      </c>
      <c r="N143">
        <v>1</v>
      </c>
      <c r="O143">
        <v>0</v>
      </c>
      <c r="P143">
        <v>1</v>
      </c>
      <c r="Q143" t="s">
        <v>21</v>
      </c>
    </row>
    <row r="144" spans="1:17" x14ac:dyDescent="0.55000000000000004">
      <c r="A144">
        <v>0</v>
      </c>
      <c r="B144" t="s">
        <v>172</v>
      </c>
      <c r="C144">
        <v>0</v>
      </c>
      <c r="E144" t="s">
        <v>0</v>
      </c>
      <c r="F144" t="s">
        <v>181</v>
      </c>
      <c r="G144" t="s">
        <v>172</v>
      </c>
      <c r="H144">
        <v>13.22</v>
      </c>
      <c r="I144" t="s">
        <v>461</v>
      </c>
      <c r="J144" t="s">
        <v>174</v>
      </c>
      <c r="K144">
        <v>106033256</v>
      </c>
      <c r="L144" s="2">
        <v>43758</v>
      </c>
      <c r="M144">
        <v>19</v>
      </c>
      <c r="N144">
        <v>1</v>
      </c>
      <c r="O144">
        <v>8</v>
      </c>
      <c r="P144">
        <v>1</v>
      </c>
      <c r="Q144" t="s">
        <v>21</v>
      </c>
    </row>
    <row r="145" spans="1:17" x14ac:dyDescent="0.55000000000000004">
      <c r="A145">
        <v>0</v>
      </c>
      <c r="B145" t="s">
        <v>172</v>
      </c>
      <c r="C145">
        <v>0</v>
      </c>
      <c r="E145" t="s">
        <v>0</v>
      </c>
      <c r="F145" t="s">
        <v>181</v>
      </c>
      <c r="G145" t="s">
        <v>172</v>
      </c>
      <c r="H145">
        <v>13.22</v>
      </c>
      <c r="I145" t="s">
        <v>461</v>
      </c>
      <c r="J145" t="s">
        <v>174</v>
      </c>
      <c r="K145">
        <v>105385228</v>
      </c>
      <c r="L145" s="2">
        <v>43147</v>
      </c>
      <c r="M145">
        <v>24</v>
      </c>
      <c r="N145">
        <v>1</v>
      </c>
      <c r="O145">
        <v>8</v>
      </c>
      <c r="P145">
        <v>1</v>
      </c>
      <c r="Q145" t="s">
        <v>21</v>
      </c>
    </row>
    <row r="146" spans="1:17" x14ac:dyDescent="0.55000000000000004">
      <c r="A146">
        <v>0</v>
      </c>
      <c r="B146" t="s">
        <v>172</v>
      </c>
      <c r="C146">
        <v>0</v>
      </c>
      <c r="E146" t="s">
        <v>0</v>
      </c>
      <c r="F146" t="s">
        <v>182</v>
      </c>
      <c r="G146" t="s">
        <v>172</v>
      </c>
      <c r="H146">
        <v>13.22</v>
      </c>
      <c r="I146" t="s">
        <v>461</v>
      </c>
      <c r="J146" t="s">
        <v>174</v>
      </c>
      <c r="K146">
        <v>106474149</v>
      </c>
      <c r="L146" s="2">
        <v>44222</v>
      </c>
      <c r="M146">
        <v>24</v>
      </c>
      <c r="N146">
        <v>2</v>
      </c>
      <c r="O146">
        <v>4</v>
      </c>
      <c r="P146">
        <v>5</v>
      </c>
      <c r="Q146" t="s">
        <v>15</v>
      </c>
    </row>
    <row r="147" spans="1:17" x14ac:dyDescent="0.55000000000000004">
      <c r="A147">
        <v>0</v>
      </c>
      <c r="B147" t="s">
        <v>172</v>
      </c>
      <c r="C147">
        <v>0</v>
      </c>
      <c r="E147" t="s">
        <v>0</v>
      </c>
      <c r="F147" t="s">
        <v>182</v>
      </c>
      <c r="G147" t="s">
        <v>172</v>
      </c>
      <c r="H147">
        <v>13.22</v>
      </c>
      <c r="I147" t="s">
        <v>461</v>
      </c>
      <c r="J147" t="s">
        <v>174</v>
      </c>
      <c r="K147">
        <v>106231541</v>
      </c>
      <c r="L147" s="2">
        <v>43971</v>
      </c>
      <c r="M147">
        <v>24</v>
      </c>
      <c r="N147">
        <v>2</v>
      </c>
      <c r="O147">
        <v>8</v>
      </c>
      <c r="P147">
        <v>1</v>
      </c>
      <c r="Q147" t="s">
        <v>21</v>
      </c>
    </row>
    <row r="148" spans="1:17" x14ac:dyDescent="0.55000000000000004">
      <c r="A148">
        <v>0</v>
      </c>
      <c r="B148" t="s">
        <v>172</v>
      </c>
      <c r="C148">
        <v>0</v>
      </c>
      <c r="E148" t="s">
        <v>0</v>
      </c>
      <c r="F148" t="s">
        <v>182</v>
      </c>
      <c r="G148" t="s">
        <v>172</v>
      </c>
      <c r="H148">
        <v>13.22</v>
      </c>
      <c r="I148" t="s">
        <v>461</v>
      </c>
      <c r="J148" t="s">
        <v>174</v>
      </c>
      <c r="K148">
        <v>105564308</v>
      </c>
      <c r="L148" s="2">
        <v>43318</v>
      </c>
      <c r="M148">
        <v>21</v>
      </c>
      <c r="N148">
        <v>2</v>
      </c>
      <c r="O148">
        <v>8</v>
      </c>
      <c r="P148">
        <v>1</v>
      </c>
      <c r="Q148" t="s">
        <v>21</v>
      </c>
    </row>
    <row r="149" spans="1:17" x14ac:dyDescent="0.55000000000000004">
      <c r="A149">
        <v>0</v>
      </c>
      <c r="B149" t="s">
        <v>172</v>
      </c>
      <c r="C149">
        <v>2E-3</v>
      </c>
      <c r="D149" t="s">
        <v>68</v>
      </c>
      <c r="E149" t="s">
        <v>0</v>
      </c>
      <c r="F149" t="s">
        <v>135</v>
      </c>
      <c r="G149" t="s">
        <v>172</v>
      </c>
      <c r="H149">
        <v>13.222</v>
      </c>
      <c r="I149" t="s">
        <v>461</v>
      </c>
      <c r="J149" t="s">
        <v>174</v>
      </c>
      <c r="K149">
        <v>106220177</v>
      </c>
      <c r="L149" s="2">
        <v>43958</v>
      </c>
      <c r="M149">
        <v>21</v>
      </c>
      <c r="N149">
        <v>1</v>
      </c>
      <c r="O149">
        <v>8</v>
      </c>
      <c r="P149">
        <v>1</v>
      </c>
      <c r="Q149" t="s">
        <v>21</v>
      </c>
    </row>
    <row r="150" spans="1:17" x14ac:dyDescent="0.55000000000000004">
      <c r="A150">
        <v>0</v>
      </c>
      <c r="B150" t="s">
        <v>172</v>
      </c>
      <c r="C150">
        <v>4.0000000000000001E-3</v>
      </c>
      <c r="D150" t="s">
        <v>68</v>
      </c>
      <c r="E150" t="s">
        <v>0</v>
      </c>
      <c r="F150" t="s">
        <v>135</v>
      </c>
      <c r="G150" t="s">
        <v>172</v>
      </c>
      <c r="H150">
        <v>13.224</v>
      </c>
      <c r="I150" t="s">
        <v>461</v>
      </c>
      <c r="J150" t="s">
        <v>174</v>
      </c>
      <c r="K150">
        <v>106323076</v>
      </c>
      <c r="L150" s="2">
        <v>44074</v>
      </c>
      <c r="M150">
        <v>26</v>
      </c>
      <c r="N150">
        <v>1</v>
      </c>
      <c r="O150">
        <v>8</v>
      </c>
      <c r="P150">
        <v>1</v>
      </c>
      <c r="Q150" t="s">
        <v>21</v>
      </c>
    </row>
    <row r="151" spans="1:17" x14ac:dyDescent="0.55000000000000004">
      <c r="A151">
        <v>0</v>
      </c>
      <c r="B151" t="s">
        <v>172</v>
      </c>
      <c r="C151">
        <v>1.9E-2</v>
      </c>
      <c r="D151" t="s">
        <v>68</v>
      </c>
      <c r="E151" t="s">
        <v>0</v>
      </c>
      <c r="F151" t="s">
        <v>135</v>
      </c>
      <c r="G151" t="s">
        <v>172</v>
      </c>
      <c r="H151">
        <v>13.239000000000001</v>
      </c>
      <c r="I151" t="s">
        <v>461</v>
      </c>
      <c r="J151" t="s">
        <v>174</v>
      </c>
      <c r="K151">
        <v>106435081</v>
      </c>
      <c r="L151" s="2">
        <v>44176</v>
      </c>
      <c r="M151">
        <v>23</v>
      </c>
      <c r="N151">
        <v>1</v>
      </c>
      <c r="O151">
        <v>0</v>
      </c>
      <c r="P151">
        <v>1</v>
      </c>
      <c r="Q151" t="s">
        <v>21</v>
      </c>
    </row>
    <row r="152" spans="1:17" x14ac:dyDescent="0.55000000000000004">
      <c r="A152">
        <v>498</v>
      </c>
      <c r="B152" t="s">
        <v>172</v>
      </c>
      <c r="C152">
        <v>0</v>
      </c>
      <c r="E152" t="s">
        <v>0</v>
      </c>
      <c r="F152" t="s">
        <v>183</v>
      </c>
      <c r="G152" t="s">
        <v>172</v>
      </c>
      <c r="H152">
        <v>999.99900000000002</v>
      </c>
      <c r="I152" t="s">
        <v>461</v>
      </c>
      <c r="K152">
        <v>105977620</v>
      </c>
      <c r="L152" s="2">
        <v>43692</v>
      </c>
      <c r="M152">
        <v>30</v>
      </c>
      <c r="N152">
        <v>1</v>
      </c>
      <c r="O152">
        <v>7</v>
      </c>
      <c r="P152">
        <v>1</v>
      </c>
      <c r="Q152" t="s">
        <v>15</v>
      </c>
    </row>
    <row r="153" spans="1:17" x14ac:dyDescent="0.55000000000000004">
      <c r="A153">
        <v>0</v>
      </c>
      <c r="B153" t="s">
        <v>172</v>
      </c>
      <c r="C153">
        <v>6.0000000000000001E-3</v>
      </c>
      <c r="D153" t="s">
        <v>18</v>
      </c>
      <c r="E153" t="s">
        <v>0</v>
      </c>
      <c r="F153" t="s">
        <v>184</v>
      </c>
      <c r="G153" t="s">
        <v>172</v>
      </c>
      <c r="H153">
        <v>999.99900000000002</v>
      </c>
      <c r="I153" t="s">
        <v>461</v>
      </c>
      <c r="K153">
        <v>106398742</v>
      </c>
      <c r="L153" s="2">
        <v>44129</v>
      </c>
      <c r="M153">
        <v>24</v>
      </c>
      <c r="N153">
        <v>2</v>
      </c>
      <c r="O153">
        <v>8</v>
      </c>
      <c r="P153">
        <v>1</v>
      </c>
      <c r="Q153" t="s">
        <v>21</v>
      </c>
    </row>
    <row r="154" spans="1:17" x14ac:dyDescent="0.55000000000000004">
      <c r="A154">
        <v>0</v>
      </c>
      <c r="B154" t="s">
        <v>172</v>
      </c>
      <c r="C154">
        <v>0</v>
      </c>
      <c r="E154" t="s">
        <v>0</v>
      </c>
      <c r="G154" t="s">
        <v>172</v>
      </c>
      <c r="H154">
        <v>999.99900000000002</v>
      </c>
      <c r="I154" t="s">
        <v>461</v>
      </c>
      <c r="K154">
        <v>105565995</v>
      </c>
      <c r="L154" s="2">
        <v>43320</v>
      </c>
      <c r="M154">
        <v>27</v>
      </c>
      <c r="N154">
        <v>2</v>
      </c>
      <c r="O154">
        <v>7</v>
      </c>
      <c r="P154">
        <v>1</v>
      </c>
      <c r="Q154" t="s">
        <v>45</v>
      </c>
    </row>
    <row r="155" spans="1:17" x14ac:dyDescent="0.55000000000000004">
      <c r="A155">
        <v>0</v>
      </c>
      <c r="B155" t="s">
        <v>0</v>
      </c>
      <c r="C155">
        <v>0</v>
      </c>
      <c r="E155" t="s">
        <v>172</v>
      </c>
      <c r="F155" t="s">
        <v>180</v>
      </c>
      <c r="G155" t="s">
        <v>0</v>
      </c>
      <c r="H155">
        <v>0</v>
      </c>
      <c r="I155" t="s">
        <v>461</v>
      </c>
      <c r="J155" t="s">
        <v>174</v>
      </c>
      <c r="K155">
        <v>105916632</v>
      </c>
      <c r="L155" s="2">
        <v>43650</v>
      </c>
      <c r="M155">
        <v>21</v>
      </c>
      <c r="N155">
        <v>1</v>
      </c>
      <c r="O155">
        <v>7</v>
      </c>
      <c r="P155">
        <v>1</v>
      </c>
      <c r="Q155" t="s">
        <v>21</v>
      </c>
    </row>
    <row r="156" spans="1:17" x14ac:dyDescent="0.55000000000000004">
      <c r="A156">
        <v>0</v>
      </c>
      <c r="B156" t="s">
        <v>0</v>
      </c>
      <c r="C156">
        <v>1</v>
      </c>
      <c r="D156" t="s">
        <v>68</v>
      </c>
      <c r="E156" t="s">
        <v>173</v>
      </c>
      <c r="F156" t="s">
        <v>185</v>
      </c>
      <c r="G156" t="s">
        <v>0</v>
      </c>
      <c r="H156">
        <v>0</v>
      </c>
      <c r="I156" t="s">
        <v>461</v>
      </c>
      <c r="K156">
        <v>106400881</v>
      </c>
      <c r="L156" s="2">
        <v>44145</v>
      </c>
      <c r="M156">
        <v>27</v>
      </c>
      <c r="N156">
        <v>1</v>
      </c>
      <c r="O156">
        <v>0</v>
      </c>
      <c r="P156">
        <v>1</v>
      </c>
      <c r="Q156" t="s">
        <v>167</v>
      </c>
    </row>
    <row r="157" spans="1:17" x14ac:dyDescent="0.55000000000000004">
      <c r="A157">
        <v>0</v>
      </c>
      <c r="B157" t="s">
        <v>0</v>
      </c>
      <c r="C157">
        <v>4.0000000000000001E-3</v>
      </c>
      <c r="D157" t="s">
        <v>30</v>
      </c>
      <c r="E157" t="s">
        <v>172</v>
      </c>
      <c r="F157" t="s">
        <v>179</v>
      </c>
      <c r="G157" t="s">
        <v>0</v>
      </c>
      <c r="H157">
        <v>4.0000000000000001E-3</v>
      </c>
      <c r="I157" t="s">
        <v>461</v>
      </c>
      <c r="J157" t="s">
        <v>174</v>
      </c>
      <c r="K157">
        <v>106231335</v>
      </c>
      <c r="L157" s="2">
        <v>43971</v>
      </c>
      <c r="M157">
        <v>31</v>
      </c>
      <c r="N157">
        <v>2</v>
      </c>
      <c r="O157">
        <v>7</v>
      </c>
      <c r="P157">
        <v>1</v>
      </c>
      <c r="Q157" t="s">
        <v>21</v>
      </c>
    </row>
    <row r="158" spans="1:17" x14ac:dyDescent="0.55000000000000004">
      <c r="A158">
        <v>0</v>
      </c>
      <c r="B158" t="s">
        <v>0</v>
      </c>
      <c r="C158">
        <v>0.2</v>
      </c>
      <c r="D158" t="s">
        <v>68</v>
      </c>
      <c r="E158" t="s">
        <v>172</v>
      </c>
      <c r="F158" t="s">
        <v>179</v>
      </c>
      <c r="G158" t="s">
        <v>0</v>
      </c>
      <c r="H158">
        <v>0.2</v>
      </c>
      <c r="I158" t="s">
        <v>461</v>
      </c>
      <c r="J158" t="s">
        <v>174</v>
      </c>
      <c r="K158">
        <v>105437961</v>
      </c>
      <c r="L158" s="2">
        <v>43196</v>
      </c>
      <c r="M158">
        <v>19</v>
      </c>
      <c r="N158">
        <v>1</v>
      </c>
      <c r="O158">
        <v>0</v>
      </c>
      <c r="P158">
        <v>5</v>
      </c>
      <c r="Q158" t="s">
        <v>21</v>
      </c>
    </row>
    <row r="159" spans="1:17" x14ac:dyDescent="0.55000000000000004">
      <c r="A159">
        <v>0</v>
      </c>
      <c r="B159" t="s">
        <v>0</v>
      </c>
      <c r="C159">
        <v>0.2</v>
      </c>
      <c r="D159" t="s">
        <v>68</v>
      </c>
      <c r="E159" t="s">
        <v>172</v>
      </c>
      <c r="F159" t="s">
        <v>173</v>
      </c>
      <c r="G159" t="s">
        <v>0</v>
      </c>
      <c r="H159">
        <v>0.2</v>
      </c>
      <c r="I159" t="s">
        <v>461</v>
      </c>
      <c r="J159" t="s">
        <v>174</v>
      </c>
      <c r="K159">
        <v>106421331</v>
      </c>
      <c r="L159" s="2">
        <v>44164</v>
      </c>
      <c r="M159">
        <v>21</v>
      </c>
      <c r="N159">
        <v>2</v>
      </c>
      <c r="O159">
        <v>0</v>
      </c>
      <c r="P159">
        <v>5</v>
      </c>
      <c r="Q159" t="s">
        <v>45</v>
      </c>
    </row>
    <row r="160" spans="1:17" x14ac:dyDescent="0.55000000000000004">
      <c r="A160">
        <v>0</v>
      </c>
      <c r="B160" t="s">
        <v>0</v>
      </c>
      <c r="C160">
        <v>0</v>
      </c>
      <c r="E160" t="s">
        <v>179</v>
      </c>
      <c r="F160" t="s">
        <v>0</v>
      </c>
      <c r="G160" t="s">
        <v>0</v>
      </c>
      <c r="H160">
        <v>0.43099999999999999</v>
      </c>
      <c r="I160" t="s">
        <v>461</v>
      </c>
      <c r="K160">
        <v>105168536</v>
      </c>
      <c r="L160" s="2">
        <v>42937</v>
      </c>
      <c r="M160">
        <v>26</v>
      </c>
      <c r="N160">
        <v>1</v>
      </c>
      <c r="O160">
        <v>8</v>
      </c>
      <c r="P160">
        <v>1</v>
      </c>
      <c r="Q160" t="s">
        <v>21</v>
      </c>
    </row>
    <row r="161" spans="1:17" x14ac:dyDescent="0.55000000000000004">
      <c r="A161">
        <v>0</v>
      </c>
      <c r="B161" t="s">
        <v>0</v>
      </c>
      <c r="C161">
        <v>0</v>
      </c>
      <c r="E161" t="s">
        <v>179</v>
      </c>
      <c r="F161" t="s">
        <v>3</v>
      </c>
      <c r="G161" t="s">
        <v>0</v>
      </c>
      <c r="H161">
        <v>0.43099999999999999</v>
      </c>
      <c r="I161" t="s">
        <v>461</v>
      </c>
      <c r="K161">
        <v>105523508</v>
      </c>
      <c r="L161" s="2">
        <v>43276</v>
      </c>
      <c r="M161">
        <v>30</v>
      </c>
      <c r="N161">
        <v>2</v>
      </c>
      <c r="O161">
        <v>7</v>
      </c>
      <c r="P161">
        <v>2</v>
      </c>
      <c r="Q161" t="s">
        <v>15</v>
      </c>
    </row>
    <row r="162" spans="1:17" x14ac:dyDescent="0.55000000000000004">
      <c r="A162">
        <v>0</v>
      </c>
      <c r="B162" t="s">
        <v>0</v>
      </c>
      <c r="C162">
        <v>0</v>
      </c>
      <c r="E162" t="s">
        <v>179</v>
      </c>
      <c r="F162" t="s">
        <v>186</v>
      </c>
      <c r="G162" t="s">
        <v>0</v>
      </c>
      <c r="H162">
        <v>0.43099999999999999</v>
      </c>
      <c r="I162" t="s">
        <v>461</v>
      </c>
      <c r="K162">
        <v>105638910</v>
      </c>
      <c r="L162" s="2">
        <v>43388</v>
      </c>
      <c r="M162">
        <v>30</v>
      </c>
      <c r="N162">
        <v>1</v>
      </c>
      <c r="O162">
        <v>8</v>
      </c>
      <c r="P162">
        <v>5</v>
      </c>
      <c r="Q162" t="s">
        <v>21</v>
      </c>
    </row>
    <row r="163" spans="1:17" x14ac:dyDescent="0.55000000000000004">
      <c r="A163">
        <v>0</v>
      </c>
      <c r="B163" t="s">
        <v>0</v>
      </c>
      <c r="C163">
        <v>0.5</v>
      </c>
      <c r="D163" t="s">
        <v>30</v>
      </c>
      <c r="E163" t="s">
        <v>172</v>
      </c>
      <c r="F163" t="s">
        <v>185</v>
      </c>
      <c r="G163" t="s">
        <v>0</v>
      </c>
      <c r="H163">
        <v>0.5</v>
      </c>
      <c r="I163" t="s">
        <v>461</v>
      </c>
      <c r="J163" t="s">
        <v>174</v>
      </c>
      <c r="K163">
        <v>106239552</v>
      </c>
      <c r="L163" s="2">
        <v>43980</v>
      </c>
      <c r="M163">
        <v>17</v>
      </c>
      <c r="N163">
        <v>1</v>
      </c>
      <c r="O163">
        <v>0</v>
      </c>
      <c r="P163">
        <v>5</v>
      </c>
      <c r="Q163" t="s">
        <v>15</v>
      </c>
    </row>
    <row r="164" spans="1:17" x14ac:dyDescent="0.55000000000000004">
      <c r="A164">
        <v>0</v>
      </c>
      <c r="B164" t="s">
        <v>0</v>
      </c>
      <c r="C164">
        <v>0.1</v>
      </c>
      <c r="D164" t="s">
        <v>18</v>
      </c>
      <c r="E164" t="s">
        <v>179</v>
      </c>
      <c r="F164" t="s">
        <v>0</v>
      </c>
      <c r="G164" t="s">
        <v>0</v>
      </c>
      <c r="H164">
        <v>0.53100000000000003</v>
      </c>
      <c r="I164" t="s">
        <v>461</v>
      </c>
      <c r="K164">
        <v>105702681</v>
      </c>
      <c r="L164" s="2">
        <v>43442</v>
      </c>
      <c r="M164">
        <v>19</v>
      </c>
      <c r="N164">
        <v>5</v>
      </c>
      <c r="O164">
        <v>0</v>
      </c>
      <c r="P164">
        <v>5</v>
      </c>
      <c r="Q164" t="s">
        <v>21</v>
      </c>
    </row>
    <row r="165" spans="1:17" x14ac:dyDescent="0.55000000000000004">
      <c r="A165">
        <v>0</v>
      </c>
      <c r="B165" t="s">
        <v>0</v>
      </c>
      <c r="C165">
        <v>6.0000000000000001E-3</v>
      </c>
      <c r="D165" t="s">
        <v>68</v>
      </c>
      <c r="E165" t="s">
        <v>187</v>
      </c>
      <c r="F165" t="s">
        <v>173</v>
      </c>
      <c r="G165" t="s">
        <v>0</v>
      </c>
      <c r="H165">
        <v>0.57199999999999995</v>
      </c>
      <c r="I165" t="s">
        <v>461</v>
      </c>
      <c r="K165">
        <v>105896708</v>
      </c>
      <c r="L165" s="2">
        <v>43631</v>
      </c>
      <c r="M165">
        <v>21</v>
      </c>
      <c r="N165">
        <v>1</v>
      </c>
      <c r="O165">
        <v>0</v>
      </c>
      <c r="P165">
        <v>1</v>
      </c>
      <c r="Q165" t="s">
        <v>21</v>
      </c>
    </row>
    <row r="166" spans="1:17" x14ac:dyDescent="0.55000000000000004">
      <c r="A166">
        <v>0</v>
      </c>
      <c r="B166" t="s">
        <v>0</v>
      </c>
      <c r="C166">
        <v>0</v>
      </c>
      <c r="E166" t="s">
        <v>187</v>
      </c>
      <c r="F166" t="s">
        <v>172</v>
      </c>
      <c r="G166" t="s">
        <v>0</v>
      </c>
      <c r="H166">
        <v>0.57799999999999996</v>
      </c>
      <c r="I166" t="s">
        <v>461</v>
      </c>
      <c r="K166">
        <v>105210876</v>
      </c>
      <c r="L166" s="2">
        <v>42983</v>
      </c>
      <c r="M166">
        <v>19</v>
      </c>
      <c r="N166">
        <v>1</v>
      </c>
      <c r="O166">
        <v>0</v>
      </c>
      <c r="P166">
        <v>1</v>
      </c>
      <c r="Q166" t="s">
        <v>15</v>
      </c>
    </row>
    <row r="167" spans="1:17" x14ac:dyDescent="0.55000000000000004">
      <c r="A167">
        <v>0</v>
      </c>
      <c r="B167" t="s">
        <v>0</v>
      </c>
      <c r="C167">
        <v>0</v>
      </c>
      <c r="E167" t="s">
        <v>188</v>
      </c>
      <c r="F167" t="s">
        <v>172</v>
      </c>
      <c r="G167" t="s">
        <v>0</v>
      </c>
      <c r="H167">
        <v>0.66700000000000004</v>
      </c>
      <c r="I167" t="s">
        <v>461</v>
      </c>
      <c r="K167">
        <v>104897042</v>
      </c>
      <c r="L167" s="2">
        <v>42672</v>
      </c>
      <c r="M167">
        <v>26</v>
      </c>
      <c r="N167">
        <v>1</v>
      </c>
      <c r="O167">
        <v>8</v>
      </c>
      <c r="P167">
        <v>1</v>
      </c>
      <c r="Q167" t="s">
        <v>21</v>
      </c>
    </row>
    <row r="168" spans="1:17" x14ac:dyDescent="0.55000000000000004">
      <c r="A168">
        <v>0</v>
      </c>
      <c r="B168" t="s">
        <v>0</v>
      </c>
      <c r="C168">
        <v>0</v>
      </c>
      <c r="E168" t="s">
        <v>173</v>
      </c>
      <c r="F168" t="s">
        <v>172</v>
      </c>
      <c r="G168" t="s">
        <v>0</v>
      </c>
      <c r="H168">
        <v>0.66700000000000004</v>
      </c>
      <c r="I168" t="s">
        <v>461</v>
      </c>
      <c r="K168">
        <v>104873149</v>
      </c>
      <c r="L168" s="2">
        <v>42648</v>
      </c>
      <c r="M168">
        <v>21</v>
      </c>
      <c r="N168">
        <v>1</v>
      </c>
      <c r="O168">
        <v>0</v>
      </c>
      <c r="P168">
        <v>1</v>
      </c>
      <c r="Q168" t="s">
        <v>21</v>
      </c>
    </row>
    <row r="169" spans="1:17" x14ac:dyDescent="0.55000000000000004">
      <c r="A169">
        <v>0</v>
      </c>
      <c r="B169" t="s">
        <v>0</v>
      </c>
      <c r="C169">
        <v>0</v>
      </c>
      <c r="E169" t="s">
        <v>173</v>
      </c>
      <c r="F169" t="s">
        <v>172</v>
      </c>
      <c r="G169" t="s">
        <v>0</v>
      </c>
      <c r="H169">
        <v>0.66700000000000004</v>
      </c>
      <c r="I169" t="s">
        <v>461</v>
      </c>
      <c r="K169">
        <v>105724023</v>
      </c>
      <c r="L169" s="2">
        <v>43461</v>
      </c>
      <c r="M169">
        <v>24</v>
      </c>
      <c r="N169">
        <v>1</v>
      </c>
      <c r="O169">
        <v>0</v>
      </c>
      <c r="P169">
        <v>1</v>
      </c>
      <c r="Q169" t="s">
        <v>15</v>
      </c>
    </row>
    <row r="170" spans="1:17" x14ac:dyDescent="0.55000000000000004">
      <c r="A170">
        <v>0</v>
      </c>
      <c r="B170" t="s">
        <v>0</v>
      </c>
      <c r="C170">
        <v>0</v>
      </c>
      <c r="E170" t="s">
        <v>173</v>
      </c>
      <c r="F170" t="s">
        <v>1</v>
      </c>
      <c r="G170" t="s">
        <v>0</v>
      </c>
      <c r="H170">
        <v>0.66700000000000004</v>
      </c>
      <c r="I170" t="s">
        <v>461</v>
      </c>
      <c r="K170">
        <v>106010623</v>
      </c>
      <c r="L170" s="2">
        <v>43740</v>
      </c>
      <c r="M170">
        <v>30</v>
      </c>
      <c r="N170">
        <v>1</v>
      </c>
      <c r="O170">
        <v>0</v>
      </c>
      <c r="P170">
        <v>1</v>
      </c>
      <c r="Q170" t="s">
        <v>15</v>
      </c>
    </row>
    <row r="171" spans="1:17" x14ac:dyDescent="0.55000000000000004">
      <c r="A171">
        <v>0</v>
      </c>
      <c r="B171" t="s">
        <v>0</v>
      </c>
      <c r="C171">
        <v>0</v>
      </c>
      <c r="E171" t="s">
        <v>189</v>
      </c>
      <c r="F171" t="s">
        <v>179</v>
      </c>
      <c r="G171" t="s">
        <v>0</v>
      </c>
      <c r="H171">
        <v>0.66700000000000004</v>
      </c>
      <c r="I171" t="s">
        <v>461</v>
      </c>
      <c r="K171">
        <v>105031820</v>
      </c>
      <c r="L171" s="2">
        <v>42803</v>
      </c>
      <c r="M171">
        <v>26</v>
      </c>
      <c r="N171">
        <v>1</v>
      </c>
      <c r="O171">
        <v>7</v>
      </c>
      <c r="P171">
        <v>1</v>
      </c>
      <c r="Q171" t="s">
        <v>21</v>
      </c>
    </row>
    <row r="172" spans="1:17" x14ac:dyDescent="0.55000000000000004">
      <c r="A172">
        <v>0</v>
      </c>
      <c r="B172" t="s">
        <v>0</v>
      </c>
      <c r="C172">
        <v>0</v>
      </c>
      <c r="E172" t="s">
        <v>189</v>
      </c>
      <c r="F172" t="s">
        <v>179</v>
      </c>
      <c r="G172" t="s">
        <v>0</v>
      </c>
      <c r="H172">
        <v>0.66700000000000004</v>
      </c>
      <c r="I172" t="s">
        <v>461</v>
      </c>
      <c r="K172">
        <v>105924988</v>
      </c>
      <c r="L172" s="2">
        <v>43660</v>
      </c>
      <c r="M172">
        <v>28</v>
      </c>
      <c r="N172">
        <v>1</v>
      </c>
      <c r="O172">
        <v>7</v>
      </c>
      <c r="P172">
        <v>5</v>
      </c>
      <c r="Q172" t="s">
        <v>167</v>
      </c>
    </row>
    <row r="173" spans="1:17" x14ac:dyDescent="0.55000000000000004">
      <c r="A173">
        <v>0</v>
      </c>
      <c r="B173" t="s">
        <v>0</v>
      </c>
      <c r="C173">
        <v>0</v>
      </c>
      <c r="E173" t="s">
        <v>189</v>
      </c>
      <c r="F173" t="s">
        <v>185</v>
      </c>
      <c r="G173" t="s">
        <v>0</v>
      </c>
      <c r="H173">
        <v>0.66700000000000004</v>
      </c>
      <c r="I173" t="s">
        <v>461</v>
      </c>
      <c r="K173">
        <v>105312488</v>
      </c>
      <c r="L173" s="2">
        <v>43073</v>
      </c>
      <c r="M173">
        <v>24</v>
      </c>
      <c r="N173">
        <v>1</v>
      </c>
      <c r="O173">
        <v>0</v>
      </c>
      <c r="P173">
        <v>5</v>
      </c>
      <c r="Q173" t="s">
        <v>190</v>
      </c>
    </row>
    <row r="174" spans="1:17" x14ac:dyDescent="0.55000000000000004">
      <c r="A174">
        <v>0</v>
      </c>
      <c r="B174" t="s">
        <v>0</v>
      </c>
      <c r="C174">
        <v>0.1</v>
      </c>
      <c r="D174" t="s">
        <v>18</v>
      </c>
      <c r="E174" t="s">
        <v>173</v>
      </c>
      <c r="F174" t="s">
        <v>1</v>
      </c>
      <c r="G174" t="s">
        <v>0</v>
      </c>
      <c r="H174">
        <v>0.76700000000000002</v>
      </c>
      <c r="I174" t="s">
        <v>461</v>
      </c>
      <c r="K174">
        <v>105967555</v>
      </c>
      <c r="L174" s="2">
        <v>43698</v>
      </c>
      <c r="M174">
        <v>21</v>
      </c>
      <c r="N174">
        <v>1</v>
      </c>
      <c r="O174">
        <v>0</v>
      </c>
      <c r="P174">
        <v>1</v>
      </c>
      <c r="Q174" t="s">
        <v>21</v>
      </c>
    </row>
    <row r="175" spans="1:17" x14ac:dyDescent="0.55000000000000004">
      <c r="A175">
        <v>0</v>
      </c>
      <c r="B175" t="s">
        <v>0</v>
      </c>
      <c r="C175">
        <v>0.1</v>
      </c>
      <c r="D175" t="s">
        <v>18</v>
      </c>
      <c r="E175" t="s">
        <v>185</v>
      </c>
      <c r="F175" t="s">
        <v>172</v>
      </c>
      <c r="G175" t="s">
        <v>0</v>
      </c>
      <c r="H175">
        <v>0.84599999999999997</v>
      </c>
      <c r="I175" t="s">
        <v>461</v>
      </c>
      <c r="K175">
        <v>106666358</v>
      </c>
      <c r="L175" s="2">
        <v>44430</v>
      </c>
      <c r="M175">
        <v>20</v>
      </c>
      <c r="N175">
        <v>1</v>
      </c>
      <c r="O175">
        <v>5</v>
      </c>
      <c r="P175">
        <v>5</v>
      </c>
      <c r="Q175" t="s">
        <v>21</v>
      </c>
    </row>
    <row r="176" spans="1:17" x14ac:dyDescent="0.55000000000000004">
      <c r="A176">
        <v>0</v>
      </c>
      <c r="B176" t="s">
        <v>0</v>
      </c>
      <c r="C176">
        <v>0.5</v>
      </c>
      <c r="D176" t="s">
        <v>30</v>
      </c>
      <c r="E176" t="s">
        <v>179</v>
      </c>
      <c r="F176" t="s">
        <v>173</v>
      </c>
      <c r="G176" t="s">
        <v>0</v>
      </c>
      <c r="H176">
        <v>0.93100000000000005</v>
      </c>
      <c r="I176" t="s">
        <v>461</v>
      </c>
      <c r="K176">
        <v>106407346</v>
      </c>
      <c r="L176" s="2">
        <v>44151</v>
      </c>
      <c r="M176">
        <v>17</v>
      </c>
      <c r="N176">
        <v>1</v>
      </c>
      <c r="O176">
        <v>0</v>
      </c>
      <c r="P176">
        <v>5</v>
      </c>
      <c r="Q176" t="s">
        <v>21</v>
      </c>
    </row>
    <row r="177" spans="1:17" x14ac:dyDescent="0.55000000000000004">
      <c r="A177">
        <v>0</v>
      </c>
      <c r="B177" t="s">
        <v>0</v>
      </c>
      <c r="C177">
        <v>0</v>
      </c>
      <c r="E177" t="s">
        <v>191</v>
      </c>
      <c r="F177" t="s">
        <v>186</v>
      </c>
      <c r="G177" t="s">
        <v>0</v>
      </c>
      <c r="H177">
        <v>1.042</v>
      </c>
      <c r="I177" t="s">
        <v>461</v>
      </c>
      <c r="K177">
        <v>105324897</v>
      </c>
      <c r="L177" s="2">
        <v>43080</v>
      </c>
      <c r="M177">
        <v>21</v>
      </c>
      <c r="N177">
        <v>1</v>
      </c>
      <c r="O177">
        <v>8</v>
      </c>
      <c r="P177">
        <v>1</v>
      </c>
      <c r="Q177" t="s">
        <v>21</v>
      </c>
    </row>
    <row r="178" spans="1:17" x14ac:dyDescent="0.55000000000000004">
      <c r="A178">
        <v>0</v>
      </c>
      <c r="B178" t="s">
        <v>0</v>
      </c>
      <c r="C178">
        <v>0</v>
      </c>
      <c r="E178" t="s">
        <v>191</v>
      </c>
      <c r="F178" t="s">
        <v>192</v>
      </c>
      <c r="G178" t="s">
        <v>0</v>
      </c>
      <c r="H178">
        <v>1.042</v>
      </c>
      <c r="I178" t="s">
        <v>461</v>
      </c>
      <c r="K178">
        <v>104965741</v>
      </c>
      <c r="L178" s="2">
        <v>42734</v>
      </c>
      <c r="M178">
        <v>28</v>
      </c>
      <c r="N178">
        <v>1</v>
      </c>
      <c r="O178">
        <v>0</v>
      </c>
      <c r="P178">
        <v>1</v>
      </c>
      <c r="Q178" t="s">
        <v>167</v>
      </c>
    </row>
    <row r="179" spans="1:17" x14ac:dyDescent="0.55000000000000004">
      <c r="A179">
        <v>0</v>
      </c>
      <c r="B179" t="s">
        <v>0</v>
      </c>
      <c r="C179">
        <v>1</v>
      </c>
      <c r="D179" t="s">
        <v>18</v>
      </c>
      <c r="E179" t="s">
        <v>186</v>
      </c>
      <c r="F179" t="s">
        <v>185</v>
      </c>
      <c r="G179" t="s">
        <v>0</v>
      </c>
      <c r="H179">
        <v>1.1659999999999999</v>
      </c>
      <c r="I179" t="s">
        <v>461</v>
      </c>
      <c r="K179">
        <v>105135737</v>
      </c>
      <c r="L179" s="2">
        <v>42901</v>
      </c>
      <c r="M179">
        <v>27</v>
      </c>
      <c r="N179">
        <v>1</v>
      </c>
      <c r="O179">
        <v>0</v>
      </c>
      <c r="P179">
        <v>1</v>
      </c>
      <c r="Q179" t="s">
        <v>167</v>
      </c>
    </row>
    <row r="180" spans="1:17" x14ac:dyDescent="0.55000000000000004">
      <c r="A180">
        <v>0</v>
      </c>
      <c r="B180" t="s">
        <v>0</v>
      </c>
      <c r="C180">
        <v>0.9</v>
      </c>
      <c r="D180" t="s">
        <v>18</v>
      </c>
      <c r="E180" t="s">
        <v>186</v>
      </c>
      <c r="F180" t="s">
        <v>185</v>
      </c>
      <c r="G180" t="s">
        <v>0</v>
      </c>
      <c r="H180">
        <v>1.266</v>
      </c>
      <c r="I180" t="s">
        <v>461</v>
      </c>
      <c r="K180">
        <v>105234527</v>
      </c>
      <c r="L180" s="2">
        <v>43005</v>
      </c>
      <c r="M180">
        <v>17</v>
      </c>
      <c r="N180">
        <v>1</v>
      </c>
      <c r="O180">
        <v>0</v>
      </c>
      <c r="P180">
        <v>5</v>
      </c>
      <c r="Q180" t="s">
        <v>21</v>
      </c>
    </row>
    <row r="181" spans="1:17" x14ac:dyDescent="0.55000000000000004">
      <c r="A181">
        <v>0</v>
      </c>
      <c r="B181" t="s">
        <v>0</v>
      </c>
      <c r="C181">
        <v>0.5</v>
      </c>
      <c r="D181" t="s">
        <v>68</v>
      </c>
      <c r="E181" t="s">
        <v>185</v>
      </c>
      <c r="F181" t="s">
        <v>186</v>
      </c>
      <c r="G181" t="s">
        <v>0</v>
      </c>
      <c r="H181">
        <v>1.446</v>
      </c>
      <c r="I181" t="s">
        <v>461</v>
      </c>
      <c r="K181">
        <v>106625274</v>
      </c>
      <c r="L181" s="2">
        <v>44383</v>
      </c>
      <c r="M181">
        <v>29</v>
      </c>
      <c r="N181">
        <v>1</v>
      </c>
      <c r="O181">
        <v>0</v>
      </c>
      <c r="P181">
        <v>1</v>
      </c>
      <c r="Q181" t="s">
        <v>15</v>
      </c>
    </row>
    <row r="182" spans="1:17" x14ac:dyDescent="0.55000000000000004">
      <c r="A182">
        <v>0</v>
      </c>
      <c r="B182" t="s">
        <v>0</v>
      </c>
      <c r="C182">
        <v>0.7</v>
      </c>
      <c r="D182" t="s">
        <v>18</v>
      </c>
      <c r="E182" t="s">
        <v>186</v>
      </c>
      <c r="F182" t="s">
        <v>185</v>
      </c>
      <c r="G182" t="s">
        <v>0</v>
      </c>
      <c r="H182">
        <v>1.466</v>
      </c>
      <c r="I182" t="s">
        <v>461</v>
      </c>
      <c r="K182">
        <v>105776148</v>
      </c>
      <c r="L182" s="2">
        <v>43511</v>
      </c>
      <c r="M182">
        <v>19</v>
      </c>
      <c r="N182">
        <v>1</v>
      </c>
      <c r="O182">
        <v>0</v>
      </c>
      <c r="P182">
        <v>5</v>
      </c>
      <c r="Q182" t="s">
        <v>21</v>
      </c>
    </row>
    <row r="183" spans="1:17" x14ac:dyDescent="0.55000000000000004">
      <c r="A183">
        <v>0</v>
      </c>
      <c r="B183" t="s">
        <v>0</v>
      </c>
      <c r="C183">
        <v>0.7</v>
      </c>
      <c r="D183" t="s">
        <v>18</v>
      </c>
      <c r="E183" t="s">
        <v>186</v>
      </c>
      <c r="F183" t="s">
        <v>191</v>
      </c>
      <c r="G183" t="s">
        <v>0</v>
      </c>
      <c r="H183">
        <v>1.466</v>
      </c>
      <c r="I183" t="s">
        <v>461</v>
      </c>
      <c r="K183">
        <v>106284963</v>
      </c>
      <c r="L183" s="2">
        <v>44034</v>
      </c>
      <c r="M183">
        <v>5</v>
      </c>
      <c r="N183">
        <v>1</v>
      </c>
      <c r="O183">
        <v>0</v>
      </c>
      <c r="P183">
        <v>1</v>
      </c>
    </row>
    <row r="184" spans="1:17" x14ac:dyDescent="0.55000000000000004">
      <c r="A184">
        <v>0</v>
      </c>
      <c r="B184" t="s">
        <v>0</v>
      </c>
      <c r="C184">
        <v>0.5</v>
      </c>
      <c r="D184" t="s">
        <v>68</v>
      </c>
      <c r="E184" t="s">
        <v>191</v>
      </c>
      <c r="F184" t="s">
        <v>186</v>
      </c>
      <c r="G184" t="s">
        <v>0</v>
      </c>
      <c r="H184">
        <v>1.542</v>
      </c>
      <c r="I184" t="s">
        <v>461</v>
      </c>
      <c r="K184">
        <v>104965219</v>
      </c>
      <c r="L184" s="2">
        <v>42738</v>
      </c>
      <c r="M184">
        <v>19</v>
      </c>
      <c r="N184">
        <v>2</v>
      </c>
      <c r="O184">
        <v>0</v>
      </c>
      <c r="P184">
        <v>5</v>
      </c>
      <c r="Q184" t="s">
        <v>21</v>
      </c>
    </row>
    <row r="185" spans="1:17" x14ac:dyDescent="0.55000000000000004">
      <c r="A185">
        <v>0</v>
      </c>
      <c r="B185" t="s">
        <v>0</v>
      </c>
      <c r="C185">
        <v>0.6</v>
      </c>
      <c r="D185" t="s">
        <v>68</v>
      </c>
      <c r="E185" t="s">
        <v>185</v>
      </c>
      <c r="F185" t="s">
        <v>186</v>
      </c>
      <c r="G185" t="s">
        <v>0</v>
      </c>
      <c r="H185">
        <v>1.546</v>
      </c>
      <c r="I185" t="s">
        <v>461</v>
      </c>
      <c r="K185">
        <v>105423495</v>
      </c>
      <c r="L185" s="2">
        <v>43184</v>
      </c>
      <c r="M185">
        <v>19</v>
      </c>
      <c r="N185">
        <v>2</v>
      </c>
      <c r="O185">
        <v>0</v>
      </c>
      <c r="P185">
        <v>5</v>
      </c>
      <c r="Q185" t="s">
        <v>15</v>
      </c>
    </row>
    <row r="186" spans="1:17" x14ac:dyDescent="0.55000000000000004">
      <c r="A186">
        <v>0</v>
      </c>
      <c r="B186" t="s">
        <v>0</v>
      </c>
      <c r="C186">
        <v>0.6</v>
      </c>
      <c r="D186" t="s">
        <v>18</v>
      </c>
      <c r="E186" t="s">
        <v>186</v>
      </c>
      <c r="F186" t="s">
        <v>185</v>
      </c>
      <c r="G186" t="s">
        <v>0</v>
      </c>
      <c r="H186">
        <v>1.5660000000000001</v>
      </c>
      <c r="I186" t="s">
        <v>461</v>
      </c>
      <c r="K186">
        <v>104956727</v>
      </c>
      <c r="L186" s="2">
        <v>42726</v>
      </c>
      <c r="M186">
        <v>27</v>
      </c>
      <c r="N186">
        <v>1</v>
      </c>
      <c r="O186">
        <v>0</v>
      </c>
      <c r="P186">
        <v>1</v>
      </c>
      <c r="Q186" t="s">
        <v>45</v>
      </c>
    </row>
    <row r="187" spans="1:17" x14ac:dyDescent="0.55000000000000004">
      <c r="A187">
        <v>0</v>
      </c>
      <c r="B187" t="s">
        <v>0</v>
      </c>
      <c r="C187">
        <v>0.5</v>
      </c>
      <c r="D187" t="s">
        <v>18</v>
      </c>
      <c r="E187" t="s">
        <v>186</v>
      </c>
      <c r="F187" t="s">
        <v>185</v>
      </c>
      <c r="G187" t="s">
        <v>0</v>
      </c>
      <c r="H187">
        <v>1.6659999999999999</v>
      </c>
      <c r="I187" t="s">
        <v>461</v>
      </c>
      <c r="K187">
        <v>105804316</v>
      </c>
      <c r="L187" s="2">
        <v>43537</v>
      </c>
      <c r="M187">
        <v>19</v>
      </c>
      <c r="N187">
        <v>1</v>
      </c>
      <c r="O187">
        <v>0</v>
      </c>
      <c r="P187">
        <v>1</v>
      </c>
      <c r="Q187" t="s">
        <v>190</v>
      </c>
    </row>
    <row r="188" spans="1:17" x14ac:dyDescent="0.55000000000000004">
      <c r="A188">
        <v>0</v>
      </c>
      <c r="B188" t="s">
        <v>0</v>
      </c>
      <c r="C188">
        <v>0.42</v>
      </c>
      <c r="D188" t="s">
        <v>193</v>
      </c>
      <c r="E188" t="s">
        <v>186</v>
      </c>
      <c r="F188" t="s">
        <v>191</v>
      </c>
      <c r="G188" t="s">
        <v>0</v>
      </c>
      <c r="H188">
        <v>1.746</v>
      </c>
      <c r="I188" t="s">
        <v>461</v>
      </c>
      <c r="K188">
        <v>106580994</v>
      </c>
      <c r="L188" s="2">
        <v>44337</v>
      </c>
      <c r="M188">
        <v>19</v>
      </c>
      <c r="N188">
        <v>1</v>
      </c>
      <c r="O188">
        <v>0</v>
      </c>
      <c r="P188">
        <v>1</v>
      </c>
      <c r="Q188" t="s">
        <v>21</v>
      </c>
    </row>
    <row r="189" spans="1:17" x14ac:dyDescent="0.55000000000000004">
      <c r="A189">
        <v>0</v>
      </c>
      <c r="B189" t="s">
        <v>0</v>
      </c>
      <c r="C189">
        <v>0.4</v>
      </c>
      <c r="D189" t="s">
        <v>18</v>
      </c>
      <c r="E189" t="s">
        <v>186</v>
      </c>
      <c r="F189" t="s">
        <v>185</v>
      </c>
      <c r="G189" t="s">
        <v>0</v>
      </c>
      <c r="H189">
        <v>1.766</v>
      </c>
      <c r="I189" t="s">
        <v>461</v>
      </c>
      <c r="K189">
        <v>106507554</v>
      </c>
      <c r="L189" s="2">
        <v>44259</v>
      </c>
      <c r="M189">
        <v>19</v>
      </c>
      <c r="N189">
        <v>1</v>
      </c>
      <c r="O189">
        <v>0</v>
      </c>
      <c r="P189">
        <v>5</v>
      </c>
      <c r="Q189" t="s">
        <v>21</v>
      </c>
    </row>
    <row r="190" spans="1:17" x14ac:dyDescent="0.55000000000000004">
      <c r="A190">
        <v>0</v>
      </c>
      <c r="B190" t="s">
        <v>0</v>
      </c>
      <c r="C190">
        <v>0.2</v>
      </c>
      <c r="D190" t="s">
        <v>18</v>
      </c>
      <c r="E190" t="s">
        <v>186</v>
      </c>
      <c r="F190" t="s">
        <v>185</v>
      </c>
      <c r="G190" t="s">
        <v>0</v>
      </c>
      <c r="H190">
        <v>1.966</v>
      </c>
      <c r="I190" t="s">
        <v>461</v>
      </c>
      <c r="K190">
        <v>105768395</v>
      </c>
      <c r="L190" s="2">
        <v>43500</v>
      </c>
      <c r="M190">
        <v>23</v>
      </c>
      <c r="N190">
        <v>1</v>
      </c>
      <c r="O190">
        <v>0</v>
      </c>
      <c r="P190">
        <v>5</v>
      </c>
      <c r="Q190" t="s">
        <v>21</v>
      </c>
    </row>
    <row r="191" spans="1:17" x14ac:dyDescent="0.55000000000000004">
      <c r="A191">
        <v>414</v>
      </c>
      <c r="B191" t="s">
        <v>0</v>
      </c>
      <c r="C191">
        <v>0.1</v>
      </c>
      <c r="D191" t="s">
        <v>18</v>
      </c>
      <c r="E191" t="s">
        <v>186</v>
      </c>
      <c r="F191" t="s">
        <v>185</v>
      </c>
      <c r="G191" t="s">
        <v>0</v>
      </c>
      <c r="H191">
        <v>2.0659999999999998</v>
      </c>
      <c r="I191" t="s">
        <v>461</v>
      </c>
      <c r="K191">
        <v>104838040</v>
      </c>
      <c r="L191" s="2">
        <v>42614</v>
      </c>
      <c r="M191">
        <v>5</v>
      </c>
      <c r="N191">
        <v>1</v>
      </c>
      <c r="O191">
        <v>0</v>
      </c>
      <c r="P191">
        <v>1</v>
      </c>
      <c r="Q191" t="s">
        <v>45</v>
      </c>
    </row>
    <row r="192" spans="1:17" x14ac:dyDescent="0.55000000000000004">
      <c r="A192">
        <v>0</v>
      </c>
      <c r="B192" t="s">
        <v>0</v>
      </c>
      <c r="C192">
        <v>8.0000000000000002E-3</v>
      </c>
      <c r="D192" t="s">
        <v>18</v>
      </c>
      <c r="E192" t="s">
        <v>186</v>
      </c>
      <c r="F192" t="s">
        <v>185</v>
      </c>
      <c r="G192" t="s">
        <v>0</v>
      </c>
      <c r="H192">
        <v>2.1579999999999999</v>
      </c>
      <c r="I192" t="s">
        <v>461</v>
      </c>
      <c r="K192">
        <v>106671984</v>
      </c>
      <c r="L192" s="2">
        <v>44435</v>
      </c>
      <c r="M192">
        <v>19</v>
      </c>
      <c r="N192">
        <v>1</v>
      </c>
      <c r="O192">
        <v>8</v>
      </c>
      <c r="P192">
        <v>1</v>
      </c>
      <c r="Q192" t="s">
        <v>15</v>
      </c>
    </row>
    <row r="193" spans="1:17" x14ac:dyDescent="0.55000000000000004">
      <c r="A193">
        <v>0</v>
      </c>
      <c r="B193" t="s">
        <v>0</v>
      </c>
      <c r="C193">
        <v>0</v>
      </c>
      <c r="E193" t="s">
        <v>186</v>
      </c>
      <c r="F193" t="s">
        <v>3</v>
      </c>
      <c r="G193" t="s">
        <v>0</v>
      </c>
      <c r="H193">
        <v>2.1659999999999999</v>
      </c>
      <c r="I193" t="s">
        <v>461</v>
      </c>
      <c r="K193">
        <v>105384957</v>
      </c>
      <c r="L193" s="2">
        <v>43144</v>
      </c>
      <c r="M193">
        <v>30</v>
      </c>
      <c r="N193">
        <v>1</v>
      </c>
      <c r="O193">
        <v>7</v>
      </c>
      <c r="P193">
        <v>5</v>
      </c>
      <c r="Q193" t="s">
        <v>167</v>
      </c>
    </row>
    <row r="194" spans="1:17" x14ac:dyDescent="0.55000000000000004">
      <c r="A194">
        <v>0</v>
      </c>
      <c r="B194" t="s">
        <v>0</v>
      </c>
      <c r="C194">
        <v>0</v>
      </c>
      <c r="E194" t="s">
        <v>186</v>
      </c>
      <c r="F194" t="s">
        <v>3</v>
      </c>
      <c r="G194" t="s">
        <v>0</v>
      </c>
      <c r="H194">
        <v>2.1659999999999999</v>
      </c>
      <c r="I194" t="s">
        <v>461</v>
      </c>
      <c r="K194">
        <v>105329422</v>
      </c>
      <c r="L194" s="2">
        <v>43088</v>
      </c>
      <c r="M194">
        <v>30</v>
      </c>
      <c r="N194">
        <v>1</v>
      </c>
      <c r="O194">
        <v>7</v>
      </c>
      <c r="P194">
        <v>3</v>
      </c>
      <c r="Q194" t="s">
        <v>21</v>
      </c>
    </row>
    <row r="195" spans="1:17" x14ac:dyDescent="0.55000000000000004">
      <c r="A195">
        <v>0</v>
      </c>
      <c r="B195" t="s">
        <v>0</v>
      </c>
      <c r="C195">
        <v>0</v>
      </c>
      <c r="E195" t="s">
        <v>186</v>
      </c>
      <c r="F195" t="s">
        <v>3</v>
      </c>
      <c r="G195" t="s">
        <v>0</v>
      </c>
      <c r="H195">
        <v>2.1659999999999999</v>
      </c>
      <c r="I195" t="s">
        <v>461</v>
      </c>
      <c r="K195">
        <v>106400310</v>
      </c>
      <c r="L195" s="2">
        <v>44142</v>
      </c>
      <c r="M195">
        <v>30</v>
      </c>
      <c r="N195">
        <v>1</v>
      </c>
      <c r="O195">
        <v>7</v>
      </c>
      <c r="P195">
        <v>1</v>
      </c>
      <c r="Q195" t="s">
        <v>15</v>
      </c>
    </row>
    <row r="196" spans="1:17" x14ac:dyDescent="0.55000000000000004">
      <c r="A196">
        <v>0</v>
      </c>
      <c r="B196" t="s">
        <v>0</v>
      </c>
      <c r="C196">
        <v>0</v>
      </c>
      <c r="E196" t="s">
        <v>186</v>
      </c>
      <c r="F196" t="s">
        <v>3</v>
      </c>
      <c r="G196" t="s">
        <v>0</v>
      </c>
      <c r="H196">
        <v>2.1659999999999999</v>
      </c>
      <c r="I196" t="s">
        <v>461</v>
      </c>
      <c r="K196">
        <v>105945353</v>
      </c>
      <c r="L196" s="2">
        <v>43677</v>
      </c>
      <c r="M196">
        <v>30</v>
      </c>
      <c r="N196">
        <v>1</v>
      </c>
      <c r="O196">
        <v>7</v>
      </c>
      <c r="P196">
        <v>1</v>
      </c>
      <c r="Q196" t="s">
        <v>15</v>
      </c>
    </row>
    <row r="197" spans="1:17" x14ac:dyDescent="0.55000000000000004">
      <c r="A197">
        <v>0</v>
      </c>
      <c r="B197" t="s">
        <v>0</v>
      </c>
      <c r="C197">
        <v>0</v>
      </c>
      <c r="E197" t="s">
        <v>186</v>
      </c>
      <c r="F197" t="s">
        <v>3</v>
      </c>
      <c r="G197" t="s">
        <v>0</v>
      </c>
      <c r="H197">
        <v>2.1659999999999999</v>
      </c>
      <c r="I197" t="s">
        <v>461</v>
      </c>
      <c r="K197">
        <v>105175373</v>
      </c>
      <c r="L197" s="2">
        <v>42944</v>
      </c>
      <c r="M197">
        <v>23</v>
      </c>
      <c r="N197">
        <v>1</v>
      </c>
      <c r="O197">
        <v>7</v>
      </c>
      <c r="P197">
        <v>1</v>
      </c>
      <c r="Q197" t="s">
        <v>15</v>
      </c>
    </row>
    <row r="198" spans="1:17" x14ac:dyDescent="0.55000000000000004">
      <c r="A198">
        <v>0</v>
      </c>
      <c r="B198" t="s">
        <v>0</v>
      </c>
      <c r="C198">
        <v>0</v>
      </c>
      <c r="E198" t="s">
        <v>186</v>
      </c>
      <c r="F198" t="s">
        <v>3</v>
      </c>
      <c r="G198" t="s">
        <v>0</v>
      </c>
      <c r="H198">
        <v>2.1659999999999999</v>
      </c>
      <c r="I198" t="s">
        <v>461</v>
      </c>
      <c r="K198">
        <v>105244994</v>
      </c>
      <c r="L198" s="2">
        <v>43013</v>
      </c>
      <c r="M198">
        <v>24</v>
      </c>
      <c r="N198">
        <v>1</v>
      </c>
      <c r="O198">
        <v>7</v>
      </c>
      <c r="P198">
        <v>1</v>
      </c>
      <c r="Q198" t="s">
        <v>15</v>
      </c>
    </row>
    <row r="199" spans="1:17" x14ac:dyDescent="0.55000000000000004">
      <c r="A199">
        <v>0</v>
      </c>
      <c r="B199" t="s">
        <v>0</v>
      </c>
      <c r="C199">
        <v>0</v>
      </c>
      <c r="E199" t="s">
        <v>186</v>
      </c>
      <c r="F199" t="s">
        <v>194</v>
      </c>
      <c r="G199" t="s">
        <v>0</v>
      </c>
      <c r="H199">
        <v>2.1659999999999999</v>
      </c>
      <c r="I199" t="s">
        <v>461</v>
      </c>
      <c r="K199">
        <v>105538418</v>
      </c>
      <c r="L199" s="2">
        <v>43292</v>
      </c>
      <c r="M199">
        <v>30</v>
      </c>
      <c r="N199">
        <v>1</v>
      </c>
      <c r="O199">
        <v>7</v>
      </c>
      <c r="P199">
        <v>1</v>
      </c>
      <c r="Q199" t="s">
        <v>15</v>
      </c>
    </row>
    <row r="200" spans="1:17" x14ac:dyDescent="0.55000000000000004">
      <c r="A200">
        <v>0</v>
      </c>
      <c r="B200" t="s">
        <v>0</v>
      </c>
      <c r="C200">
        <v>0</v>
      </c>
      <c r="E200" t="s">
        <v>186</v>
      </c>
      <c r="F200" t="s">
        <v>185</v>
      </c>
      <c r="G200" t="s">
        <v>0</v>
      </c>
      <c r="H200">
        <v>2.1659999999999999</v>
      </c>
      <c r="I200" t="s">
        <v>461</v>
      </c>
      <c r="K200">
        <v>105700765</v>
      </c>
      <c r="L200" s="2">
        <v>43436</v>
      </c>
      <c r="M200">
        <v>30</v>
      </c>
      <c r="N200">
        <v>1</v>
      </c>
      <c r="O200">
        <v>7</v>
      </c>
      <c r="P200">
        <v>5</v>
      </c>
      <c r="Q200" t="s">
        <v>45</v>
      </c>
    </row>
    <row r="201" spans="1:17" x14ac:dyDescent="0.55000000000000004">
      <c r="A201">
        <v>0</v>
      </c>
      <c r="B201" t="s">
        <v>0</v>
      </c>
      <c r="C201">
        <v>0</v>
      </c>
      <c r="E201" t="s">
        <v>186</v>
      </c>
      <c r="F201" t="s">
        <v>185</v>
      </c>
      <c r="G201" t="s">
        <v>0</v>
      </c>
      <c r="H201">
        <v>2.1659999999999999</v>
      </c>
      <c r="I201" t="s">
        <v>461</v>
      </c>
      <c r="K201">
        <v>105626863</v>
      </c>
      <c r="L201" s="2">
        <v>43375</v>
      </c>
      <c r="M201">
        <v>30</v>
      </c>
      <c r="N201">
        <v>1</v>
      </c>
      <c r="O201">
        <v>7</v>
      </c>
      <c r="P201">
        <v>5</v>
      </c>
      <c r="Q201" t="s">
        <v>21</v>
      </c>
    </row>
    <row r="202" spans="1:17" x14ac:dyDescent="0.55000000000000004">
      <c r="A202">
        <v>0</v>
      </c>
      <c r="B202" t="s">
        <v>0</v>
      </c>
      <c r="C202">
        <v>0</v>
      </c>
      <c r="E202" t="s">
        <v>186</v>
      </c>
      <c r="F202" t="s">
        <v>185</v>
      </c>
      <c r="G202" t="s">
        <v>0</v>
      </c>
      <c r="H202">
        <v>2.1659999999999999</v>
      </c>
      <c r="I202" t="s">
        <v>461</v>
      </c>
      <c r="K202">
        <v>105400724</v>
      </c>
      <c r="L202" s="2">
        <v>43160</v>
      </c>
      <c r="M202">
        <v>30</v>
      </c>
      <c r="N202">
        <v>1</v>
      </c>
      <c r="O202">
        <v>7</v>
      </c>
      <c r="P202">
        <v>5</v>
      </c>
      <c r="Q202" t="s">
        <v>21</v>
      </c>
    </row>
    <row r="203" spans="1:17" x14ac:dyDescent="0.55000000000000004">
      <c r="A203">
        <v>0</v>
      </c>
      <c r="B203" t="s">
        <v>0</v>
      </c>
      <c r="C203">
        <v>0</v>
      </c>
      <c r="E203" t="s">
        <v>186</v>
      </c>
      <c r="G203" t="s">
        <v>0</v>
      </c>
      <c r="H203">
        <v>2.1659999999999999</v>
      </c>
      <c r="I203" t="s">
        <v>461</v>
      </c>
      <c r="K203">
        <v>106432632</v>
      </c>
      <c r="L203" s="2">
        <v>44171</v>
      </c>
      <c r="M203">
        <v>29</v>
      </c>
      <c r="N203">
        <v>1</v>
      </c>
      <c r="O203">
        <v>7</v>
      </c>
      <c r="P203">
        <v>1</v>
      </c>
      <c r="Q203" t="s">
        <v>21</v>
      </c>
    </row>
    <row r="204" spans="1:17" x14ac:dyDescent="0.55000000000000004">
      <c r="A204">
        <v>0</v>
      </c>
      <c r="B204" t="s">
        <v>0</v>
      </c>
      <c r="C204">
        <v>3.7999999999999999E-2</v>
      </c>
      <c r="D204" t="s">
        <v>68</v>
      </c>
      <c r="E204" t="s">
        <v>186</v>
      </c>
      <c r="F204" t="s">
        <v>3</v>
      </c>
      <c r="G204" t="s">
        <v>0</v>
      </c>
      <c r="H204">
        <v>2.2040000000000002</v>
      </c>
      <c r="I204" t="s">
        <v>461</v>
      </c>
      <c r="K204">
        <v>106524672</v>
      </c>
      <c r="L204" s="2">
        <v>44277</v>
      </c>
      <c r="M204">
        <v>21</v>
      </c>
      <c r="N204">
        <v>1</v>
      </c>
      <c r="O204">
        <v>0</v>
      </c>
      <c r="P204">
        <v>1</v>
      </c>
      <c r="Q204" t="s">
        <v>21</v>
      </c>
    </row>
    <row r="205" spans="1:17" x14ac:dyDescent="0.55000000000000004">
      <c r="A205">
        <v>0</v>
      </c>
      <c r="B205" t="s">
        <v>0</v>
      </c>
      <c r="C205">
        <v>0.2</v>
      </c>
      <c r="D205" t="s">
        <v>68</v>
      </c>
      <c r="E205" t="s">
        <v>186</v>
      </c>
      <c r="F205" t="s">
        <v>3</v>
      </c>
      <c r="G205" t="s">
        <v>0</v>
      </c>
      <c r="H205">
        <v>2.3660000000000001</v>
      </c>
      <c r="I205" t="s">
        <v>461</v>
      </c>
      <c r="K205">
        <v>105350359</v>
      </c>
      <c r="L205" s="2">
        <v>43108</v>
      </c>
      <c r="M205">
        <v>17</v>
      </c>
      <c r="N205">
        <v>1</v>
      </c>
      <c r="P205">
        <v>3</v>
      </c>
      <c r="Q205" t="s">
        <v>21</v>
      </c>
    </row>
    <row r="206" spans="1:17" x14ac:dyDescent="0.55000000000000004">
      <c r="A206">
        <v>0</v>
      </c>
      <c r="B206" t="s">
        <v>0</v>
      </c>
      <c r="C206">
        <v>0.1</v>
      </c>
      <c r="D206" t="s">
        <v>18</v>
      </c>
      <c r="E206" t="s">
        <v>3</v>
      </c>
      <c r="F206" t="s">
        <v>186</v>
      </c>
      <c r="G206" t="s">
        <v>0</v>
      </c>
      <c r="H206">
        <v>2.5110000000000001</v>
      </c>
      <c r="I206" t="s">
        <v>461</v>
      </c>
      <c r="K206">
        <v>106435273</v>
      </c>
      <c r="L206" s="2">
        <v>44178</v>
      </c>
      <c r="M206">
        <v>19</v>
      </c>
      <c r="N206">
        <v>1</v>
      </c>
      <c r="O206">
        <v>0</v>
      </c>
      <c r="P206">
        <v>5</v>
      </c>
      <c r="Q206" t="s">
        <v>21</v>
      </c>
    </row>
    <row r="207" spans="1:17" x14ac:dyDescent="0.55000000000000004">
      <c r="A207">
        <v>0</v>
      </c>
      <c r="B207" t="s">
        <v>0</v>
      </c>
      <c r="C207">
        <v>4.7E-2</v>
      </c>
      <c r="D207" t="s">
        <v>18</v>
      </c>
      <c r="E207" t="s">
        <v>3</v>
      </c>
      <c r="F207" t="s">
        <v>1</v>
      </c>
      <c r="G207" t="s">
        <v>0</v>
      </c>
      <c r="H207">
        <v>2.5640000000000001</v>
      </c>
      <c r="I207" t="s">
        <v>461</v>
      </c>
      <c r="K207">
        <v>104838095</v>
      </c>
      <c r="L207" s="2">
        <v>42615</v>
      </c>
      <c r="M207">
        <v>21</v>
      </c>
      <c r="N207">
        <v>1</v>
      </c>
      <c r="O207">
        <v>0</v>
      </c>
      <c r="P207">
        <v>5</v>
      </c>
      <c r="Q207" t="s">
        <v>21</v>
      </c>
    </row>
    <row r="208" spans="1:17" x14ac:dyDescent="0.55000000000000004">
      <c r="A208">
        <v>414</v>
      </c>
      <c r="B208" t="s">
        <v>0</v>
      </c>
      <c r="C208">
        <v>1.9E-2</v>
      </c>
      <c r="D208" t="s">
        <v>23</v>
      </c>
      <c r="E208" t="s">
        <v>3</v>
      </c>
      <c r="F208" t="s">
        <v>194</v>
      </c>
      <c r="G208" t="s">
        <v>0</v>
      </c>
      <c r="H208">
        <v>2.5920000000000001</v>
      </c>
      <c r="I208" t="s">
        <v>461</v>
      </c>
      <c r="K208">
        <v>106311047</v>
      </c>
      <c r="L208" s="2">
        <v>44060</v>
      </c>
      <c r="M208">
        <v>21</v>
      </c>
      <c r="N208">
        <v>1</v>
      </c>
      <c r="O208">
        <v>0</v>
      </c>
      <c r="P208">
        <v>1</v>
      </c>
      <c r="Q208" t="s">
        <v>21</v>
      </c>
    </row>
    <row r="209" spans="1:17" x14ac:dyDescent="0.55000000000000004">
      <c r="A209">
        <v>0</v>
      </c>
      <c r="B209" t="s">
        <v>0</v>
      </c>
      <c r="C209">
        <v>4.0000000000000001E-3</v>
      </c>
      <c r="D209" t="s">
        <v>18</v>
      </c>
      <c r="E209" t="s">
        <v>3</v>
      </c>
      <c r="F209" t="s">
        <v>194</v>
      </c>
      <c r="G209" t="s">
        <v>0</v>
      </c>
      <c r="H209">
        <v>2.6070000000000002</v>
      </c>
      <c r="I209" t="s">
        <v>461</v>
      </c>
      <c r="K209">
        <v>106440758</v>
      </c>
      <c r="L209" s="2">
        <v>44181</v>
      </c>
      <c r="M209">
        <v>21</v>
      </c>
      <c r="N209">
        <v>2</v>
      </c>
      <c r="O209">
        <v>8</v>
      </c>
      <c r="P209">
        <v>4</v>
      </c>
      <c r="Q209" t="s">
        <v>21</v>
      </c>
    </row>
    <row r="210" spans="1:17" x14ac:dyDescent="0.55000000000000004">
      <c r="A210">
        <v>0</v>
      </c>
      <c r="B210" t="s">
        <v>0</v>
      </c>
      <c r="C210">
        <v>0</v>
      </c>
      <c r="E210" t="s">
        <v>3</v>
      </c>
      <c r="F210" t="s">
        <v>3</v>
      </c>
      <c r="G210" t="s">
        <v>0</v>
      </c>
      <c r="H210">
        <v>2.6110000000000002</v>
      </c>
      <c r="I210" t="s">
        <v>461</v>
      </c>
      <c r="K210">
        <v>106573611</v>
      </c>
      <c r="L210" s="2">
        <v>44325</v>
      </c>
      <c r="M210">
        <v>19</v>
      </c>
      <c r="N210">
        <v>2</v>
      </c>
      <c r="O210">
        <v>9</v>
      </c>
      <c r="P210">
        <v>5</v>
      </c>
      <c r="Q210" t="s">
        <v>21</v>
      </c>
    </row>
    <row r="211" spans="1:17" x14ac:dyDescent="0.55000000000000004">
      <c r="A211">
        <v>0</v>
      </c>
      <c r="B211" t="s">
        <v>0</v>
      </c>
      <c r="C211">
        <v>0</v>
      </c>
      <c r="E211" t="s">
        <v>3</v>
      </c>
      <c r="F211" t="s">
        <v>1</v>
      </c>
      <c r="G211" t="s">
        <v>0</v>
      </c>
      <c r="H211">
        <v>2.6110000000000002</v>
      </c>
      <c r="I211" t="s">
        <v>461</v>
      </c>
      <c r="K211">
        <v>104965157</v>
      </c>
      <c r="L211" s="2">
        <v>42737</v>
      </c>
      <c r="M211">
        <v>21</v>
      </c>
      <c r="N211">
        <v>2</v>
      </c>
      <c r="O211">
        <v>8</v>
      </c>
      <c r="P211">
        <v>1</v>
      </c>
      <c r="Q211" t="s">
        <v>21</v>
      </c>
    </row>
    <row r="212" spans="1:17" x14ac:dyDescent="0.55000000000000004">
      <c r="A212">
        <v>0</v>
      </c>
      <c r="B212" t="s">
        <v>0</v>
      </c>
      <c r="C212">
        <v>0</v>
      </c>
      <c r="E212" t="s">
        <v>3</v>
      </c>
      <c r="F212" t="s">
        <v>49</v>
      </c>
      <c r="G212" t="s">
        <v>0</v>
      </c>
      <c r="H212">
        <v>2.6110000000000002</v>
      </c>
      <c r="I212" t="s">
        <v>461</v>
      </c>
      <c r="K212">
        <v>106305983</v>
      </c>
      <c r="L212" s="2">
        <v>44056</v>
      </c>
      <c r="M212">
        <v>30</v>
      </c>
      <c r="N212">
        <v>1</v>
      </c>
      <c r="O212">
        <v>8</v>
      </c>
      <c r="P212">
        <v>5</v>
      </c>
      <c r="Q212" t="s">
        <v>21</v>
      </c>
    </row>
    <row r="213" spans="1:17" x14ac:dyDescent="0.55000000000000004">
      <c r="A213">
        <v>0</v>
      </c>
      <c r="B213" t="s">
        <v>0</v>
      </c>
      <c r="C213">
        <v>0</v>
      </c>
      <c r="E213" t="s">
        <v>3</v>
      </c>
      <c r="F213" t="s">
        <v>49</v>
      </c>
      <c r="G213" t="s">
        <v>0</v>
      </c>
      <c r="H213">
        <v>2.6110000000000002</v>
      </c>
      <c r="I213" t="s">
        <v>461</v>
      </c>
      <c r="K213">
        <v>105622727</v>
      </c>
      <c r="L213" s="2">
        <v>43370</v>
      </c>
      <c r="M213">
        <v>19</v>
      </c>
      <c r="N213">
        <v>1</v>
      </c>
      <c r="O213">
        <v>8</v>
      </c>
      <c r="P213">
        <v>6</v>
      </c>
      <c r="Q213" t="s">
        <v>45</v>
      </c>
    </row>
    <row r="214" spans="1:17" x14ac:dyDescent="0.55000000000000004">
      <c r="A214">
        <v>414</v>
      </c>
      <c r="B214" t="s">
        <v>0</v>
      </c>
      <c r="C214">
        <v>0</v>
      </c>
      <c r="E214" t="s">
        <v>3</v>
      </c>
      <c r="F214" t="s">
        <v>49</v>
      </c>
      <c r="G214" t="s">
        <v>0</v>
      </c>
      <c r="H214">
        <v>2.6110000000000002</v>
      </c>
      <c r="I214" t="s">
        <v>461</v>
      </c>
      <c r="K214">
        <v>104866074</v>
      </c>
      <c r="L214" s="2">
        <v>42643</v>
      </c>
      <c r="M214">
        <v>21</v>
      </c>
      <c r="N214">
        <v>1</v>
      </c>
      <c r="O214">
        <v>8</v>
      </c>
      <c r="P214">
        <v>1</v>
      </c>
      <c r="Q214" t="s">
        <v>15</v>
      </c>
    </row>
    <row r="215" spans="1:17" x14ac:dyDescent="0.55000000000000004">
      <c r="A215">
        <v>0</v>
      </c>
      <c r="B215" t="s">
        <v>0</v>
      </c>
      <c r="C215">
        <v>6.0000000000000001E-3</v>
      </c>
      <c r="D215" t="s">
        <v>68</v>
      </c>
      <c r="E215" t="s">
        <v>3</v>
      </c>
      <c r="F215" t="s">
        <v>49</v>
      </c>
      <c r="G215" t="s">
        <v>0</v>
      </c>
      <c r="H215">
        <v>2.617</v>
      </c>
      <c r="I215" t="s">
        <v>461</v>
      </c>
      <c r="K215">
        <v>106301590</v>
      </c>
      <c r="L215" s="2">
        <v>44052</v>
      </c>
      <c r="M215">
        <v>18</v>
      </c>
      <c r="N215">
        <v>1</v>
      </c>
      <c r="O215">
        <v>0</v>
      </c>
      <c r="P215">
        <v>5</v>
      </c>
      <c r="Q215" t="s">
        <v>15</v>
      </c>
    </row>
    <row r="216" spans="1:17" x14ac:dyDescent="0.55000000000000004">
      <c r="A216">
        <v>0</v>
      </c>
      <c r="B216" t="s">
        <v>0</v>
      </c>
      <c r="C216">
        <v>1.4E-2</v>
      </c>
      <c r="D216" t="s">
        <v>68</v>
      </c>
      <c r="E216" t="s">
        <v>3</v>
      </c>
      <c r="F216" t="s">
        <v>195</v>
      </c>
      <c r="G216" t="s">
        <v>0</v>
      </c>
      <c r="H216">
        <v>2.625</v>
      </c>
      <c r="I216" t="s">
        <v>461</v>
      </c>
      <c r="K216">
        <v>106177994</v>
      </c>
      <c r="L216" s="2">
        <v>43894</v>
      </c>
      <c r="M216">
        <v>21</v>
      </c>
      <c r="N216">
        <v>1</v>
      </c>
      <c r="O216">
        <v>0</v>
      </c>
      <c r="P216">
        <v>1</v>
      </c>
      <c r="Q216" t="s">
        <v>15</v>
      </c>
    </row>
    <row r="217" spans="1:17" x14ac:dyDescent="0.55000000000000004">
      <c r="A217">
        <v>414</v>
      </c>
      <c r="B217" t="s">
        <v>0</v>
      </c>
      <c r="C217">
        <v>3.7999999999999999E-2</v>
      </c>
      <c r="D217" t="s">
        <v>68</v>
      </c>
      <c r="E217" t="s">
        <v>3</v>
      </c>
      <c r="F217" t="s">
        <v>196</v>
      </c>
      <c r="G217" t="s">
        <v>0</v>
      </c>
      <c r="H217">
        <v>2.649</v>
      </c>
      <c r="I217" t="s">
        <v>461</v>
      </c>
      <c r="K217">
        <v>106035698</v>
      </c>
      <c r="L217" s="2">
        <v>43761</v>
      </c>
      <c r="M217">
        <v>26</v>
      </c>
      <c r="N217">
        <v>1</v>
      </c>
      <c r="O217">
        <v>0</v>
      </c>
      <c r="P217">
        <v>1</v>
      </c>
      <c r="Q217" t="s">
        <v>21</v>
      </c>
    </row>
    <row r="218" spans="1:17" x14ac:dyDescent="0.55000000000000004">
      <c r="A218">
        <v>414</v>
      </c>
      <c r="B218" t="s">
        <v>0</v>
      </c>
      <c r="C218">
        <v>4.7E-2</v>
      </c>
      <c r="D218" t="s">
        <v>18</v>
      </c>
      <c r="E218" t="s">
        <v>49</v>
      </c>
      <c r="F218" t="s">
        <v>3</v>
      </c>
      <c r="G218" t="s">
        <v>0</v>
      </c>
      <c r="H218">
        <v>2.66</v>
      </c>
      <c r="I218" t="s">
        <v>461</v>
      </c>
      <c r="K218">
        <v>104912533</v>
      </c>
      <c r="L218" s="2">
        <v>42685</v>
      </c>
      <c r="M218">
        <v>26</v>
      </c>
      <c r="N218">
        <v>1</v>
      </c>
      <c r="O218">
        <v>4</v>
      </c>
      <c r="P218">
        <v>1</v>
      </c>
      <c r="Q218" t="s">
        <v>45</v>
      </c>
    </row>
    <row r="219" spans="1:17" x14ac:dyDescent="0.55000000000000004">
      <c r="A219">
        <v>0</v>
      </c>
      <c r="B219" t="s">
        <v>0</v>
      </c>
      <c r="C219">
        <v>1.9E-2</v>
      </c>
      <c r="D219" t="s">
        <v>18</v>
      </c>
      <c r="E219" t="s">
        <v>49</v>
      </c>
      <c r="F219" t="s">
        <v>3</v>
      </c>
      <c r="G219" t="s">
        <v>0</v>
      </c>
      <c r="H219">
        <v>2.6880000000000002</v>
      </c>
      <c r="I219" t="s">
        <v>461</v>
      </c>
      <c r="K219">
        <v>106451930</v>
      </c>
      <c r="L219" s="2">
        <v>44193</v>
      </c>
      <c r="M219">
        <v>21</v>
      </c>
      <c r="N219">
        <v>1</v>
      </c>
      <c r="O219">
        <v>0</v>
      </c>
      <c r="P219">
        <v>2</v>
      </c>
      <c r="Q219" t="s">
        <v>21</v>
      </c>
    </row>
    <row r="220" spans="1:17" x14ac:dyDescent="0.55000000000000004">
      <c r="A220">
        <v>0</v>
      </c>
      <c r="B220" t="s">
        <v>0</v>
      </c>
      <c r="C220">
        <v>0</v>
      </c>
      <c r="E220" t="s">
        <v>49</v>
      </c>
      <c r="F220" t="s">
        <v>3</v>
      </c>
      <c r="G220" t="s">
        <v>0</v>
      </c>
      <c r="H220">
        <v>2.7069999999999999</v>
      </c>
      <c r="I220" t="s">
        <v>461</v>
      </c>
      <c r="K220">
        <v>106333878</v>
      </c>
      <c r="L220" s="2">
        <v>44083</v>
      </c>
      <c r="M220">
        <v>17</v>
      </c>
      <c r="N220">
        <v>1</v>
      </c>
      <c r="O220">
        <v>8</v>
      </c>
      <c r="P220">
        <v>5</v>
      </c>
      <c r="Q220" t="s">
        <v>21</v>
      </c>
    </row>
    <row r="221" spans="1:17" x14ac:dyDescent="0.55000000000000004">
      <c r="A221">
        <v>0</v>
      </c>
      <c r="B221" t="s">
        <v>0</v>
      </c>
      <c r="C221">
        <v>0</v>
      </c>
      <c r="E221" t="s">
        <v>49</v>
      </c>
      <c r="F221" t="s">
        <v>3</v>
      </c>
      <c r="G221" t="s">
        <v>0</v>
      </c>
      <c r="H221">
        <v>2.7069999999999999</v>
      </c>
      <c r="I221" t="s">
        <v>461</v>
      </c>
      <c r="K221">
        <v>105807133</v>
      </c>
      <c r="L221" s="2">
        <v>43542</v>
      </c>
      <c r="M221">
        <v>24</v>
      </c>
      <c r="N221">
        <v>1</v>
      </c>
      <c r="O221">
        <v>8</v>
      </c>
      <c r="P221">
        <v>1</v>
      </c>
      <c r="Q221" t="s">
        <v>15</v>
      </c>
    </row>
    <row r="222" spans="1:17" x14ac:dyDescent="0.55000000000000004">
      <c r="A222">
        <v>0</v>
      </c>
      <c r="B222" t="s">
        <v>0</v>
      </c>
      <c r="C222">
        <v>0</v>
      </c>
      <c r="E222" t="s">
        <v>49</v>
      </c>
      <c r="F222" t="s">
        <v>3</v>
      </c>
      <c r="G222" t="s">
        <v>0</v>
      </c>
      <c r="H222">
        <v>2.7069999999999999</v>
      </c>
      <c r="I222" t="s">
        <v>461</v>
      </c>
      <c r="K222">
        <v>104908762</v>
      </c>
      <c r="L222" s="2">
        <v>42677</v>
      </c>
      <c r="M222">
        <v>21</v>
      </c>
      <c r="N222">
        <v>1</v>
      </c>
      <c r="O222">
        <v>8</v>
      </c>
      <c r="P222">
        <v>1</v>
      </c>
      <c r="Q222" t="s">
        <v>21</v>
      </c>
    </row>
    <row r="223" spans="1:17" x14ac:dyDescent="0.55000000000000004">
      <c r="A223">
        <v>0</v>
      </c>
      <c r="B223" t="s">
        <v>0</v>
      </c>
      <c r="C223">
        <v>6.6000000000000003E-2</v>
      </c>
      <c r="D223" t="s">
        <v>68</v>
      </c>
      <c r="E223" t="s">
        <v>49</v>
      </c>
      <c r="F223" t="s">
        <v>197</v>
      </c>
      <c r="G223" t="s">
        <v>0</v>
      </c>
      <c r="H223">
        <v>2.7730000000000001</v>
      </c>
      <c r="I223" t="s">
        <v>461</v>
      </c>
      <c r="K223">
        <v>106503746</v>
      </c>
      <c r="L223" s="2">
        <v>44256</v>
      </c>
      <c r="M223">
        <v>30</v>
      </c>
      <c r="N223">
        <v>2</v>
      </c>
      <c r="O223">
        <v>4</v>
      </c>
      <c r="P223">
        <v>1</v>
      </c>
      <c r="Q223" t="s">
        <v>21</v>
      </c>
    </row>
    <row r="224" spans="1:17" x14ac:dyDescent="0.55000000000000004">
      <c r="A224">
        <v>0</v>
      </c>
      <c r="B224" t="s">
        <v>0</v>
      </c>
      <c r="C224">
        <v>0.1</v>
      </c>
      <c r="D224" t="s">
        <v>68</v>
      </c>
      <c r="E224" t="s">
        <v>49</v>
      </c>
      <c r="F224" t="s">
        <v>1</v>
      </c>
      <c r="G224" t="s">
        <v>0</v>
      </c>
      <c r="H224">
        <v>2.8069999999999999</v>
      </c>
      <c r="I224" t="s">
        <v>461</v>
      </c>
      <c r="K224">
        <v>106450279</v>
      </c>
      <c r="L224" s="2">
        <v>44195</v>
      </c>
      <c r="M224">
        <v>17</v>
      </c>
      <c r="N224">
        <v>1</v>
      </c>
      <c r="O224">
        <v>0</v>
      </c>
      <c r="P224">
        <v>5</v>
      </c>
      <c r="Q224" t="s">
        <v>21</v>
      </c>
    </row>
    <row r="225" spans="1:17" x14ac:dyDescent="0.55000000000000004">
      <c r="A225">
        <v>0</v>
      </c>
      <c r="B225" t="s">
        <v>0</v>
      </c>
      <c r="C225">
        <v>0</v>
      </c>
      <c r="E225" t="s">
        <v>197</v>
      </c>
      <c r="F225" t="s">
        <v>3</v>
      </c>
      <c r="G225" t="s">
        <v>0</v>
      </c>
      <c r="H225">
        <v>2.8460000000000001</v>
      </c>
      <c r="I225" t="s">
        <v>461</v>
      </c>
      <c r="K225">
        <v>106208300</v>
      </c>
      <c r="L225" s="2">
        <v>43939</v>
      </c>
      <c r="M225">
        <v>19</v>
      </c>
      <c r="N225">
        <v>1</v>
      </c>
      <c r="O225">
        <v>8</v>
      </c>
      <c r="P225">
        <v>5</v>
      </c>
      <c r="Q225" t="s">
        <v>45</v>
      </c>
    </row>
    <row r="226" spans="1:17" x14ac:dyDescent="0.55000000000000004">
      <c r="A226">
        <v>414</v>
      </c>
      <c r="B226" t="s">
        <v>0</v>
      </c>
      <c r="C226">
        <v>0</v>
      </c>
      <c r="E226" t="s">
        <v>197</v>
      </c>
      <c r="F226" t="s">
        <v>49</v>
      </c>
      <c r="G226" t="s">
        <v>0</v>
      </c>
      <c r="H226">
        <v>2.8460000000000001</v>
      </c>
      <c r="I226" t="s">
        <v>461</v>
      </c>
      <c r="K226">
        <v>106018164</v>
      </c>
      <c r="L226" s="2">
        <v>43746</v>
      </c>
      <c r="M226">
        <v>23</v>
      </c>
      <c r="N226">
        <v>2</v>
      </c>
      <c r="O226">
        <v>8</v>
      </c>
      <c r="P226">
        <v>1</v>
      </c>
      <c r="Q226" t="s">
        <v>15</v>
      </c>
    </row>
    <row r="227" spans="1:17" x14ac:dyDescent="0.55000000000000004">
      <c r="A227">
        <v>414</v>
      </c>
      <c r="B227" t="s">
        <v>0</v>
      </c>
      <c r="C227">
        <v>1.9E-2</v>
      </c>
      <c r="D227" t="s">
        <v>68</v>
      </c>
      <c r="E227" t="s">
        <v>197</v>
      </c>
      <c r="F227" t="s">
        <v>198</v>
      </c>
      <c r="G227" t="s">
        <v>0</v>
      </c>
      <c r="H227">
        <v>2.8650000000000002</v>
      </c>
      <c r="I227" t="s">
        <v>461</v>
      </c>
      <c r="K227">
        <v>106157983</v>
      </c>
      <c r="L227" s="2">
        <v>43875</v>
      </c>
      <c r="M227">
        <v>29</v>
      </c>
      <c r="N227">
        <v>1</v>
      </c>
      <c r="O227">
        <v>0</v>
      </c>
      <c r="P227">
        <v>5</v>
      </c>
      <c r="Q227" t="s">
        <v>21</v>
      </c>
    </row>
    <row r="228" spans="1:17" x14ac:dyDescent="0.55000000000000004">
      <c r="A228">
        <v>414</v>
      </c>
      <c r="B228" t="s">
        <v>0</v>
      </c>
      <c r="C228">
        <v>0.2</v>
      </c>
      <c r="D228" t="s">
        <v>68</v>
      </c>
      <c r="E228" t="s">
        <v>49</v>
      </c>
      <c r="F228" t="s">
        <v>1</v>
      </c>
      <c r="G228" t="s">
        <v>0</v>
      </c>
      <c r="H228">
        <v>2.907</v>
      </c>
      <c r="I228" t="s">
        <v>461</v>
      </c>
      <c r="K228">
        <v>105027948</v>
      </c>
      <c r="L228" s="2">
        <v>42799</v>
      </c>
      <c r="M228">
        <v>21</v>
      </c>
      <c r="N228">
        <v>1</v>
      </c>
      <c r="O228">
        <v>0</v>
      </c>
      <c r="P228">
        <v>1</v>
      </c>
      <c r="Q228" t="s">
        <v>21</v>
      </c>
    </row>
    <row r="229" spans="1:17" x14ac:dyDescent="0.55000000000000004">
      <c r="A229">
        <v>414</v>
      </c>
      <c r="B229" t="s">
        <v>0</v>
      </c>
      <c r="C229">
        <v>0.1</v>
      </c>
      <c r="D229" t="s">
        <v>30</v>
      </c>
      <c r="E229" t="s">
        <v>197</v>
      </c>
      <c r="F229" t="s">
        <v>198</v>
      </c>
      <c r="G229" t="s">
        <v>0</v>
      </c>
      <c r="H229">
        <v>2.9460000000000002</v>
      </c>
      <c r="I229" t="s">
        <v>461</v>
      </c>
      <c r="K229">
        <v>105634786</v>
      </c>
      <c r="L229" s="2">
        <v>43381</v>
      </c>
      <c r="M229">
        <v>23</v>
      </c>
      <c r="N229">
        <v>1</v>
      </c>
      <c r="O229">
        <v>0</v>
      </c>
      <c r="P229">
        <v>1</v>
      </c>
      <c r="Q229" t="s">
        <v>15</v>
      </c>
    </row>
    <row r="230" spans="1:17" x14ac:dyDescent="0.55000000000000004">
      <c r="A230">
        <v>414</v>
      </c>
      <c r="B230" t="s">
        <v>0</v>
      </c>
      <c r="C230">
        <v>0.1</v>
      </c>
      <c r="D230" t="s">
        <v>18</v>
      </c>
      <c r="E230" t="s">
        <v>198</v>
      </c>
      <c r="F230" t="s">
        <v>49</v>
      </c>
      <c r="G230" t="s">
        <v>0</v>
      </c>
      <c r="H230">
        <v>2.9729999999999999</v>
      </c>
      <c r="I230" t="s">
        <v>461</v>
      </c>
      <c r="K230">
        <v>105661575</v>
      </c>
      <c r="L230" s="2">
        <v>43406</v>
      </c>
      <c r="M230">
        <v>21</v>
      </c>
      <c r="N230">
        <v>1</v>
      </c>
      <c r="O230">
        <v>4</v>
      </c>
      <c r="P230">
        <v>1</v>
      </c>
      <c r="Q230" t="s">
        <v>15</v>
      </c>
    </row>
    <row r="231" spans="1:17" x14ac:dyDescent="0.55000000000000004">
      <c r="A231">
        <v>414</v>
      </c>
      <c r="B231" t="s">
        <v>0</v>
      </c>
      <c r="C231">
        <v>0.1</v>
      </c>
      <c r="D231" t="s">
        <v>18</v>
      </c>
      <c r="E231" t="s">
        <v>198</v>
      </c>
      <c r="F231" t="s">
        <v>49</v>
      </c>
      <c r="G231" t="s">
        <v>0</v>
      </c>
      <c r="H231">
        <v>2.9729999999999999</v>
      </c>
      <c r="I231" t="s">
        <v>461</v>
      </c>
      <c r="K231">
        <v>106361021</v>
      </c>
      <c r="L231" s="2">
        <v>44112</v>
      </c>
      <c r="M231">
        <v>21</v>
      </c>
      <c r="N231">
        <v>1</v>
      </c>
      <c r="O231">
        <v>0</v>
      </c>
      <c r="P231">
        <v>1</v>
      </c>
      <c r="Q231" t="s">
        <v>15</v>
      </c>
    </row>
    <row r="232" spans="1:17" x14ac:dyDescent="0.55000000000000004">
      <c r="A232">
        <v>414</v>
      </c>
      <c r="B232" t="s">
        <v>0</v>
      </c>
      <c r="C232">
        <v>0.1</v>
      </c>
      <c r="D232" t="s">
        <v>18</v>
      </c>
      <c r="E232" t="s">
        <v>199</v>
      </c>
      <c r="F232" t="s">
        <v>1</v>
      </c>
      <c r="G232" t="s">
        <v>0</v>
      </c>
      <c r="H232">
        <v>3.1230000000000002</v>
      </c>
      <c r="I232" t="s">
        <v>461</v>
      </c>
      <c r="K232">
        <v>106126696</v>
      </c>
      <c r="L232" s="2">
        <v>43840</v>
      </c>
      <c r="M232">
        <v>19</v>
      </c>
      <c r="N232">
        <v>1</v>
      </c>
      <c r="O232">
        <v>0</v>
      </c>
      <c r="P232">
        <v>5</v>
      </c>
      <c r="Q232" t="s">
        <v>21</v>
      </c>
    </row>
    <row r="233" spans="1:17" x14ac:dyDescent="0.55000000000000004">
      <c r="A233">
        <v>414</v>
      </c>
      <c r="B233" t="s">
        <v>0</v>
      </c>
      <c r="C233">
        <v>0.1</v>
      </c>
      <c r="D233" t="s">
        <v>18</v>
      </c>
      <c r="E233" t="s">
        <v>199</v>
      </c>
      <c r="F233" t="s">
        <v>198</v>
      </c>
      <c r="G233" t="s">
        <v>0</v>
      </c>
      <c r="H233">
        <v>3.1230000000000002</v>
      </c>
      <c r="I233" t="s">
        <v>461</v>
      </c>
      <c r="K233">
        <v>106653488</v>
      </c>
      <c r="L233" s="2">
        <v>44408</v>
      </c>
      <c r="M233">
        <v>19</v>
      </c>
      <c r="N233">
        <v>1</v>
      </c>
      <c r="O233">
        <v>0</v>
      </c>
      <c r="P233">
        <v>1</v>
      </c>
      <c r="Q233" t="s">
        <v>190</v>
      </c>
    </row>
    <row r="234" spans="1:17" x14ac:dyDescent="0.55000000000000004">
      <c r="A234">
        <v>0</v>
      </c>
      <c r="B234" t="s">
        <v>0</v>
      </c>
      <c r="C234">
        <v>0.5</v>
      </c>
      <c r="D234" t="s">
        <v>68</v>
      </c>
      <c r="E234" t="s">
        <v>49</v>
      </c>
      <c r="F234" t="s">
        <v>195</v>
      </c>
      <c r="G234" t="s">
        <v>0</v>
      </c>
      <c r="H234">
        <v>3.2069999999999999</v>
      </c>
      <c r="I234" t="s">
        <v>461</v>
      </c>
      <c r="K234">
        <v>105749221</v>
      </c>
      <c r="L234" s="2">
        <v>43485</v>
      </c>
      <c r="M234">
        <v>13</v>
      </c>
      <c r="N234">
        <v>1</v>
      </c>
      <c r="O234">
        <v>0</v>
      </c>
      <c r="P234">
        <v>1</v>
      </c>
      <c r="Q234" t="s">
        <v>21</v>
      </c>
    </row>
    <row r="235" spans="1:17" x14ac:dyDescent="0.55000000000000004">
      <c r="A235">
        <v>414</v>
      </c>
      <c r="B235" t="s">
        <v>0</v>
      </c>
      <c r="C235">
        <v>0</v>
      </c>
      <c r="E235" t="s">
        <v>199</v>
      </c>
      <c r="F235" t="s">
        <v>198</v>
      </c>
      <c r="G235" t="s">
        <v>0</v>
      </c>
      <c r="H235">
        <v>3.2229999999999999</v>
      </c>
      <c r="I235" t="s">
        <v>461</v>
      </c>
      <c r="K235">
        <v>106669332</v>
      </c>
      <c r="L235" s="2">
        <v>44432</v>
      </c>
      <c r="M235">
        <v>24</v>
      </c>
      <c r="N235">
        <v>1</v>
      </c>
      <c r="O235">
        <v>8</v>
      </c>
      <c r="P235">
        <v>1</v>
      </c>
      <c r="Q235" t="s">
        <v>21</v>
      </c>
    </row>
    <row r="236" spans="1:17" x14ac:dyDescent="0.55000000000000004">
      <c r="A236">
        <v>414</v>
      </c>
      <c r="B236" t="s">
        <v>0</v>
      </c>
      <c r="C236">
        <v>1.9E-2</v>
      </c>
      <c r="D236" t="s">
        <v>68</v>
      </c>
      <c r="E236" t="s">
        <v>199</v>
      </c>
      <c r="F236" t="s">
        <v>1</v>
      </c>
      <c r="G236" t="s">
        <v>0</v>
      </c>
      <c r="H236">
        <v>3.242</v>
      </c>
      <c r="I236" t="s">
        <v>461</v>
      </c>
      <c r="K236">
        <v>106224677</v>
      </c>
      <c r="L236" s="2">
        <v>43962</v>
      </c>
      <c r="M236">
        <v>19</v>
      </c>
      <c r="N236">
        <v>1</v>
      </c>
      <c r="O236">
        <v>0</v>
      </c>
      <c r="P236">
        <v>1</v>
      </c>
      <c r="Q236" t="s">
        <v>21</v>
      </c>
    </row>
    <row r="237" spans="1:17" x14ac:dyDescent="0.55000000000000004">
      <c r="A237">
        <v>414</v>
      </c>
      <c r="B237" t="s">
        <v>0</v>
      </c>
      <c r="C237">
        <v>0.3</v>
      </c>
      <c r="D237" t="s">
        <v>18</v>
      </c>
      <c r="E237" t="s">
        <v>1</v>
      </c>
      <c r="F237" t="s">
        <v>49</v>
      </c>
      <c r="G237" t="s">
        <v>0</v>
      </c>
      <c r="H237">
        <v>3.258</v>
      </c>
      <c r="I237" t="s">
        <v>461</v>
      </c>
      <c r="J237" t="s">
        <v>174</v>
      </c>
      <c r="K237">
        <v>105950369</v>
      </c>
      <c r="L237" s="2">
        <v>43683</v>
      </c>
      <c r="M237">
        <v>21</v>
      </c>
      <c r="N237">
        <v>1</v>
      </c>
      <c r="O237">
        <v>0</v>
      </c>
      <c r="P237">
        <v>1</v>
      </c>
      <c r="Q237" t="s">
        <v>21</v>
      </c>
    </row>
    <row r="238" spans="1:17" x14ac:dyDescent="0.55000000000000004">
      <c r="A238">
        <v>414</v>
      </c>
      <c r="B238" t="s">
        <v>0</v>
      </c>
      <c r="C238">
        <v>0.3</v>
      </c>
      <c r="D238" t="s">
        <v>18</v>
      </c>
      <c r="E238" t="s">
        <v>1</v>
      </c>
      <c r="F238" t="s">
        <v>199</v>
      </c>
      <c r="G238" t="s">
        <v>0</v>
      </c>
      <c r="H238">
        <v>3.258</v>
      </c>
      <c r="I238" t="s">
        <v>461</v>
      </c>
      <c r="J238" t="s">
        <v>174</v>
      </c>
      <c r="K238">
        <v>105254846</v>
      </c>
      <c r="L238" s="2">
        <v>43023</v>
      </c>
      <c r="M238">
        <v>17</v>
      </c>
      <c r="N238">
        <v>1</v>
      </c>
      <c r="O238">
        <v>0</v>
      </c>
      <c r="P238">
        <v>5</v>
      </c>
      <c r="Q238" t="s">
        <v>21</v>
      </c>
    </row>
    <row r="239" spans="1:17" x14ac:dyDescent="0.55000000000000004">
      <c r="A239">
        <v>414</v>
      </c>
      <c r="B239" t="s">
        <v>0</v>
      </c>
      <c r="C239">
        <v>5.7000000000000002E-2</v>
      </c>
      <c r="D239" t="s">
        <v>68</v>
      </c>
      <c r="E239" t="s">
        <v>199</v>
      </c>
      <c r="F239" t="s">
        <v>1</v>
      </c>
      <c r="G239" t="s">
        <v>0</v>
      </c>
      <c r="H239">
        <v>3.28</v>
      </c>
      <c r="I239" t="s">
        <v>461</v>
      </c>
      <c r="K239">
        <v>104891898</v>
      </c>
      <c r="L239" s="2">
        <v>42663</v>
      </c>
      <c r="M239">
        <v>19</v>
      </c>
      <c r="N239">
        <v>1</v>
      </c>
      <c r="O239">
        <v>0</v>
      </c>
      <c r="P239">
        <v>1</v>
      </c>
      <c r="Q239" t="s">
        <v>15</v>
      </c>
    </row>
    <row r="240" spans="1:17" x14ac:dyDescent="0.55000000000000004">
      <c r="A240">
        <v>414</v>
      </c>
      <c r="B240" t="s">
        <v>0</v>
      </c>
      <c r="C240">
        <v>0.7</v>
      </c>
      <c r="D240" t="s">
        <v>68</v>
      </c>
      <c r="E240" t="s">
        <v>3</v>
      </c>
      <c r="F240" t="s">
        <v>1</v>
      </c>
      <c r="G240" t="s">
        <v>0</v>
      </c>
      <c r="H240">
        <v>3.3109999999999999</v>
      </c>
      <c r="I240" t="s">
        <v>461</v>
      </c>
      <c r="K240">
        <v>106428444</v>
      </c>
      <c r="L240" s="2">
        <v>44170</v>
      </c>
      <c r="M240">
        <v>19</v>
      </c>
      <c r="N240">
        <v>1</v>
      </c>
      <c r="O240">
        <v>0</v>
      </c>
      <c r="P240">
        <v>5</v>
      </c>
      <c r="Q240" t="s">
        <v>21</v>
      </c>
    </row>
    <row r="241" spans="1:17" x14ac:dyDescent="0.55000000000000004">
      <c r="A241">
        <v>414</v>
      </c>
      <c r="B241" t="s">
        <v>0</v>
      </c>
      <c r="C241">
        <v>0.1</v>
      </c>
      <c r="D241" t="s">
        <v>68</v>
      </c>
      <c r="E241" t="s">
        <v>199</v>
      </c>
      <c r="F241" t="s">
        <v>1</v>
      </c>
      <c r="G241" t="s">
        <v>0</v>
      </c>
      <c r="H241">
        <v>3.323</v>
      </c>
      <c r="I241" t="s">
        <v>461</v>
      </c>
      <c r="K241">
        <v>106245262</v>
      </c>
      <c r="L241" s="2">
        <v>43989</v>
      </c>
      <c r="M241">
        <v>17</v>
      </c>
      <c r="N241">
        <v>1</v>
      </c>
      <c r="O241">
        <v>0</v>
      </c>
      <c r="P241">
        <v>1</v>
      </c>
      <c r="Q241" t="s">
        <v>21</v>
      </c>
    </row>
    <row r="242" spans="1:17" x14ac:dyDescent="0.55000000000000004">
      <c r="A242">
        <v>414</v>
      </c>
      <c r="B242" t="s">
        <v>0</v>
      </c>
      <c r="C242">
        <v>0.2</v>
      </c>
      <c r="D242" t="s">
        <v>18</v>
      </c>
      <c r="E242" t="s">
        <v>1</v>
      </c>
      <c r="F242" t="s">
        <v>49</v>
      </c>
      <c r="G242" t="s">
        <v>0</v>
      </c>
      <c r="H242">
        <v>3.3580000000000001</v>
      </c>
      <c r="I242" t="s">
        <v>461</v>
      </c>
      <c r="J242" t="s">
        <v>174</v>
      </c>
      <c r="K242">
        <v>106540912</v>
      </c>
      <c r="L242" s="2">
        <v>44296</v>
      </c>
      <c r="M242">
        <v>20</v>
      </c>
      <c r="N242">
        <v>1</v>
      </c>
      <c r="O242">
        <v>0</v>
      </c>
      <c r="P242">
        <v>5</v>
      </c>
    </row>
    <row r="243" spans="1:17" x14ac:dyDescent="0.55000000000000004">
      <c r="A243">
        <v>414</v>
      </c>
      <c r="B243" t="s">
        <v>0</v>
      </c>
      <c r="C243">
        <v>0.2</v>
      </c>
      <c r="D243" t="s">
        <v>18</v>
      </c>
      <c r="E243" t="s">
        <v>1</v>
      </c>
      <c r="F243" t="s">
        <v>198</v>
      </c>
      <c r="G243" t="s">
        <v>0</v>
      </c>
      <c r="H243">
        <v>3.3580000000000001</v>
      </c>
      <c r="I243" t="s">
        <v>461</v>
      </c>
      <c r="J243" t="s">
        <v>174</v>
      </c>
      <c r="K243">
        <v>105812045</v>
      </c>
      <c r="L243" s="2">
        <v>43548</v>
      </c>
      <c r="M243">
        <v>19</v>
      </c>
      <c r="N243">
        <v>1</v>
      </c>
      <c r="O243">
        <v>0</v>
      </c>
      <c r="P243">
        <v>4</v>
      </c>
      <c r="Q243" t="s">
        <v>45</v>
      </c>
    </row>
    <row r="244" spans="1:17" x14ac:dyDescent="0.55000000000000004">
      <c r="A244">
        <v>414</v>
      </c>
      <c r="B244" t="s">
        <v>0</v>
      </c>
      <c r="C244">
        <v>0.2</v>
      </c>
      <c r="D244" t="s">
        <v>18</v>
      </c>
      <c r="E244" t="s">
        <v>1</v>
      </c>
      <c r="F244" t="s">
        <v>199</v>
      </c>
      <c r="G244" t="s">
        <v>0</v>
      </c>
      <c r="H244">
        <v>3.3580000000000001</v>
      </c>
      <c r="I244" t="s">
        <v>461</v>
      </c>
      <c r="J244" t="s">
        <v>174</v>
      </c>
      <c r="K244">
        <v>106339613</v>
      </c>
      <c r="L244" s="2">
        <v>44088</v>
      </c>
      <c r="M244">
        <v>19</v>
      </c>
      <c r="N244">
        <v>1</v>
      </c>
      <c r="O244">
        <v>0</v>
      </c>
      <c r="P244">
        <v>5</v>
      </c>
      <c r="Q244" t="s">
        <v>15</v>
      </c>
    </row>
    <row r="245" spans="1:17" x14ac:dyDescent="0.55000000000000004">
      <c r="A245">
        <v>414</v>
      </c>
      <c r="B245" t="s">
        <v>0</v>
      </c>
      <c r="C245">
        <v>0.2</v>
      </c>
      <c r="D245" t="s">
        <v>18</v>
      </c>
      <c r="E245" t="s">
        <v>1</v>
      </c>
      <c r="F245" t="s">
        <v>199</v>
      </c>
      <c r="G245" t="s">
        <v>0</v>
      </c>
      <c r="H245">
        <v>3.3580000000000001</v>
      </c>
      <c r="I245" t="s">
        <v>461</v>
      </c>
      <c r="J245" t="s">
        <v>174</v>
      </c>
      <c r="K245">
        <v>104920845</v>
      </c>
      <c r="L245" s="2">
        <v>42688</v>
      </c>
      <c r="M245">
        <v>27</v>
      </c>
      <c r="N245">
        <v>1</v>
      </c>
      <c r="O245">
        <v>0</v>
      </c>
      <c r="P245">
        <v>5</v>
      </c>
      <c r="Q245" t="s">
        <v>190</v>
      </c>
    </row>
    <row r="246" spans="1:17" x14ac:dyDescent="0.55000000000000004">
      <c r="A246">
        <v>414</v>
      </c>
      <c r="B246" t="s">
        <v>0</v>
      </c>
      <c r="C246">
        <v>0.2</v>
      </c>
      <c r="D246" t="s">
        <v>68</v>
      </c>
      <c r="E246" t="s">
        <v>199</v>
      </c>
      <c r="F246" t="s">
        <v>1</v>
      </c>
      <c r="G246" t="s">
        <v>0</v>
      </c>
      <c r="H246">
        <v>3.423</v>
      </c>
      <c r="I246" t="s">
        <v>461</v>
      </c>
      <c r="K246">
        <v>105518588</v>
      </c>
      <c r="L246" s="2">
        <v>43272</v>
      </c>
      <c r="M246">
        <v>21</v>
      </c>
      <c r="N246">
        <v>1</v>
      </c>
      <c r="O246">
        <v>0</v>
      </c>
      <c r="P246">
        <v>1</v>
      </c>
      <c r="Q246" t="s">
        <v>21</v>
      </c>
    </row>
    <row r="247" spans="1:17" x14ac:dyDescent="0.55000000000000004">
      <c r="A247">
        <v>414</v>
      </c>
      <c r="B247" t="s">
        <v>0</v>
      </c>
      <c r="C247">
        <v>0.1</v>
      </c>
      <c r="D247" t="s">
        <v>18</v>
      </c>
      <c r="E247" t="s">
        <v>1</v>
      </c>
      <c r="F247" t="s">
        <v>199</v>
      </c>
      <c r="G247" t="s">
        <v>0</v>
      </c>
      <c r="H247">
        <v>3.4580000000000002</v>
      </c>
      <c r="I247" t="s">
        <v>461</v>
      </c>
      <c r="J247" t="s">
        <v>174</v>
      </c>
      <c r="K247">
        <v>105139082</v>
      </c>
      <c r="L247" s="2">
        <v>42907</v>
      </c>
      <c r="M247">
        <v>19</v>
      </c>
      <c r="N247">
        <v>1</v>
      </c>
      <c r="O247">
        <v>0</v>
      </c>
      <c r="P247">
        <v>1</v>
      </c>
      <c r="Q247" t="s">
        <v>167</v>
      </c>
    </row>
    <row r="248" spans="1:17" x14ac:dyDescent="0.55000000000000004">
      <c r="A248">
        <v>414</v>
      </c>
      <c r="B248" t="s">
        <v>0</v>
      </c>
      <c r="C248">
        <v>0.1</v>
      </c>
      <c r="D248" t="s">
        <v>18</v>
      </c>
      <c r="E248" t="s">
        <v>1</v>
      </c>
      <c r="F248" t="s">
        <v>199</v>
      </c>
      <c r="G248" t="s">
        <v>0</v>
      </c>
      <c r="H248">
        <v>3.4580000000000002</v>
      </c>
      <c r="I248" t="s">
        <v>461</v>
      </c>
      <c r="J248" t="s">
        <v>174</v>
      </c>
      <c r="K248">
        <v>106189793</v>
      </c>
      <c r="L248" s="2">
        <v>43910</v>
      </c>
      <c r="M248">
        <v>29</v>
      </c>
      <c r="N248">
        <v>1</v>
      </c>
      <c r="O248">
        <v>0</v>
      </c>
      <c r="P248">
        <v>1</v>
      </c>
      <c r="Q248" t="s">
        <v>45</v>
      </c>
    </row>
    <row r="249" spans="1:17" x14ac:dyDescent="0.55000000000000004">
      <c r="A249">
        <v>414</v>
      </c>
      <c r="B249" t="s">
        <v>0</v>
      </c>
      <c r="C249">
        <v>0.2</v>
      </c>
      <c r="D249" t="s">
        <v>18</v>
      </c>
      <c r="E249" t="s">
        <v>200</v>
      </c>
      <c r="F249" t="s">
        <v>1</v>
      </c>
      <c r="G249" t="s">
        <v>0</v>
      </c>
      <c r="H249">
        <v>3.53</v>
      </c>
      <c r="I249" t="s">
        <v>461</v>
      </c>
      <c r="K249">
        <v>105404664</v>
      </c>
      <c r="L249" s="2">
        <v>43166</v>
      </c>
      <c r="M249">
        <v>28</v>
      </c>
      <c r="N249">
        <v>1</v>
      </c>
      <c r="O249">
        <v>0</v>
      </c>
      <c r="P249">
        <v>1</v>
      </c>
      <c r="Q249" t="s">
        <v>21</v>
      </c>
    </row>
    <row r="250" spans="1:17" x14ac:dyDescent="0.55000000000000004">
      <c r="A250">
        <v>414</v>
      </c>
      <c r="B250" t="s">
        <v>1</v>
      </c>
      <c r="C250">
        <v>0</v>
      </c>
      <c r="E250" t="s">
        <v>0</v>
      </c>
      <c r="F250" t="s">
        <v>200</v>
      </c>
      <c r="G250" t="s">
        <v>0</v>
      </c>
      <c r="H250">
        <v>3.5579999999999998</v>
      </c>
      <c r="I250" t="s">
        <v>461</v>
      </c>
      <c r="J250" t="s">
        <v>174</v>
      </c>
      <c r="K250">
        <v>106504783</v>
      </c>
      <c r="L250" s="2">
        <v>44257</v>
      </c>
      <c r="M250">
        <v>21</v>
      </c>
      <c r="N250">
        <v>1</v>
      </c>
      <c r="O250">
        <v>8</v>
      </c>
      <c r="P250">
        <v>1</v>
      </c>
      <c r="Q250" t="s">
        <v>21</v>
      </c>
    </row>
    <row r="251" spans="1:17" x14ac:dyDescent="0.55000000000000004">
      <c r="A251">
        <v>414</v>
      </c>
      <c r="B251" t="s">
        <v>1</v>
      </c>
      <c r="C251">
        <v>0</v>
      </c>
      <c r="E251" t="s">
        <v>0</v>
      </c>
      <c r="F251" t="s">
        <v>201</v>
      </c>
      <c r="G251" t="s">
        <v>0</v>
      </c>
      <c r="H251">
        <v>3.5579999999999998</v>
      </c>
      <c r="I251" t="s">
        <v>461</v>
      </c>
      <c r="J251" t="s">
        <v>174</v>
      </c>
      <c r="K251">
        <v>106146333</v>
      </c>
      <c r="L251" s="2">
        <v>43859</v>
      </c>
      <c r="M251">
        <v>21</v>
      </c>
      <c r="N251">
        <v>1</v>
      </c>
      <c r="O251">
        <v>8</v>
      </c>
      <c r="P251">
        <v>1</v>
      </c>
      <c r="Q251" t="s">
        <v>21</v>
      </c>
    </row>
    <row r="252" spans="1:17" x14ac:dyDescent="0.55000000000000004">
      <c r="A252">
        <v>414</v>
      </c>
      <c r="B252" t="s">
        <v>0</v>
      </c>
      <c r="C252">
        <v>0</v>
      </c>
      <c r="E252" t="s">
        <v>1</v>
      </c>
      <c r="F252" t="s">
        <v>199</v>
      </c>
      <c r="G252" t="s">
        <v>0</v>
      </c>
      <c r="H252">
        <v>3.5579999999999998</v>
      </c>
      <c r="I252" t="s">
        <v>461</v>
      </c>
      <c r="J252" t="s">
        <v>174</v>
      </c>
      <c r="K252">
        <v>105312514</v>
      </c>
      <c r="L252" s="2">
        <v>43074</v>
      </c>
      <c r="M252">
        <v>21</v>
      </c>
      <c r="N252">
        <v>1</v>
      </c>
      <c r="O252">
        <v>8</v>
      </c>
      <c r="P252">
        <v>5</v>
      </c>
      <c r="Q252" t="s">
        <v>21</v>
      </c>
    </row>
    <row r="253" spans="1:17" x14ac:dyDescent="0.55000000000000004">
      <c r="A253">
        <v>414</v>
      </c>
      <c r="B253" t="s">
        <v>0</v>
      </c>
      <c r="C253">
        <v>0</v>
      </c>
      <c r="E253" t="s">
        <v>1</v>
      </c>
      <c r="F253" t="s">
        <v>200</v>
      </c>
      <c r="G253" t="s">
        <v>0</v>
      </c>
      <c r="H253">
        <v>3.5579999999999998</v>
      </c>
      <c r="I253" t="s">
        <v>461</v>
      </c>
      <c r="J253" t="s">
        <v>174</v>
      </c>
      <c r="K253">
        <v>106455250</v>
      </c>
      <c r="L253" s="2">
        <v>44187</v>
      </c>
      <c r="M253">
        <v>24</v>
      </c>
      <c r="N253">
        <v>1</v>
      </c>
      <c r="O253">
        <v>8</v>
      </c>
      <c r="P253">
        <v>1</v>
      </c>
      <c r="Q253" t="s">
        <v>45</v>
      </c>
    </row>
    <row r="254" spans="1:17" x14ac:dyDescent="0.55000000000000004">
      <c r="A254">
        <v>414</v>
      </c>
      <c r="B254" t="s">
        <v>0</v>
      </c>
      <c r="C254">
        <v>0</v>
      </c>
      <c r="E254" t="s">
        <v>1</v>
      </c>
      <c r="F254" t="s">
        <v>200</v>
      </c>
      <c r="G254" t="s">
        <v>0</v>
      </c>
      <c r="H254">
        <v>3.5579999999999998</v>
      </c>
      <c r="I254" t="s">
        <v>461</v>
      </c>
      <c r="J254" t="s">
        <v>174</v>
      </c>
      <c r="K254">
        <v>106468483</v>
      </c>
      <c r="L254" s="2">
        <v>44215</v>
      </c>
      <c r="M254">
        <v>23</v>
      </c>
      <c r="N254">
        <v>1</v>
      </c>
      <c r="O254">
        <v>8</v>
      </c>
      <c r="P254">
        <v>1</v>
      </c>
      <c r="Q254" t="s">
        <v>45</v>
      </c>
    </row>
    <row r="255" spans="1:17" x14ac:dyDescent="0.55000000000000004">
      <c r="A255">
        <v>414</v>
      </c>
      <c r="B255" t="s">
        <v>0</v>
      </c>
      <c r="C255">
        <v>0</v>
      </c>
      <c r="E255" t="s">
        <v>1</v>
      </c>
      <c r="F255" t="s">
        <v>200</v>
      </c>
      <c r="G255" t="s">
        <v>0</v>
      </c>
      <c r="H255">
        <v>3.5579999999999998</v>
      </c>
      <c r="I255" t="s">
        <v>461</v>
      </c>
      <c r="J255" t="s">
        <v>174</v>
      </c>
      <c r="K255">
        <v>106572140</v>
      </c>
      <c r="L255" s="2">
        <v>44326</v>
      </c>
      <c r="M255">
        <v>21</v>
      </c>
      <c r="N255">
        <v>1</v>
      </c>
      <c r="O255">
        <v>0</v>
      </c>
      <c r="P255">
        <v>1</v>
      </c>
      <c r="Q255" t="s">
        <v>21</v>
      </c>
    </row>
    <row r="256" spans="1:17" x14ac:dyDescent="0.55000000000000004">
      <c r="A256">
        <v>414</v>
      </c>
      <c r="B256" t="s">
        <v>0</v>
      </c>
      <c r="C256">
        <v>0</v>
      </c>
      <c r="E256" t="s">
        <v>1</v>
      </c>
      <c r="F256" t="s">
        <v>200</v>
      </c>
      <c r="G256" t="s">
        <v>0</v>
      </c>
      <c r="H256">
        <v>3.5579999999999998</v>
      </c>
      <c r="I256" t="s">
        <v>461</v>
      </c>
      <c r="J256" t="s">
        <v>174</v>
      </c>
      <c r="K256">
        <v>105722085</v>
      </c>
      <c r="L256" s="2">
        <v>43459</v>
      </c>
      <c r="M256">
        <v>21</v>
      </c>
      <c r="N256">
        <v>1</v>
      </c>
      <c r="O256">
        <v>8</v>
      </c>
      <c r="P256">
        <v>5</v>
      </c>
      <c r="Q256" t="s">
        <v>15</v>
      </c>
    </row>
    <row r="257" spans="1:17" x14ac:dyDescent="0.55000000000000004">
      <c r="A257">
        <v>414</v>
      </c>
      <c r="B257" t="s">
        <v>0</v>
      </c>
      <c r="C257">
        <v>0</v>
      </c>
      <c r="E257" t="s">
        <v>1</v>
      </c>
      <c r="F257" t="s">
        <v>200</v>
      </c>
      <c r="G257" t="s">
        <v>0</v>
      </c>
      <c r="H257">
        <v>3.5579999999999998</v>
      </c>
      <c r="I257" t="s">
        <v>461</v>
      </c>
      <c r="J257" t="s">
        <v>174</v>
      </c>
      <c r="K257">
        <v>106220163</v>
      </c>
      <c r="L257" s="2">
        <v>43957</v>
      </c>
      <c r="M257">
        <v>18</v>
      </c>
      <c r="N257">
        <v>1</v>
      </c>
      <c r="O257">
        <v>8</v>
      </c>
      <c r="P257">
        <v>1</v>
      </c>
      <c r="Q257" t="s">
        <v>21</v>
      </c>
    </row>
    <row r="258" spans="1:17" x14ac:dyDescent="0.55000000000000004">
      <c r="A258">
        <v>414</v>
      </c>
      <c r="B258" t="s">
        <v>0</v>
      </c>
      <c r="C258">
        <v>2E-3</v>
      </c>
      <c r="D258" t="s">
        <v>68</v>
      </c>
      <c r="E258" t="s">
        <v>1</v>
      </c>
      <c r="F258" t="s">
        <v>62</v>
      </c>
      <c r="G258" t="s">
        <v>0</v>
      </c>
      <c r="H258">
        <v>3.56</v>
      </c>
      <c r="I258" t="s">
        <v>461</v>
      </c>
      <c r="J258" t="s">
        <v>174</v>
      </c>
      <c r="K258">
        <v>105607057</v>
      </c>
      <c r="L258" s="2">
        <v>43355</v>
      </c>
      <c r="M258">
        <v>21</v>
      </c>
      <c r="N258">
        <v>1</v>
      </c>
      <c r="O258">
        <v>8</v>
      </c>
      <c r="P258">
        <v>1</v>
      </c>
      <c r="Q258" t="s">
        <v>21</v>
      </c>
    </row>
    <row r="259" spans="1:17" x14ac:dyDescent="0.55000000000000004">
      <c r="A259">
        <v>414</v>
      </c>
      <c r="B259" t="s">
        <v>0</v>
      </c>
      <c r="C259">
        <v>1.9E-2</v>
      </c>
      <c r="D259" t="s">
        <v>68</v>
      </c>
      <c r="E259" t="s">
        <v>1</v>
      </c>
      <c r="F259" t="s">
        <v>200</v>
      </c>
      <c r="G259" t="s">
        <v>0</v>
      </c>
      <c r="H259">
        <v>3.577</v>
      </c>
      <c r="I259" t="s">
        <v>461</v>
      </c>
      <c r="J259" t="s">
        <v>174</v>
      </c>
      <c r="K259">
        <v>106086872</v>
      </c>
      <c r="L259" s="2">
        <v>43805</v>
      </c>
      <c r="M259">
        <v>21</v>
      </c>
      <c r="N259">
        <v>1</v>
      </c>
      <c r="O259">
        <v>8</v>
      </c>
      <c r="P259">
        <v>1</v>
      </c>
      <c r="Q259" t="s">
        <v>15</v>
      </c>
    </row>
    <row r="260" spans="1:17" x14ac:dyDescent="0.55000000000000004">
      <c r="A260">
        <v>414</v>
      </c>
      <c r="B260" t="s">
        <v>0</v>
      </c>
      <c r="C260">
        <v>5.7000000000000002E-2</v>
      </c>
      <c r="D260" t="s">
        <v>68</v>
      </c>
      <c r="E260" t="s">
        <v>1</v>
      </c>
      <c r="F260" t="s">
        <v>200</v>
      </c>
      <c r="G260" t="s">
        <v>0</v>
      </c>
      <c r="H260">
        <v>3.6150000000000002</v>
      </c>
      <c r="I260" t="s">
        <v>461</v>
      </c>
      <c r="J260" t="s">
        <v>174</v>
      </c>
      <c r="K260">
        <v>106495501</v>
      </c>
      <c r="L260" s="2">
        <v>44247</v>
      </c>
      <c r="M260">
        <v>24</v>
      </c>
      <c r="N260">
        <v>1</v>
      </c>
      <c r="O260">
        <v>0</v>
      </c>
      <c r="P260">
        <v>5</v>
      </c>
      <c r="Q260" t="s">
        <v>21</v>
      </c>
    </row>
    <row r="261" spans="1:17" x14ac:dyDescent="0.55000000000000004">
      <c r="A261">
        <v>0</v>
      </c>
      <c r="B261" t="s">
        <v>0</v>
      </c>
      <c r="C261">
        <v>0.1</v>
      </c>
      <c r="D261" t="s">
        <v>18</v>
      </c>
      <c r="E261" t="s">
        <v>200</v>
      </c>
      <c r="F261" t="s">
        <v>1</v>
      </c>
      <c r="G261" t="s">
        <v>0</v>
      </c>
      <c r="H261">
        <v>3.63</v>
      </c>
      <c r="I261" t="s">
        <v>461</v>
      </c>
      <c r="K261">
        <v>106610778</v>
      </c>
      <c r="L261" s="2">
        <v>44349</v>
      </c>
      <c r="M261">
        <v>19</v>
      </c>
      <c r="N261">
        <v>1</v>
      </c>
      <c r="O261">
        <v>0</v>
      </c>
      <c r="P261">
        <v>5</v>
      </c>
      <c r="Q261" t="s">
        <v>15</v>
      </c>
    </row>
    <row r="262" spans="1:17" x14ac:dyDescent="0.55000000000000004">
      <c r="A262">
        <v>0</v>
      </c>
      <c r="B262" t="s">
        <v>0</v>
      </c>
      <c r="C262">
        <v>0.1</v>
      </c>
      <c r="D262" t="s">
        <v>18</v>
      </c>
      <c r="E262" t="s">
        <v>200</v>
      </c>
      <c r="F262" t="s">
        <v>1</v>
      </c>
      <c r="G262" t="s">
        <v>0</v>
      </c>
      <c r="H262">
        <v>3.63</v>
      </c>
      <c r="I262" t="s">
        <v>461</v>
      </c>
      <c r="K262">
        <v>106478904</v>
      </c>
      <c r="L262" s="2">
        <v>44228</v>
      </c>
      <c r="M262">
        <v>29</v>
      </c>
      <c r="N262">
        <v>1</v>
      </c>
      <c r="O262">
        <v>0</v>
      </c>
      <c r="P262">
        <v>1</v>
      </c>
      <c r="Q262" t="s">
        <v>21</v>
      </c>
    </row>
    <row r="263" spans="1:17" x14ac:dyDescent="0.55000000000000004">
      <c r="A263">
        <v>414</v>
      </c>
      <c r="B263" t="s">
        <v>0</v>
      </c>
      <c r="C263">
        <v>0.1</v>
      </c>
      <c r="D263" t="s">
        <v>18</v>
      </c>
      <c r="E263" t="s">
        <v>200</v>
      </c>
      <c r="F263" t="s">
        <v>1</v>
      </c>
      <c r="G263" t="s">
        <v>0</v>
      </c>
      <c r="H263">
        <v>3.63</v>
      </c>
      <c r="I263" t="s">
        <v>461</v>
      </c>
      <c r="K263">
        <v>106427913</v>
      </c>
      <c r="L263" s="2">
        <v>44169</v>
      </c>
      <c r="M263">
        <v>29</v>
      </c>
      <c r="N263">
        <v>1</v>
      </c>
      <c r="O263">
        <v>0</v>
      </c>
      <c r="P263">
        <v>2</v>
      </c>
      <c r="Q263" t="s">
        <v>21</v>
      </c>
    </row>
    <row r="264" spans="1:17" x14ac:dyDescent="0.55000000000000004">
      <c r="A264">
        <v>414</v>
      </c>
      <c r="B264" t="s">
        <v>0</v>
      </c>
      <c r="C264">
        <v>9.5000000000000001E-2</v>
      </c>
      <c r="D264" t="s">
        <v>68</v>
      </c>
      <c r="E264" t="s">
        <v>1</v>
      </c>
      <c r="F264" t="s">
        <v>200</v>
      </c>
      <c r="G264" t="s">
        <v>0</v>
      </c>
      <c r="H264">
        <v>3.653</v>
      </c>
      <c r="I264" t="s">
        <v>461</v>
      </c>
      <c r="J264" t="s">
        <v>174</v>
      </c>
      <c r="K264">
        <v>106056320</v>
      </c>
      <c r="L264" s="2">
        <v>43779</v>
      </c>
      <c r="M264">
        <v>23</v>
      </c>
      <c r="N264">
        <v>1</v>
      </c>
      <c r="O264">
        <v>0</v>
      </c>
      <c r="P264">
        <v>1</v>
      </c>
      <c r="Q264" t="s">
        <v>15</v>
      </c>
    </row>
    <row r="265" spans="1:17" x14ac:dyDescent="0.55000000000000004">
      <c r="A265">
        <v>414</v>
      </c>
      <c r="B265" t="s">
        <v>0</v>
      </c>
      <c r="C265">
        <v>0.1</v>
      </c>
      <c r="D265" t="s">
        <v>68</v>
      </c>
      <c r="E265" t="s">
        <v>1</v>
      </c>
      <c r="F265" t="s">
        <v>62</v>
      </c>
      <c r="G265" t="s">
        <v>0</v>
      </c>
      <c r="H265">
        <v>3.6579999999999999</v>
      </c>
      <c r="I265" t="s">
        <v>461</v>
      </c>
      <c r="J265" t="s">
        <v>174</v>
      </c>
      <c r="K265">
        <v>105713074</v>
      </c>
      <c r="L265" s="2">
        <v>43450</v>
      </c>
      <c r="M265">
        <v>17</v>
      </c>
      <c r="N265">
        <v>1</v>
      </c>
      <c r="O265">
        <v>0</v>
      </c>
      <c r="P265">
        <v>1</v>
      </c>
      <c r="Q265" t="s">
        <v>21</v>
      </c>
    </row>
    <row r="266" spans="1:17" x14ac:dyDescent="0.55000000000000004">
      <c r="A266">
        <v>0</v>
      </c>
      <c r="B266" t="s">
        <v>0</v>
      </c>
      <c r="C266">
        <v>0.1</v>
      </c>
      <c r="D266" t="s">
        <v>68</v>
      </c>
      <c r="E266" t="s">
        <v>1</v>
      </c>
      <c r="F266" t="s">
        <v>200</v>
      </c>
      <c r="G266" t="s">
        <v>0</v>
      </c>
      <c r="H266">
        <v>3.6579999999999999</v>
      </c>
      <c r="I266" t="s">
        <v>461</v>
      </c>
      <c r="J266" t="s">
        <v>174</v>
      </c>
      <c r="K266">
        <v>106597502</v>
      </c>
      <c r="L266" s="2">
        <v>44349</v>
      </c>
      <c r="M266">
        <v>21</v>
      </c>
      <c r="N266">
        <v>1</v>
      </c>
      <c r="O266">
        <v>0</v>
      </c>
      <c r="P266">
        <v>5</v>
      </c>
      <c r="Q266" t="s">
        <v>45</v>
      </c>
    </row>
    <row r="267" spans="1:17" x14ac:dyDescent="0.55000000000000004">
      <c r="A267">
        <v>0</v>
      </c>
      <c r="B267" t="s">
        <v>0</v>
      </c>
      <c r="C267">
        <v>0.1</v>
      </c>
      <c r="D267" t="s">
        <v>68</v>
      </c>
      <c r="E267" t="s">
        <v>1</v>
      </c>
      <c r="F267" t="s">
        <v>200</v>
      </c>
      <c r="G267" t="s">
        <v>0</v>
      </c>
      <c r="H267">
        <v>3.6579999999999999</v>
      </c>
      <c r="I267" t="s">
        <v>461</v>
      </c>
      <c r="J267" t="s">
        <v>174</v>
      </c>
      <c r="K267">
        <v>106597378</v>
      </c>
      <c r="L267" s="2">
        <v>44349</v>
      </c>
      <c r="M267">
        <v>21</v>
      </c>
      <c r="N267">
        <v>1</v>
      </c>
      <c r="O267">
        <v>0</v>
      </c>
      <c r="P267">
        <v>5</v>
      </c>
      <c r="Q267" t="s">
        <v>21</v>
      </c>
    </row>
    <row r="268" spans="1:17" x14ac:dyDescent="0.55000000000000004">
      <c r="A268">
        <v>0</v>
      </c>
      <c r="B268" t="s">
        <v>0</v>
      </c>
      <c r="C268">
        <v>0.1</v>
      </c>
      <c r="D268" t="s">
        <v>68</v>
      </c>
      <c r="E268" t="s">
        <v>1</v>
      </c>
      <c r="F268" t="s">
        <v>200</v>
      </c>
      <c r="G268" t="s">
        <v>0</v>
      </c>
      <c r="H268">
        <v>3.6579999999999999</v>
      </c>
      <c r="I268" t="s">
        <v>461</v>
      </c>
      <c r="J268" t="s">
        <v>174</v>
      </c>
      <c r="K268">
        <v>106665097</v>
      </c>
      <c r="L268" s="2">
        <v>44429</v>
      </c>
      <c r="M268">
        <v>21</v>
      </c>
      <c r="N268">
        <v>1</v>
      </c>
      <c r="O268">
        <v>0</v>
      </c>
      <c r="P268">
        <v>1</v>
      </c>
      <c r="Q268" t="s">
        <v>45</v>
      </c>
    </row>
    <row r="269" spans="1:17" x14ac:dyDescent="0.55000000000000004">
      <c r="A269">
        <v>414</v>
      </c>
      <c r="B269" t="s">
        <v>0</v>
      </c>
      <c r="C269">
        <v>0.1</v>
      </c>
      <c r="D269" t="s">
        <v>68</v>
      </c>
      <c r="E269" t="s">
        <v>1</v>
      </c>
      <c r="F269" t="s">
        <v>200</v>
      </c>
      <c r="G269" t="s">
        <v>0</v>
      </c>
      <c r="H269">
        <v>3.6579999999999999</v>
      </c>
      <c r="I269" t="s">
        <v>461</v>
      </c>
      <c r="J269" t="s">
        <v>174</v>
      </c>
      <c r="K269">
        <v>104843782</v>
      </c>
      <c r="L269" s="2">
        <v>42622</v>
      </c>
      <c r="M269">
        <v>30</v>
      </c>
      <c r="N269">
        <v>1</v>
      </c>
      <c r="O269">
        <v>4</v>
      </c>
      <c r="P269">
        <v>1</v>
      </c>
      <c r="Q269" t="s">
        <v>21</v>
      </c>
    </row>
    <row r="270" spans="1:17" x14ac:dyDescent="0.55000000000000004">
      <c r="A270">
        <v>414</v>
      </c>
      <c r="B270" t="s">
        <v>0</v>
      </c>
      <c r="C270">
        <v>0.1</v>
      </c>
      <c r="D270" t="s">
        <v>68</v>
      </c>
      <c r="E270" t="s">
        <v>1</v>
      </c>
      <c r="F270" t="s">
        <v>200</v>
      </c>
      <c r="G270" t="s">
        <v>0</v>
      </c>
      <c r="H270">
        <v>3.6579999999999999</v>
      </c>
      <c r="I270" t="s">
        <v>461</v>
      </c>
      <c r="J270" t="s">
        <v>174</v>
      </c>
      <c r="K270">
        <v>105181657</v>
      </c>
      <c r="L270" s="2">
        <v>42952</v>
      </c>
      <c r="M270">
        <v>19</v>
      </c>
      <c r="N270">
        <v>2</v>
      </c>
      <c r="O270">
        <v>0</v>
      </c>
      <c r="P270">
        <v>5</v>
      </c>
      <c r="Q270" t="s">
        <v>15</v>
      </c>
    </row>
    <row r="271" spans="1:17" x14ac:dyDescent="0.55000000000000004">
      <c r="A271">
        <v>414</v>
      </c>
      <c r="B271" t="s">
        <v>0</v>
      </c>
      <c r="C271">
        <v>0.1</v>
      </c>
      <c r="D271" t="s">
        <v>68</v>
      </c>
      <c r="E271" t="s">
        <v>1</v>
      </c>
      <c r="F271" t="s">
        <v>200</v>
      </c>
      <c r="G271" t="s">
        <v>0</v>
      </c>
      <c r="H271">
        <v>3.6579999999999999</v>
      </c>
      <c r="I271" t="s">
        <v>461</v>
      </c>
      <c r="J271" t="s">
        <v>174</v>
      </c>
      <c r="K271">
        <v>105685678</v>
      </c>
      <c r="L271" s="2">
        <v>43425</v>
      </c>
      <c r="M271">
        <v>28</v>
      </c>
      <c r="N271">
        <v>1</v>
      </c>
      <c r="O271">
        <v>0</v>
      </c>
      <c r="P271">
        <v>5</v>
      </c>
      <c r="Q271" t="s">
        <v>21</v>
      </c>
    </row>
    <row r="272" spans="1:17" x14ac:dyDescent="0.55000000000000004">
      <c r="A272">
        <v>414</v>
      </c>
      <c r="B272" t="s">
        <v>0</v>
      </c>
      <c r="C272">
        <v>5.7000000000000002E-2</v>
      </c>
      <c r="D272" t="s">
        <v>18</v>
      </c>
      <c r="E272" t="s">
        <v>200</v>
      </c>
      <c r="F272" t="s">
        <v>1</v>
      </c>
      <c r="G272" t="s">
        <v>0</v>
      </c>
      <c r="H272">
        <v>3.673</v>
      </c>
      <c r="I272" t="s">
        <v>461</v>
      </c>
      <c r="K272">
        <v>105658475</v>
      </c>
      <c r="L272" s="2">
        <v>43404</v>
      </c>
      <c r="M272">
        <v>18</v>
      </c>
      <c r="N272">
        <v>1</v>
      </c>
      <c r="O272">
        <v>0</v>
      </c>
      <c r="P272">
        <v>5</v>
      </c>
      <c r="Q272" t="s">
        <v>21</v>
      </c>
    </row>
    <row r="273" spans="1:17" x14ac:dyDescent="0.55000000000000004">
      <c r="A273">
        <v>414</v>
      </c>
      <c r="B273" t="s">
        <v>0</v>
      </c>
      <c r="C273">
        <v>5.7000000000000002E-2</v>
      </c>
      <c r="D273" t="s">
        <v>18</v>
      </c>
      <c r="E273" t="s">
        <v>200</v>
      </c>
      <c r="F273" t="s">
        <v>1</v>
      </c>
      <c r="G273" t="s">
        <v>0</v>
      </c>
      <c r="H273">
        <v>3.673</v>
      </c>
      <c r="I273" t="s">
        <v>461</v>
      </c>
      <c r="K273">
        <v>105660617</v>
      </c>
      <c r="L273" s="2">
        <v>43404</v>
      </c>
      <c r="M273">
        <v>14</v>
      </c>
      <c r="N273">
        <v>1</v>
      </c>
      <c r="O273">
        <v>0</v>
      </c>
      <c r="P273">
        <v>5</v>
      </c>
      <c r="Q273" t="s">
        <v>190</v>
      </c>
    </row>
    <row r="274" spans="1:17" x14ac:dyDescent="0.55000000000000004">
      <c r="A274">
        <v>414</v>
      </c>
      <c r="B274" t="s">
        <v>0</v>
      </c>
      <c r="C274">
        <v>0.2</v>
      </c>
      <c r="D274" t="s">
        <v>18</v>
      </c>
      <c r="E274" t="s">
        <v>62</v>
      </c>
      <c r="F274" t="s">
        <v>1</v>
      </c>
      <c r="G274" t="s">
        <v>0</v>
      </c>
      <c r="H274">
        <v>3.6970000000000001</v>
      </c>
      <c r="I274" t="s">
        <v>461</v>
      </c>
      <c r="K274">
        <v>105514395</v>
      </c>
      <c r="L274" s="2">
        <v>43268</v>
      </c>
      <c r="M274">
        <v>19</v>
      </c>
      <c r="N274">
        <v>1</v>
      </c>
      <c r="O274">
        <v>5</v>
      </c>
      <c r="P274">
        <v>5</v>
      </c>
      <c r="Q274" t="s">
        <v>21</v>
      </c>
    </row>
    <row r="275" spans="1:17" x14ac:dyDescent="0.55000000000000004">
      <c r="A275">
        <v>414</v>
      </c>
      <c r="B275" t="s">
        <v>0</v>
      </c>
      <c r="C275">
        <v>0.2</v>
      </c>
      <c r="D275" t="s">
        <v>18</v>
      </c>
      <c r="E275" t="s">
        <v>62</v>
      </c>
      <c r="F275" t="s">
        <v>200</v>
      </c>
      <c r="G275" t="s">
        <v>0</v>
      </c>
      <c r="H275">
        <v>3.6970000000000001</v>
      </c>
      <c r="I275" t="s">
        <v>461</v>
      </c>
      <c r="K275">
        <v>105331465</v>
      </c>
      <c r="L275" s="2">
        <v>43089</v>
      </c>
      <c r="M275">
        <v>21</v>
      </c>
      <c r="N275">
        <v>2</v>
      </c>
      <c r="O275">
        <v>8</v>
      </c>
      <c r="P275">
        <v>1</v>
      </c>
      <c r="Q275" t="s">
        <v>21</v>
      </c>
    </row>
    <row r="276" spans="1:17" x14ac:dyDescent="0.55000000000000004">
      <c r="A276">
        <v>414</v>
      </c>
      <c r="B276" t="s">
        <v>0</v>
      </c>
      <c r="C276">
        <v>4.0000000000000001E-3</v>
      </c>
      <c r="D276" t="s">
        <v>18</v>
      </c>
      <c r="E276" t="s">
        <v>200</v>
      </c>
      <c r="F276" t="s">
        <v>1</v>
      </c>
      <c r="G276" t="s">
        <v>0</v>
      </c>
      <c r="H276">
        <v>3.726</v>
      </c>
      <c r="I276" t="s">
        <v>461</v>
      </c>
      <c r="K276">
        <v>105300152</v>
      </c>
      <c r="L276" s="2">
        <v>43063</v>
      </c>
      <c r="M276">
        <v>21</v>
      </c>
      <c r="N276">
        <v>1</v>
      </c>
      <c r="O276">
        <v>0</v>
      </c>
      <c r="P276">
        <v>1</v>
      </c>
      <c r="Q276" t="s">
        <v>21</v>
      </c>
    </row>
    <row r="277" spans="1:17" x14ac:dyDescent="0.55000000000000004">
      <c r="A277">
        <v>414</v>
      </c>
      <c r="B277" t="s">
        <v>0</v>
      </c>
      <c r="C277">
        <v>0</v>
      </c>
      <c r="E277" t="s">
        <v>200</v>
      </c>
      <c r="F277" t="s">
        <v>1</v>
      </c>
      <c r="G277" t="s">
        <v>0</v>
      </c>
      <c r="H277">
        <v>3.73</v>
      </c>
      <c r="I277" t="s">
        <v>461</v>
      </c>
      <c r="K277">
        <v>106460747</v>
      </c>
      <c r="L277" s="2">
        <v>44200</v>
      </c>
      <c r="M277">
        <v>21</v>
      </c>
      <c r="N277">
        <v>1</v>
      </c>
      <c r="O277">
        <v>8</v>
      </c>
      <c r="P277">
        <v>2</v>
      </c>
      <c r="Q277" t="s">
        <v>45</v>
      </c>
    </row>
    <row r="278" spans="1:17" x14ac:dyDescent="0.55000000000000004">
      <c r="A278">
        <v>414</v>
      </c>
      <c r="B278" t="s">
        <v>0</v>
      </c>
      <c r="C278">
        <v>0</v>
      </c>
      <c r="E278" t="s">
        <v>200</v>
      </c>
      <c r="F278" t="s">
        <v>1</v>
      </c>
      <c r="G278" t="s">
        <v>0</v>
      </c>
      <c r="H278">
        <v>3.73</v>
      </c>
      <c r="I278" t="s">
        <v>461</v>
      </c>
      <c r="K278">
        <v>105608329</v>
      </c>
      <c r="L278" s="2">
        <v>43363</v>
      </c>
      <c r="M278">
        <v>24</v>
      </c>
      <c r="N278">
        <v>1</v>
      </c>
      <c r="O278">
        <v>8</v>
      </c>
      <c r="P278">
        <v>1</v>
      </c>
      <c r="Q278" t="s">
        <v>21</v>
      </c>
    </row>
    <row r="279" spans="1:17" x14ac:dyDescent="0.55000000000000004">
      <c r="A279">
        <v>414</v>
      </c>
      <c r="B279" t="s">
        <v>0</v>
      </c>
      <c r="C279">
        <v>0</v>
      </c>
      <c r="E279" t="s">
        <v>200</v>
      </c>
      <c r="F279" t="s">
        <v>1</v>
      </c>
      <c r="G279" t="s">
        <v>0</v>
      </c>
      <c r="H279">
        <v>3.73</v>
      </c>
      <c r="I279" t="s">
        <v>461</v>
      </c>
      <c r="K279">
        <v>105185301</v>
      </c>
      <c r="L279" s="2">
        <v>42955</v>
      </c>
      <c r="M279">
        <v>24</v>
      </c>
      <c r="N279">
        <v>2</v>
      </c>
      <c r="O279">
        <v>8</v>
      </c>
      <c r="P279">
        <v>1</v>
      </c>
      <c r="Q279" t="s">
        <v>21</v>
      </c>
    </row>
    <row r="280" spans="1:17" x14ac:dyDescent="0.55000000000000004">
      <c r="A280">
        <v>414</v>
      </c>
      <c r="B280" t="s">
        <v>0</v>
      </c>
      <c r="C280">
        <v>0</v>
      </c>
      <c r="E280" t="s">
        <v>200</v>
      </c>
      <c r="F280" t="s">
        <v>202</v>
      </c>
      <c r="G280" t="s">
        <v>0</v>
      </c>
      <c r="H280">
        <v>3.73</v>
      </c>
      <c r="I280" t="s">
        <v>461</v>
      </c>
      <c r="K280">
        <v>105721541</v>
      </c>
      <c r="L280" s="2">
        <v>43454</v>
      </c>
      <c r="M280">
        <v>19</v>
      </c>
      <c r="N280">
        <v>2</v>
      </c>
      <c r="O280">
        <v>0</v>
      </c>
      <c r="P280">
        <v>1</v>
      </c>
      <c r="Q280" t="s">
        <v>15</v>
      </c>
    </row>
    <row r="281" spans="1:17" x14ac:dyDescent="0.55000000000000004">
      <c r="A281">
        <v>414</v>
      </c>
      <c r="B281" t="s">
        <v>0</v>
      </c>
      <c r="C281">
        <v>4.0000000000000001E-3</v>
      </c>
      <c r="D281" t="s">
        <v>68</v>
      </c>
      <c r="E281" t="s">
        <v>200</v>
      </c>
      <c r="F281" t="s">
        <v>62</v>
      </c>
      <c r="G281" t="s">
        <v>0</v>
      </c>
      <c r="H281">
        <v>3.734</v>
      </c>
      <c r="I281" t="s">
        <v>461</v>
      </c>
      <c r="K281">
        <v>105924827</v>
      </c>
      <c r="L281" s="2">
        <v>43660</v>
      </c>
      <c r="M281">
        <v>19</v>
      </c>
      <c r="N281">
        <v>1</v>
      </c>
      <c r="O281">
        <v>0</v>
      </c>
      <c r="P281">
        <v>5</v>
      </c>
    </row>
    <row r="282" spans="1:17" x14ac:dyDescent="0.55000000000000004">
      <c r="A282">
        <v>0</v>
      </c>
      <c r="B282" t="s">
        <v>0</v>
      </c>
      <c r="C282">
        <v>0.1</v>
      </c>
      <c r="D282" t="s">
        <v>18</v>
      </c>
      <c r="E282" t="s">
        <v>62</v>
      </c>
      <c r="F282" t="s">
        <v>1</v>
      </c>
      <c r="G282" t="s">
        <v>0</v>
      </c>
      <c r="H282">
        <v>3.7970000000000002</v>
      </c>
      <c r="I282" t="s">
        <v>461</v>
      </c>
      <c r="K282">
        <v>106677968</v>
      </c>
      <c r="L282" s="2">
        <v>44434</v>
      </c>
      <c r="M282">
        <v>21</v>
      </c>
      <c r="N282">
        <v>1</v>
      </c>
      <c r="O282">
        <v>8</v>
      </c>
      <c r="P282">
        <v>1</v>
      </c>
      <c r="Q282" t="s">
        <v>15</v>
      </c>
    </row>
    <row r="283" spans="1:17" x14ac:dyDescent="0.55000000000000004">
      <c r="A283">
        <v>414</v>
      </c>
      <c r="B283" t="s">
        <v>0</v>
      </c>
      <c r="C283">
        <v>0.8</v>
      </c>
      <c r="D283" t="s">
        <v>18</v>
      </c>
      <c r="E283" t="s">
        <v>2</v>
      </c>
      <c r="F283" t="s">
        <v>62</v>
      </c>
      <c r="G283" t="s">
        <v>0</v>
      </c>
      <c r="H283">
        <v>3.8010000000000002</v>
      </c>
      <c r="I283" t="s">
        <v>461</v>
      </c>
      <c r="K283">
        <v>105755373</v>
      </c>
      <c r="L283" s="2">
        <v>43490</v>
      </c>
      <c r="M283">
        <v>17</v>
      </c>
      <c r="N283">
        <v>1</v>
      </c>
      <c r="O283">
        <v>0</v>
      </c>
      <c r="P283">
        <v>5</v>
      </c>
      <c r="Q283" t="s">
        <v>21</v>
      </c>
    </row>
    <row r="284" spans="1:17" x14ac:dyDescent="0.55000000000000004">
      <c r="A284">
        <v>0</v>
      </c>
      <c r="B284" t="s">
        <v>0</v>
      </c>
      <c r="C284">
        <v>0.1</v>
      </c>
      <c r="D284" t="s">
        <v>68</v>
      </c>
      <c r="E284" t="s">
        <v>200</v>
      </c>
      <c r="F284" t="s">
        <v>62</v>
      </c>
      <c r="G284" t="s">
        <v>0</v>
      </c>
      <c r="H284">
        <v>3.83</v>
      </c>
      <c r="I284" t="s">
        <v>461</v>
      </c>
      <c r="K284">
        <v>106574813</v>
      </c>
      <c r="L284" s="2">
        <v>44329</v>
      </c>
      <c r="M284">
        <v>21</v>
      </c>
      <c r="N284">
        <v>1</v>
      </c>
      <c r="O284">
        <v>0</v>
      </c>
      <c r="P284">
        <v>1</v>
      </c>
      <c r="Q284" t="s">
        <v>15</v>
      </c>
    </row>
    <row r="285" spans="1:17" x14ac:dyDescent="0.55000000000000004">
      <c r="A285">
        <v>414</v>
      </c>
      <c r="B285" t="s">
        <v>0</v>
      </c>
      <c r="C285">
        <v>0.1</v>
      </c>
      <c r="D285" t="s">
        <v>68</v>
      </c>
      <c r="E285" t="s">
        <v>200</v>
      </c>
      <c r="F285" t="s">
        <v>62</v>
      </c>
      <c r="G285" t="s">
        <v>0</v>
      </c>
      <c r="H285">
        <v>3.83</v>
      </c>
      <c r="I285" t="s">
        <v>461</v>
      </c>
      <c r="K285">
        <v>104960912</v>
      </c>
      <c r="L285" s="2">
        <v>42731</v>
      </c>
      <c r="M285">
        <v>21</v>
      </c>
      <c r="N285">
        <v>1</v>
      </c>
      <c r="O285">
        <v>4</v>
      </c>
      <c r="P285">
        <v>1</v>
      </c>
      <c r="Q285" t="s">
        <v>21</v>
      </c>
    </row>
    <row r="286" spans="1:17" x14ac:dyDescent="0.55000000000000004">
      <c r="A286">
        <v>414</v>
      </c>
      <c r="B286" t="s">
        <v>0</v>
      </c>
      <c r="C286">
        <v>1.9E-2</v>
      </c>
      <c r="D286" t="s">
        <v>18</v>
      </c>
      <c r="E286" t="s">
        <v>62</v>
      </c>
      <c r="F286" t="s">
        <v>1</v>
      </c>
      <c r="G286" t="s">
        <v>0</v>
      </c>
      <c r="H286">
        <v>3.8780000000000001</v>
      </c>
      <c r="I286" t="s">
        <v>461</v>
      </c>
      <c r="K286">
        <v>105623496</v>
      </c>
      <c r="L286" s="2">
        <v>43373</v>
      </c>
      <c r="M286">
        <v>19</v>
      </c>
      <c r="N286">
        <v>1</v>
      </c>
      <c r="O286">
        <v>0</v>
      </c>
      <c r="P286">
        <v>1</v>
      </c>
      <c r="Q286" t="s">
        <v>21</v>
      </c>
    </row>
    <row r="287" spans="1:17" x14ac:dyDescent="0.55000000000000004">
      <c r="A287">
        <v>414</v>
      </c>
      <c r="B287" t="s">
        <v>0</v>
      </c>
      <c r="C287">
        <v>1.9E-2</v>
      </c>
      <c r="D287" t="s">
        <v>18</v>
      </c>
      <c r="E287" t="s">
        <v>62</v>
      </c>
      <c r="F287" t="s">
        <v>200</v>
      </c>
      <c r="G287" t="s">
        <v>0</v>
      </c>
      <c r="H287">
        <v>3.8780000000000001</v>
      </c>
      <c r="I287" t="s">
        <v>461</v>
      </c>
      <c r="K287">
        <v>105222793</v>
      </c>
      <c r="L287" s="2">
        <v>42993</v>
      </c>
      <c r="M287">
        <v>19</v>
      </c>
      <c r="N287">
        <v>1</v>
      </c>
      <c r="O287">
        <v>4</v>
      </c>
      <c r="P287">
        <v>1</v>
      </c>
      <c r="Q287" t="s">
        <v>21</v>
      </c>
    </row>
    <row r="288" spans="1:17" x14ac:dyDescent="0.55000000000000004">
      <c r="A288">
        <v>414</v>
      </c>
      <c r="B288" t="s">
        <v>0</v>
      </c>
      <c r="C288">
        <v>0</v>
      </c>
      <c r="E288" t="s">
        <v>62</v>
      </c>
      <c r="F288" t="s">
        <v>1</v>
      </c>
      <c r="G288" t="s">
        <v>0</v>
      </c>
      <c r="H288">
        <v>3.8969999999999998</v>
      </c>
      <c r="I288" t="s">
        <v>461</v>
      </c>
      <c r="K288">
        <v>105312453</v>
      </c>
      <c r="L288" s="2">
        <v>43073</v>
      </c>
      <c r="M288">
        <v>21</v>
      </c>
      <c r="N288">
        <v>1</v>
      </c>
      <c r="O288">
        <v>8</v>
      </c>
      <c r="P288">
        <v>5</v>
      </c>
      <c r="Q288" t="s">
        <v>21</v>
      </c>
    </row>
    <row r="289" spans="1:17" x14ac:dyDescent="0.55000000000000004">
      <c r="A289">
        <v>414</v>
      </c>
      <c r="B289" t="s">
        <v>0</v>
      </c>
      <c r="C289">
        <v>0</v>
      </c>
      <c r="E289" t="s">
        <v>62</v>
      </c>
      <c r="F289" t="s">
        <v>203</v>
      </c>
      <c r="G289" t="s">
        <v>0</v>
      </c>
      <c r="H289">
        <v>3.8969999999999998</v>
      </c>
      <c r="I289" t="s">
        <v>461</v>
      </c>
      <c r="K289">
        <v>106481898</v>
      </c>
      <c r="L289" s="2">
        <v>44233</v>
      </c>
      <c r="M289">
        <v>21</v>
      </c>
      <c r="N289">
        <v>1</v>
      </c>
      <c r="O289">
        <v>8</v>
      </c>
      <c r="P289">
        <v>1</v>
      </c>
      <c r="Q289" t="s">
        <v>15</v>
      </c>
    </row>
    <row r="290" spans="1:17" x14ac:dyDescent="0.55000000000000004">
      <c r="A290">
        <v>414</v>
      </c>
      <c r="B290" t="s">
        <v>1</v>
      </c>
      <c r="C290">
        <v>0.01</v>
      </c>
      <c r="D290" t="s">
        <v>68</v>
      </c>
      <c r="E290" t="s">
        <v>62</v>
      </c>
      <c r="F290" t="s">
        <v>203</v>
      </c>
      <c r="G290" t="s">
        <v>0</v>
      </c>
      <c r="H290">
        <v>3.907</v>
      </c>
      <c r="I290" t="s">
        <v>461</v>
      </c>
      <c r="K290">
        <v>104890868</v>
      </c>
      <c r="L290" s="2">
        <v>42665</v>
      </c>
      <c r="M290">
        <v>29</v>
      </c>
      <c r="N290">
        <v>1</v>
      </c>
      <c r="O290">
        <v>0</v>
      </c>
      <c r="P290">
        <v>5</v>
      </c>
      <c r="Q290" t="s">
        <v>15</v>
      </c>
    </row>
    <row r="291" spans="1:17" x14ac:dyDescent="0.55000000000000004">
      <c r="A291">
        <v>0</v>
      </c>
      <c r="B291" t="s">
        <v>0</v>
      </c>
      <c r="C291">
        <v>0.5</v>
      </c>
      <c r="D291" t="s">
        <v>68</v>
      </c>
      <c r="E291" t="s">
        <v>1</v>
      </c>
      <c r="F291" t="s">
        <v>49</v>
      </c>
      <c r="G291" t="s">
        <v>0</v>
      </c>
      <c r="H291">
        <v>4.0579999999999998</v>
      </c>
      <c r="I291" t="s">
        <v>461</v>
      </c>
      <c r="J291" t="s">
        <v>174</v>
      </c>
      <c r="K291">
        <v>105162438</v>
      </c>
      <c r="L291" s="2">
        <v>42929</v>
      </c>
      <c r="M291">
        <v>30</v>
      </c>
      <c r="N291">
        <v>1</v>
      </c>
      <c r="O291">
        <v>0</v>
      </c>
      <c r="P291">
        <v>5</v>
      </c>
      <c r="Q291" t="s">
        <v>15</v>
      </c>
    </row>
    <row r="292" spans="1:17" x14ac:dyDescent="0.55000000000000004">
      <c r="A292">
        <v>0</v>
      </c>
      <c r="B292" t="s">
        <v>0</v>
      </c>
      <c r="C292">
        <v>0.1</v>
      </c>
      <c r="D292" t="s">
        <v>18</v>
      </c>
      <c r="E292" t="s">
        <v>203</v>
      </c>
      <c r="F292" t="s">
        <v>62</v>
      </c>
      <c r="G292" t="s">
        <v>0</v>
      </c>
      <c r="H292">
        <v>4.1079999999999997</v>
      </c>
      <c r="I292" t="s">
        <v>461</v>
      </c>
      <c r="K292">
        <v>106398815</v>
      </c>
      <c r="L292" s="2">
        <v>44141</v>
      </c>
      <c r="M292">
        <v>17</v>
      </c>
      <c r="N292">
        <v>1</v>
      </c>
      <c r="O292">
        <v>0</v>
      </c>
      <c r="P292">
        <v>5</v>
      </c>
      <c r="Q292" t="s">
        <v>21</v>
      </c>
    </row>
    <row r="293" spans="1:17" x14ac:dyDescent="0.55000000000000004">
      <c r="A293">
        <v>414</v>
      </c>
      <c r="B293" t="s">
        <v>0</v>
      </c>
      <c r="C293">
        <v>0.1</v>
      </c>
      <c r="D293" t="s">
        <v>18</v>
      </c>
      <c r="E293" t="s">
        <v>203</v>
      </c>
      <c r="F293" t="s">
        <v>200</v>
      </c>
      <c r="G293" t="s">
        <v>0</v>
      </c>
      <c r="H293">
        <v>4.1079999999999997</v>
      </c>
      <c r="I293" t="s">
        <v>461</v>
      </c>
      <c r="K293">
        <v>104843855</v>
      </c>
      <c r="L293" s="2">
        <v>42622</v>
      </c>
      <c r="M293">
        <v>21</v>
      </c>
      <c r="N293">
        <v>1</v>
      </c>
      <c r="O293">
        <v>0</v>
      </c>
      <c r="P293">
        <v>1</v>
      </c>
      <c r="Q293" t="s">
        <v>21</v>
      </c>
    </row>
    <row r="294" spans="1:17" x14ac:dyDescent="0.55000000000000004">
      <c r="A294">
        <v>414</v>
      </c>
      <c r="B294" t="s">
        <v>0</v>
      </c>
      <c r="C294">
        <v>5.7000000000000002E-2</v>
      </c>
      <c r="D294" t="s">
        <v>18</v>
      </c>
      <c r="E294" t="s">
        <v>203</v>
      </c>
      <c r="F294" t="s">
        <v>62</v>
      </c>
      <c r="G294" t="s">
        <v>0</v>
      </c>
      <c r="H294">
        <v>4.1509999999999998</v>
      </c>
      <c r="I294" t="s">
        <v>461</v>
      </c>
      <c r="K294">
        <v>106035801</v>
      </c>
      <c r="L294" s="2">
        <v>43761</v>
      </c>
      <c r="M294">
        <v>21</v>
      </c>
      <c r="N294">
        <v>1</v>
      </c>
      <c r="O294">
        <v>0</v>
      </c>
      <c r="P294">
        <v>1</v>
      </c>
      <c r="Q294" t="s">
        <v>15</v>
      </c>
    </row>
    <row r="295" spans="1:17" x14ac:dyDescent="0.55000000000000004">
      <c r="A295">
        <v>0</v>
      </c>
      <c r="B295" t="s">
        <v>205</v>
      </c>
      <c r="C295">
        <v>0</v>
      </c>
      <c r="E295" t="s">
        <v>0</v>
      </c>
      <c r="F295" t="s">
        <v>206</v>
      </c>
      <c r="G295" t="s">
        <v>0</v>
      </c>
      <c r="H295">
        <v>4.2080000000000002</v>
      </c>
      <c r="I295" t="s">
        <v>461</v>
      </c>
      <c r="K295">
        <v>106507609</v>
      </c>
      <c r="L295" s="2">
        <v>44259</v>
      </c>
      <c r="M295">
        <v>19</v>
      </c>
      <c r="N295">
        <v>1</v>
      </c>
      <c r="O295">
        <v>0</v>
      </c>
      <c r="P295">
        <v>1</v>
      </c>
      <c r="Q295" t="s">
        <v>21</v>
      </c>
    </row>
    <row r="296" spans="1:17" x14ac:dyDescent="0.55000000000000004">
      <c r="A296">
        <v>0</v>
      </c>
      <c r="B296" t="s">
        <v>0</v>
      </c>
      <c r="C296">
        <v>4.7E-2</v>
      </c>
      <c r="D296" t="s">
        <v>68</v>
      </c>
      <c r="E296" t="s">
        <v>203</v>
      </c>
      <c r="F296" t="s">
        <v>207</v>
      </c>
      <c r="G296" t="s">
        <v>0</v>
      </c>
      <c r="H296">
        <v>4.2549999999999999</v>
      </c>
      <c r="I296" t="s">
        <v>461</v>
      </c>
      <c r="K296">
        <v>106412195</v>
      </c>
      <c r="L296" s="2">
        <v>44155</v>
      </c>
      <c r="M296">
        <v>17</v>
      </c>
      <c r="N296">
        <v>1</v>
      </c>
      <c r="O296">
        <v>0</v>
      </c>
      <c r="P296">
        <v>5</v>
      </c>
      <c r="Q296" t="s">
        <v>21</v>
      </c>
    </row>
    <row r="297" spans="1:17" x14ac:dyDescent="0.55000000000000004">
      <c r="A297">
        <v>0</v>
      </c>
      <c r="B297" t="s">
        <v>0</v>
      </c>
      <c r="C297">
        <v>2E-3</v>
      </c>
      <c r="D297" t="s">
        <v>68</v>
      </c>
      <c r="E297" t="s">
        <v>208</v>
      </c>
      <c r="F297" t="s">
        <v>1</v>
      </c>
      <c r="G297" t="s">
        <v>0</v>
      </c>
      <c r="H297">
        <v>4.9059999999999997</v>
      </c>
      <c r="I297" t="s">
        <v>461</v>
      </c>
      <c r="K297">
        <v>105471327</v>
      </c>
      <c r="L297" s="2">
        <v>43226</v>
      </c>
      <c r="M297">
        <v>27</v>
      </c>
      <c r="N297">
        <v>1</v>
      </c>
      <c r="O297">
        <v>0</v>
      </c>
      <c r="P297">
        <v>5</v>
      </c>
      <c r="Q297" t="s">
        <v>167</v>
      </c>
    </row>
    <row r="298" spans="1:17" x14ac:dyDescent="0.55000000000000004">
      <c r="A298">
        <v>0</v>
      </c>
      <c r="B298" t="s">
        <v>0</v>
      </c>
      <c r="C298">
        <v>4.0000000000000001E-3</v>
      </c>
      <c r="D298" t="s">
        <v>68</v>
      </c>
      <c r="E298" t="s">
        <v>208</v>
      </c>
      <c r="F298" t="s">
        <v>1</v>
      </c>
      <c r="G298" t="s">
        <v>0</v>
      </c>
      <c r="H298">
        <v>4.9080000000000004</v>
      </c>
      <c r="I298" t="s">
        <v>461</v>
      </c>
      <c r="K298">
        <v>106103269</v>
      </c>
      <c r="L298" s="2">
        <v>43817</v>
      </c>
      <c r="M298">
        <v>22</v>
      </c>
      <c r="N298">
        <v>1</v>
      </c>
      <c r="O298">
        <v>8</v>
      </c>
      <c r="P298">
        <v>1</v>
      </c>
      <c r="Q298" t="s">
        <v>21</v>
      </c>
    </row>
    <row r="299" spans="1:17" x14ac:dyDescent="0.55000000000000004">
      <c r="A299">
        <v>0</v>
      </c>
      <c r="B299" t="s">
        <v>0</v>
      </c>
      <c r="C299">
        <v>0.3</v>
      </c>
      <c r="D299" t="s">
        <v>18</v>
      </c>
      <c r="E299" t="s">
        <v>39</v>
      </c>
      <c r="F299" t="s">
        <v>208</v>
      </c>
      <c r="G299" t="s">
        <v>0</v>
      </c>
      <c r="H299">
        <v>4.9630000000000001</v>
      </c>
      <c r="I299" t="s">
        <v>461</v>
      </c>
      <c r="K299">
        <v>106423998</v>
      </c>
      <c r="L299" s="2">
        <v>44165</v>
      </c>
      <c r="M299">
        <v>19</v>
      </c>
      <c r="N299">
        <v>1</v>
      </c>
      <c r="O299">
        <v>0</v>
      </c>
      <c r="P299">
        <v>1</v>
      </c>
      <c r="Q299" t="s">
        <v>21</v>
      </c>
    </row>
    <row r="300" spans="1:17" x14ac:dyDescent="0.55000000000000004">
      <c r="A300">
        <v>0</v>
      </c>
      <c r="B300" t="s">
        <v>0</v>
      </c>
      <c r="C300">
        <v>0.1</v>
      </c>
      <c r="D300" t="s">
        <v>68</v>
      </c>
      <c r="E300" t="s">
        <v>208</v>
      </c>
      <c r="F300" t="s">
        <v>1</v>
      </c>
      <c r="G300" t="s">
        <v>0</v>
      </c>
      <c r="H300">
        <v>5.0039999999999996</v>
      </c>
      <c r="I300" t="s">
        <v>461</v>
      </c>
      <c r="K300">
        <v>105484300</v>
      </c>
      <c r="L300" s="2">
        <v>43234</v>
      </c>
      <c r="M300">
        <v>23</v>
      </c>
      <c r="N300">
        <v>1</v>
      </c>
      <c r="O300">
        <v>4</v>
      </c>
      <c r="P300">
        <v>1</v>
      </c>
      <c r="Q300" t="s">
        <v>190</v>
      </c>
    </row>
    <row r="301" spans="1:17" x14ac:dyDescent="0.55000000000000004">
      <c r="A301">
        <v>0</v>
      </c>
      <c r="B301" t="s">
        <v>1</v>
      </c>
      <c r="C301">
        <v>0.1</v>
      </c>
      <c r="D301" t="s">
        <v>18</v>
      </c>
      <c r="E301" t="s">
        <v>0</v>
      </c>
      <c r="F301" t="s">
        <v>210</v>
      </c>
      <c r="G301" t="s">
        <v>0</v>
      </c>
      <c r="H301">
        <v>5.03</v>
      </c>
      <c r="I301" t="s">
        <v>461</v>
      </c>
      <c r="J301" t="s">
        <v>174</v>
      </c>
      <c r="K301">
        <v>104944737</v>
      </c>
      <c r="L301" s="2">
        <v>42716</v>
      </c>
      <c r="M301">
        <v>21</v>
      </c>
      <c r="N301">
        <v>1</v>
      </c>
      <c r="O301">
        <v>0</v>
      </c>
      <c r="P301">
        <v>3</v>
      </c>
      <c r="Q301" t="s">
        <v>21</v>
      </c>
    </row>
    <row r="302" spans="1:17" x14ac:dyDescent="0.55000000000000004">
      <c r="A302">
        <v>0</v>
      </c>
      <c r="B302" t="s">
        <v>1</v>
      </c>
      <c r="C302">
        <v>1.5</v>
      </c>
      <c r="D302" t="s">
        <v>23</v>
      </c>
      <c r="E302" t="s">
        <v>0</v>
      </c>
      <c r="F302" t="s">
        <v>201</v>
      </c>
      <c r="G302" t="s">
        <v>0</v>
      </c>
      <c r="H302">
        <v>5.0579999999999998</v>
      </c>
      <c r="I302" t="s">
        <v>461</v>
      </c>
      <c r="J302" t="s">
        <v>174</v>
      </c>
      <c r="K302">
        <v>105244252</v>
      </c>
      <c r="L302" s="2">
        <v>43012</v>
      </c>
      <c r="M302">
        <v>21</v>
      </c>
      <c r="N302">
        <v>1</v>
      </c>
      <c r="O302">
        <v>0</v>
      </c>
      <c r="P302">
        <v>1</v>
      </c>
      <c r="Q302" t="s">
        <v>21</v>
      </c>
    </row>
    <row r="303" spans="1:17" x14ac:dyDescent="0.55000000000000004">
      <c r="A303">
        <v>0</v>
      </c>
      <c r="B303" t="s">
        <v>0</v>
      </c>
      <c r="C303">
        <v>0.2</v>
      </c>
      <c r="D303" t="s">
        <v>18</v>
      </c>
      <c r="E303" t="s">
        <v>39</v>
      </c>
      <c r="F303" t="s">
        <v>1</v>
      </c>
      <c r="G303" t="s">
        <v>0</v>
      </c>
      <c r="H303">
        <v>5.0629999999999997</v>
      </c>
      <c r="I303" t="s">
        <v>461</v>
      </c>
      <c r="K303">
        <v>106677674</v>
      </c>
      <c r="L303" s="2">
        <v>44431</v>
      </c>
      <c r="M303">
        <v>23</v>
      </c>
      <c r="N303">
        <v>1</v>
      </c>
      <c r="O303">
        <v>7</v>
      </c>
      <c r="P303">
        <v>1</v>
      </c>
      <c r="Q303" t="s">
        <v>21</v>
      </c>
    </row>
    <row r="304" spans="1:17" x14ac:dyDescent="0.55000000000000004">
      <c r="A304">
        <v>0</v>
      </c>
      <c r="B304" t="s">
        <v>0</v>
      </c>
      <c r="C304">
        <v>3.7999999999999999E-2</v>
      </c>
      <c r="D304" t="s">
        <v>18</v>
      </c>
      <c r="E304" t="s">
        <v>1</v>
      </c>
      <c r="F304" t="s">
        <v>208</v>
      </c>
      <c r="G304" t="s">
        <v>0</v>
      </c>
      <c r="H304">
        <v>5.0919999999999996</v>
      </c>
      <c r="I304" t="s">
        <v>461</v>
      </c>
      <c r="J304" t="s">
        <v>174</v>
      </c>
      <c r="K304">
        <v>106265420</v>
      </c>
      <c r="L304" s="2">
        <v>44011</v>
      </c>
      <c r="M304">
        <v>21</v>
      </c>
      <c r="N304">
        <v>1</v>
      </c>
      <c r="O304">
        <v>0</v>
      </c>
      <c r="P304">
        <v>1</v>
      </c>
      <c r="Q304" t="s">
        <v>45</v>
      </c>
    </row>
    <row r="305" spans="1:17" x14ac:dyDescent="0.55000000000000004">
      <c r="A305">
        <v>0</v>
      </c>
      <c r="B305" t="s">
        <v>0</v>
      </c>
      <c r="C305">
        <v>2.8000000000000001E-2</v>
      </c>
      <c r="D305" t="s">
        <v>18</v>
      </c>
      <c r="E305" t="s">
        <v>1</v>
      </c>
      <c r="F305" t="s">
        <v>209</v>
      </c>
      <c r="G305" t="s">
        <v>0</v>
      </c>
      <c r="H305">
        <v>5.1020000000000003</v>
      </c>
      <c r="I305" t="s">
        <v>461</v>
      </c>
      <c r="J305" t="s">
        <v>174</v>
      </c>
      <c r="K305">
        <v>104978386</v>
      </c>
      <c r="L305" s="2">
        <v>42749</v>
      </c>
      <c r="M305">
        <v>21</v>
      </c>
      <c r="N305">
        <v>1</v>
      </c>
      <c r="O305">
        <v>0</v>
      </c>
      <c r="P305">
        <v>1</v>
      </c>
      <c r="Q305" t="s">
        <v>21</v>
      </c>
    </row>
    <row r="306" spans="1:17" x14ac:dyDescent="0.55000000000000004">
      <c r="A306">
        <v>0</v>
      </c>
      <c r="B306" t="s">
        <v>0</v>
      </c>
      <c r="C306">
        <v>1.9E-2</v>
      </c>
      <c r="D306" t="s">
        <v>18</v>
      </c>
      <c r="E306" t="s">
        <v>1</v>
      </c>
      <c r="F306" t="s">
        <v>211</v>
      </c>
      <c r="G306" t="s">
        <v>0</v>
      </c>
      <c r="H306">
        <v>5.1109999999999998</v>
      </c>
      <c r="I306" t="s">
        <v>461</v>
      </c>
      <c r="J306" t="s">
        <v>174</v>
      </c>
      <c r="K306">
        <v>106580931</v>
      </c>
      <c r="L306" s="2">
        <v>44335</v>
      </c>
      <c r="M306">
        <v>23</v>
      </c>
      <c r="N306">
        <v>1</v>
      </c>
      <c r="O306">
        <v>0</v>
      </c>
      <c r="P306">
        <v>1</v>
      </c>
      <c r="Q306" t="s">
        <v>15</v>
      </c>
    </row>
    <row r="307" spans="1:17" x14ac:dyDescent="0.55000000000000004">
      <c r="A307">
        <v>0</v>
      </c>
      <c r="B307" t="s">
        <v>0</v>
      </c>
      <c r="C307">
        <v>1.9E-2</v>
      </c>
      <c r="D307" t="s">
        <v>18</v>
      </c>
      <c r="E307" t="s">
        <v>1</v>
      </c>
      <c r="F307" t="s">
        <v>208</v>
      </c>
      <c r="G307" t="s">
        <v>0</v>
      </c>
      <c r="H307">
        <v>5.1109999999999998</v>
      </c>
      <c r="I307" t="s">
        <v>461</v>
      </c>
      <c r="J307" t="s">
        <v>174</v>
      </c>
      <c r="K307">
        <v>105430272</v>
      </c>
      <c r="L307" s="2">
        <v>43188</v>
      </c>
      <c r="M307">
        <v>23</v>
      </c>
      <c r="N307">
        <v>1</v>
      </c>
      <c r="O307">
        <v>4</v>
      </c>
      <c r="P307">
        <v>5</v>
      </c>
      <c r="Q307" t="s">
        <v>15</v>
      </c>
    </row>
    <row r="308" spans="1:17" x14ac:dyDescent="0.55000000000000004">
      <c r="A308">
        <v>0</v>
      </c>
      <c r="B308" t="s">
        <v>1</v>
      </c>
      <c r="C308">
        <v>0</v>
      </c>
      <c r="E308" t="s">
        <v>0</v>
      </c>
      <c r="F308" t="s">
        <v>212</v>
      </c>
      <c r="G308" t="s">
        <v>0</v>
      </c>
      <c r="H308">
        <v>5.13</v>
      </c>
      <c r="I308" t="s">
        <v>461</v>
      </c>
      <c r="J308" t="s">
        <v>174</v>
      </c>
      <c r="K308">
        <v>104838245</v>
      </c>
      <c r="L308" s="2">
        <v>42617</v>
      </c>
      <c r="M308">
        <v>19</v>
      </c>
      <c r="N308">
        <v>1</v>
      </c>
      <c r="O308">
        <v>0</v>
      </c>
      <c r="P308">
        <v>3</v>
      </c>
      <c r="Q308" t="s">
        <v>21</v>
      </c>
    </row>
    <row r="309" spans="1:17" x14ac:dyDescent="0.55000000000000004">
      <c r="A309">
        <v>0</v>
      </c>
      <c r="B309" t="s">
        <v>1</v>
      </c>
      <c r="C309">
        <v>0</v>
      </c>
      <c r="E309" t="s">
        <v>0</v>
      </c>
      <c r="F309" t="s">
        <v>39</v>
      </c>
      <c r="G309" t="s">
        <v>0</v>
      </c>
      <c r="H309">
        <v>5.13</v>
      </c>
      <c r="I309" t="s">
        <v>461</v>
      </c>
      <c r="J309" t="s">
        <v>174</v>
      </c>
      <c r="K309">
        <v>104931677</v>
      </c>
      <c r="L309" s="2">
        <v>42701</v>
      </c>
      <c r="M309">
        <v>23</v>
      </c>
      <c r="N309">
        <v>1</v>
      </c>
      <c r="O309">
        <v>9</v>
      </c>
      <c r="P309">
        <v>5</v>
      </c>
      <c r="Q309" t="s">
        <v>21</v>
      </c>
    </row>
    <row r="310" spans="1:17" x14ac:dyDescent="0.55000000000000004">
      <c r="A310">
        <v>0</v>
      </c>
      <c r="B310" t="s">
        <v>1</v>
      </c>
      <c r="C310">
        <v>0</v>
      </c>
      <c r="E310" t="s">
        <v>0</v>
      </c>
      <c r="F310" t="s">
        <v>210</v>
      </c>
      <c r="G310" t="s">
        <v>0</v>
      </c>
      <c r="H310">
        <v>5.13</v>
      </c>
      <c r="I310" t="s">
        <v>461</v>
      </c>
      <c r="J310" t="s">
        <v>174</v>
      </c>
      <c r="K310">
        <v>104922583</v>
      </c>
      <c r="L310" s="2">
        <v>42692</v>
      </c>
      <c r="M310">
        <v>24</v>
      </c>
      <c r="N310">
        <v>1</v>
      </c>
      <c r="O310">
        <v>8</v>
      </c>
      <c r="P310">
        <v>3</v>
      </c>
      <c r="Q310" t="s">
        <v>21</v>
      </c>
    </row>
    <row r="311" spans="1:17" x14ac:dyDescent="0.55000000000000004">
      <c r="A311">
        <v>0</v>
      </c>
      <c r="B311" t="s">
        <v>0</v>
      </c>
      <c r="C311">
        <v>0</v>
      </c>
      <c r="E311" t="s">
        <v>1</v>
      </c>
      <c r="F311" t="s">
        <v>39</v>
      </c>
      <c r="G311" t="s">
        <v>0</v>
      </c>
      <c r="H311">
        <v>5.13</v>
      </c>
      <c r="I311" t="s">
        <v>461</v>
      </c>
      <c r="J311" t="s">
        <v>174</v>
      </c>
      <c r="K311">
        <v>106444027</v>
      </c>
      <c r="L311" s="2">
        <v>44187</v>
      </c>
      <c r="M311">
        <v>21</v>
      </c>
      <c r="N311">
        <v>1</v>
      </c>
      <c r="O311">
        <v>8</v>
      </c>
      <c r="P311">
        <v>1</v>
      </c>
      <c r="Q311" t="s">
        <v>21</v>
      </c>
    </row>
    <row r="312" spans="1:17" x14ac:dyDescent="0.55000000000000004">
      <c r="A312">
        <v>0</v>
      </c>
      <c r="B312" t="s">
        <v>0</v>
      </c>
      <c r="C312">
        <v>0</v>
      </c>
      <c r="E312" t="s">
        <v>1</v>
      </c>
      <c r="F312" t="s">
        <v>208</v>
      </c>
      <c r="G312" t="s">
        <v>0</v>
      </c>
      <c r="H312">
        <v>5.13</v>
      </c>
      <c r="I312" t="s">
        <v>461</v>
      </c>
      <c r="J312" t="s">
        <v>174</v>
      </c>
      <c r="K312">
        <v>106080665</v>
      </c>
      <c r="L312" s="2">
        <v>43801</v>
      </c>
      <c r="M312">
        <v>19</v>
      </c>
      <c r="N312">
        <v>1</v>
      </c>
      <c r="O312">
        <v>12</v>
      </c>
      <c r="P312">
        <v>1</v>
      </c>
      <c r="Q312" t="s">
        <v>15</v>
      </c>
    </row>
    <row r="313" spans="1:17" x14ac:dyDescent="0.55000000000000004">
      <c r="A313">
        <v>0</v>
      </c>
      <c r="B313" t="s">
        <v>0</v>
      </c>
      <c r="C313">
        <v>0</v>
      </c>
      <c r="E313" t="s">
        <v>1</v>
      </c>
      <c r="F313" t="s">
        <v>43</v>
      </c>
      <c r="G313" t="s">
        <v>0</v>
      </c>
      <c r="H313">
        <v>5.13</v>
      </c>
      <c r="I313" t="s">
        <v>461</v>
      </c>
      <c r="J313" t="s">
        <v>174</v>
      </c>
      <c r="K313">
        <v>105749323</v>
      </c>
      <c r="L313" s="2">
        <v>43486</v>
      </c>
      <c r="M313">
        <v>24</v>
      </c>
      <c r="N313">
        <v>1</v>
      </c>
      <c r="O313">
        <v>8</v>
      </c>
      <c r="P313">
        <v>1</v>
      </c>
      <c r="Q313" t="s">
        <v>21</v>
      </c>
    </row>
    <row r="314" spans="1:17" x14ac:dyDescent="0.55000000000000004">
      <c r="A314">
        <v>0</v>
      </c>
      <c r="B314" t="s">
        <v>0</v>
      </c>
      <c r="C314">
        <v>4.0000000000000001E-3</v>
      </c>
      <c r="D314" t="s">
        <v>68</v>
      </c>
      <c r="E314" t="s">
        <v>1</v>
      </c>
      <c r="F314" t="s">
        <v>39</v>
      </c>
      <c r="G314" t="s">
        <v>0</v>
      </c>
      <c r="H314">
        <v>5.1340000000000003</v>
      </c>
      <c r="I314" t="s">
        <v>461</v>
      </c>
      <c r="J314" t="s">
        <v>174</v>
      </c>
      <c r="K314">
        <v>106348946</v>
      </c>
      <c r="L314" s="2">
        <v>44098</v>
      </c>
      <c r="M314">
        <v>21</v>
      </c>
      <c r="N314">
        <v>2</v>
      </c>
      <c r="O314">
        <v>9</v>
      </c>
      <c r="P314">
        <v>1</v>
      </c>
      <c r="Q314" t="s">
        <v>21</v>
      </c>
    </row>
    <row r="315" spans="1:17" x14ac:dyDescent="0.55000000000000004">
      <c r="A315">
        <v>0</v>
      </c>
      <c r="B315" t="s">
        <v>0</v>
      </c>
      <c r="C315">
        <v>0.01</v>
      </c>
      <c r="D315" t="s">
        <v>68</v>
      </c>
      <c r="E315" t="s">
        <v>1</v>
      </c>
      <c r="F315" t="s">
        <v>39</v>
      </c>
      <c r="G315" t="s">
        <v>0</v>
      </c>
      <c r="H315">
        <v>5.14</v>
      </c>
      <c r="I315" t="s">
        <v>461</v>
      </c>
      <c r="J315" t="s">
        <v>174</v>
      </c>
      <c r="K315">
        <v>105667280</v>
      </c>
      <c r="L315" s="2">
        <v>43411</v>
      </c>
      <c r="M315">
        <v>19</v>
      </c>
      <c r="N315">
        <v>1</v>
      </c>
      <c r="O315">
        <v>8</v>
      </c>
      <c r="P315">
        <v>1</v>
      </c>
      <c r="Q315" t="s">
        <v>21</v>
      </c>
    </row>
    <row r="316" spans="1:17" x14ac:dyDescent="0.55000000000000004">
      <c r="A316">
        <v>0</v>
      </c>
      <c r="B316" t="s">
        <v>0</v>
      </c>
      <c r="C316">
        <v>1.4E-2</v>
      </c>
      <c r="D316" t="s">
        <v>68</v>
      </c>
      <c r="E316" t="s">
        <v>1</v>
      </c>
      <c r="F316" t="s">
        <v>39</v>
      </c>
      <c r="G316" t="s">
        <v>0</v>
      </c>
      <c r="H316">
        <v>5.1440000000000001</v>
      </c>
      <c r="I316" t="s">
        <v>461</v>
      </c>
      <c r="J316" t="s">
        <v>174</v>
      </c>
      <c r="K316">
        <v>105528094</v>
      </c>
      <c r="L316" s="2">
        <v>43279</v>
      </c>
      <c r="M316">
        <v>32</v>
      </c>
      <c r="N316">
        <v>1</v>
      </c>
      <c r="O316">
        <v>8</v>
      </c>
      <c r="P316">
        <v>1</v>
      </c>
      <c r="Q316" t="s">
        <v>21</v>
      </c>
    </row>
    <row r="317" spans="1:17" x14ac:dyDescent="0.55000000000000004">
      <c r="A317">
        <v>0</v>
      </c>
      <c r="B317" t="s">
        <v>0</v>
      </c>
      <c r="C317">
        <v>0.1</v>
      </c>
      <c r="D317" t="s">
        <v>18</v>
      </c>
      <c r="E317" t="s">
        <v>39</v>
      </c>
      <c r="F317" t="s">
        <v>1</v>
      </c>
      <c r="G317" t="s">
        <v>0</v>
      </c>
      <c r="H317">
        <v>5.1630000000000003</v>
      </c>
      <c r="I317" t="s">
        <v>461</v>
      </c>
      <c r="K317">
        <v>104955638</v>
      </c>
      <c r="L317" s="2">
        <v>42724</v>
      </c>
      <c r="M317">
        <v>21</v>
      </c>
      <c r="N317">
        <v>1</v>
      </c>
      <c r="O317">
        <v>0</v>
      </c>
      <c r="P317">
        <v>5</v>
      </c>
      <c r="Q317" t="s">
        <v>21</v>
      </c>
    </row>
    <row r="318" spans="1:17" x14ac:dyDescent="0.55000000000000004">
      <c r="A318">
        <v>498</v>
      </c>
      <c r="B318" t="s">
        <v>4</v>
      </c>
      <c r="C318">
        <v>3.7999999999999999E-2</v>
      </c>
      <c r="D318" t="s">
        <v>68</v>
      </c>
      <c r="E318" t="s">
        <v>213</v>
      </c>
      <c r="F318" t="s">
        <v>70</v>
      </c>
      <c r="G318" t="s">
        <v>0</v>
      </c>
      <c r="H318">
        <v>5.1680000000000001</v>
      </c>
      <c r="I318" t="s">
        <v>461</v>
      </c>
      <c r="K318">
        <v>105606685</v>
      </c>
      <c r="L318" s="2">
        <v>43348</v>
      </c>
      <c r="M318">
        <v>21</v>
      </c>
      <c r="N318">
        <v>1</v>
      </c>
      <c r="O318">
        <v>0</v>
      </c>
      <c r="P318">
        <v>1</v>
      </c>
      <c r="Q318" t="s">
        <v>21</v>
      </c>
    </row>
    <row r="319" spans="1:17" x14ac:dyDescent="0.55000000000000004">
      <c r="A319">
        <v>0</v>
      </c>
      <c r="B319" t="s">
        <v>0</v>
      </c>
      <c r="C319">
        <v>0.1</v>
      </c>
      <c r="D319" t="s">
        <v>68</v>
      </c>
      <c r="E319" t="s">
        <v>1</v>
      </c>
      <c r="F319" t="s">
        <v>39</v>
      </c>
      <c r="G319" t="s">
        <v>0</v>
      </c>
      <c r="H319">
        <v>5.23</v>
      </c>
      <c r="I319" t="s">
        <v>461</v>
      </c>
      <c r="J319" t="s">
        <v>174</v>
      </c>
      <c r="K319">
        <v>105896711</v>
      </c>
      <c r="L319" s="2">
        <v>43624</v>
      </c>
      <c r="M319">
        <v>19</v>
      </c>
      <c r="N319">
        <v>2</v>
      </c>
      <c r="O319">
        <v>0</v>
      </c>
      <c r="P319">
        <v>5</v>
      </c>
    </row>
    <row r="320" spans="1:17" x14ac:dyDescent="0.55000000000000004">
      <c r="A320">
        <v>0</v>
      </c>
      <c r="B320" t="s">
        <v>0</v>
      </c>
      <c r="C320">
        <v>0</v>
      </c>
      <c r="E320" t="s">
        <v>214</v>
      </c>
      <c r="F320" t="s">
        <v>1</v>
      </c>
      <c r="G320" t="s">
        <v>0</v>
      </c>
      <c r="H320">
        <v>5.2629999999999999</v>
      </c>
      <c r="I320" t="s">
        <v>461</v>
      </c>
      <c r="K320">
        <v>105604483</v>
      </c>
      <c r="L320" s="2">
        <v>43353</v>
      </c>
      <c r="M320">
        <v>30</v>
      </c>
      <c r="N320">
        <v>1</v>
      </c>
      <c r="O320">
        <v>7</v>
      </c>
      <c r="P320">
        <v>1</v>
      </c>
      <c r="Q320" t="s">
        <v>21</v>
      </c>
    </row>
    <row r="321" spans="1:17" x14ac:dyDescent="0.55000000000000004">
      <c r="A321">
        <v>0</v>
      </c>
      <c r="B321" t="s">
        <v>0</v>
      </c>
      <c r="C321">
        <v>0</v>
      </c>
      <c r="E321" t="s">
        <v>214</v>
      </c>
      <c r="F321" t="s">
        <v>211</v>
      </c>
      <c r="G321" t="s">
        <v>0</v>
      </c>
      <c r="H321">
        <v>5.2629999999999999</v>
      </c>
      <c r="I321" t="s">
        <v>461</v>
      </c>
      <c r="K321">
        <v>105584015</v>
      </c>
      <c r="L321" s="2">
        <v>43335</v>
      </c>
      <c r="M321">
        <v>30</v>
      </c>
      <c r="N321">
        <v>1</v>
      </c>
      <c r="O321">
        <v>7</v>
      </c>
      <c r="P321">
        <v>1</v>
      </c>
      <c r="Q321" t="s">
        <v>21</v>
      </c>
    </row>
    <row r="322" spans="1:17" x14ac:dyDescent="0.55000000000000004">
      <c r="A322">
        <v>0</v>
      </c>
      <c r="B322" t="s">
        <v>0</v>
      </c>
      <c r="C322">
        <v>0</v>
      </c>
      <c r="E322" t="s">
        <v>39</v>
      </c>
      <c r="F322" t="s">
        <v>1</v>
      </c>
      <c r="G322" t="s">
        <v>0</v>
      </c>
      <c r="H322">
        <v>5.2629999999999999</v>
      </c>
      <c r="I322" t="s">
        <v>461</v>
      </c>
      <c r="K322">
        <v>106662769</v>
      </c>
      <c r="L322" s="2">
        <v>44424</v>
      </c>
      <c r="M322">
        <v>21</v>
      </c>
      <c r="N322">
        <v>2</v>
      </c>
      <c r="O322">
        <v>7</v>
      </c>
      <c r="P322">
        <v>1</v>
      </c>
      <c r="Q322" t="s">
        <v>15</v>
      </c>
    </row>
    <row r="323" spans="1:17" x14ac:dyDescent="0.55000000000000004">
      <c r="A323">
        <v>0</v>
      </c>
      <c r="B323" t="s">
        <v>0</v>
      </c>
      <c r="C323">
        <v>0</v>
      </c>
      <c r="E323" t="s">
        <v>39</v>
      </c>
      <c r="F323" t="s">
        <v>1</v>
      </c>
      <c r="G323" t="s">
        <v>0</v>
      </c>
      <c r="H323">
        <v>5.2629999999999999</v>
      </c>
      <c r="I323" t="s">
        <v>461</v>
      </c>
      <c r="K323">
        <v>106615630</v>
      </c>
      <c r="L323" s="2">
        <v>44360</v>
      </c>
      <c r="M323">
        <v>19</v>
      </c>
      <c r="N323">
        <v>1</v>
      </c>
      <c r="O323">
        <v>0</v>
      </c>
      <c r="P323">
        <v>5</v>
      </c>
      <c r="Q323" t="s">
        <v>21</v>
      </c>
    </row>
    <row r="324" spans="1:17" x14ac:dyDescent="0.55000000000000004">
      <c r="A324">
        <v>0</v>
      </c>
      <c r="B324" t="s">
        <v>0</v>
      </c>
      <c r="C324">
        <v>0</v>
      </c>
      <c r="E324" t="s">
        <v>39</v>
      </c>
      <c r="F324" t="s">
        <v>1</v>
      </c>
      <c r="G324" t="s">
        <v>0</v>
      </c>
      <c r="H324">
        <v>5.2629999999999999</v>
      </c>
      <c r="I324" t="s">
        <v>461</v>
      </c>
      <c r="K324">
        <v>106426282</v>
      </c>
      <c r="L324" s="2">
        <v>44168</v>
      </c>
      <c r="M324">
        <v>24</v>
      </c>
      <c r="N324">
        <v>1</v>
      </c>
      <c r="O324">
        <v>7</v>
      </c>
      <c r="P324">
        <v>1</v>
      </c>
      <c r="Q324" t="s">
        <v>15</v>
      </c>
    </row>
    <row r="325" spans="1:17" x14ac:dyDescent="0.55000000000000004">
      <c r="A325">
        <v>0</v>
      </c>
      <c r="B325" t="s">
        <v>0</v>
      </c>
      <c r="C325">
        <v>0</v>
      </c>
      <c r="E325" t="s">
        <v>39</v>
      </c>
      <c r="F325" t="s">
        <v>1</v>
      </c>
      <c r="G325" t="s">
        <v>0</v>
      </c>
      <c r="H325">
        <v>5.2629999999999999</v>
      </c>
      <c r="I325" t="s">
        <v>461</v>
      </c>
      <c r="K325">
        <v>106226480</v>
      </c>
      <c r="L325" s="2">
        <v>43966</v>
      </c>
      <c r="M325">
        <v>24</v>
      </c>
      <c r="N325">
        <v>1</v>
      </c>
      <c r="O325">
        <v>7</v>
      </c>
      <c r="P325">
        <v>1</v>
      </c>
      <c r="Q325" t="s">
        <v>15</v>
      </c>
    </row>
    <row r="326" spans="1:17" x14ac:dyDescent="0.55000000000000004">
      <c r="A326">
        <v>0</v>
      </c>
      <c r="B326" t="s">
        <v>0</v>
      </c>
      <c r="C326">
        <v>0</v>
      </c>
      <c r="E326" t="s">
        <v>39</v>
      </c>
      <c r="F326" t="s">
        <v>1</v>
      </c>
      <c r="G326" t="s">
        <v>0</v>
      </c>
      <c r="H326">
        <v>5.2629999999999999</v>
      </c>
      <c r="I326" t="s">
        <v>461</v>
      </c>
      <c r="K326">
        <v>106065048</v>
      </c>
      <c r="L326" s="2">
        <v>43786</v>
      </c>
      <c r="M326">
        <v>30</v>
      </c>
      <c r="N326">
        <v>1</v>
      </c>
      <c r="O326">
        <v>7</v>
      </c>
      <c r="P326">
        <v>5</v>
      </c>
      <c r="Q326" t="s">
        <v>15</v>
      </c>
    </row>
    <row r="327" spans="1:17" x14ac:dyDescent="0.55000000000000004">
      <c r="A327">
        <v>0</v>
      </c>
      <c r="B327" t="s">
        <v>0</v>
      </c>
      <c r="C327">
        <v>0</v>
      </c>
      <c r="E327" t="s">
        <v>39</v>
      </c>
      <c r="F327" t="s">
        <v>1</v>
      </c>
      <c r="G327" t="s">
        <v>0</v>
      </c>
      <c r="H327">
        <v>5.2629999999999999</v>
      </c>
      <c r="I327" t="s">
        <v>461</v>
      </c>
      <c r="K327">
        <v>106005327</v>
      </c>
      <c r="L327" s="2">
        <v>43735</v>
      </c>
      <c r="M327">
        <v>21</v>
      </c>
      <c r="N327">
        <v>1</v>
      </c>
      <c r="O327">
        <v>7</v>
      </c>
      <c r="P327">
        <v>5</v>
      </c>
      <c r="Q327" t="s">
        <v>21</v>
      </c>
    </row>
    <row r="328" spans="1:17" x14ac:dyDescent="0.55000000000000004">
      <c r="A328">
        <v>0</v>
      </c>
      <c r="B328" t="s">
        <v>0</v>
      </c>
      <c r="C328">
        <v>0</v>
      </c>
      <c r="E328" t="s">
        <v>39</v>
      </c>
      <c r="F328" t="s">
        <v>1</v>
      </c>
      <c r="G328" t="s">
        <v>0</v>
      </c>
      <c r="H328">
        <v>5.2629999999999999</v>
      </c>
      <c r="I328" t="s">
        <v>461</v>
      </c>
      <c r="K328">
        <v>104942282</v>
      </c>
      <c r="L328" s="2">
        <v>42711</v>
      </c>
      <c r="M328">
        <v>30</v>
      </c>
      <c r="N328">
        <v>1</v>
      </c>
      <c r="O328">
        <v>7</v>
      </c>
      <c r="P328">
        <v>5</v>
      </c>
      <c r="Q328" t="s">
        <v>21</v>
      </c>
    </row>
    <row r="329" spans="1:17" x14ac:dyDescent="0.55000000000000004">
      <c r="A329">
        <v>0</v>
      </c>
      <c r="B329" t="s">
        <v>0</v>
      </c>
      <c r="C329">
        <v>0</v>
      </c>
      <c r="E329" t="s">
        <v>39</v>
      </c>
      <c r="F329" t="s">
        <v>1</v>
      </c>
      <c r="G329" t="s">
        <v>0</v>
      </c>
      <c r="H329">
        <v>5.2629999999999999</v>
      </c>
      <c r="I329" t="s">
        <v>461</v>
      </c>
      <c r="K329">
        <v>105414364</v>
      </c>
      <c r="L329" s="2">
        <v>43174</v>
      </c>
      <c r="M329">
        <v>24</v>
      </c>
      <c r="N329">
        <v>1</v>
      </c>
      <c r="O329">
        <v>7</v>
      </c>
      <c r="P329">
        <v>1</v>
      </c>
      <c r="Q329" t="s">
        <v>21</v>
      </c>
    </row>
    <row r="330" spans="1:17" x14ac:dyDescent="0.55000000000000004">
      <c r="A330">
        <v>0</v>
      </c>
      <c r="B330" t="s">
        <v>0</v>
      </c>
      <c r="C330">
        <v>0</v>
      </c>
      <c r="E330" t="s">
        <v>39</v>
      </c>
      <c r="F330" t="s">
        <v>1</v>
      </c>
      <c r="G330" t="s">
        <v>0</v>
      </c>
      <c r="H330">
        <v>5.2629999999999999</v>
      </c>
      <c r="I330" t="s">
        <v>461</v>
      </c>
      <c r="K330">
        <v>105336924</v>
      </c>
      <c r="L330" s="2">
        <v>43094</v>
      </c>
      <c r="M330">
        <v>30</v>
      </c>
      <c r="N330">
        <v>1</v>
      </c>
      <c r="O330">
        <v>7</v>
      </c>
      <c r="P330">
        <v>1</v>
      </c>
      <c r="Q330" t="s">
        <v>45</v>
      </c>
    </row>
    <row r="331" spans="1:17" x14ac:dyDescent="0.55000000000000004">
      <c r="A331">
        <v>0</v>
      </c>
      <c r="B331" t="s">
        <v>0</v>
      </c>
      <c r="C331">
        <v>0</v>
      </c>
      <c r="E331" t="s">
        <v>39</v>
      </c>
      <c r="F331" t="s">
        <v>1</v>
      </c>
      <c r="G331" t="s">
        <v>0</v>
      </c>
      <c r="H331">
        <v>5.2629999999999999</v>
      </c>
      <c r="I331" t="s">
        <v>461</v>
      </c>
      <c r="K331">
        <v>105226983</v>
      </c>
      <c r="L331" s="2">
        <v>42997</v>
      </c>
      <c r="M331">
        <v>30</v>
      </c>
      <c r="N331">
        <v>1</v>
      </c>
      <c r="O331">
        <v>7</v>
      </c>
      <c r="P331">
        <v>1</v>
      </c>
      <c r="Q331" t="s">
        <v>45</v>
      </c>
    </row>
    <row r="332" spans="1:17" x14ac:dyDescent="0.55000000000000004">
      <c r="A332">
        <v>0</v>
      </c>
      <c r="B332" t="s">
        <v>0</v>
      </c>
      <c r="C332">
        <v>0</v>
      </c>
      <c r="E332" t="s">
        <v>39</v>
      </c>
      <c r="F332" t="s">
        <v>211</v>
      </c>
      <c r="G332" t="s">
        <v>0</v>
      </c>
      <c r="H332">
        <v>5.2629999999999999</v>
      </c>
      <c r="I332" t="s">
        <v>461</v>
      </c>
      <c r="K332">
        <v>105512526</v>
      </c>
      <c r="L332" s="2">
        <v>43265</v>
      </c>
      <c r="M332">
        <v>27</v>
      </c>
      <c r="N332">
        <v>1</v>
      </c>
      <c r="O332">
        <v>7</v>
      </c>
      <c r="P332">
        <v>1</v>
      </c>
      <c r="Q332" t="s">
        <v>45</v>
      </c>
    </row>
    <row r="333" spans="1:17" x14ac:dyDescent="0.55000000000000004">
      <c r="A333">
        <v>0</v>
      </c>
      <c r="B333" t="s">
        <v>0</v>
      </c>
      <c r="C333">
        <v>0</v>
      </c>
      <c r="E333" t="s">
        <v>39</v>
      </c>
      <c r="F333" t="s">
        <v>39</v>
      </c>
      <c r="G333" t="s">
        <v>0</v>
      </c>
      <c r="H333">
        <v>5.2629999999999999</v>
      </c>
      <c r="I333" t="s">
        <v>461</v>
      </c>
      <c r="K333">
        <v>106082770</v>
      </c>
      <c r="L333" s="2">
        <v>43801</v>
      </c>
      <c r="M333">
        <v>30</v>
      </c>
      <c r="N333">
        <v>1</v>
      </c>
      <c r="O333">
        <v>7</v>
      </c>
      <c r="P333">
        <v>1</v>
      </c>
      <c r="Q333" t="s">
        <v>21</v>
      </c>
    </row>
    <row r="334" spans="1:17" x14ac:dyDescent="0.55000000000000004">
      <c r="A334">
        <v>0</v>
      </c>
      <c r="B334" t="s">
        <v>0</v>
      </c>
      <c r="C334">
        <v>0</v>
      </c>
      <c r="E334" t="s">
        <v>39</v>
      </c>
      <c r="G334" t="s">
        <v>0</v>
      </c>
      <c r="H334">
        <v>5.2629999999999999</v>
      </c>
      <c r="I334" t="s">
        <v>461</v>
      </c>
      <c r="K334">
        <v>106103385</v>
      </c>
      <c r="L334" s="2">
        <v>43819</v>
      </c>
      <c r="M334">
        <v>30</v>
      </c>
      <c r="N334">
        <v>1</v>
      </c>
      <c r="O334">
        <v>7</v>
      </c>
      <c r="P334">
        <v>5</v>
      </c>
      <c r="Q334" t="s">
        <v>45</v>
      </c>
    </row>
    <row r="335" spans="1:17" x14ac:dyDescent="0.55000000000000004">
      <c r="A335">
        <v>0</v>
      </c>
      <c r="B335" t="s">
        <v>0</v>
      </c>
      <c r="C335">
        <v>4.7E-2</v>
      </c>
      <c r="D335" t="s">
        <v>68</v>
      </c>
      <c r="E335" t="s">
        <v>39</v>
      </c>
      <c r="F335" t="s">
        <v>211</v>
      </c>
      <c r="G335" t="s">
        <v>0</v>
      </c>
      <c r="H335">
        <v>5.31</v>
      </c>
      <c r="I335" t="s">
        <v>461</v>
      </c>
      <c r="K335">
        <v>106407465</v>
      </c>
      <c r="L335" s="2">
        <v>44152</v>
      </c>
      <c r="M335">
        <v>18</v>
      </c>
      <c r="N335">
        <v>1</v>
      </c>
      <c r="O335">
        <v>0</v>
      </c>
      <c r="P335">
        <v>5</v>
      </c>
      <c r="Q335" t="s">
        <v>21</v>
      </c>
    </row>
    <row r="336" spans="1:17" x14ac:dyDescent="0.55000000000000004">
      <c r="A336">
        <v>0</v>
      </c>
      <c r="B336" t="s">
        <v>0</v>
      </c>
      <c r="C336">
        <v>5.7000000000000002E-2</v>
      </c>
      <c r="D336" t="s">
        <v>68</v>
      </c>
      <c r="E336" t="s">
        <v>39</v>
      </c>
      <c r="F336" t="s">
        <v>211</v>
      </c>
      <c r="G336" t="s">
        <v>0</v>
      </c>
      <c r="H336">
        <v>5.32</v>
      </c>
      <c r="I336" t="s">
        <v>461</v>
      </c>
      <c r="K336">
        <v>105989835</v>
      </c>
      <c r="L336" s="2">
        <v>43719</v>
      </c>
      <c r="M336">
        <v>21</v>
      </c>
      <c r="N336">
        <v>1</v>
      </c>
      <c r="O336">
        <v>0</v>
      </c>
      <c r="P336">
        <v>1</v>
      </c>
      <c r="Q336" t="s">
        <v>21</v>
      </c>
    </row>
    <row r="337" spans="1:17" x14ac:dyDescent="0.55000000000000004">
      <c r="A337">
        <v>0</v>
      </c>
      <c r="B337" t="s">
        <v>0</v>
      </c>
      <c r="C337">
        <v>0.2</v>
      </c>
      <c r="D337" t="s">
        <v>68</v>
      </c>
      <c r="E337" t="s">
        <v>1</v>
      </c>
      <c r="F337" t="s">
        <v>211</v>
      </c>
      <c r="G337" t="s">
        <v>0</v>
      </c>
      <c r="H337">
        <v>5.33</v>
      </c>
      <c r="I337" t="s">
        <v>461</v>
      </c>
      <c r="J337" t="s">
        <v>174</v>
      </c>
      <c r="K337">
        <v>104979628</v>
      </c>
      <c r="L337" s="2">
        <v>42754</v>
      </c>
      <c r="M337">
        <v>21</v>
      </c>
      <c r="N337">
        <v>1</v>
      </c>
      <c r="O337">
        <v>0</v>
      </c>
      <c r="P337">
        <v>1</v>
      </c>
      <c r="Q337" t="s">
        <v>21</v>
      </c>
    </row>
    <row r="338" spans="1:17" x14ac:dyDescent="0.55000000000000004">
      <c r="A338">
        <v>0</v>
      </c>
      <c r="B338" t="s">
        <v>0</v>
      </c>
      <c r="C338">
        <v>0.1</v>
      </c>
      <c r="D338" t="s">
        <v>68</v>
      </c>
      <c r="E338" t="s">
        <v>39</v>
      </c>
      <c r="F338" t="s">
        <v>211</v>
      </c>
      <c r="G338" t="s">
        <v>0</v>
      </c>
      <c r="H338">
        <v>5.3630000000000004</v>
      </c>
      <c r="I338" t="s">
        <v>461</v>
      </c>
      <c r="K338">
        <v>105587953</v>
      </c>
      <c r="L338" s="2">
        <v>43334</v>
      </c>
      <c r="M338">
        <v>21</v>
      </c>
      <c r="N338">
        <v>1</v>
      </c>
      <c r="O338">
        <v>0</v>
      </c>
      <c r="P338">
        <v>1</v>
      </c>
      <c r="Q338" t="s">
        <v>21</v>
      </c>
    </row>
    <row r="339" spans="1:17" x14ac:dyDescent="0.55000000000000004">
      <c r="A339">
        <v>0</v>
      </c>
      <c r="B339" t="s">
        <v>0</v>
      </c>
      <c r="C339">
        <v>0.3</v>
      </c>
      <c r="D339" t="s">
        <v>68</v>
      </c>
      <c r="E339" t="s">
        <v>1</v>
      </c>
      <c r="F339" t="s">
        <v>211</v>
      </c>
      <c r="G339" t="s">
        <v>0</v>
      </c>
      <c r="H339">
        <v>5.43</v>
      </c>
      <c r="I339" t="s">
        <v>461</v>
      </c>
      <c r="J339" t="s">
        <v>174</v>
      </c>
      <c r="K339">
        <v>106243542</v>
      </c>
      <c r="L339" s="2">
        <v>43986</v>
      </c>
      <c r="M339">
        <v>19</v>
      </c>
      <c r="N339">
        <v>1</v>
      </c>
      <c r="O339">
        <v>0</v>
      </c>
      <c r="P339">
        <v>5</v>
      </c>
    </row>
    <row r="340" spans="1:17" x14ac:dyDescent="0.55000000000000004">
      <c r="A340">
        <v>0</v>
      </c>
      <c r="B340" t="s">
        <v>0</v>
      </c>
      <c r="C340">
        <v>0.5</v>
      </c>
      <c r="D340" t="s">
        <v>18</v>
      </c>
      <c r="E340" t="s">
        <v>211</v>
      </c>
      <c r="F340" t="s">
        <v>210</v>
      </c>
      <c r="G340" t="s">
        <v>0</v>
      </c>
      <c r="H340">
        <v>5.5069999999999997</v>
      </c>
      <c r="I340" t="s">
        <v>461</v>
      </c>
      <c r="K340">
        <v>105638912</v>
      </c>
      <c r="L340" s="2">
        <v>43389</v>
      </c>
      <c r="M340">
        <v>19</v>
      </c>
      <c r="N340">
        <v>1</v>
      </c>
      <c r="O340">
        <v>0</v>
      </c>
      <c r="P340">
        <v>5</v>
      </c>
      <c r="Q340" t="s">
        <v>15</v>
      </c>
    </row>
    <row r="341" spans="1:17" x14ac:dyDescent="0.55000000000000004">
      <c r="A341">
        <v>0</v>
      </c>
      <c r="B341" t="s">
        <v>0</v>
      </c>
      <c r="C341">
        <v>0</v>
      </c>
      <c r="E341" t="s">
        <v>215</v>
      </c>
      <c r="F341" t="s">
        <v>1</v>
      </c>
      <c r="G341" t="s">
        <v>0</v>
      </c>
      <c r="H341">
        <v>5.5529999999999999</v>
      </c>
      <c r="I341" t="s">
        <v>461</v>
      </c>
      <c r="K341">
        <v>105113325</v>
      </c>
      <c r="L341" s="2">
        <v>42880</v>
      </c>
      <c r="M341">
        <v>23</v>
      </c>
      <c r="N341">
        <v>1</v>
      </c>
      <c r="O341">
        <v>4</v>
      </c>
      <c r="P341">
        <v>1</v>
      </c>
      <c r="Q341" t="s">
        <v>21</v>
      </c>
    </row>
    <row r="342" spans="1:17" x14ac:dyDescent="0.55000000000000004">
      <c r="A342">
        <v>0</v>
      </c>
      <c r="B342" t="s">
        <v>0</v>
      </c>
      <c r="C342">
        <v>0.3</v>
      </c>
      <c r="D342" t="s">
        <v>68</v>
      </c>
      <c r="E342" t="s">
        <v>39</v>
      </c>
      <c r="F342" t="s">
        <v>216</v>
      </c>
      <c r="G342" t="s">
        <v>0</v>
      </c>
      <c r="H342">
        <v>5.5629999999999997</v>
      </c>
      <c r="I342" t="s">
        <v>461</v>
      </c>
      <c r="K342">
        <v>106181673</v>
      </c>
      <c r="L342" s="2">
        <v>43901</v>
      </c>
      <c r="M342">
        <v>21</v>
      </c>
      <c r="N342">
        <v>1</v>
      </c>
      <c r="O342">
        <v>0</v>
      </c>
      <c r="P342">
        <v>1</v>
      </c>
      <c r="Q342" t="s">
        <v>21</v>
      </c>
    </row>
    <row r="343" spans="1:17" x14ac:dyDescent="0.55000000000000004">
      <c r="A343">
        <v>0</v>
      </c>
      <c r="B343" t="s">
        <v>0</v>
      </c>
      <c r="C343">
        <v>0.3</v>
      </c>
      <c r="D343" t="s">
        <v>68</v>
      </c>
      <c r="E343" t="s">
        <v>39</v>
      </c>
      <c r="F343" t="s">
        <v>211</v>
      </c>
      <c r="G343" t="s">
        <v>0</v>
      </c>
      <c r="H343">
        <v>5.5629999999999997</v>
      </c>
      <c r="I343" t="s">
        <v>461</v>
      </c>
      <c r="K343">
        <v>105869315</v>
      </c>
      <c r="L343" s="2">
        <v>43606</v>
      </c>
      <c r="M343">
        <v>19</v>
      </c>
      <c r="N343">
        <v>1</v>
      </c>
      <c r="O343">
        <v>0</v>
      </c>
      <c r="P343">
        <v>5</v>
      </c>
      <c r="Q343" t="s">
        <v>21</v>
      </c>
    </row>
    <row r="344" spans="1:17" x14ac:dyDescent="0.55000000000000004">
      <c r="A344">
        <v>0</v>
      </c>
      <c r="B344" t="s">
        <v>0</v>
      </c>
      <c r="C344">
        <v>0.4</v>
      </c>
      <c r="D344" t="s">
        <v>18</v>
      </c>
      <c r="E344" t="s">
        <v>211</v>
      </c>
      <c r="F344" t="s">
        <v>39</v>
      </c>
      <c r="G344" t="s">
        <v>0</v>
      </c>
      <c r="H344">
        <v>5.6070000000000002</v>
      </c>
      <c r="I344" t="s">
        <v>461</v>
      </c>
      <c r="K344">
        <v>106638794</v>
      </c>
      <c r="L344" s="2">
        <v>44393</v>
      </c>
      <c r="M344">
        <v>19</v>
      </c>
      <c r="N344">
        <v>1</v>
      </c>
      <c r="O344">
        <v>0</v>
      </c>
      <c r="P344">
        <v>1</v>
      </c>
      <c r="Q344" t="s">
        <v>21</v>
      </c>
    </row>
    <row r="345" spans="1:17" x14ac:dyDescent="0.55000000000000004">
      <c r="A345">
        <v>0</v>
      </c>
      <c r="B345" t="s">
        <v>0</v>
      </c>
      <c r="C345">
        <v>0.4</v>
      </c>
      <c r="D345" t="s">
        <v>18</v>
      </c>
      <c r="E345" t="s">
        <v>211</v>
      </c>
      <c r="F345" t="s">
        <v>39</v>
      </c>
      <c r="G345" t="s">
        <v>0</v>
      </c>
      <c r="H345">
        <v>5.6070000000000002</v>
      </c>
      <c r="I345" t="s">
        <v>461</v>
      </c>
      <c r="K345">
        <v>106569535</v>
      </c>
      <c r="L345" s="2">
        <v>44325</v>
      </c>
      <c r="M345">
        <v>21</v>
      </c>
      <c r="N345">
        <v>1</v>
      </c>
      <c r="O345">
        <v>0</v>
      </c>
      <c r="P345">
        <v>1</v>
      </c>
      <c r="Q345" t="s">
        <v>21</v>
      </c>
    </row>
    <row r="346" spans="1:17" x14ac:dyDescent="0.55000000000000004">
      <c r="A346">
        <v>0</v>
      </c>
      <c r="B346" t="s">
        <v>0</v>
      </c>
      <c r="C346">
        <v>0.3</v>
      </c>
      <c r="D346" t="s">
        <v>18</v>
      </c>
      <c r="E346" t="s">
        <v>216</v>
      </c>
      <c r="F346" t="s">
        <v>39</v>
      </c>
      <c r="G346" t="s">
        <v>0</v>
      </c>
      <c r="H346">
        <v>5.7069999999999999</v>
      </c>
      <c r="I346" t="s">
        <v>461</v>
      </c>
      <c r="K346">
        <v>105983817</v>
      </c>
      <c r="L346" s="2">
        <v>43717</v>
      </c>
      <c r="M346">
        <v>21</v>
      </c>
      <c r="N346">
        <v>1</v>
      </c>
      <c r="O346">
        <v>4</v>
      </c>
      <c r="P346">
        <v>1</v>
      </c>
      <c r="Q346" t="s">
        <v>15</v>
      </c>
    </row>
    <row r="347" spans="1:17" x14ac:dyDescent="0.55000000000000004">
      <c r="A347">
        <v>0</v>
      </c>
      <c r="B347" t="s">
        <v>0</v>
      </c>
      <c r="C347">
        <v>0.25</v>
      </c>
      <c r="D347" t="s">
        <v>18</v>
      </c>
      <c r="E347" t="s">
        <v>211</v>
      </c>
      <c r="F347" t="s">
        <v>39</v>
      </c>
      <c r="G347" t="s">
        <v>0</v>
      </c>
      <c r="H347">
        <v>5.7569999999999997</v>
      </c>
      <c r="I347" t="s">
        <v>461</v>
      </c>
      <c r="K347">
        <v>105069163</v>
      </c>
      <c r="L347" s="2">
        <v>42838</v>
      </c>
      <c r="M347">
        <v>21</v>
      </c>
      <c r="N347">
        <v>1</v>
      </c>
      <c r="O347">
        <v>0</v>
      </c>
      <c r="P347">
        <v>1</v>
      </c>
      <c r="Q347" t="s">
        <v>21</v>
      </c>
    </row>
    <row r="348" spans="1:17" x14ac:dyDescent="0.55000000000000004">
      <c r="A348">
        <v>0</v>
      </c>
      <c r="B348" t="s">
        <v>0</v>
      </c>
      <c r="C348">
        <v>0.2</v>
      </c>
      <c r="D348" t="s">
        <v>18</v>
      </c>
      <c r="E348" t="s">
        <v>216</v>
      </c>
      <c r="F348" t="s">
        <v>39</v>
      </c>
      <c r="G348" t="s">
        <v>0</v>
      </c>
      <c r="H348">
        <v>5.8070000000000004</v>
      </c>
      <c r="I348" t="s">
        <v>461</v>
      </c>
      <c r="K348">
        <v>106665112</v>
      </c>
      <c r="L348" s="2">
        <v>44428</v>
      </c>
      <c r="M348">
        <v>19</v>
      </c>
      <c r="N348">
        <v>1</v>
      </c>
      <c r="O348">
        <v>0</v>
      </c>
      <c r="P348">
        <v>5</v>
      </c>
    </row>
    <row r="349" spans="1:17" x14ac:dyDescent="0.55000000000000004">
      <c r="A349">
        <v>0</v>
      </c>
      <c r="B349" t="s">
        <v>0</v>
      </c>
      <c r="C349">
        <v>0.1</v>
      </c>
      <c r="D349" t="s">
        <v>18</v>
      </c>
      <c r="E349" t="s">
        <v>211</v>
      </c>
      <c r="F349" t="s">
        <v>210</v>
      </c>
      <c r="G349" t="s">
        <v>0</v>
      </c>
      <c r="H349">
        <v>5.907</v>
      </c>
      <c r="I349" t="s">
        <v>461</v>
      </c>
      <c r="K349">
        <v>106511537</v>
      </c>
      <c r="L349" s="2">
        <v>44264</v>
      </c>
      <c r="M349">
        <v>21</v>
      </c>
      <c r="N349">
        <v>1</v>
      </c>
      <c r="O349">
        <v>0</v>
      </c>
      <c r="P349">
        <v>1</v>
      </c>
      <c r="Q349" t="s">
        <v>21</v>
      </c>
    </row>
    <row r="350" spans="1:17" x14ac:dyDescent="0.55000000000000004">
      <c r="A350">
        <v>0</v>
      </c>
      <c r="B350" t="s">
        <v>0</v>
      </c>
      <c r="C350">
        <v>0</v>
      </c>
      <c r="E350" t="s">
        <v>211</v>
      </c>
      <c r="F350" t="s">
        <v>43</v>
      </c>
      <c r="G350" t="s">
        <v>0</v>
      </c>
      <c r="H350">
        <v>6.0069999999999997</v>
      </c>
      <c r="I350" t="s">
        <v>461</v>
      </c>
      <c r="K350">
        <v>104922659</v>
      </c>
      <c r="L350" s="2">
        <v>42695</v>
      </c>
      <c r="M350">
        <v>30</v>
      </c>
      <c r="N350">
        <v>1</v>
      </c>
      <c r="O350">
        <v>0</v>
      </c>
      <c r="P350">
        <v>5</v>
      </c>
      <c r="Q350" t="s">
        <v>45</v>
      </c>
    </row>
    <row r="351" spans="1:17" x14ac:dyDescent="0.55000000000000004">
      <c r="A351">
        <v>0</v>
      </c>
      <c r="B351" t="s">
        <v>0</v>
      </c>
      <c r="C351">
        <v>0</v>
      </c>
      <c r="E351" t="s">
        <v>211</v>
      </c>
      <c r="F351" t="s">
        <v>43</v>
      </c>
      <c r="G351" t="s">
        <v>0</v>
      </c>
      <c r="H351">
        <v>6.0069999999999997</v>
      </c>
      <c r="I351" t="s">
        <v>461</v>
      </c>
      <c r="K351">
        <v>105063114</v>
      </c>
      <c r="L351" s="2">
        <v>42830</v>
      </c>
      <c r="M351">
        <v>30</v>
      </c>
      <c r="N351">
        <v>2</v>
      </c>
      <c r="O351">
        <v>7</v>
      </c>
      <c r="P351">
        <v>1</v>
      </c>
      <c r="Q351" t="s">
        <v>21</v>
      </c>
    </row>
    <row r="352" spans="1:17" x14ac:dyDescent="0.55000000000000004">
      <c r="A352">
        <v>0</v>
      </c>
      <c r="B352" t="s">
        <v>0</v>
      </c>
      <c r="C352">
        <v>0.01</v>
      </c>
      <c r="D352" t="s">
        <v>68</v>
      </c>
      <c r="E352" t="s">
        <v>211</v>
      </c>
      <c r="F352" t="s">
        <v>210</v>
      </c>
      <c r="G352" t="s">
        <v>0</v>
      </c>
      <c r="H352">
        <v>6.0170000000000003</v>
      </c>
      <c r="I352" t="s">
        <v>461</v>
      </c>
      <c r="K352">
        <v>104922656</v>
      </c>
      <c r="L352" s="2">
        <v>42695</v>
      </c>
      <c r="M352">
        <v>17</v>
      </c>
      <c r="N352">
        <v>1</v>
      </c>
      <c r="O352">
        <v>0</v>
      </c>
      <c r="P352">
        <v>5</v>
      </c>
      <c r="Q352" t="s">
        <v>21</v>
      </c>
    </row>
    <row r="353" spans="1:17" x14ac:dyDescent="0.55000000000000004">
      <c r="A353">
        <v>0</v>
      </c>
      <c r="B353" t="s">
        <v>0</v>
      </c>
      <c r="C353">
        <v>0.01</v>
      </c>
      <c r="D353" t="s">
        <v>68</v>
      </c>
      <c r="E353" t="s">
        <v>211</v>
      </c>
      <c r="F353" t="s">
        <v>43</v>
      </c>
      <c r="G353" t="s">
        <v>0</v>
      </c>
      <c r="H353">
        <v>6.0170000000000003</v>
      </c>
      <c r="I353" t="s">
        <v>461</v>
      </c>
      <c r="K353">
        <v>105407184</v>
      </c>
      <c r="L353" s="2">
        <v>43171</v>
      </c>
      <c r="M353">
        <v>17</v>
      </c>
      <c r="N353">
        <v>2</v>
      </c>
      <c r="O353">
        <v>0</v>
      </c>
      <c r="P353">
        <v>1</v>
      </c>
      <c r="Q353" t="s">
        <v>21</v>
      </c>
    </row>
    <row r="354" spans="1:17" x14ac:dyDescent="0.55000000000000004">
      <c r="A354">
        <v>0</v>
      </c>
      <c r="B354" t="s">
        <v>0</v>
      </c>
      <c r="C354">
        <v>4.7E-2</v>
      </c>
      <c r="D354" t="s">
        <v>68</v>
      </c>
      <c r="E354" t="s">
        <v>216</v>
      </c>
      <c r="F354" t="s">
        <v>43</v>
      </c>
      <c r="G354" t="s">
        <v>0</v>
      </c>
      <c r="H354">
        <v>6.0540000000000003</v>
      </c>
      <c r="I354" t="s">
        <v>461</v>
      </c>
      <c r="K354">
        <v>105560618</v>
      </c>
      <c r="L354" s="2">
        <v>43313</v>
      </c>
      <c r="M354">
        <v>28</v>
      </c>
      <c r="N354">
        <v>1</v>
      </c>
      <c r="O354">
        <v>0</v>
      </c>
      <c r="P354">
        <v>1</v>
      </c>
      <c r="Q354" t="s">
        <v>21</v>
      </c>
    </row>
    <row r="355" spans="1:17" x14ac:dyDescent="0.55000000000000004">
      <c r="A355">
        <v>0</v>
      </c>
      <c r="B355" t="s">
        <v>0</v>
      </c>
      <c r="C355">
        <v>0.5</v>
      </c>
      <c r="D355" t="s">
        <v>18</v>
      </c>
      <c r="E355" t="s">
        <v>43</v>
      </c>
      <c r="F355" t="s">
        <v>211</v>
      </c>
      <c r="G355" t="s">
        <v>0</v>
      </c>
      <c r="H355">
        <v>6.0880000000000001</v>
      </c>
      <c r="I355" t="s">
        <v>461</v>
      </c>
      <c r="K355">
        <v>106186585</v>
      </c>
      <c r="L355" s="2">
        <v>43906</v>
      </c>
      <c r="M355">
        <v>28</v>
      </c>
      <c r="N355">
        <v>1</v>
      </c>
      <c r="O355">
        <v>0</v>
      </c>
      <c r="P355">
        <v>1</v>
      </c>
      <c r="Q355" t="s">
        <v>21</v>
      </c>
    </row>
    <row r="356" spans="1:17" x14ac:dyDescent="0.55000000000000004">
      <c r="A356">
        <v>0</v>
      </c>
      <c r="B356" t="s">
        <v>0</v>
      </c>
      <c r="C356">
        <v>0.1</v>
      </c>
      <c r="D356" t="s">
        <v>68</v>
      </c>
      <c r="E356" t="s">
        <v>211</v>
      </c>
      <c r="F356" t="s">
        <v>43</v>
      </c>
      <c r="G356" t="s">
        <v>0</v>
      </c>
      <c r="H356">
        <v>6.1070000000000002</v>
      </c>
      <c r="I356" t="s">
        <v>461</v>
      </c>
      <c r="K356">
        <v>105624897</v>
      </c>
      <c r="L356" s="2">
        <v>43376</v>
      </c>
      <c r="M356">
        <v>28</v>
      </c>
      <c r="N356">
        <v>1</v>
      </c>
      <c r="O356">
        <v>0</v>
      </c>
      <c r="P356">
        <v>1</v>
      </c>
      <c r="Q356" t="s">
        <v>21</v>
      </c>
    </row>
    <row r="357" spans="1:17" x14ac:dyDescent="0.55000000000000004">
      <c r="A357">
        <v>0</v>
      </c>
      <c r="B357" t="s">
        <v>0</v>
      </c>
      <c r="C357">
        <v>0.1</v>
      </c>
      <c r="D357" t="s">
        <v>68</v>
      </c>
      <c r="E357" t="s">
        <v>211</v>
      </c>
      <c r="F357" t="s">
        <v>43</v>
      </c>
      <c r="G357" t="s">
        <v>0</v>
      </c>
      <c r="H357">
        <v>6.1070000000000002</v>
      </c>
      <c r="I357" t="s">
        <v>461</v>
      </c>
      <c r="K357">
        <v>105148082</v>
      </c>
      <c r="L357" s="2">
        <v>42916</v>
      </c>
      <c r="M357">
        <v>17</v>
      </c>
      <c r="N357">
        <v>1</v>
      </c>
      <c r="O357">
        <v>0</v>
      </c>
      <c r="P357">
        <v>5</v>
      </c>
      <c r="Q357" t="s">
        <v>21</v>
      </c>
    </row>
    <row r="358" spans="1:17" x14ac:dyDescent="0.55000000000000004">
      <c r="A358">
        <v>0</v>
      </c>
      <c r="B358" t="s">
        <v>0</v>
      </c>
      <c r="C358">
        <v>0.1</v>
      </c>
      <c r="D358" t="s">
        <v>68</v>
      </c>
      <c r="E358" t="s">
        <v>211</v>
      </c>
      <c r="F358" t="s">
        <v>43</v>
      </c>
      <c r="G358" t="s">
        <v>0</v>
      </c>
      <c r="H358">
        <v>6.1070000000000002</v>
      </c>
      <c r="I358" t="s">
        <v>461</v>
      </c>
      <c r="K358">
        <v>104920446</v>
      </c>
      <c r="L358" s="2">
        <v>42693</v>
      </c>
      <c r="M358">
        <v>17</v>
      </c>
      <c r="N358">
        <v>1</v>
      </c>
      <c r="O358">
        <v>0</v>
      </c>
      <c r="P358">
        <v>1</v>
      </c>
      <c r="Q358" t="s">
        <v>21</v>
      </c>
    </row>
    <row r="359" spans="1:17" x14ac:dyDescent="0.55000000000000004">
      <c r="A359">
        <v>0</v>
      </c>
      <c r="B359" t="s">
        <v>4</v>
      </c>
      <c r="C359">
        <v>0.1</v>
      </c>
      <c r="D359" t="s">
        <v>68</v>
      </c>
      <c r="E359" t="s">
        <v>217</v>
      </c>
      <c r="F359" t="s">
        <v>218</v>
      </c>
      <c r="G359" t="s">
        <v>0</v>
      </c>
      <c r="H359">
        <v>6.1070000000000002</v>
      </c>
      <c r="I359" t="s">
        <v>461</v>
      </c>
      <c r="K359">
        <v>105292193</v>
      </c>
      <c r="L359" s="2">
        <v>43039</v>
      </c>
      <c r="M359">
        <v>17</v>
      </c>
      <c r="N359">
        <v>1</v>
      </c>
      <c r="O359">
        <v>0</v>
      </c>
      <c r="P359">
        <v>5</v>
      </c>
      <c r="Q359" t="s">
        <v>21</v>
      </c>
    </row>
    <row r="360" spans="1:17" x14ac:dyDescent="0.55000000000000004">
      <c r="A360">
        <v>498</v>
      </c>
      <c r="B360" t="s">
        <v>4</v>
      </c>
      <c r="C360">
        <v>0.1</v>
      </c>
      <c r="D360" t="s">
        <v>18</v>
      </c>
      <c r="E360" t="s">
        <v>218</v>
      </c>
      <c r="F360" t="s">
        <v>43</v>
      </c>
      <c r="G360" t="s">
        <v>0</v>
      </c>
      <c r="H360">
        <v>6.1970000000000001</v>
      </c>
      <c r="I360" t="s">
        <v>461</v>
      </c>
      <c r="K360">
        <v>106187656</v>
      </c>
      <c r="L360" s="2">
        <v>43860</v>
      </c>
      <c r="M360">
        <v>21</v>
      </c>
      <c r="N360">
        <v>1</v>
      </c>
      <c r="O360">
        <v>0</v>
      </c>
      <c r="P360">
        <v>1</v>
      </c>
      <c r="Q360" t="s">
        <v>21</v>
      </c>
    </row>
    <row r="361" spans="1:17" x14ac:dyDescent="0.55000000000000004">
      <c r="A361">
        <v>0</v>
      </c>
      <c r="B361" t="s">
        <v>0</v>
      </c>
      <c r="C361">
        <v>0.21</v>
      </c>
      <c r="D361" t="s">
        <v>68</v>
      </c>
      <c r="E361" t="s">
        <v>211</v>
      </c>
      <c r="F361" t="s">
        <v>43</v>
      </c>
      <c r="G361" t="s">
        <v>0</v>
      </c>
      <c r="H361">
        <v>6.2169999999999996</v>
      </c>
      <c r="I361" t="s">
        <v>461</v>
      </c>
      <c r="K361">
        <v>106548974</v>
      </c>
      <c r="L361" s="2">
        <v>44302</v>
      </c>
      <c r="M361">
        <v>23</v>
      </c>
      <c r="N361">
        <v>1</v>
      </c>
      <c r="O361">
        <v>0</v>
      </c>
      <c r="P361">
        <v>1</v>
      </c>
      <c r="Q361" t="s">
        <v>167</v>
      </c>
    </row>
    <row r="362" spans="1:17" x14ac:dyDescent="0.55000000000000004">
      <c r="A362">
        <v>0</v>
      </c>
      <c r="B362" t="s">
        <v>0</v>
      </c>
      <c r="C362">
        <v>0.3</v>
      </c>
      <c r="D362" t="s">
        <v>18</v>
      </c>
      <c r="E362" t="s">
        <v>43</v>
      </c>
      <c r="F362" t="s">
        <v>211</v>
      </c>
      <c r="G362" t="s">
        <v>0</v>
      </c>
      <c r="H362">
        <v>6.2880000000000003</v>
      </c>
      <c r="I362" t="s">
        <v>461</v>
      </c>
      <c r="K362">
        <v>105848595</v>
      </c>
      <c r="L362" s="2">
        <v>43585</v>
      </c>
      <c r="M362">
        <v>5</v>
      </c>
      <c r="N362">
        <v>1</v>
      </c>
      <c r="O362">
        <v>0</v>
      </c>
      <c r="P362">
        <v>5</v>
      </c>
      <c r="Q362" t="s">
        <v>167</v>
      </c>
    </row>
    <row r="363" spans="1:17" x14ac:dyDescent="0.55000000000000004">
      <c r="A363">
        <v>498</v>
      </c>
      <c r="B363" t="s">
        <v>4</v>
      </c>
      <c r="C363">
        <v>0</v>
      </c>
      <c r="E363" t="s">
        <v>218</v>
      </c>
      <c r="F363" t="s">
        <v>70</v>
      </c>
      <c r="G363" t="s">
        <v>0</v>
      </c>
      <c r="H363">
        <v>6.2969999999999997</v>
      </c>
      <c r="I363" t="s">
        <v>461</v>
      </c>
      <c r="K363">
        <v>106576736</v>
      </c>
      <c r="L363" s="2">
        <v>44287</v>
      </c>
      <c r="M363">
        <v>21</v>
      </c>
      <c r="N363">
        <v>1</v>
      </c>
      <c r="P363">
        <v>1</v>
      </c>
      <c r="Q363" t="s">
        <v>21</v>
      </c>
    </row>
    <row r="364" spans="1:17" x14ac:dyDescent="0.55000000000000004">
      <c r="A364">
        <v>498</v>
      </c>
      <c r="B364" t="s">
        <v>4</v>
      </c>
      <c r="C364">
        <v>0</v>
      </c>
      <c r="E364" t="s">
        <v>218</v>
      </c>
      <c r="G364" t="s">
        <v>0</v>
      </c>
      <c r="H364">
        <v>6.2969999999999997</v>
      </c>
      <c r="I364" t="s">
        <v>461</v>
      </c>
      <c r="K364">
        <v>106725692</v>
      </c>
      <c r="L364" s="2">
        <v>44428</v>
      </c>
      <c r="M364">
        <v>21</v>
      </c>
      <c r="N364">
        <v>1</v>
      </c>
      <c r="P364">
        <v>1</v>
      </c>
      <c r="Q364" t="s">
        <v>21</v>
      </c>
    </row>
    <row r="365" spans="1:17" x14ac:dyDescent="0.55000000000000004">
      <c r="A365">
        <v>498</v>
      </c>
      <c r="B365" t="s">
        <v>4</v>
      </c>
      <c r="C365">
        <v>0</v>
      </c>
      <c r="E365" t="s">
        <v>218</v>
      </c>
      <c r="G365" t="s">
        <v>0</v>
      </c>
      <c r="H365">
        <v>6.2969999999999997</v>
      </c>
      <c r="I365" t="s">
        <v>461</v>
      </c>
      <c r="K365">
        <v>105449716</v>
      </c>
      <c r="L365" s="2">
        <v>43184</v>
      </c>
      <c r="M365">
        <v>21</v>
      </c>
      <c r="N365">
        <v>1</v>
      </c>
      <c r="P365">
        <v>1</v>
      </c>
      <c r="Q365" t="s">
        <v>21</v>
      </c>
    </row>
    <row r="366" spans="1:17" x14ac:dyDescent="0.55000000000000004">
      <c r="A366">
        <v>0</v>
      </c>
      <c r="B366" t="s">
        <v>0</v>
      </c>
      <c r="C366">
        <v>0.3</v>
      </c>
      <c r="D366" t="s">
        <v>68</v>
      </c>
      <c r="E366" t="s">
        <v>211</v>
      </c>
      <c r="F366" t="s">
        <v>43</v>
      </c>
      <c r="G366" t="s">
        <v>0</v>
      </c>
      <c r="H366">
        <v>6.3070000000000004</v>
      </c>
      <c r="I366" t="s">
        <v>461</v>
      </c>
      <c r="K366">
        <v>105034285</v>
      </c>
      <c r="L366" s="2">
        <v>42805</v>
      </c>
      <c r="M366">
        <v>19</v>
      </c>
      <c r="N366">
        <v>1</v>
      </c>
      <c r="O366">
        <v>5</v>
      </c>
      <c r="P366">
        <v>5</v>
      </c>
    </row>
    <row r="367" spans="1:17" x14ac:dyDescent="0.55000000000000004">
      <c r="A367">
        <v>0</v>
      </c>
      <c r="B367" t="s">
        <v>0</v>
      </c>
      <c r="C367">
        <v>0.25</v>
      </c>
      <c r="D367" t="s">
        <v>18</v>
      </c>
      <c r="E367" t="s">
        <v>43</v>
      </c>
      <c r="F367" t="s">
        <v>211</v>
      </c>
      <c r="G367" t="s">
        <v>0</v>
      </c>
      <c r="H367">
        <v>6.3380000000000001</v>
      </c>
      <c r="I367" t="s">
        <v>461</v>
      </c>
      <c r="K367">
        <v>105420861</v>
      </c>
      <c r="L367" s="2">
        <v>43180</v>
      </c>
      <c r="M367">
        <v>17</v>
      </c>
      <c r="N367">
        <v>1</v>
      </c>
      <c r="O367">
        <v>0</v>
      </c>
      <c r="P367">
        <v>5</v>
      </c>
      <c r="Q367" t="s">
        <v>21</v>
      </c>
    </row>
    <row r="368" spans="1:17" x14ac:dyDescent="0.55000000000000004">
      <c r="A368">
        <v>498</v>
      </c>
      <c r="B368" t="s">
        <v>4</v>
      </c>
      <c r="C368">
        <v>0.1</v>
      </c>
      <c r="D368" t="s">
        <v>68</v>
      </c>
      <c r="E368" t="s">
        <v>218</v>
      </c>
      <c r="F368" t="s">
        <v>70</v>
      </c>
      <c r="G368" t="s">
        <v>0</v>
      </c>
      <c r="H368">
        <v>6.3970000000000002</v>
      </c>
      <c r="I368" t="s">
        <v>461</v>
      </c>
      <c r="K368">
        <v>104932869</v>
      </c>
      <c r="L368" s="2">
        <v>42671</v>
      </c>
      <c r="M368">
        <v>21</v>
      </c>
      <c r="N368">
        <v>1</v>
      </c>
      <c r="P368">
        <v>1</v>
      </c>
      <c r="Q368" t="s">
        <v>21</v>
      </c>
    </row>
    <row r="369" spans="1:17" x14ac:dyDescent="0.55000000000000004">
      <c r="A369">
        <v>498</v>
      </c>
      <c r="B369" t="s">
        <v>4</v>
      </c>
      <c r="C369">
        <v>0.1</v>
      </c>
      <c r="D369" t="s">
        <v>68</v>
      </c>
      <c r="E369" t="s">
        <v>218</v>
      </c>
      <c r="F369" t="s">
        <v>70</v>
      </c>
      <c r="G369" t="s">
        <v>0</v>
      </c>
      <c r="H369">
        <v>6.3970000000000002</v>
      </c>
      <c r="I369" t="s">
        <v>461</v>
      </c>
      <c r="K369">
        <v>106280825</v>
      </c>
      <c r="L369" s="2">
        <v>43946</v>
      </c>
      <c r="M369">
        <v>21</v>
      </c>
      <c r="N369">
        <v>2</v>
      </c>
      <c r="O369">
        <v>0</v>
      </c>
      <c r="P369">
        <v>1</v>
      </c>
      <c r="Q369" t="s">
        <v>21</v>
      </c>
    </row>
    <row r="370" spans="1:17" x14ac:dyDescent="0.55000000000000004">
      <c r="A370">
        <v>498</v>
      </c>
      <c r="B370" t="s">
        <v>4</v>
      </c>
      <c r="C370">
        <v>0.1</v>
      </c>
      <c r="D370" t="s">
        <v>68</v>
      </c>
      <c r="E370" t="s">
        <v>218</v>
      </c>
      <c r="F370" t="s">
        <v>70</v>
      </c>
      <c r="G370" t="s">
        <v>0</v>
      </c>
      <c r="H370">
        <v>6.3970000000000002</v>
      </c>
      <c r="I370" t="s">
        <v>461</v>
      </c>
      <c r="K370">
        <v>105391030</v>
      </c>
      <c r="L370" s="2">
        <v>43133</v>
      </c>
      <c r="M370">
        <v>30</v>
      </c>
      <c r="N370">
        <v>1</v>
      </c>
      <c r="O370">
        <v>0</v>
      </c>
      <c r="P370">
        <v>1</v>
      </c>
      <c r="Q370" t="s">
        <v>21</v>
      </c>
    </row>
    <row r="371" spans="1:17" x14ac:dyDescent="0.55000000000000004">
      <c r="A371">
        <v>498</v>
      </c>
      <c r="B371" t="s">
        <v>4</v>
      </c>
      <c r="C371">
        <v>0.1</v>
      </c>
      <c r="D371" t="s">
        <v>68</v>
      </c>
      <c r="E371" t="s">
        <v>218</v>
      </c>
      <c r="F371" t="s">
        <v>43</v>
      </c>
      <c r="G371" t="s">
        <v>0</v>
      </c>
      <c r="H371">
        <v>6.3970000000000002</v>
      </c>
      <c r="I371" t="s">
        <v>461</v>
      </c>
      <c r="K371">
        <v>105930834</v>
      </c>
      <c r="L371" s="2">
        <v>43641</v>
      </c>
      <c r="M371">
        <v>21</v>
      </c>
      <c r="N371">
        <v>1</v>
      </c>
      <c r="O371">
        <v>0</v>
      </c>
      <c r="P371">
        <v>1</v>
      </c>
      <c r="Q371" t="s">
        <v>21</v>
      </c>
    </row>
    <row r="372" spans="1:17" x14ac:dyDescent="0.55000000000000004">
      <c r="A372">
        <v>498</v>
      </c>
      <c r="B372" t="s">
        <v>4</v>
      </c>
      <c r="C372">
        <v>0.1</v>
      </c>
      <c r="D372" t="s">
        <v>18</v>
      </c>
      <c r="E372" t="s">
        <v>70</v>
      </c>
      <c r="F372" t="s">
        <v>218</v>
      </c>
      <c r="G372" t="s">
        <v>0</v>
      </c>
      <c r="H372">
        <v>6.4880000000000004</v>
      </c>
      <c r="I372" t="s">
        <v>461</v>
      </c>
      <c r="K372">
        <v>106635445</v>
      </c>
      <c r="L372" s="2">
        <v>44337</v>
      </c>
      <c r="M372">
        <v>21</v>
      </c>
      <c r="N372">
        <v>1</v>
      </c>
      <c r="P372">
        <v>1</v>
      </c>
      <c r="Q372" t="s">
        <v>15</v>
      </c>
    </row>
    <row r="373" spans="1:17" x14ac:dyDescent="0.55000000000000004">
      <c r="A373">
        <v>498</v>
      </c>
      <c r="B373" t="s">
        <v>4</v>
      </c>
      <c r="C373">
        <v>0.1</v>
      </c>
      <c r="D373" t="s">
        <v>18</v>
      </c>
      <c r="E373" t="s">
        <v>70</v>
      </c>
      <c r="F373" t="s">
        <v>217</v>
      </c>
      <c r="G373" t="s">
        <v>0</v>
      </c>
      <c r="H373">
        <v>6.4880000000000004</v>
      </c>
      <c r="I373" t="s">
        <v>461</v>
      </c>
      <c r="K373">
        <v>105148586</v>
      </c>
      <c r="L373" s="2">
        <v>42903</v>
      </c>
      <c r="M373">
        <v>30</v>
      </c>
      <c r="N373">
        <v>1</v>
      </c>
      <c r="O373">
        <v>0</v>
      </c>
      <c r="P373">
        <v>1</v>
      </c>
      <c r="Q373" t="s">
        <v>15</v>
      </c>
    </row>
    <row r="374" spans="1:17" x14ac:dyDescent="0.55000000000000004">
      <c r="A374">
        <v>498</v>
      </c>
      <c r="B374" t="s">
        <v>0</v>
      </c>
      <c r="C374">
        <v>0.1</v>
      </c>
      <c r="D374" t="s">
        <v>18</v>
      </c>
      <c r="E374" t="s">
        <v>43</v>
      </c>
      <c r="F374" t="s">
        <v>218</v>
      </c>
      <c r="G374" t="s">
        <v>0</v>
      </c>
      <c r="H374">
        <v>6.4880000000000004</v>
      </c>
      <c r="I374" t="s">
        <v>461</v>
      </c>
      <c r="K374">
        <v>105190186</v>
      </c>
      <c r="L374" s="2">
        <v>42952</v>
      </c>
      <c r="M374">
        <v>1</v>
      </c>
      <c r="N374">
        <v>1</v>
      </c>
      <c r="O374">
        <v>0</v>
      </c>
      <c r="P374">
        <v>4</v>
      </c>
      <c r="Q374" t="s">
        <v>15</v>
      </c>
    </row>
    <row r="375" spans="1:17" x14ac:dyDescent="0.55000000000000004">
      <c r="A375">
        <v>498</v>
      </c>
      <c r="B375" t="s">
        <v>0</v>
      </c>
      <c r="C375">
        <v>0.1</v>
      </c>
      <c r="D375" t="s">
        <v>18</v>
      </c>
      <c r="E375" t="s">
        <v>43</v>
      </c>
      <c r="F375" t="s">
        <v>218</v>
      </c>
      <c r="G375" t="s">
        <v>0</v>
      </c>
      <c r="H375">
        <v>6.4880000000000004</v>
      </c>
      <c r="I375" t="s">
        <v>461</v>
      </c>
      <c r="K375">
        <v>104912740</v>
      </c>
      <c r="L375" s="2">
        <v>42664</v>
      </c>
      <c r="M375">
        <v>30</v>
      </c>
      <c r="N375">
        <v>1</v>
      </c>
      <c r="O375">
        <v>7</v>
      </c>
      <c r="P375">
        <v>1</v>
      </c>
      <c r="Q375" t="s">
        <v>21</v>
      </c>
    </row>
    <row r="376" spans="1:17" x14ac:dyDescent="0.55000000000000004">
      <c r="A376">
        <v>0</v>
      </c>
      <c r="B376" t="s">
        <v>0</v>
      </c>
      <c r="C376">
        <v>0.5</v>
      </c>
      <c r="D376" t="s">
        <v>68</v>
      </c>
      <c r="E376" t="s">
        <v>211</v>
      </c>
      <c r="F376" t="s">
        <v>1</v>
      </c>
      <c r="G376" t="s">
        <v>0</v>
      </c>
      <c r="H376">
        <v>6.5069999999999997</v>
      </c>
      <c r="I376" t="s">
        <v>461</v>
      </c>
      <c r="K376">
        <v>105215057</v>
      </c>
      <c r="L376" s="2">
        <v>42985</v>
      </c>
      <c r="M376">
        <v>19</v>
      </c>
      <c r="N376">
        <v>1</v>
      </c>
      <c r="O376">
        <v>0</v>
      </c>
      <c r="P376">
        <v>1</v>
      </c>
      <c r="Q376" t="s">
        <v>45</v>
      </c>
    </row>
    <row r="377" spans="1:17" x14ac:dyDescent="0.55000000000000004">
      <c r="A377">
        <v>498</v>
      </c>
      <c r="B377" t="s">
        <v>4</v>
      </c>
      <c r="C377">
        <v>0.3</v>
      </c>
      <c r="D377" t="s">
        <v>18</v>
      </c>
      <c r="E377" t="s">
        <v>67</v>
      </c>
      <c r="F377" t="s">
        <v>43</v>
      </c>
      <c r="G377" t="s">
        <v>0</v>
      </c>
      <c r="H377">
        <v>6.508</v>
      </c>
      <c r="I377" t="s">
        <v>461</v>
      </c>
      <c r="K377">
        <v>105252214</v>
      </c>
      <c r="L377" s="2">
        <v>43014</v>
      </c>
      <c r="M377">
        <v>21</v>
      </c>
      <c r="N377">
        <v>1</v>
      </c>
      <c r="O377">
        <v>7</v>
      </c>
      <c r="P377">
        <v>1</v>
      </c>
      <c r="Q377" t="s">
        <v>21</v>
      </c>
    </row>
    <row r="378" spans="1:17" x14ac:dyDescent="0.55000000000000004">
      <c r="A378">
        <v>498</v>
      </c>
      <c r="B378" t="s">
        <v>4</v>
      </c>
      <c r="C378">
        <v>6.6000000000000003E-2</v>
      </c>
      <c r="D378" t="s">
        <v>18</v>
      </c>
      <c r="E378" t="s">
        <v>70</v>
      </c>
      <c r="F378" t="s">
        <v>218</v>
      </c>
      <c r="G378" t="s">
        <v>0</v>
      </c>
      <c r="H378">
        <v>6.5220000000000002</v>
      </c>
      <c r="I378" t="s">
        <v>461</v>
      </c>
      <c r="K378">
        <v>106527454</v>
      </c>
      <c r="L378" s="2">
        <v>44244</v>
      </c>
      <c r="M378">
        <v>30</v>
      </c>
      <c r="N378">
        <v>1</v>
      </c>
      <c r="P378">
        <v>1</v>
      </c>
      <c r="Q378" t="s">
        <v>21</v>
      </c>
    </row>
    <row r="379" spans="1:17" x14ac:dyDescent="0.55000000000000004">
      <c r="A379">
        <v>498</v>
      </c>
      <c r="B379" t="s">
        <v>4</v>
      </c>
      <c r="C379">
        <v>6.5000000000000002E-2</v>
      </c>
      <c r="D379" t="s">
        <v>18</v>
      </c>
      <c r="E379" t="s">
        <v>70</v>
      </c>
      <c r="F379" t="s">
        <v>218</v>
      </c>
      <c r="G379" t="s">
        <v>0</v>
      </c>
      <c r="H379">
        <v>6.5229999999999997</v>
      </c>
      <c r="I379" t="s">
        <v>461</v>
      </c>
      <c r="K379">
        <v>106673423</v>
      </c>
      <c r="L379" s="2">
        <v>44390</v>
      </c>
      <c r="M379">
        <v>30</v>
      </c>
      <c r="N379">
        <v>1</v>
      </c>
      <c r="O379">
        <v>4</v>
      </c>
      <c r="P379">
        <v>1</v>
      </c>
      <c r="Q379" t="s">
        <v>15</v>
      </c>
    </row>
    <row r="380" spans="1:17" x14ac:dyDescent="0.55000000000000004">
      <c r="A380">
        <v>498</v>
      </c>
      <c r="B380" t="s">
        <v>4</v>
      </c>
      <c r="C380">
        <v>6.4000000000000001E-2</v>
      </c>
      <c r="D380" t="s">
        <v>18</v>
      </c>
      <c r="E380" t="s">
        <v>70</v>
      </c>
      <c r="F380" t="s">
        <v>218</v>
      </c>
      <c r="G380" t="s">
        <v>0</v>
      </c>
      <c r="H380">
        <v>6.524</v>
      </c>
      <c r="I380" t="s">
        <v>461</v>
      </c>
      <c r="K380">
        <v>106523232</v>
      </c>
      <c r="L380" s="2">
        <v>44241</v>
      </c>
      <c r="M380">
        <v>30</v>
      </c>
      <c r="N380">
        <v>2</v>
      </c>
      <c r="O380">
        <v>4</v>
      </c>
      <c r="P380">
        <v>1</v>
      </c>
      <c r="Q380" t="s">
        <v>21</v>
      </c>
    </row>
    <row r="381" spans="1:17" x14ac:dyDescent="0.55000000000000004">
      <c r="A381">
        <v>498</v>
      </c>
      <c r="B381" t="s">
        <v>0</v>
      </c>
      <c r="C381">
        <v>0.23</v>
      </c>
      <c r="E381" t="s">
        <v>218</v>
      </c>
      <c r="F381" t="s">
        <v>43</v>
      </c>
      <c r="G381" t="s">
        <v>0</v>
      </c>
      <c r="H381">
        <v>6.5270000000000001</v>
      </c>
      <c r="I381" t="s">
        <v>461</v>
      </c>
      <c r="J381" t="s">
        <v>174</v>
      </c>
      <c r="K381">
        <v>105982982</v>
      </c>
      <c r="L381" s="2">
        <v>43706</v>
      </c>
      <c r="M381">
        <v>28</v>
      </c>
      <c r="N381">
        <v>1</v>
      </c>
      <c r="O381">
        <v>0</v>
      </c>
      <c r="P381">
        <v>1</v>
      </c>
      <c r="Q381" t="s">
        <v>15</v>
      </c>
    </row>
    <row r="382" spans="1:17" x14ac:dyDescent="0.55000000000000004">
      <c r="A382">
        <v>498</v>
      </c>
      <c r="B382" t="s">
        <v>4</v>
      </c>
      <c r="C382">
        <v>5.7000000000000002E-2</v>
      </c>
      <c r="D382" t="s">
        <v>18</v>
      </c>
      <c r="E382" t="s">
        <v>70</v>
      </c>
      <c r="F382" t="s">
        <v>218</v>
      </c>
      <c r="G382" t="s">
        <v>0</v>
      </c>
      <c r="H382">
        <v>6.5309999999999997</v>
      </c>
      <c r="I382" t="s">
        <v>461</v>
      </c>
      <c r="K382">
        <v>105183967</v>
      </c>
      <c r="L382" s="2">
        <v>42942</v>
      </c>
      <c r="M382">
        <v>30</v>
      </c>
      <c r="N382">
        <v>1</v>
      </c>
      <c r="O382">
        <v>4</v>
      </c>
      <c r="P382">
        <v>1</v>
      </c>
      <c r="Q382" t="s">
        <v>15</v>
      </c>
    </row>
    <row r="383" spans="1:17" x14ac:dyDescent="0.55000000000000004">
      <c r="A383">
        <v>498</v>
      </c>
      <c r="B383" t="s">
        <v>4</v>
      </c>
      <c r="C383">
        <v>5.5E-2</v>
      </c>
      <c r="D383" t="s">
        <v>18</v>
      </c>
      <c r="E383" t="s">
        <v>70</v>
      </c>
      <c r="F383" t="s">
        <v>219</v>
      </c>
      <c r="G383" t="s">
        <v>0</v>
      </c>
      <c r="H383">
        <v>6.5330000000000004</v>
      </c>
      <c r="I383" t="s">
        <v>461</v>
      </c>
      <c r="K383">
        <v>106537170</v>
      </c>
      <c r="L383" s="2">
        <v>44257</v>
      </c>
      <c r="M383">
        <v>30</v>
      </c>
      <c r="N383">
        <v>1</v>
      </c>
      <c r="P383">
        <v>1</v>
      </c>
      <c r="Q383" t="s">
        <v>21</v>
      </c>
    </row>
    <row r="384" spans="1:17" x14ac:dyDescent="0.55000000000000004">
      <c r="A384">
        <v>498</v>
      </c>
      <c r="B384" t="s">
        <v>4</v>
      </c>
      <c r="C384">
        <v>0.05</v>
      </c>
      <c r="D384" t="s">
        <v>18</v>
      </c>
      <c r="E384" t="s">
        <v>70</v>
      </c>
      <c r="F384" t="s">
        <v>218</v>
      </c>
      <c r="G384" t="s">
        <v>0</v>
      </c>
      <c r="H384">
        <v>6.5380000000000003</v>
      </c>
      <c r="I384" t="s">
        <v>461</v>
      </c>
      <c r="K384">
        <v>106402981</v>
      </c>
      <c r="L384" s="2">
        <v>44138</v>
      </c>
      <c r="M384">
        <v>28</v>
      </c>
      <c r="N384">
        <v>1</v>
      </c>
      <c r="O384">
        <v>0</v>
      </c>
      <c r="P384">
        <v>1</v>
      </c>
      <c r="Q384" t="s">
        <v>15</v>
      </c>
    </row>
    <row r="385" spans="1:17" x14ac:dyDescent="0.55000000000000004">
      <c r="A385">
        <v>498</v>
      </c>
      <c r="B385" t="s">
        <v>0</v>
      </c>
      <c r="C385">
        <v>0.25</v>
      </c>
      <c r="D385" t="s">
        <v>68</v>
      </c>
      <c r="E385" t="s">
        <v>218</v>
      </c>
      <c r="F385" t="s">
        <v>43</v>
      </c>
      <c r="G385" t="s">
        <v>0</v>
      </c>
      <c r="H385">
        <v>6.5469999999999997</v>
      </c>
      <c r="I385" t="s">
        <v>461</v>
      </c>
      <c r="K385">
        <v>105461722</v>
      </c>
      <c r="L385" s="2">
        <v>43206</v>
      </c>
      <c r="M385">
        <v>28</v>
      </c>
      <c r="N385">
        <v>1</v>
      </c>
      <c r="O385">
        <v>12</v>
      </c>
      <c r="P385">
        <v>1</v>
      </c>
      <c r="Q385" t="s">
        <v>21</v>
      </c>
    </row>
    <row r="386" spans="1:17" x14ac:dyDescent="0.55000000000000004">
      <c r="A386">
        <v>498</v>
      </c>
      <c r="B386" t="s">
        <v>4</v>
      </c>
      <c r="C386">
        <v>3.7999999999999999E-2</v>
      </c>
      <c r="D386" t="s">
        <v>18</v>
      </c>
      <c r="E386" t="s">
        <v>70</v>
      </c>
      <c r="F386" t="s">
        <v>218</v>
      </c>
      <c r="G386" t="s">
        <v>0</v>
      </c>
      <c r="H386">
        <v>6.55</v>
      </c>
      <c r="I386" t="s">
        <v>461</v>
      </c>
      <c r="K386">
        <v>105878138</v>
      </c>
      <c r="L386" s="2">
        <v>43590</v>
      </c>
      <c r="M386">
        <v>21</v>
      </c>
      <c r="N386">
        <v>2</v>
      </c>
      <c r="O386">
        <v>0</v>
      </c>
      <c r="P386">
        <v>1</v>
      </c>
      <c r="Q386" t="s">
        <v>21</v>
      </c>
    </row>
    <row r="387" spans="1:17" x14ac:dyDescent="0.55000000000000004">
      <c r="A387">
        <v>498</v>
      </c>
      <c r="B387" t="s">
        <v>4</v>
      </c>
      <c r="C387">
        <v>2.8000000000000001E-2</v>
      </c>
      <c r="D387" t="s">
        <v>18</v>
      </c>
      <c r="E387" t="s">
        <v>70</v>
      </c>
      <c r="F387" t="s">
        <v>218</v>
      </c>
      <c r="G387" t="s">
        <v>0</v>
      </c>
      <c r="H387">
        <v>6.56</v>
      </c>
      <c r="I387" t="s">
        <v>461</v>
      </c>
      <c r="K387">
        <v>106628831</v>
      </c>
      <c r="L387" s="2">
        <v>44327</v>
      </c>
      <c r="M387">
        <v>21</v>
      </c>
      <c r="N387">
        <v>1</v>
      </c>
      <c r="P387">
        <v>1</v>
      </c>
      <c r="Q387" t="s">
        <v>21</v>
      </c>
    </row>
    <row r="388" spans="1:17" x14ac:dyDescent="0.55000000000000004">
      <c r="A388">
        <v>498</v>
      </c>
      <c r="B388" t="s">
        <v>0</v>
      </c>
      <c r="C388">
        <v>2.8000000000000001E-2</v>
      </c>
      <c r="D388" t="s">
        <v>18</v>
      </c>
      <c r="E388" t="s">
        <v>43</v>
      </c>
      <c r="F388" t="s">
        <v>218</v>
      </c>
      <c r="G388" t="s">
        <v>0</v>
      </c>
      <c r="H388">
        <v>6.56</v>
      </c>
      <c r="I388" t="s">
        <v>461</v>
      </c>
      <c r="K388">
        <v>104953873</v>
      </c>
      <c r="L388" s="2">
        <v>42700</v>
      </c>
      <c r="M388">
        <v>22</v>
      </c>
      <c r="N388">
        <v>1</v>
      </c>
      <c r="O388">
        <v>0</v>
      </c>
      <c r="P388">
        <v>4</v>
      </c>
      <c r="Q388" t="s">
        <v>21</v>
      </c>
    </row>
    <row r="389" spans="1:17" x14ac:dyDescent="0.55000000000000004">
      <c r="A389">
        <v>498</v>
      </c>
      <c r="B389" t="s">
        <v>4</v>
      </c>
      <c r="C389">
        <v>1.9E-2</v>
      </c>
      <c r="D389" t="s">
        <v>18</v>
      </c>
      <c r="E389" t="s">
        <v>70</v>
      </c>
      <c r="F389" t="s">
        <v>67</v>
      </c>
      <c r="G389" t="s">
        <v>0</v>
      </c>
      <c r="H389">
        <v>6.569</v>
      </c>
      <c r="I389" t="s">
        <v>461</v>
      </c>
      <c r="K389">
        <v>105053804</v>
      </c>
      <c r="L389" s="2">
        <v>42819</v>
      </c>
      <c r="M389">
        <v>32</v>
      </c>
      <c r="N389">
        <v>1</v>
      </c>
      <c r="O389">
        <v>0</v>
      </c>
      <c r="P389">
        <v>1</v>
      </c>
      <c r="Q389" t="s">
        <v>45</v>
      </c>
    </row>
    <row r="390" spans="1:17" x14ac:dyDescent="0.55000000000000004">
      <c r="A390">
        <v>498</v>
      </c>
      <c r="B390" t="s">
        <v>4</v>
      </c>
      <c r="C390">
        <v>1.9E-2</v>
      </c>
      <c r="D390" t="s">
        <v>18</v>
      </c>
      <c r="E390" t="s">
        <v>70</v>
      </c>
      <c r="F390" t="s">
        <v>218</v>
      </c>
      <c r="G390" t="s">
        <v>0</v>
      </c>
      <c r="H390">
        <v>6.569</v>
      </c>
      <c r="I390" t="s">
        <v>461</v>
      </c>
      <c r="K390">
        <v>106635418</v>
      </c>
      <c r="L390" s="2">
        <v>44330</v>
      </c>
      <c r="M390">
        <v>30</v>
      </c>
      <c r="N390">
        <v>1</v>
      </c>
      <c r="P390">
        <v>1</v>
      </c>
      <c r="Q390" t="s">
        <v>21</v>
      </c>
    </row>
    <row r="391" spans="1:17" x14ac:dyDescent="0.55000000000000004">
      <c r="A391">
        <v>498</v>
      </c>
      <c r="B391" t="s">
        <v>4</v>
      </c>
      <c r="C391">
        <v>1.9E-2</v>
      </c>
      <c r="D391" t="s">
        <v>18</v>
      </c>
      <c r="E391" t="s">
        <v>70</v>
      </c>
      <c r="F391" t="s">
        <v>218</v>
      </c>
      <c r="G391" t="s">
        <v>0</v>
      </c>
      <c r="H391">
        <v>6.569</v>
      </c>
      <c r="I391" t="s">
        <v>461</v>
      </c>
      <c r="K391">
        <v>106425262</v>
      </c>
      <c r="L391" s="2">
        <v>44155</v>
      </c>
      <c r="M391">
        <v>30</v>
      </c>
      <c r="N391">
        <v>1</v>
      </c>
      <c r="O391">
        <v>0</v>
      </c>
      <c r="P391">
        <v>1</v>
      </c>
      <c r="Q391" t="s">
        <v>21</v>
      </c>
    </row>
    <row r="392" spans="1:17" x14ac:dyDescent="0.55000000000000004">
      <c r="A392">
        <v>498</v>
      </c>
      <c r="B392" t="s">
        <v>4</v>
      </c>
      <c r="C392">
        <v>8.9999999999999993E-3</v>
      </c>
      <c r="D392" t="s">
        <v>18</v>
      </c>
      <c r="E392" t="s">
        <v>70</v>
      </c>
      <c r="F392" t="s">
        <v>94</v>
      </c>
      <c r="G392" t="s">
        <v>0</v>
      </c>
      <c r="H392">
        <v>6.5789999999999997</v>
      </c>
      <c r="I392" t="s">
        <v>461</v>
      </c>
      <c r="K392">
        <v>106021253</v>
      </c>
      <c r="L392" s="2">
        <v>43737</v>
      </c>
      <c r="M392">
        <v>29</v>
      </c>
      <c r="N392">
        <v>1</v>
      </c>
      <c r="O392">
        <v>0</v>
      </c>
      <c r="P392">
        <v>1</v>
      </c>
      <c r="Q392" t="s">
        <v>21</v>
      </c>
    </row>
    <row r="393" spans="1:17" x14ac:dyDescent="0.55000000000000004">
      <c r="A393">
        <v>498</v>
      </c>
      <c r="B393" t="s">
        <v>4</v>
      </c>
      <c r="C393">
        <v>8.9999999999999993E-3</v>
      </c>
      <c r="D393" t="s">
        <v>18</v>
      </c>
      <c r="E393" t="s">
        <v>70</v>
      </c>
      <c r="F393" t="s">
        <v>70</v>
      </c>
      <c r="G393" t="s">
        <v>0</v>
      </c>
      <c r="H393">
        <v>6.5789999999999997</v>
      </c>
      <c r="I393" t="s">
        <v>461</v>
      </c>
      <c r="K393">
        <v>106606622</v>
      </c>
      <c r="L393" s="2">
        <v>44316</v>
      </c>
      <c r="M393">
        <v>21</v>
      </c>
      <c r="N393">
        <v>1</v>
      </c>
      <c r="P393">
        <v>4</v>
      </c>
      <c r="Q393" t="s">
        <v>21</v>
      </c>
    </row>
    <row r="394" spans="1:17" x14ac:dyDescent="0.55000000000000004">
      <c r="A394">
        <v>498</v>
      </c>
      <c r="B394" t="s">
        <v>4</v>
      </c>
      <c r="C394">
        <v>8.9999999999999993E-3</v>
      </c>
      <c r="D394" t="s">
        <v>18</v>
      </c>
      <c r="E394" t="s">
        <v>70</v>
      </c>
      <c r="F394" t="s">
        <v>218</v>
      </c>
      <c r="G394" t="s">
        <v>0</v>
      </c>
      <c r="H394">
        <v>6.5789999999999997</v>
      </c>
      <c r="I394" t="s">
        <v>461</v>
      </c>
      <c r="K394">
        <v>105891225</v>
      </c>
      <c r="L394" s="2">
        <v>43601</v>
      </c>
      <c r="M394">
        <v>21</v>
      </c>
      <c r="N394">
        <v>1</v>
      </c>
      <c r="O394">
        <v>7</v>
      </c>
      <c r="P394">
        <v>1</v>
      </c>
      <c r="Q394" t="s">
        <v>21</v>
      </c>
    </row>
    <row r="395" spans="1:17" x14ac:dyDescent="0.55000000000000004">
      <c r="A395">
        <v>498</v>
      </c>
      <c r="B395" t="s">
        <v>4</v>
      </c>
      <c r="C395">
        <v>5.0000000000000001E-3</v>
      </c>
      <c r="D395" t="s">
        <v>18</v>
      </c>
      <c r="E395" t="s">
        <v>70</v>
      </c>
      <c r="F395" t="s">
        <v>218</v>
      </c>
      <c r="G395" t="s">
        <v>0</v>
      </c>
      <c r="H395">
        <v>6.5830000000000002</v>
      </c>
      <c r="I395" t="s">
        <v>461</v>
      </c>
      <c r="K395">
        <v>104960050</v>
      </c>
      <c r="L395" s="2">
        <v>42703</v>
      </c>
      <c r="M395">
        <v>32</v>
      </c>
      <c r="N395">
        <v>2</v>
      </c>
      <c r="O395">
        <v>0</v>
      </c>
      <c r="P395">
        <v>1</v>
      </c>
      <c r="Q395" t="s">
        <v>21</v>
      </c>
    </row>
    <row r="396" spans="1:17" x14ac:dyDescent="0.55000000000000004">
      <c r="A396">
        <v>498</v>
      </c>
      <c r="B396" t="s">
        <v>4</v>
      </c>
      <c r="C396">
        <v>4.0000000000000001E-3</v>
      </c>
      <c r="D396" t="s">
        <v>18</v>
      </c>
      <c r="E396" t="s">
        <v>70</v>
      </c>
      <c r="F396" t="s">
        <v>219</v>
      </c>
      <c r="G396" t="s">
        <v>0</v>
      </c>
      <c r="H396">
        <v>6.5839999999999996</v>
      </c>
      <c r="I396" t="s">
        <v>461</v>
      </c>
      <c r="K396">
        <v>106277468</v>
      </c>
      <c r="L396" s="2">
        <v>43973</v>
      </c>
      <c r="M396">
        <v>29</v>
      </c>
      <c r="N396">
        <v>2</v>
      </c>
      <c r="O396">
        <v>0</v>
      </c>
      <c r="P396">
        <v>1</v>
      </c>
      <c r="Q396" t="s">
        <v>21</v>
      </c>
    </row>
    <row r="397" spans="1:17" x14ac:dyDescent="0.55000000000000004">
      <c r="A397">
        <v>498</v>
      </c>
      <c r="B397" t="s">
        <v>4</v>
      </c>
      <c r="C397">
        <v>0</v>
      </c>
      <c r="E397" t="s">
        <v>70</v>
      </c>
      <c r="F397" t="s">
        <v>93</v>
      </c>
      <c r="G397" t="s">
        <v>0</v>
      </c>
      <c r="H397">
        <v>6.5880000000000001</v>
      </c>
      <c r="I397" t="s">
        <v>461</v>
      </c>
      <c r="K397">
        <v>106053265</v>
      </c>
      <c r="L397" s="2">
        <v>43763</v>
      </c>
      <c r="M397">
        <v>21</v>
      </c>
      <c r="N397">
        <v>1</v>
      </c>
      <c r="O397">
        <v>0</v>
      </c>
      <c r="P397">
        <v>1</v>
      </c>
      <c r="Q397" t="s">
        <v>21</v>
      </c>
    </row>
    <row r="398" spans="1:17" x14ac:dyDescent="0.55000000000000004">
      <c r="A398">
        <v>498</v>
      </c>
      <c r="B398" t="s">
        <v>4</v>
      </c>
      <c r="C398">
        <v>0</v>
      </c>
      <c r="E398" t="s">
        <v>70</v>
      </c>
      <c r="F398" t="s">
        <v>93</v>
      </c>
      <c r="G398" t="s">
        <v>0</v>
      </c>
      <c r="H398">
        <v>6.5880000000000001</v>
      </c>
      <c r="I398" t="s">
        <v>461</v>
      </c>
      <c r="K398">
        <v>105930813</v>
      </c>
      <c r="L398" s="2">
        <v>43643</v>
      </c>
      <c r="M398">
        <v>21</v>
      </c>
      <c r="N398">
        <v>1</v>
      </c>
      <c r="O398">
        <v>0</v>
      </c>
      <c r="P398">
        <v>1</v>
      </c>
      <c r="Q398" t="s">
        <v>21</v>
      </c>
    </row>
    <row r="399" spans="1:17" x14ac:dyDescent="0.55000000000000004">
      <c r="A399">
        <v>498</v>
      </c>
      <c r="B399" t="s">
        <v>4</v>
      </c>
      <c r="C399">
        <v>0</v>
      </c>
      <c r="E399" t="s">
        <v>70</v>
      </c>
      <c r="F399" t="s">
        <v>93</v>
      </c>
      <c r="G399" t="s">
        <v>0</v>
      </c>
      <c r="H399">
        <v>6.5880000000000001</v>
      </c>
      <c r="I399" t="s">
        <v>461</v>
      </c>
      <c r="K399">
        <v>104939160</v>
      </c>
      <c r="L399" s="2">
        <v>42683</v>
      </c>
      <c r="M399">
        <v>21</v>
      </c>
      <c r="N399">
        <v>1</v>
      </c>
      <c r="O399">
        <v>0</v>
      </c>
      <c r="P399">
        <v>4</v>
      </c>
      <c r="Q399" t="s">
        <v>21</v>
      </c>
    </row>
    <row r="400" spans="1:17" x14ac:dyDescent="0.55000000000000004">
      <c r="A400">
        <v>498</v>
      </c>
      <c r="B400" t="s">
        <v>4</v>
      </c>
      <c r="C400">
        <v>0</v>
      </c>
      <c r="E400" t="s">
        <v>70</v>
      </c>
      <c r="F400" t="s">
        <v>70</v>
      </c>
      <c r="G400" t="s">
        <v>0</v>
      </c>
      <c r="H400">
        <v>6.5880000000000001</v>
      </c>
      <c r="I400" t="s">
        <v>461</v>
      </c>
      <c r="K400">
        <v>106425264</v>
      </c>
      <c r="L400" s="2">
        <v>44155</v>
      </c>
      <c r="M400">
        <v>21</v>
      </c>
      <c r="N400">
        <v>1</v>
      </c>
      <c r="O400">
        <v>7</v>
      </c>
      <c r="P400">
        <v>1</v>
      </c>
      <c r="Q400" t="s">
        <v>21</v>
      </c>
    </row>
    <row r="401" spans="1:17" x14ac:dyDescent="0.55000000000000004">
      <c r="A401">
        <v>498</v>
      </c>
      <c r="B401" t="s">
        <v>4</v>
      </c>
      <c r="C401">
        <v>0</v>
      </c>
      <c r="E401" t="s">
        <v>70</v>
      </c>
      <c r="F401" t="s">
        <v>70</v>
      </c>
      <c r="G401" t="s">
        <v>0</v>
      </c>
      <c r="H401">
        <v>6.5880000000000001</v>
      </c>
      <c r="I401" t="s">
        <v>461</v>
      </c>
      <c r="K401">
        <v>105988858</v>
      </c>
      <c r="L401" s="2">
        <v>43707</v>
      </c>
      <c r="M401">
        <v>21</v>
      </c>
      <c r="N401">
        <v>1</v>
      </c>
      <c r="O401">
        <v>7</v>
      </c>
      <c r="P401">
        <v>1</v>
      </c>
      <c r="Q401" t="s">
        <v>21</v>
      </c>
    </row>
    <row r="402" spans="1:17" x14ac:dyDescent="0.55000000000000004">
      <c r="A402">
        <v>498</v>
      </c>
      <c r="B402" t="s">
        <v>4</v>
      </c>
      <c r="C402">
        <v>0</v>
      </c>
      <c r="E402" t="s">
        <v>70</v>
      </c>
      <c r="F402" t="s">
        <v>70</v>
      </c>
      <c r="G402" t="s">
        <v>0</v>
      </c>
      <c r="H402">
        <v>6.5880000000000001</v>
      </c>
      <c r="I402" t="s">
        <v>461</v>
      </c>
      <c r="K402">
        <v>106274731</v>
      </c>
      <c r="L402" s="2">
        <v>43967</v>
      </c>
      <c r="M402">
        <v>0</v>
      </c>
      <c r="N402">
        <v>1</v>
      </c>
      <c r="O402">
        <v>0</v>
      </c>
      <c r="P402">
        <v>1</v>
      </c>
      <c r="Q402" t="s">
        <v>21</v>
      </c>
    </row>
    <row r="403" spans="1:17" x14ac:dyDescent="0.55000000000000004">
      <c r="A403">
        <v>498</v>
      </c>
      <c r="B403" t="s">
        <v>4</v>
      </c>
      <c r="C403">
        <v>0</v>
      </c>
      <c r="E403" t="s">
        <v>70</v>
      </c>
      <c r="F403" t="s">
        <v>70</v>
      </c>
      <c r="G403" t="s">
        <v>0</v>
      </c>
      <c r="H403">
        <v>6.5880000000000001</v>
      </c>
      <c r="I403" t="s">
        <v>461</v>
      </c>
      <c r="K403">
        <v>106169430</v>
      </c>
      <c r="L403" s="2">
        <v>43843</v>
      </c>
      <c r="M403">
        <v>21</v>
      </c>
      <c r="N403">
        <v>2</v>
      </c>
      <c r="O403">
        <v>7</v>
      </c>
      <c r="P403">
        <v>1</v>
      </c>
      <c r="Q403" t="s">
        <v>21</v>
      </c>
    </row>
    <row r="404" spans="1:17" x14ac:dyDescent="0.55000000000000004">
      <c r="A404">
        <v>498</v>
      </c>
      <c r="B404" t="s">
        <v>4</v>
      </c>
      <c r="C404">
        <v>0</v>
      </c>
      <c r="D404" t="s">
        <v>68</v>
      </c>
      <c r="E404" t="s">
        <v>70</v>
      </c>
      <c r="F404" t="s">
        <v>67</v>
      </c>
      <c r="G404" t="s">
        <v>0</v>
      </c>
      <c r="H404">
        <v>6.5880000000000001</v>
      </c>
      <c r="I404" t="s">
        <v>461</v>
      </c>
      <c r="K404">
        <v>106621531</v>
      </c>
      <c r="L404" s="2">
        <v>44369</v>
      </c>
      <c r="M404">
        <v>28</v>
      </c>
      <c r="N404">
        <v>1</v>
      </c>
      <c r="P404">
        <v>1</v>
      </c>
      <c r="Q404" t="s">
        <v>21</v>
      </c>
    </row>
    <row r="405" spans="1:17" x14ac:dyDescent="0.55000000000000004">
      <c r="A405">
        <v>498</v>
      </c>
      <c r="B405" t="s">
        <v>4</v>
      </c>
      <c r="C405">
        <v>0</v>
      </c>
      <c r="D405" t="s">
        <v>68</v>
      </c>
      <c r="E405" t="s">
        <v>70</v>
      </c>
      <c r="F405" t="s">
        <v>67</v>
      </c>
      <c r="G405" t="s">
        <v>0</v>
      </c>
      <c r="H405">
        <v>6.5880000000000001</v>
      </c>
      <c r="I405" t="s">
        <v>461</v>
      </c>
      <c r="K405">
        <v>105341060</v>
      </c>
      <c r="L405" s="2">
        <v>43084</v>
      </c>
      <c r="M405">
        <v>30</v>
      </c>
      <c r="N405">
        <v>1</v>
      </c>
      <c r="O405">
        <v>0</v>
      </c>
      <c r="P405">
        <v>4</v>
      </c>
      <c r="Q405" t="s">
        <v>45</v>
      </c>
    </row>
    <row r="406" spans="1:17" x14ac:dyDescent="0.55000000000000004">
      <c r="A406">
        <v>498</v>
      </c>
      <c r="B406" t="s">
        <v>4</v>
      </c>
      <c r="C406">
        <v>0</v>
      </c>
      <c r="E406" t="s">
        <v>70</v>
      </c>
      <c r="F406" t="s">
        <v>67</v>
      </c>
      <c r="G406" t="s">
        <v>0</v>
      </c>
      <c r="H406">
        <v>6.5880000000000001</v>
      </c>
      <c r="I406" t="s">
        <v>461</v>
      </c>
      <c r="K406">
        <v>105461702</v>
      </c>
      <c r="L406" s="2">
        <v>43203</v>
      </c>
      <c r="M406">
        <v>21</v>
      </c>
      <c r="N406">
        <v>1</v>
      </c>
      <c r="O406">
        <v>7</v>
      </c>
      <c r="P406">
        <v>1</v>
      </c>
      <c r="Q406" t="s">
        <v>21</v>
      </c>
    </row>
    <row r="407" spans="1:17" x14ac:dyDescent="0.55000000000000004">
      <c r="A407">
        <v>498</v>
      </c>
      <c r="B407" t="s">
        <v>4</v>
      </c>
      <c r="C407">
        <v>0</v>
      </c>
      <c r="E407" t="s">
        <v>70</v>
      </c>
      <c r="F407" t="s">
        <v>67</v>
      </c>
      <c r="G407" t="s">
        <v>0</v>
      </c>
      <c r="H407">
        <v>6.5880000000000001</v>
      </c>
      <c r="I407" t="s">
        <v>461</v>
      </c>
      <c r="K407">
        <v>106344775</v>
      </c>
      <c r="L407" s="2">
        <v>44058</v>
      </c>
      <c r="M407">
        <v>21</v>
      </c>
      <c r="N407">
        <v>2</v>
      </c>
      <c r="P407">
        <v>1</v>
      </c>
      <c r="Q407" t="s">
        <v>21</v>
      </c>
    </row>
    <row r="408" spans="1:17" x14ac:dyDescent="0.55000000000000004">
      <c r="A408">
        <v>498</v>
      </c>
      <c r="B408" t="s">
        <v>4</v>
      </c>
      <c r="C408">
        <v>0</v>
      </c>
      <c r="E408" t="s">
        <v>70</v>
      </c>
      <c r="F408" t="s">
        <v>67</v>
      </c>
      <c r="G408" t="s">
        <v>0</v>
      </c>
      <c r="H408">
        <v>6.5880000000000001</v>
      </c>
      <c r="I408" t="s">
        <v>461</v>
      </c>
      <c r="K408">
        <v>105510141</v>
      </c>
      <c r="L408" s="2">
        <v>43252</v>
      </c>
      <c r="M408">
        <v>30</v>
      </c>
      <c r="N408">
        <v>2</v>
      </c>
      <c r="O408">
        <v>0</v>
      </c>
      <c r="P408">
        <v>1</v>
      </c>
      <c r="Q408" t="s">
        <v>21</v>
      </c>
    </row>
    <row r="409" spans="1:17" x14ac:dyDescent="0.55000000000000004">
      <c r="A409">
        <v>498</v>
      </c>
      <c r="B409" t="s">
        <v>4</v>
      </c>
      <c r="C409">
        <v>0</v>
      </c>
      <c r="E409" t="s">
        <v>70</v>
      </c>
      <c r="F409" t="s">
        <v>67</v>
      </c>
      <c r="G409" t="s">
        <v>0</v>
      </c>
      <c r="H409">
        <v>6.5880000000000001</v>
      </c>
      <c r="I409" t="s">
        <v>461</v>
      </c>
      <c r="K409">
        <v>106662128</v>
      </c>
      <c r="L409" s="2">
        <v>44368</v>
      </c>
      <c r="M409">
        <v>21</v>
      </c>
      <c r="N409">
        <v>1</v>
      </c>
      <c r="P409">
        <v>1</v>
      </c>
      <c r="Q409" t="s">
        <v>21</v>
      </c>
    </row>
    <row r="410" spans="1:17" x14ac:dyDescent="0.55000000000000004">
      <c r="A410">
        <v>498</v>
      </c>
      <c r="B410" t="s">
        <v>4</v>
      </c>
      <c r="C410">
        <v>0</v>
      </c>
      <c r="E410" t="s">
        <v>70</v>
      </c>
      <c r="F410" t="s">
        <v>67</v>
      </c>
      <c r="G410" t="s">
        <v>0</v>
      </c>
      <c r="H410">
        <v>6.5880000000000001</v>
      </c>
      <c r="I410" t="s">
        <v>461</v>
      </c>
      <c r="K410">
        <v>105273982</v>
      </c>
      <c r="L410" s="2">
        <v>43034</v>
      </c>
      <c r="M410">
        <v>21</v>
      </c>
      <c r="N410">
        <v>1</v>
      </c>
      <c r="O410">
        <v>0</v>
      </c>
      <c r="P410">
        <v>1</v>
      </c>
      <c r="Q410" t="s">
        <v>21</v>
      </c>
    </row>
    <row r="411" spans="1:17" x14ac:dyDescent="0.55000000000000004">
      <c r="A411">
        <v>498</v>
      </c>
      <c r="B411" t="s">
        <v>4</v>
      </c>
      <c r="C411">
        <v>0</v>
      </c>
      <c r="E411" t="s">
        <v>70</v>
      </c>
      <c r="F411" t="s">
        <v>67</v>
      </c>
      <c r="G411" t="s">
        <v>0</v>
      </c>
      <c r="H411">
        <v>6.5880000000000001</v>
      </c>
      <c r="I411" t="s">
        <v>461</v>
      </c>
      <c r="K411">
        <v>105228643</v>
      </c>
      <c r="L411" s="2">
        <v>42986</v>
      </c>
      <c r="M411">
        <v>21</v>
      </c>
      <c r="N411">
        <v>1</v>
      </c>
      <c r="O411">
        <v>0</v>
      </c>
      <c r="P411">
        <v>1</v>
      </c>
      <c r="Q411" t="s">
        <v>21</v>
      </c>
    </row>
    <row r="412" spans="1:17" x14ac:dyDescent="0.55000000000000004">
      <c r="A412">
        <v>498</v>
      </c>
      <c r="B412" t="s">
        <v>4</v>
      </c>
      <c r="C412">
        <v>0</v>
      </c>
      <c r="D412" t="s">
        <v>18</v>
      </c>
      <c r="E412" t="s">
        <v>70</v>
      </c>
      <c r="F412" t="s">
        <v>218</v>
      </c>
      <c r="G412" t="s">
        <v>0</v>
      </c>
      <c r="H412">
        <v>6.5880000000000001</v>
      </c>
      <c r="I412" t="s">
        <v>461</v>
      </c>
      <c r="K412">
        <v>105640235</v>
      </c>
      <c r="L412" s="2">
        <v>43376</v>
      </c>
      <c r="M412">
        <v>30</v>
      </c>
      <c r="N412">
        <v>1</v>
      </c>
      <c r="O412">
        <v>0</v>
      </c>
      <c r="P412">
        <v>1</v>
      </c>
      <c r="Q412" t="s">
        <v>45</v>
      </c>
    </row>
    <row r="413" spans="1:17" x14ac:dyDescent="0.55000000000000004">
      <c r="A413">
        <v>498</v>
      </c>
      <c r="B413" t="s">
        <v>4</v>
      </c>
      <c r="C413">
        <v>0</v>
      </c>
      <c r="E413" t="s">
        <v>70</v>
      </c>
      <c r="F413" t="s">
        <v>218</v>
      </c>
      <c r="G413" t="s">
        <v>0</v>
      </c>
      <c r="H413">
        <v>6.5880000000000001</v>
      </c>
      <c r="I413" t="s">
        <v>461</v>
      </c>
      <c r="K413">
        <v>104912708</v>
      </c>
      <c r="L413" s="2">
        <v>42667</v>
      </c>
      <c r="M413">
        <v>21</v>
      </c>
      <c r="N413">
        <v>1</v>
      </c>
      <c r="O413">
        <v>0</v>
      </c>
      <c r="P413">
        <v>1</v>
      </c>
      <c r="Q413" t="s">
        <v>15</v>
      </c>
    </row>
    <row r="414" spans="1:17" x14ac:dyDescent="0.55000000000000004">
      <c r="A414">
        <v>498</v>
      </c>
      <c r="B414" t="s">
        <v>4</v>
      </c>
      <c r="C414">
        <v>0</v>
      </c>
      <c r="E414" t="s">
        <v>70</v>
      </c>
      <c r="F414" t="s">
        <v>218</v>
      </c>
      <c r="G414" t="s">
        <v>0</v>
      </c>
      <c r="H414">
        <v>6.5880000000000001</v>
      </c>
      <c r="I414" t="s">
        <v>461</v>
      </c>
      <c r="K414">
        <v>106472072</v>
      </c>
      <c r="L414" s="2">
        <v>44187</v>
      </c>
      <c r="M414">
        <v>21</v>
      </c>
      <c r="N414">
        <v>1</v>
      </c>
      <c r="O414">
        <v>7</v>
      </c>
      <c r="P414">
        <v>1</v>
      </c>
      <c r="Q414" t="s">
        <v>21</v>
      </c>
    </row>
    <row r="415" spans="1:17" x14ac:dyDescent="0.55000000000000004">
      <c r="A415">
        <v>498</v>
      </c>
      <c r="B415" t="s">
        <v>4</v>
      </c>
      <c r="C415">
        <v>0</v>
      </c>
      <c r="E415" t="s">
        <v>70</v>
      </c>
      <c r="F415" t="s">
        <v>218</v>
      </c>
      <c r="G415" t="s">
        <v>0</v>
      </c>
      <c r="H415">
        <v>6.5880000000000001</v>
      </c>
      <c r="I415" t="s">
        <v>461</v>
      </c>
      <c r="K415">
        <v>105864899</v>
      </c>
      <c r="L415" s="2">
        <v>43581</v>
      </c>
      <c r="M415">
        <v>21</v>
      </c>
      <c r="N415">
        <v>1</v>
      </c>
      <c r="O415">
        <v>7</v>
      </c>
      <c r="P415">
        <v>1</v>
      </c>
      <c r="Q415" t="s">
        <v>21</v>
      </c>
    </row>
    <row r="416" spans="1:17" x14ac:dyDescent="0.55000000000000004">
      <c r="A416">
        <v>498</v>
      </c>
      <c r="B416" t="s">
        <v>4</v>
      </c>
      <c r="C416">
        <v>0</v>
      </c>
      <c r="E416" t="s">
        <v>70</v>
      </c>
      <c r="F416" t="s">
        <v>218</v>
      </c>
      <c r="G416" t="s">
        <v>0</v>
      </c>
      <c r="H416">
        <v>6.5880000000000001</v>
      </c>
      <c r="I416" t="s">
        <v>461</v>
      </c>
      <c r="K416">
        <v>105979520</v>
      </c>
      <c r="L416" s="2">
        <v>43691</v>
      </c>
      <c r="M416">
        <v>21</v>
      </c>
      <c r="N416">
        <v>2</v>
      </c>
      <c r="O416">
        <v>7</v>
      </c>
      <c r="P416">
        <v>1</v>
      </c>
      <c r="Q416" t="s">
        <v>15</v>
      </c>
    </row>
    <row r="417" spans="1:17" x14ac:dyDescent="0.55000000000000004">
      <c r="A417">
        <v>498</v>
      </c>
      <c r="B417" t="s">
        <v>4</v>
      </c>
      <c r="C417">
        <v>0</v>
      </c>
      <c r="E417" t="s">
        <v>70</v>
      </c>
      <c r="F417" t="s">
        <v>155</v>
      </c>
      <c r="G417" t="s">
        <v>0</v>
      </c>
      <c r="H417">
        <v>6.5880000000000001</v>
      </c>
      <c r="I417" t="s">
        <v>461</v>
      </c>
      <c r="K417">
        <v>105787737</v>
      </c>
      <c r="L417" s="2">
        <v>43514</v>
      </c>
      <c r="M417">
        <v>21</v>
      </c>
      <c r="N417">
        <v>1</v>
      </c>
      <c r="O417">
        <v>0</v>
      </c>
      <c r="P417">
        <v>1</v>
      </c>
      <c r="Q417" t="s">
        <v>21</v>
      </c>
    </row>
    <row r="418" spans="1:17" x14ac:dyDescent="0.55000000000000004">
      <c r="A418">
        <v>498</v>
      </c>
      <c r="B418" t="s">
        <v>4</v>
      </c>
      <c r="C418">
        <v>0</v>
      </c>
      <c r="E418" t="s">
        <v>70</v>
      </c>
      <c r="F418" t="s">
        <v>77</v>
      </c>
      <c r="G418" t="s">
        <v>0</v>
      </c>
      <c r="H418">
        <v>6.5880000000000001</v>
      </c>
      <c r="I418" t="s">
        <v>461</v>
      </c>
      <c r="K418">
        <v>106298234</v>
      </c>
      <c r="L418" s="2">
        <v>44006</v>
      </c>
      <c r="M418">
        <v>30</v>
      </c>
      <c r="N418">
        <v>1</v>
      </c>
      <c r="O418">
        <v>0</v>
      </c>
      <c r="P418">
        <v>3</v>
      </c>
      <c r="Q418" t="s">
        <v>21</v>
      </c>
    </row>
    <row r="419" spans="1:17" x14ac:dyDescent="0.55000000000000004">
      <c r="A419">
        <v>498</v>
      </c>
      <c r="B419" t="s">
        <v>4</v>
      </c>
      <c r="C419">
        <v>0</v>
      </c>
      <c r="D419" t="s">
        <v>18</v>
      </c>
      <c r="E419" t="s">
        <v>70</v>
      </c>
      <c r="F419" t="s">
        <v>217</v>
      </c>
      <c r="G419" t="s">
        <v>0</v>
      </c>
      <c r="H419">
        <v>6.5880000000000001</v>
      </c>
      <c r="I419" t="s">
        <v>461</v>
      </c>
      <c r="K419">
        <v>104980768</v>
      </c>
      <c r="L419" s="2">
        <v>42720</v>
      </c>
      <c r="M419">
        <v>21</v>
      </c>
      <c r="N419">
        <v>1</v>
      </c>
      <c r="O419">
        <v>0</v>
      </c>
      <c r="P419">
        <v>1</v>
      </c>
      <c r="Q419" t="s">
        <v>21</v>
      </c>
    </row>
    <row r="420" spans="1:17" x14ac:dyDescent="0.55000000000000004">
      <c r="A420">
        <v>498</v>
      </c>
      <c r="B420" t="s">
        <v>4</v>
      </c>
      <c r="C420">
        <v>0</v>
      </c>
      <c r="E420" t="s">
        <v>70</v>
      </c>
      <c r="G420" t="s">
        <v>0</v>
      </c>
      <c r="H420">
        <v>6.5880000000000001</v>
      </c>
      <c r="I420" t="s">
        <v>461</v>
      </c>
      <c r="K420">
        <v>106368236</v>
      </c>
      <c r="L420" s="2">
        <v>44101</v>
      </c>
      <c r="M420">
        <v>28</v>
      </c>
      <c r="N420">
        <v>1</v>
      </c>
      <c r="P420">
        <v>1</v>
      </c>
      <c r="Q420" t="s">
        <v>21</v>
      </c>
    </row>
    <row r="421" spans="1:17" x14ac:dyDescent="0.55000000000000004">
      <c r="A421">
        <v>498</v>
      </c>
      <c r="B421" t="s">
        <v>4</v>
      </c>
      <c r="C421">
        <v>0</v>
      </c>
      <c r="E421" t="s">
        <v>70</v>
      </c>
      <c r="G421" t="s">
        <v>0</v>
      </c>
      <c r="H421">
        <v>6.5880000000000001</v>
      </c>
      <c r="I421" t="s">
        <v>461</v>
      </c>
      <c r="K421">
        <v>105367316</v>
      </c>
      <c r="L421" s="2">
        <v>43109</v>
      </c>
      <c r="M421">
        <v>32</v>
      </c>
      <c r="N421">
        <v>4</v>
      </c>
      <c r="P421">
        <v>1</v>
      </c>
      <c r="Q421" t="s">
        <v>21</v>
      </c>
    </row>
    <row r="422" spans="1:17" x14ac:dyDescent="0.55000000000000004">
      <c r="A422">
        <v>498</v>
      </c>
      <c r="B422" t="s">
        <v>0</v>
      </c>
      <c r="C422">
        <v>0</v>
      </c>
      <c r="D422" t="s">
        <v>18</v>
      </c>
      <c r="E422" t="s">
        <v>43</v>
      </c>
      <c r="F422" t="s">
        <v>99</v>
      </c>
      <c r="G422" t="s">
        <v>0</v>
      </c>
      <c r="H422">
        <v>6.5880000000000001</v>
      </c>
      <c r="I422" t="s">
        <v>461</v>
      </c>
      <c r="K422">
        <v>105787728</v>
      </c>
      <c r="L422" s="2">
        <v>43514</v>
      </c>
      <c r="M422">
        <v>30</v>
      </c>
      <c r="N422">
        <v>1</v>
      </c>
      <c r="O422">
        <v>4</v>
      </c>
      <c r="P422">
        <v>1</v>
      </c>
      <c r="Q422" t="s">
        <v>21</v>
      </c>
    </row>
    <row r="423" spans="1:17" x14ac:dyDescent="0.55000000000000004">
      <c r="A423">
        <v>498</v>
      </c>
      <c r="B423" t="s">
        <v>0</v>
      </c>
      <c r="C423">
        <v>0</v>
      </c>
      <c r="E423" t="s">
        <v>43</v>
      </c>
      <c r="F423" t="s">
        <v>67</v>
      </c>
      <c r="G423" t="s">
        <v>0</v>
      </c>
      <c r="H423">
        <v>6.5880000000000001</v>
      </c>
      <c r="I423" t="s">
        <v>461</v>
      </c>
      <c r="K423">
        <v>106344774</v>
      </c>
      <c r="L423" s="2">
        <v>44057</v>
      </c>
      <c r="M423">
        <v>21</v>
      </c>
      <c r="N423">
        <v>1</v>
      </c>
      <c r="O423">
        <v>7</v>
      </c>
      <c r="P423">
        <v>1</v>
      </c>
      <c r="Q423" t="s">
        <v>21</v>
      </c>
    </row>
    <row r="424" spans="1:17" x14ac:dyDescent="0.55000000000000004">
      <c r="A424">
        <v>498</v>
      </c>
      <c r="B424" t="s">
        <v>0</v>
      </c>
      <c r="C424">
        <v>0</v>
      </c>
      <c r="E424" t="s">
        <v>43</v>
      </c>
      <c r="F424" t="s">
        <v>67</v>
      </c>
      <c r="G424" t="s">
        <v>0</v>
      </c>
      <c r="H424">
        <v>6.5880000000000001</v>
      </c>
      <c r="I424" t="s">
        <v>461</v>
      </c>
      <c r="K424">
        <v>105327400</v>
      </c>
      <c r="L424" s="2">
        <v>43071</v>
      </c>
      <c r="M424">
        <v>21</v>
      </c>
      <c r="N424">
        <v>1</v>
      </c>
      <c r="O424">
        <v>0</v>
      </c>
      <c r="P424">
        <v>1</v>
      </c>
      <c r="Q424" t="s">
        <v>21</v>
      </c>
    </row>
    <row r="425" spans="1:17" x14ac:dyDescent="0.55000000000000004">
      <c r="A425">
        <v>498</v>
      </c>
      <c r="B425" t="s">
        <v>4</v>
      </c>
      <c r="C425">
        <v>0</v>
      </c>
      <c r="E425" t="s">
        <v>43</v>
      </c>
      <c r="F425" t="s">
        <v>67</v>
      </c>
      <c r="G425" t="s">
        <v>0</v>
      </c>
      <c r="H425">
        <v>6.5880000000000001</v>
      </c>
      <c r="I425" t="s">
        <v>461</v>
      </c>
      <c r="K425">
        <v>105391025</v>
      </c>
      <c r="L425" s="2">
        <v>43136</v>
      </c>
      <c r="M425">
        <v>21</v>
      </c>
      <c r="N425">
        <v>1</v>
      </c>
      <c r="O425">
        <v>0</v>
      </c>
      <c r="P425">
        <v>1</v>
      </c>
      <c r="Q425" t="s">
        <v>21</v>
      </c>
    </row>
    <row r="426" spans="1:17" x14ac:dyDescent="0.55000000000000004">
      <c r="A426">
        <v>498</v>
      </c>
      <c r="B426" t="s">
        <v>4</v>
      </c>
      <c r="C426">
        <v>0</v>
      </c>
      <c r="D426" t="s">
        <v>18</v>
      </c>
      <c r="E426" t="s">
        <v>43</v>
      </c>
      <c r="F426" t="s">
        <v>218</v>
      </c>
      <c r="G426" t="s">
        <v>0</v>
      </c>
      <c r="H426">
        <v>6.5880000000000001</v>
      </c>
      <c r="I426" t="s">
        <v>461</v>
      </c>
      <c r="K426">
        <v>105481789</v>
      </c>
      <c r="L426" s="2">
        <v>43230</v>
      </c>
      <c r="M426">
        <v>21</v>
      </c>
      <c r="N426">
        <v>1</v>
      </c>
      <c r="O426">
        <v>0</v>
      </c>
      <c r="P426">
        <v>1</v>
      </c>
      <c r="Q426" t="s">
        <v>21</v>
      </c>
    </row>
    <row r="427" spans="1:17" x14ac:dyDescent="0.55000000000000004">
      <c r="A427">
        <v>498</v>
      </c>
      <c r="B427" t="s">
        <v>0</v>
      </c>
      <c r="C427">
        <v>0</v>
      </c>
      <c r="E427" t="s">
        <v>43</v>
      </c>
      <c r="F427" t="s">
        <v>218</v>
      </c>
      <c r="G427" t="s">
        <v>0</v>
      </c>
      <c r="H427">
        <v>6.5880000000000001</v>
      </c>
      <c r="I427" t="s">
        <v>461</v>
      </c>
      <c r="K427">
        <v>105472656</v>
      </c>
      <c r="L427" s="2">
        <v>43225</v>
      </c>
      <c r="M427">
        <v>21</v>
      </c>
      <c r="N427">
        <v>1</v>
      </c>
      <c r="O427">
        <v>7</v>
      </c>
      <c r="P427">
        <v>1</v>
      </c>
      <c r="Q427" t="s">
        <v>15</v>
      </c>
    </row>
    <row r="428" spans="1:17" x14ac:dyDescent="0.55000000000000004">
      <c r="A428">
        <v>498</v>
      </c>
      <c r="B428" t="s">
        <v>0</v>
      </c>
      <c r="C428">
        <v>0</v>
      </c>
      <c r="E428" t="s">
        <v>43</v>
      </c>
      <c r="F428" t="s">
        <v>218</v>
      </c>
      <c r="G428" t="s">
        <v>0</v>
      </c>
      <c r="H428">
        <v>6.5880000000000001</v>
      </c>
      <c r="I428" t="s">
        <v>461</v>
      </c>
      <c r="K428">
        <v>106285206</v>
      </c>
      <c r="L428" s="2">
        <v>43980</v>
      </c>
      <c r="M428">
        <v>21</v>
      </c>
      <c r="N428">
        <v>2</v>
      </c>
      <c r="O428">
        <v>0</v>
      </c>
      <c r="P428">
        <v>1</v>
      </c>
      <c r="Q428" t="s">
        <v>21</v>
      </c>
    </row>
    <row r="429" spans="1:17" x14ac:dyDescent="0.55000000000000004">
      <c r="A429">
        <v>498</v>
      </c>
      <c r="B429" t="s">
        <v>0</v>
      </c>
      <c r="C429">
        <v>0</v>
      </c>
      <c r="E429" t="s">
        <v>43</v>
      </c>
      <c r="F429" t="s">
        <v>218</v>
      </c>
      <c r="G429" t="s">
        <v>0</v>
      </c>
      <c r="H429">
        <v>6.5880000000000001</v>
      </c>
      <c r="I429" t="s">
        <v>461</v>
      </c>
      <c r="K429">
        <v>104912235</v>
      </c>
      <c r="L429" s="2">
        <v>42661</v>
      </c>
      <c r="M429">
        <v>21</v>
      </c>
      <c r="N429">
        <v>1</v>
      </c>
      <c r="O429">
        <v>7</v>
      </c>
      <c r="P429">
        <v>4</v>
      </c>
      <c r="Q429" t="s">
        <v>21</v>
      </c>
    </row>
    <row r="430" spans="1:17" x14ac:dyDescent="0.55000000000000004">
      <c r="A430">
        <v>498</v>
      </c>
      <c r="B430" t="s">
        <v>4</v>
      </c>
      <c r="C430">
        <v>0</v>
      </c>
      <c r="E430" t="s">
        <v>43</v>
      </c>
      <c r="F430" t="s">
        <v>218</v>
      </c>
      <c r="G430" t="s">
        <v>0</v>
      </c>
      <c r="H430">
        <v>6.5880000000000001</v>
      </c>
      <c r="I430" t="s">
        <v>461</v>
      </c>
      <c r="K430">
        <v>105148583</v>
      </c>
      <c r="L430" s="2">
        <v>42904</v>
      </c>
      <c r="M430">
        <v>21</v>
      </c>
      <c r="N430">
        <v>1</v>
      </c>
      <c r="O430">
        <v>12</v>
      </c>
      <c r="P430">
        <v>1</v>
      </c>
      <c r="Q430" t="s">
        <v>21</v>
      </c>
    </row>
    <row r="431" spans="1:17" x14ac:dyDescent="0.55000000000000004">
      <c r="A431">
        <v>498</v>
      </c>
      <c r="B431" t="s">
        <v>4</v>
      </c>
      <c r="C431">
        <v>0</v>
      </c>
      <c r="E431" t="s">
        <v>43</v>
      </c>
      <c r="F431" t="s">
        <v>218</v>
      </c>
      <c r="G431" t="s">
        <v>0</v>
      </c>
      <c r="H431">
        <v>6.5880000000000001</v>
      </c>
      <c r="I431" t="s">
        <v>461</v>
      </c>
      <c r="K431">
        <v>106165458</v>
      </c>
      <c r="L431" s="2">
        <v>43835</v>
      </c>
      <c r="M431">
        <v>30</v>
      </c>
      <c r="N431">
        <v>1</v>
      </c>
      <c r="O431">
        <v>0</v>
      </c>
      <c r="P431">
        <v>1</v>
      </c>
      <c r="Q431" t="s">
        <v>21</v>
      </c>
    </row>
    <row r="432" spans="1:17" x14ac:dyDescent="0.55000000000000004">
      <c r="A432">
        <v>498</v>
      </c>
      <c r="B432" t="s">
        <v>4</v>
      </c>
      <c r="C432">
        <v>0</v>
      </c>
      <c r="E432" t="s">
        <v>43</v>
      </c>
      <c r="F432" t="s">
        <v>218</v>
      </c>
      <c r="G432" t="s">
        <v>0</v>
      </c>
      <c r="H432">
        <v>6.5880000000000001</v>
      </c>
      <c r="I432" t="s">
        <v>461</v>
      </c>
      <c r="K432">
        <v>106402985</v>
      </c>
      <c r="L432" s="2">
        <v>44136</v>
      </c>
      <c r="M432">
        <v>21</v>
      </c>
      <c r="N432">
        <v>1</v>
      </c>
      <c r="O432">
        <v>0</v>
      </c>
      <c r="P432">
        <v>1</v>
      </c>
      <c r="Q432" t="s">
        <v>15</v>
      </c>
    </row>
    <row r="433" spans="1:17" x14ac:dyDescent="0.55000000000000004">
      <c r="A433">
        <v>498</v>
      </c>
      <c r="B433" t="s">
        <v>0</v>
      </c>
      <c r="C433">
        <v>0</v>
      </c>
      <c r="E433" t="s">
        <v>43</v>
      </c>
      <c r="F433" t="s">
        <v>43</v>
      </c>
      <c r="G433" t="s">
        <v>0</v>
      </c>
      <c r="H433">
        <v>6.5880000000000001</v>
      </c>
      <c r="I433" t="s">
        <v>461</v>
      </c>
      <c r="K433">
        <v>105424555</v>
      </c>
      <c r="L433" s="2">
        <v>43158</v>
      </c>
      <c r="M433">
        <v>21</v>
      </c>
      <c r="N433">
        <v>1</v>
      </c>
      <c r="O433">
        <v>0</v>
      </c>
      <c r="P433">
        <v>1</v>
      </c>
      <c r="Q433" t="s">
        <v>21</v>
      </c>
    </row>
    <row r="434" spans="1:17" x14ac:dyDescent="0.55000000000000004">
      <c r="A434">
        <v>498</v>
      </c>
      <c r="B434" t="s">
        <v>4</v>
      </c>
      <c r="C434">
        <v>2E-3</v>
      </c>
      <c r="D434" t="s">
        <v>68</v>
      </c>
      <c r="E434" t="s">
        <v>70</v>
      </c>
      <c r="F434" t="s">
        <v>67</v>
      </c>
      <c r="G434" t="s">
        <v>0</v>
      </c>
      <c r="H434">
        <v>6.59</v>
      </c>
      <c r="I434" t="s">
        <v>461</v>
      </c>
      <c r="K434">
        <v>105016592</v>
      </c>
      <c r="L434" s="2">
        <v>42775</v>
      </c>
      <c r="M434">
        <v>21</v>
      </c>
      <c r="N434">
        <v>1</v>
      </c>
      <c r="O434">
        <v>4</v>
      </c>
      <c r="P434">
        <v>1</v>
      </c>
      <c r="Q434" t="s">
        <v>15</v>
      </c>
    </row>
    <row r="435" spans="1:17" x14ac:dyDescent="0.55000000000000004">
      <c r="A435">
        <v>498</v>
      </c>
      <c r="B435" t="s">
        <v>4</v>
      </c>
      <c r="C435">
        <v>2E-3</v>
      </c>
      <c r="D435" t="s">
        <v>68</v>
      </c>
      <c r="E435" t="s">
        <v>70</v>
      </c>
      <c r="F435" t="s">
        <v>67</v>
      </c>
      <c r="G435" t="s">
        <v>0</v>
      </c>
      <c r="H435">
        <v>6.59</v>
      </c>
      <c r="I435" t="s">
        <v>461</v>
      </c>
      <c r="K435">
        <v>105020472</v>
      </c>
      <c r="L435" s="2">
        <v>42770</v>
      </c>
      <c r="M435">
        <v>21</v>
      </c>
      <c r="N435">
        <v>1</v>
      </c>
      <c r="O435">
        <v>4</v>
      </c>
      <c r="P435">
        <v>1</v>
      </c>
      <c r="Q435" t="s">
        <v>21</v>
      </c>
    </row>
    <row r="436" spans="1:17" x14ac:dyDescent="0.55000000000000004">
      <c r="A436">
        <v>498</v>
      </c>
      <c r="B436" t="s">
        <v>0</v>
      </c>
      <c r="C436">
        <v>3.0000000000000001E-3</v>
      </c>
      <c r="D436" t="s">
        <v>68</v>
      </c>
      <c r="E436" t="s">
        <v>43</v>
      </c>
      <c r="F436" t="s">
        <v>220</v>
      </c>
      <c r="G436" t="s">
        <v>0</v>
      </c>
      <c r="H436">
        <v>6.5910000000000002</v>
      </c>
      <c r="I436" t="s">
        <v>461</v>
      </c>
      <c r="K436">
        <v>105854618</v>
      </c>
      <c r="L436" s="2">
        <v>43591</v>
      </c>
      <c r="M436">
        <v>28</v>
      </c>
      <c r="N436">
        <v>1</v>
      </c>
      <c r="O436">
        <v>7</v>
      </c>
      <c r="P436">
        <v>1</v>
      </c>
      <c r="Q436" t="s">
        <v>21</v>
      </c>
    </row>
    <row r="437" spans="1:17" x14ac:dyDescent="0.55000000000000004">
      <c r="A437">
        <v>498</v>
      </c>
      <c r="B437" t="s">
        <v>4</v>
      </c>
      <c r="C437">
        <v>6.0000000000000001E-3</v>
      </c>
      <c r="D437" t="s">
        <v>68</v>
      </c>
      <c r="E437" t="s">
        <v>70</v>
      </c>
      <c r="F437" t="s">
        <v>67</v>
      </c>
      <c r="G437" t="s">
        <v>0</v>
      </c>
      <c r="H437">
        <v>6.5940000000000003</v>
      </c>
      <c r="I437" t="s">
        <v>461</v>
      </c>
      <c r="K437">
        <v>105586868</v>
      </c>
      <c r="L437" s="2">
        <v>43335</v>
      </c>
      <c r="M437">
        <v>21</v>
      </c>
      <c r="N437">
        <v>1</v>
      </c>
      <c r="O437">
        <v>0</v>
      </c>
      <c r="P437">
        <v>1</v>
      </c>
      <c r="Q437" t="s">
        <v>15</v>
      </c>
    </row>
    <row r="438" spans="1:17" x14ac:dyDescent="0.55000000000000004">
      <c r="A438">
        <v>498</v>
      </c>
      <c r="B438" t="s">
        <v>4</v>
      </c>
      <c r="C438">
        <v>8.9999999999999993E-3</v>
      </c>
      <c r="D438" t="s">
        <v>68</v>
      </c>
      <c r="E438" t="s">
        <v>70</v>
      </c>
      <c r="F438" t="s">
        <v>221</v>
      </c>
      <c r="G438" t="s">
        <v>0</v>
      </c>
      <c r="H438">
        <v>6.5970000000000004</v>
      </c>
      <c r="I438" t="s">
        <v>461</v>
      </c>
      <c r="K438">
        <v>104950121</v>
      </c>
      <c r="L438" s="2">
        <v>42691</v>
      </c>
      <c r="M438">
        <v>21</v>
      </c>
      <c r="N438">
        <v>1</v>
      </c>
      <c r="P438">
        <v>1</v>
      </c>
      <c r="Q438" t="s">
        <v>21</v>
      </c>
    </row>
    <row r="439" spans="1:17" x14ac:dyDescent="0.55000000000000004">
      <c r="A439">
        <v>498</v>
      </c>
      <c r="B439" t="s">
        <v>4</v>
      </c>
      <c r="C439">
        <v>1.0999999999999999E-2</v>
      </c>
      <c r="D439" t="s">
        <v>68</v>
      </c>
      <c r="E439" t="s">
        <v>43</v>
      </c>
      <c r="F439" t="s">
        <v>67</v>
      </c>
      <c r="G439" t="s">
        <v>0</v>
      </c>
      <c r="H439">
        <v>6.5990000000000002</v>
      </c>
      <c r="I439" t="s">
        <v>461</v>
      </c>
      <c r="K439">
        <v>104988829</v>
      </c>
      <c r="L439" s="2">
        <v>42733</v>
      </c>
      <c r="M439">
        <v>30</v>
      </c>
      <c r="N439">
        <v>1</v>
      </c>
      <c r="P439">
        <v>4</v>
      </c>
      <c r="Q439" t="s">
        <v>21</v>
      </c>
    </row>
    <row r="440" spans="1:17" x14ac:dyDescent="0.55000000000000004">
      <c r="A440">
        <v>498</v>
      </c>
      <c r="B440" t="s">
        <v>4</v>
      </c>
      <c r="C440">
        <v>1.9E-2</v>
      </c>
      <c r="D440" t="s">
        <v>68</v>
      </c>
      <c r="E440" t="s">
        <v>70</v>
      </c>
      <c r="F440" t="s">
        <v>67</v>
      </c>
      <c r="G440" t="s">
        <v>0</v>
      </c>
      <c r="H440">
        <v>6.6070000000000002</v>
      </c>
      <c r="I440" t="s">
        <v>461</v>
      </c>
      <c r="K440">
        <v>104912256</v>
      </c>
      <c r="L440" s="2">
        <v>42663</v>
      </c>
      <c r="M440">
        <v>30</v>
      </c>
      <c r="N440">
        <v>1</v>
      </c>
      <c r="O440">
        <v>0</v>
      </c>
      <c r="P440">
        <v>1</v>
      </c>
      <c r="Q440" t="s">
        <v>21</v>
      </c>
    </row>
    <row r="441" spans="1:17" x14ac:dyDescent="0.55000000000000004">
      <c r="A441">
        <v>498</v>
      </c>
      <c r="B441" t="s">
        <v>4</v>
      </c>
      <c r="C441">
        <v>1.9E-2</v>
      </c>
      <c r="D441" t="s">
        <v>68</v>
      </c>
      <c r="E441" t="s">
        <v>70</v>
      </c>
      <c r="F441" t="s">
        <v>67</v>
      </c>
      <c r="G441" t="s">
        <v>0</v>
      </c>
      <c r="H441">
        <v>6.6070000000000002</v>
      </c>
      <c r="I441" t="s">
        <v>461</v>
      </c>
      <c r="K441">
        <v>105154460</v>
      </c>
      <c r="L441" s="2">
        <v>42912</v>
      </c>
      <c r="M441">
        <v>28</v>
      </c>
      <c r="N441">
        <v>1</v>
      </c>
      <c r="O441">
        <v>0</v>
      </c>
      <c r="P441">
        <v>1</v>
      </c>
      <c r="Q441" t="s">
        <v>15</v>
      </c>
    </row>
    <row r="442" spans="1:17" x14ac:dyDescent="0.55000000000000004">
      <c r="A442">
        <v>498</v>
      </c>
      <c r="B442" t="s">
        <v>4</v>
      </c>
      <c r="C442">
        <v>0.2</v>
      </c>
      <c r="D442" t="s">
        <v>18</v>
      </c>
      <c r="E442" t="s">
        <v>67</v>
      </c>
      <c r="F442" t="s">
        <v>222</v>
      </c>
      <c r="G442" t="s">
        <v>0</v>
      </c>
      <c r="H442">
        <v>6.6079999999999997</v>
      </c>
      <c r="I442" t="s">
        <v>461</v>
      </c>
      <c r="K442">
        <v>106211832</v>
      </c>
      <c r="L442" s="2">
        <v>43888</v>
      </c>
      <c r="M442">
        <v>28</v>
      </c>
      <c r="N442">
        <v>1</v>
      </c>
      <c r="O442">
        <v>0</v>
      </c>
      <c r="P442">
        <v>1</v>
      </c>
      <c r="Q442" t="s">
        <v>21</v>
      </c>
    </row>
    <row r="443" spans="1:17" x14ac:dyDescent="0.55000000000000004">
      <c r="A443">
        <v>498</v>
      </c>
      <c r="B443" t="s">
        <v>4</v>
      </c>
      <c r="C443">
        <v>0.2</v>
      </c>
      <c r="D443" t="s">
        <v>18</v>
      </c>
      <c r="E443" t="s">
        <v>67</v>
      </c>
      <c r="F443" t="s">
        <v>70</v>
      </c>
      <c r="G443" t="s">
        <v>0</v>
      </c>
      <c r="H443">
        <v>6.6079999999999997</v>
      </c>
      <c r="I443" t="s">
        <v>461</v>
      </c>
      <c r="K443">
        <v>105439170</v>
      </c>
      <c r="L443" s="2">
        <v>43178</v>
      </c>
      <c r="M443">
        <v>21</v>
      </c>
      <c r="N443">
        <v>1</v>
      </c>
      <c r="O443">
        <v>0</v>
      </c>
      <c r="P443">
        <v>1</v>
      </c>
      <c r="Q443" t="s">
        <v>21</v>
      </c>
    </row>
    <row r="444" spans="1:17" x14ac:dyDescent="0.55000000000000004">
      <c r="A444">
        <v>498</v>
      </c>
      <c r="B444" t="s">
        <v>4</v>
      </c>
      <c r="C444">
        <v>3.3000000000000002E-2</v>
      </c>
      <c r="E444" t="s">
        <v>70</v>
      </c>
      <c r="F444" t="s">
        <v>67</v>
      </c>
      <c r="G444" t="s">
        <v>0</v>
      </c>
      <c r="H444">
        <v>6.6210000000000004</v>
      </c>
      <c r="I444" t="s">
        <v>461</v>
      </c>
      <c r="J444" t="s">
        <v>174</v>
      </c>
      <c r="K444">
        <v>104860401</v>
      </c>
      <c r="L444" s="2">
        <v>42615</v>
      </c>
      <c r="M444">
        <v>30</v>
      </c>
      <c r="N444">
        <v>2</v>
      </c>
      <c r="O444">
        <v>0</v>
      </c>
      <c r="P444">
        <v>1</v>
      </c>
      <c r="Q444" t="s">
        <v>21</v>
      </c>
    </row>
    <row r="445" spans="1:17" x14ac:dyDescent="0.55000000000000004">
      <c r="A445">
        <v>498</v>
      </c>
      <c r="B445" t="s">
        <v>4</v>
      </c>
      <c r="C445">
        <v>3.7999999999999999E-2</v>
      </c>
      <c r="D445" t="s">
        <v>68</v>
      </c>
      <c r="E445" t="s">
        <v>70</v>
      </c>
      <c r="F445" t="s">
        <v>70</v>
      </c>
      <c r="G445" t="s">
        <v>0</v>
      </c>
      <c r="H445">
        <v>6.6260000000000003</v>
      </c>
      <c r="I445" t="s">
        <v>461</v>
      </c>
      <c r="K445">
        <v>105736445</v>
      </c>
      <c r="L445" s="2">
        <v>43455</v>
      </c>
      <c r="M445">
        <v>28</v>
      </c>
      <c r="N445">
        <v>2</v>
      </c>
      <c r="O445">
        <v>0</v>
      </c>
      <c r="P445">
        <v>4</v>
      </c>
      <c r="Q445" t="s">
        <v>15</v>
      </c>
    </row>
    <row r="446" spans="1:17" x14ac:dyDescent="0.55000000000000004">
      <c r="A446">
        <v>498</v>
      </c>
      <c r="B446" t="s">
        <v>4</v>
      </c>
      <c r="C446">
        <v>3.7999999999999999E-2</v>
      </c>
      <c r="D446" t="s">
        <v>68</v>
      </c>
      <c r="E446" t="s">
        <v>70</v>
      </c>
      <c r="F446" t="s">
        <v>67</v>
      </c>
      <c r="G446" t="s">
        <v>0</v>
      </c>
      <c r="H446">
        <v>6.6260000000000003</v>
      </c>
      <c r="I446" t="s">
        <v>461</v>
      </c>
      <c r="K446">
        <v>105190252</v>
      </c>
      <c r="L446" s="2">
        <v>42949</v>
      </c>
      <c r="M446">
        <v>30</v>
      </c>
      <c r="N446">
        <v>1</v>
      </c>
      <c r="O446">
        <v>0</v>
      </c>
      <c r="P446">
        <v>2</v>
      </c>
      <c r="Q446" t="s">
        <v>21</v>
      </c>
    </row>
    <row r="447" spans="1:17" x14ac:dyDescent="0.55000000000000004">
      <c r="A447">
        <v>498</v>
      </c>
      <c r="B447" t="s">
        <v>4</v>
      </c>
      <c r="C447">
        <v>0.18</v>
      </c>
      <c r="D447" t="s">
        <v>18</v>
      </c>
      <c r="E447" t="s">
        <v>67</v>
      </c>
      <c r="F447" t="s">
        <v>70</v>
      </c>
      <c r="G447" t="s">
        <v>0</v>
      </c>
      <c r="H447">
        <v>6.6280000000000001</v>
      </c>
      <c r="I447" t="s">
        <v>461</v>
      </c>
      <c r="K447">
        <v>106366194</v>
      </c>
      <c r="L447" s="2">
        <v>44090</v>
      </c>
      <c r="M447">
        <v>21</v>
      </c>
      <c r="N447">
        <v>1</v>
      </c>
      <c r="O447">
        <v>7</v>
      </c>
      <c r="P447">
        <v>1</v>
      </c>
      <c r="Q447" t="s">
        <v>21</v>
      </c>
    </row>
    <row r="448" spans="1:17" x14ac:dyDescent="0.55000000000000004">
      <c r="A448">
        <v>498</v>
      </c>
      <c r="B448" t="s">
        <v>0</v>
      </c>
      <c r="C448">
        <v>0.18</v>
      </c>
      <c r="D448" t="s">
        <v>18</v>
      </c>
      <c r="E448" t="s">
        <v>67</v>
      </c>
      <c r="F448" t="s">
        <v>43</v>
      </c>
      <c r="G448" t="s">
        <v>0</v>
      </c>
      <c r="H448">
        <v>6.6280000000000001</v>
      </c>
      <c r="I448" t="s">
        <v>461</v>
      </c>
      <c r="K448">
        <v>104983764</v>
      </c>
      <c r="L448" s="2">
        <v>42734</v>
      </c>
      <c r="M448">
        <v>21</v>
      </c>
      <c r="N448">
        <v>1</v>
      </c>
      <c r="O448">
        <v>12</v>
      </c>
      <c r="P448">
        <v>1</v>
      </c>
      <c r="Q448" t="s">
        <v>21</v>
      </c>
    </row>
    <row r="449" spans="1:17" x14ac:dyDescent="0.55000000000000004">
      <c r="A449">
        <v>498</v>
      </c>
      <c r="B449" t="s">
        <v>4</v>
      </c>
      <c r="C449">
        <v>4.7E-2</v>
      </c>
      <c r="D449" t="s">
        <v>68</v>
      </c>
      <c r="E449" t="s">
        <v>70</v>
      </c>
      <c r="F449" t="s">
        <v>67</v>
      </c>
      <c r="G449" t="s">
        <v>0</v>
      </c>
      <c r="H449">
        <v>6.6349999999999998</v>
      </c>
      <c r="I449" t="s">
        <v>461</v>
      </c>
      <c r="K449">
        <v>105631923</v>
      </c>
      <c r="L449" s="2">
        <v>43368</v>
      </c>
      <c r="M449">
        <v>28</v>
      </c>
      <c r="N449">
        <v>1</v>
      </c>
      <c r="O449">
        <v>0</v>
      </c>
      <c r="P449">
        <v>1</v>
      </c>
      <c r="Q449" t="s">
        <v>15</v>
      </c>
    </row>
    <row r="450" spans="1:17" x14ac:dyDescent="0.55000000000000004">
      <c r="A450">
        <v>498</v>
      </c>
      <c r="B450" t="s">
        <v>4</v>
      </c>
      <c r="C450">
        <v>5.7000000000000002E-2</v>
      </c>
      <c r="D450" t="s">
        <v>68</v>
      </c>
      <c r="E450" t="s">
        <v>70</v>
      </c>
      <c r="F450" t="s">
        <v>67</v>
      </c>
      <c r="G450" t="s">
        <v>0</v>
      </c>
      <c r="H450">
        <v>6.6449999999999996</v>
      </c>
      <c r="I450" t="s">
        <v>461</v>
      </c>
      <c r="K450">
        <v>105982984</v>
      </c>
      <c r="L450" s="2">
        <v>43700</v>
      </c>
      <c r="M450">
        <v>19</v>
      </c>
      <c r="N450">
        <v>1</v>
      </c>
      <c r="O450">
        <v>0</v>
      </c>
      <c r="P450">
        <v>6</v>
      </c>
      <c r="Q450" t="s">
        <v>21</v>
      </c>
    </row>
    <row r="451" spans="1:17" x14ac:dyDescent="0.55000000000000004">
      <c r="A451">
        <v>498</v>
      </c>
      <c r="B451" t="s">
        <v>4</v>
      </c>
      <c r="C451">
        <v>5.7000000000000002E-2</v>
      </c>
      <c r="D451" t="s">
        <v>68</v>
      </c>
      <c r="E451" t="s">
        <v>70</v>
      </c>
      <c r="F451" t="s">
        <v>67</v>
      </c>
      <c r="G451" t="s">
        <v>0</v>
      </c>
      <c r="H451">
        <v>6.6449999999999996</v>
      </c>
      <c r="I451" t="s">
        <v>461</v>
      </c>
      <c r="K451">
        <v>105238944</v>
      </c>
      <c r="L451" s="2">
        <v>43004</v>
      </c>
      <c r="M451">
        <v>30</v>
      </c>
      <c r="N451">
        <v>1</v>
      </c>
      <c r="O451">
        <v>25</v>
      </c>
      <c r="P451">
        <v>1</v>
      </c>
      <c r="Q451" t="s">
        <v>21</v>
      </c>
    </row>
    <row r="452" spans="1:17" x14ac:dyDescent="0.55000000000000004">
      <c r="A452">
        <v>498</v>
      </c>
      <c r="B452" t="s">
        <v>4</v>
      </c>
      <c r="C452">
        <v>5.7000000000000002E-2</v>
      </c>
      <c r="D452" t="s">
        <v>68</v>
      </c>
      <c r="E452" t="s">
        <v>70</v>
      </c>
      <c r="F452" t="s">
        <v>67</v>
      </c>
      <c r="G452" t="s">
        <v>0</v>
      </c>
      <c r="H452">
        <v>6.6449999999999996</v>
      </c>
      <c r="I452" t="s">
        <v>461</v>
      </c>
      <c r="K452">
        <v>105948733</v>
      </c>
      <c r="L452" s="2">
        <v>43670</v>
      </c>
      <c r="M452">
        <v>21</v>
      </c>
      <c r="N452">
        <v>1</v>
      </c>
      <c r="O452">
        <v>0</v>
      </c>
      <c r="P452">
        <v>1</v>
      </c>
      <c r="Q452" t="s">
        <v>21</v>
      </c>
    </row>
    <row r="453" spans="1:17" x14ac:dyDescent="0.55000000000000004">
      <c r="A453">
        <v>498</v>
      </c>
      <c r="B453" t="s">
        <v>4</v>
      </c>
      <c r="C453">
        <v>5.7000000000000002E-2</v>
      </c>
      <c r="D453" t="s">
        <v>68</v>
      </c>
      <c r="E453" t="s">
        <v>70</v>
      </c>
      <c r="F453" t="s">
        <v>67</v>
      </c>
      <c r="G453" t="s">
        <v>0</v>
      </c>
      <c r="H453">
        <v>6.6449999999999996</v>
      </c>
      <c r="I453" t="s">
        <v>461</v>
      </c>
      <c r="K453">
        <v>105220678</v>
      </c>
      <c r="L453" s="2">
        <v>42978</v>
      </c>
      <c r="M453">
        <v>30</v>
      </c>
      <c r="N453">
        <v>2</v>
      </c>
      <c r="O453">
        <v>0</v>
      </c>
      <c r="P453">
        <v>1</v>
      </c>
      <c r="Q453" t="s">
        <v>15</v>
      </c>
    </row>
    <row r="454" spans="1:17" x14ac:dyDescent="0.55000000000000004">
      <c r="A454">
        <v>498</v>
      </c>
      <c r="B454" t="s">
        <v>0</v>
      </c>
      <c r="C454">
        <v>5.8999999999999997E-2</v>
      </c>
      <c r="D454" t="s">
        <v>68</v>
      </c>
      <c r="E454" t="s">
        <v>43</v>
      </c>
      <c r="F454" t="s">
        <v>67</v>
      </c>
      <c r="G454" t="s">
        <v>0</v>
      </c>
      <c r="H454">
        <v>6.6470000000000002</v>
      </c>
      <c r="I454" t="s">
        <v>461</v>
      </c>
      <c r="K454">
        <v>105806199</v>
      </c>
      <c r="L454" s="2">
        <v>43532</v>
      </c>
      <c r="M454">
        <v>30</v>
      </c>
      <c r="N454">
        <v>2</v>
      </c>
      <c r="O454">
        <v>4</v>
      </c>
      <c r="P454">
        <v>4</v>
      </c>
      <c r="Q454" t="s">
        <v>21</v>
      </c>
    </row>
    <row r="455" spans="1:17" x14ac:dyDescent="0.55000000000000004">
      <c r="A455">
        <v>498</v>
      </c>
      <c r="B455" t="s">
        <v>4</v>
      </c>
      <c r="C455">
        <v>6.3E-2</v>
      </c>
      <c r="D455" t="s">
        <v>68</v>
      </c>
      <c r="E455" t="s">
        <v>43</v>
      </c>
      <c r="F455" t="s">
        <v>67</v>
      </c>
      <c r="G455" t="s">
        <v>0</v>
      </c>
      <c r="H455">
        <v>6.6509999999999998</v>
      </c>
      <c r="I455" t="s">
        <v>461</v>
      </c>
      <c r="K455">
        <v>105270074</v>
      </c>
      <c r="L455" s="2">
        <v>43030</v>
      </c>
      <c r="M455">
        <v>25</v>
      </c>
      <c r="N455">
        <v>1</v>
      </c>
      <c r="O455">
        <v>0</v>
      </c>
      <c r="P455">
        <v>4</v>
      </c>
      <c r="Q455" t="s">
        <v>21</v>
      </c>
    </row>
    <row r="456" spans="1:17" x14ac:dyDescent="0.55000000000000004">
      <c r="A456">
        <v>498</v>
      </c>
      <c r="B456" t="s">
        <v>4</v>
      </c>
      <c r="C456">
        <v>0.14000000000000001</v>
      </c>
      <c r="D456" t="s">
        <v>18</v>
      </c>
      <c r="E456" t="s">
        <v>67</v>
      </c>
      <c r="F456" t="s">
        <v>70</v>
      </c>
      <c r="G456" t="s">
        <v>0</v>
      </c>
      <c r="H456">
        <v>6.6680000000000001</v>
      </c>
      <c r="I456" t="s">
        <v>461</v>
      </c>
      <c r="K456">
        <v>106538000</v>
      </c>
      <c r="L456" s="2">
        <v>44256</v>
      </c>
      <c r="M456">
        <v>30</v>
      </c>
      <c r="N456">
        <v>2</v>
      </c>
      <c r="P456">
        <v>1</v>
      </c>
      <c r="Q456" t="s">
        <v>21</v>
      </c>
    </row>
    <row r="457" spans="1:17" x14ac:dyDescent="0.55000000000000004">
      <c r="A457">
        <v>498</v>
      </c>
      <c r="B457" t="s">
        <v>4</v>
      </c>
      <c r="C457">
        <v>0.1</v>
      </c>
      <c r="D457" t="s">
        <v>68</v>
      </c>
      <c r="E457" t="s">
        <v>43</v>
      </c>
      <c r="F457" t="s">
        <v>67</v>
      </c>
      <c r="G457" t="s">
        <v>0</v>
      </c>
      <c r="H457">
        <v>6.6879999999999997</v>
      </c>
      <c r="I457" t="s">
        <v>461</v>
      </c>
      <c r="K457">
        <v>105958128</v>
      </c>
      <c r="L457" s="2">
        <v>43678</v>
      </c>
      <c r="M457">
        <v>30</v>
      </c>
      <c r="N457">
        <v>1</v>
      </c>
      <c r="O457">
        <v>0</v>
      </c>
      <c r="P457">
        <v>1</v>
      </c>
      <c r="Q457" t="s">
        <v>21</v>
      </c>
    </row>
    <row r="458" spans="1:17" x14ac:dyDescent="0.55000000000000004">
      <c r="A458">
        <v>498</v>
      </c>
      <c r="B458" t="s">
        <v>4</v>
      </c>
      <c r="C458">
        <v>0.1</v>
      </c>
      <c r="D458" t="s">
        <v>18</v>
      </c>
      <c r="E458" t="s">
        <v>67</v>
      </c>
      <c r="F458" t="s">
        <v>70</v>
      </c>
      <c r="G458" t="s">
        <v>0</v>
      </c>
      <c r="H458">
        <v>6.7080000000000002</v>
      </c>
      <c r="I458" t="s">
        <v>461</v>
      </c>
      <c r="K458">
        <v>105948731</v>
      </c>
      <c r="L458" s="2">
        <v>43670</v>
      </c>
      <c r="M458">
        <v>30</v>
      </c>
      <c r="N458">
        <v>1</v>
      </c>
      <c r="O458">
        <v>0</v>
      </c>
      <c r="P458">
        <v>1</v>
      </c>
      <c r="Q458" t="s">
        <v>21</v>
      </c>
    </row>
    <row r="459" spans="1:17" x14ac:dyDescent="0.55000000000000004">
      <c r="A459">
        <v>498</v>
      </c>
      <c r="B459" t="s">
        <v>4</v>
      </c>
      <c r="C459">
        <v>0.1</v>
      </c>
      <c r="D459" t="s">
        <v>18</v>
      </c>
      <c r="E459" t="s">
        <v>67</v>
      </c>
      <c r="F459" t="s">
        <v>70</v>
      </c>
      <c r="G459" t="s">
        <v>0</v>
      </c>
      <c r="H459">
        <v>6.7080000000000002</v>
      </c>
      <c r="I459" t="s">
        <v>461</v>
      </c>
      <c r="K459">
        <v>106119149</v>
      </c>
      <c r="L459" s="2">
        <v>43801</v>
      </c>
      <c r="M459">
        <v>30</v>
      </c>
      <c r="N459">
        <v>1</v>
      </c>
      <c r="O459">
        <v>0</v>
      </c>
      <c r="P459">
        <v>1</v>
      </c>
      <c r="Q459" t="s">
        <v>21</v>
      </c>
    </row>
    <row r="460" spans="1:17" x14ac:dyDescent="0.55000000000000004">
      <c r="A460">
        <v>498</v>
      </c>
      <c r="B460" t="s">
        <v>4</v>
      </c>
      <c r="C460">
        <v>0.1</v>
      </c>
      <c r="D460" t="s">
        <v>18</v>
      </c>
      <c r="E460" t="s">
        <v>67</v>
      </c>
      <c r="F460" t="s">
        <v>70</v>
      </c>
      <c r="G460" t="s">
        <v>0</v>
      </c>
      <c r="H460">
        <v>6.7080000000000002</v>
      </c>
      <c r="I460" t="s">
        <v>461</v>
      </c>
      <c r="K460">
        <v>105957018</v>
      </c>
      <c r="L460" s="2">
        <v>43671</v>
      </c>
      <c r="M460">
        <v>30</v>
      </c>
      <c r="N460">
        <v>1</v>
      </c>
      <c r="O460">
        <v>0</v>
      </c>
      <c r="P460">
        <v>1</v>
      </c>
      <c r="Q460" t="s">
        <v>21</v>
      </c>
    </row>
    <row r="461" spans="1:17" x14ac:dyDescent="0.55000000000000004">
      <c r="A461">
        <v>498</v>
      </c>
      <c r="B461" t="s">
        <v>0</v>
      </c>
      <c r="C461">
        <v>0.1</v>
      </c>
      <c r="D461" t="s">
        <v>18</v>
      </c>
      <c r="E461" t="s">
        <v>67</v>
      </c>
      <c r="F461" t="s">
        <v>43</v>
      </c>
      <c r="G461" t="s">
        <v>0</v>
      </c>
      <c r="H461">
        <v>6.7080000000000002</v>
      </c>
      <c r="I461" t="s">
        <v>461</v>
      </c>
      <c r="K461">
        <v>105544118</v>
      </c>
      <c r="L461" s="2">
        <v>43291</v>
      </c>
      <c r="M461">
        <v>23</v>
      </c>
      <c r="N461">
        <v>1</v>
      </c>
      <c r="O461">
        <v>0</v>
      </c>
      <c r="P461">
        <v>1</v>
      </c>
      <c r="Q461" t="s">
        <v>21</v>
      </c>
    </row>
    <row r="462" spans="1:17" x14ac:dyDescent="0.55000000000000004">
      <c r="A462">
        <v>498</v>
      </c>
      <c r="B462" t="s">
        <v>0</v>
      </c>
      <c r="C462">
        <v>0.1</v>
      </c>
      <c r="D462" t="s">
        <v>18</v>
      </c>
      <c r="E462" t="s">
        <v>67</v>
      </c>
      <c r="F462" t="s">
        <v>43</v>
      </c>
      <c r="G462" t="s">
        <v>0</v>
      </c>
      <c r="H462">
        <v>6.7080000000000002</v>
      </c>
      <c r="I462" t="s">
        <v>461</v>
      </c>
      <c r="K462">
        <v>104875022</v>
      </c>
      <c r="L462" s="2">
        <v>42626</v>
      </c>
      <c r="M462">
        <v>21</v>
      </c>
      <c r="N462">
        <v>1</v>
      </c>
      <c r="O462">
        <v>0</v>
      </c>
      <c r="P462">
        <v>1</v>
      </c>
      <c r="Q462" t="s">
        <v>21</v>
      </c>
    </row>
    <row r="463" spans="1:17" x14ac:dyDescent="0.55000000000000004">
      <c r="A463">
        <v>498</v>
      </c>
      <c r="B463" t="s">
        <v>4</v>
      </c>
      <c r="C463">
        <v>0.1</v>
      </c>
      <c r="D463" t="s">
        <v>18</v>
      </c>
      <c r="E463" t="s">
        <v>67</v>
      </c>
      <c r="F463" t="s">
        <v>43</v>
      </c>
      <c r="G463" t="s">
        <v>0</v>
      </c>
      <c r="H463">
        <v>6.7080000000000002</v>
      </c>
      <c r="I463" t="s">
        <v>461</v>
      </c>
      <c r="K463">
        <v>106037842</v>
      </c>
      <c r="L463" s="2">
        <v>43748</v>
      </c>
      <c r="M463">
        <v>21</v>
      </c>
      <c r="N463">
        <v>1</v>
      </c>
      <c r="O463">
        <v>0</v>
      </c>
      <c r="P463">
        <v>1</v>
      </c>
      <c r="Q463" t="s">
        <v>21</v>
      </c>
    </row>
    <row r="464" spans="1:17" x14ac:dyDescent="0.55000000000000004">
      <c r="A464">
        <v>498</v>
      </c>
      <c r="B464" t="s">
        <v>4</v>
      </c>
      <c r="C464">
        <v>0.1</v>
      </c>
      <c r="D464" t="s">
        <v>18</v>
      </c>
      <c r="E464" t="s">
        <v>67</v>
      </c>
      <c r="F464" t="s">
        <v>43</v>
      </c>
      <c r="G464" t="s">
        <v>0</v>
      </c>
      <c r="H464">
        <v>6.7080000000000002</v>
      </c>
      <c r="I464" t="s">
        <v>461</v>
      </c>
      <c r="K464">
        <v>106150273</v>
      </c>
      <c r="L464" s="2">
        <v>43822</v>
      </c>
      <c r="M464">
        <v>21</v>
      </c>
      <c r="N464">
        <v>2</v>
      </c>
      <c r="O464">
        <v>0</v>
      </c>
      <c r="P464">
        <v>4</v>
      </c>
      <c r="Q464" t="s">
        <v>21</v>
      </c>
    </row>
    <row r="465" spans="1:17" x14ac:dyDescent="0.55000000000000004">
      <c r="A465">
        <v>498</v>
      </c>
      <c r="B465" t="s">
        <v>4</v>
      </c>
      <c r="C465">
        <v>0.08</v>
      </c>
      <c r="D465" t="s">
        <v>18</v>
      </c>
      <c r="E465" t="s">
        <v>67</v>
      </c>
      <c r="F465" t="s">
        <v>70</v>
      </c>
      <c r="G465" t="s">
        <v>0</v>
      </c>
      <c r="H465">
        <v>6.7279999999999998</v>
      </c>
      <c r="I465" t="s">
        <v>461</v>
      </c>
      <c r="K465">
        <v>104892467</v>
      </c>
      <c r="L465" s="2">
        <v>42646</v>
      </c>
      <c r="M465">
        <v>21</v>
      </c>
      <c r="N465">
        <v>1</v>
      </c>
      <c r="O465">
        <v>0</v>
      </c>
      <c r="P465">
        <v>1</v>
      </c>
      <c r="Q465" t="s">
        <v>21</v>
      </c>
    </row>
    <row r="466" spans="1:17" x14ac:dyDescent="0.55000000000000004">
      <c r="A466">
        <v>498</v>
      </c>
      <c r="B466" t="s">
        <v>4</v>
      </c>
      <c r="C466">
        <v>7.5999999999999998E-2</v>
      </c>
      <c r="D466" t="s">
        <v>18</v>
      </c>
      <c r="E466" t="s">
        <v>67</v>
      </c>
      <c r="F466" t="s">
        <v>70</v>
      </c>
      <c r="G466" t="s">
        <v>0</v>
      </c>
      <c r="H466">
        <v>6.7320000000000002</v>
      </c>
      <c r="I466" t="s">
        <v>461</v>
      </c>
      <c r="K466">
        <v>105631978</v>
      </c>
      <c r="L466" s="2">
        <v>43371</v>
      </c>
      <c r="M466">
        <v>21</v>
      </c>
      <c r="N466">
        <v>1</v>
      </c>
      <c r="O466">
        <v>7</v>
      </c>
      <c r="P466">
        <v>1</v>
      </c>
      <c r="Q466" t="s">
        <v>21</v>
      </c>
    </row>
    <row r="467" spans="1:17" x14ac:dyDescent="0.55000000000000004">
      <c r="A467">
        <v>498</v>
      </c>
      <c r="B467" t="s">
        <v>4</v>
      </c>
      <c r="C467">
        <v>7.5999999999999998E-2</v>
      </c>
      <c r="D467" t="s">
        <v>18</v>
      </c>
      <c r="E467" t="s">
        <v>67</v>
      </c>
      <c r="F467" t="s">
        <v>70</v>
      </c>
      <c r="G467" t="s">
        <v>0</v>
      </c>
      <c r="H467">
        <v>6.7320000000000002</v>
      </c>
      <c r="I467" t="s">
        <v>461</v>
      </c>
      <c r="K467">
        <v>106597839</v>
      </c>
      <c r="L467" s="2">
        <v>44301</v>
      </c>
      <c r="M467">
        <v>21</v>
      </c>
      <c r="N467">
        <v>1</v>
      </c>
      <c r="O467">
        <v>7</v>
      </c>
      <c r="P467">
        <v>1</v>
      </c>
      <c r="Q467" t="s">
        <v>21</v>
      </c>
    </row>
    <row r="468" spans="1:17" x14ac:dyDescent="0.55000000000000004">
      <c r="A468">
        <v>498</v>
      </c>
      <c r="B468" t="s">
        <v>4</v>
      </c>
      <c r="C468">
        <v>5.7000000000000002E-2</v>
      </c>
      <c r="D468" t="s">
        <v>18</v>
      </c>
      <c r="E468" t="s">
        <v>67</v>
      </c>
      <c r="F468" t="s">
        <v>70</v>
      </c>
      <c r="G468" t="s">
        <v>0</v>
      </c>
      <c r="H468">
        <v>6.7510000000000003</v>
      </c>
      <c r="I468" t="s">
        <v>461</v>
      </c>
      <c r="K468">
        <v>106717098</v>
      </c>
      <c r="L468" s="2">
        <v>44418</v>
      </c>
      <c r="M468">
        <v>21</v>
      </c>
      <c r="N468">
        <v>1</v>
      </c>
      <c r="P468">
        <v>1</v>
      </c>
      <c r="Q468" t="s">
        <v>21</v>
      </c>
    </row>
    <row r="469" spans="1:17" x14ac:dyDescent="0.55000000000000004">
      <c r="A469">
        <v>498</v>
      </c>
      <c r="B469" t="s">
        <v>4</v>
      </c>
      <c r="C469">
        <v>3.7999999999999999E-2</v>
      </c>
      <c r="D469" t="s">
        <v>18</v>
      </c>
      <c r="E469" t="s">
        <v>67</v>
      </c>
      <c r="F469" t="s">
        <v>70</v>
      </c>
      <c r="G469" t="s">
        <v>0</v>
      </c>
      <c r="H469">
        <v>6.77</v>
      </c>
      <c r="I469" t="s">
        <v>461</v>
      </c>
      <c r="K469">
        <v>106338095</v>
      </c>
      <c r="L469" s="2">
        <v>44051</v>
      </c>
      <c r="M469">
        <v>21</v>
      </c>
      <c r="N469">
        <v>1</v>
      </c>
      <c r="O469">
        <v>0</v>
      </c>
      <c r="P469">
        <v>1</v>
      </c>
      <c r="Q469" t="s">
        <v>21</v>
      </c>
    </row>
    <row r="470" spans="1:17" x14ac:dyDescent="0.55000000000000004">
      <c r="A470">
        <v>498</v>
      </c>
      <c r="B470" t="s">
        <v>4</v>
      </c>
      <c r="C470">
        <v>3.7999999999999999E-2</v>
      </c>
      <c r="D470" t="s">
        <v>18</v>
      </c>
      <c r="E470" t="s">
        <v>67</v>
      </c>
      <c r="F470" t="s">
        <v>70</v>
      </c>
      <c r="G470" t="s">
        <v>0</v>
      </c>
      <c r="H470">
        <v>6.77</v>
      </c>
      <c r="I470" t="s">
        <v>461</v>
      </c>
      <c r="K470">
        <v>106422556</v>
      </c>
      <c r="L470" s="2">
        <v>44149</v>
      </c>
      <c r="M470">
        <v>21</v>
      </c>
      <c r="N470">
        <v>1</v>
      </c>
      <c r="P470">
        <v>1</v>
      </c>
      <c r="Q470" t="s">
        <v>21</v>
      </c>
    </row>
    <row r="471" spans="1:17" x14ac:dyDescent="0.55000000000000004">
      <c r="A471">
        <v>498</v>
      </c>
      <c r="B471" t="s">
        <v>4</v>
      </c>
      <c r="C471">
        <v>3.7999999999999999E-2</v>
      </c>
      <c r="D471" t="s">
        <v>18</v>
      </c>
      <c r="E471" t="s">
        <v>67</v>
      </c>
      <c r="F471" t="s">
        <v>67</v>
      </c>
      <c r="G471" t="s">
        <v>0</v>
      </c>
      <c r="H471">
        <v>6.77</v>
      </c>
      <c r="I471" t="s">
        <v>461</v>
      </c>
      <c r="K471">
        <v>106673452</v>
      </c>
      <c r="L471" s="2">
        <v>44386</v>
      </c>
      <c r="M471">
        <v>21</v>
      </c>
      <c r="N471">
        <v>1</v>
      </c>
      <c r="P471">
        <v>1</v>
      </c>
      <c r="Q471" t="s">
        <v>21</v>
      </c>
    </row>
    <row r="472" spans="1:17" x14ac:dyDescent="0.55000000000000004">
      <c r="A472">
        <v>498</v>
      </c>
      <c r="B472" t="s">
        <v>4</v>
      </c>
      <c r="C472">
        <v>3.7999999999999999E-2</v>
      </c>
      <c r="D472" t="s">
        <v>18</v>
      </c>
      <c r="E472" t="s">
        <v>67</v>
      </c>
      <c r="F472" t="s">
        <v>43</v>
      </c>
      <c r="G472" t="s">
        <v>0</v>
      </c>
      <c r="H472">
        <v>6.77</v>
      </c>
      <c r="I472" t="s">
        <v>461</v>
      </c>
      <c r="K472">
        <v>105127021</v>
      </c>
      <c r="L472" s="2">
        <v>42888</v>
      </c>
      <c r="M472">
        <v>21</v>
      </c>
      <c r="N472">
        <v>1</v>
      </c>
      <c r="P472">
        <v>1</v>
      </c>
      <c r="Q472" t="s">
        <v>21</v>
      </c>
    </row>
    <row r="473" spans="1:17" x14ac:dyDescent="0.55000000000000004">
      <c r="A473">
        <v>498</v>
      </c>
      <c r="B473" t="s">
        <v>0</v>
      </c>
      <c r="C473">
        <v>3.2000000000000001E-2</v>
      </c>
      <c r="D473" t="s">
        <v>18</v>
      </c>
      <c r="E473" t="s">
        <v>67</v>
      </c>
      <c r="F473" t="s">
        <v>43</v>
      </c>
      <c r="G473" t="s">
        <v>0</v>
      </c>
      <c r="H473">
        <v>6.7759999999999998</v>
      </c>
      <c r="I473" t="s">
        <v>461</v>
      </c>
      <c r="K473">
        <v>105677733</v>
      </c>
      <c r="L473" s="2">
        <v>43402</v>
      </c>
      <c r="M473">
        <v>30</v>
      </c>
      <c r="N473">
        <v>1</v>
      </c>
      <c r="O473">
        <v>0</v>
      </c>
      <c r="P473">
        <v>1</v>
      </c>
      <c r="Q473" t="s">
        <v>21</v>
      </c>
    </row>
    <row r="474" spans="1:17" x14ac:dyDescent="0.55000000000000004">
      <c r="A474">
        <v>498</v>
      </c>
      <c r="B474" t="s">
        <v>4</v>
      </c>
      <c r="C474">
        <v>0.02</v>
      </c>
      <c r="E474" t="s">
        <v>67</v>
      </c>
      <c r="F474" t="s">
        <v>70</v>
      </c>
      <c r="G474" t="s">
        <v>0</v>
      </c>
      <c r="H474">
        <v>6.7880000000000003</v>
      </c>
      <c r="I474" t="s">
        <v>461</v>
      </c>
      <c r="J474" t="s">
        <v>174</v>
      </c>
      <c r="K474">
        <v>106413180</v>
      </c>
      <c r="L474" s="2">
        <v>44141</v>
      </c>
      <c r="M474">
        <v>21</v>
      </c>
      <c r="N474">
        <v>1</v>
      </c>
      <c r="O474">
        <v>12</v>
      </c>
      <c r="P474">
        <v>2</v>
      </c>
      <c r="Q474" t="s">
        <v>21</v>
      </c>
    </row>
    <row r="475" spans="1:17" x14ac:dyDescent="0.55000000000000004">
      <c r="A475">
        <v>498</v>
      </c>
      <c r="B475" t="s">
        <v>4</v>
      </c>
      <c r="C475">
        <v>1.9E-2</v>
      </c>
      <c r="D475" t="s">
        <v>18</v>
      </c>
      <c r="E475" t="s">
        <v>67</v>
      </c>
      <c r="F475" t="s">
        <v>70</v>
      </c>
      <c r="G475" t="s">
        <v>0</v>
      </c>
      <c r="H475">
        <v>6.7889999999999997</v>
      </c>
      <c r="I475" t="s">
        <v>461</v>
      </c>
      <c r="K475">
        <v>106516935</v>
      </c>
      <c r="L475" s="2">
        <v>44218</v>
      </c>
      <c r="M475">
        <v>21</v>
      </c>
      <c r="N475">
        <v>1</v>
      </c>
      <c r="P475">
        <v>1</v>
      </c>
      <c r="Q475" t="s">
        <v>21</v>
      </c>
    </row>
    <row r="476" spans="1:17" x14ac:dyDescent="0.55000000000000004">
      <c r="A476">
        <v>498</v>
      </c>
      <c r="B476" t="s">
        <v>4</v>
      </c>
      <c r="C476">
        <v>1.9E-2</v>
      </c>
      <c r="D476" t="s">
        <v>18</v>
      </c>
      <c r="E476" t="s">
        <v>67</v>
      </c>
      <c r="F476" t="s">
        <v>70</v>
      </c>
      <c r="G476" t="s">
        <v>0</v>
      </c>
      <c r="H476">
        <v>6.7889999999999997</v>
      </c>
      <c r="I476" t="s">
        <v>461</v>
      </c>
      <c r="K476">
        <v>106394547</v>
      </c>
      <c r="L476" s="2">
        <v>44131</v>
      </c>
      <c r="M476">
        <v>21</v>
      </c>
      <c r="N476">
        <v>1</v>
      </c>
      <c r="O476">
        <v>0</v>
      </c>
      <c r="P476">
        <v>1</v>
      </c>
      <c r="Q476" t="s">
        <v>21</v>
      </c>
    </row>
    <row r="477" spans="1:17" x14ac:dyDescent="0.55000000000000004">
      <c r="A477">
        <v>498</v>
      </c>
      <c r="B477" t="s">
        <v>4</v>
      </c>
      <c r="C477">
        <v>1.9E-2</v>
      </c>
      <c r="D477" t="s">
        <v>18</v>
      </c>
      <c r="E477" t="s">
        <v>67</v>
      </c>
      <c r="F477" t="s">
        <v>70</v>
      </c>
      <c r="G477" t="s">
        <v>0</v>
      </c>
      <c r="H477">
        <v>6.7889999999999997</v>
      </c>
      <c r="I477" t="s">
        <v>461</v>
      </c>
      <c r="K477">
        <v>106381056</v>
      </c>
      <c r="L477" s="2">
        <v>44112</v>
      </c>
      <c r="M477">
        <v>28</v>
      </c>
      <c r="N477">
        <v>1</v>
      </c>
      <c r="O477">
        <v>0</v>
      </c>
      <c r="P477">
        <v>1</v>
      </c>
      <c r="Q477" t="s">
        <v>21</v>
      </c>
    </row>
    <row r="478" spans="1:17" x14ac:dyDescent="0.55000000000000004">
      <c r="A478">
        <v>498</v>
      </c>
      <c r="B478" t="s">
        <v>4</v>
      </c>
      <c r="C478">
        <v>8.9999999999999993E-3</v>
      </c>
      <c r="E478" t="s">
        <v>67</v>
      </c>
      <c r="F478" t="s">
        <v>67</v>
      </c>
      <c r="G478" t="s">
        <v>0</v>
      </c>
      <c r="H478">
        <v>6.7990000000000004</v>
      </c>
      <c r="I478" t="s">
        <v>461</v>
      </c>
      <c r="J478" t="s">
        <v>174</v>
      </c>
      <c r="K478">
        <v>105148614</v>
      </c>
      <c r="L478" s="2">
        <v>42907</v>
      </c>
      <c r="M478">
        <v>24</v>
      </c>
      <c r="N478">
        <v>1</v>
      </c>
      <c r="O478">
        <v>0</v>
      </c>
      <c r="P478">
        <v>1</v>
      </c>
      <c r="Q478" t="s">
        <v>21</v>
      </c>
    </row>
    <row r="479" spans="1:17" x14ac:dyDescent="0.55000000000000004">
      <c r="A479">
        <v>498</v>
      </c>
      <c r="B479" t="s">
        <v>4</v>
      </c>
      <c r="C479">
        <v>8.0000000000000002E-3</v>
      </c>
      <c r="D479" t="s">
        <v>18</v>
      </c>
      <c r="E479" t="s">
        <v>67</v>
      </c>
      <c r="F479" t="s">
        <v>217</v>
      </c>
      <c r="G479" t="s">
        <v>0</v>
      </c>
      <c r="H479">
        <v>6.8</v>
      </c>
      <c r="I479" t="s">
        <v>461</v>
      </c>
      <c r="K479">
        <v>105552901</v>
      </c>
      <c r="L479" s="2">
        <v>43298</v>
      </c>
      <c r="M479">
        <v>21</v>
      </c>
      <c r="N479">
        <v>2</v>
      </c>
      <c r="O479">
        <v>7</v>
      </c>
      <c r="P479">
        <v>1</v>
      </c>
      <c r="Q479" t="s">
        <v>21</v>
      </c>
    </row>
    <row r="480" spans="1:17" x14ac:dyDescent="0.55000000000000004">
      <c r="A480">
        <v>498</v>
      </c>
      <c r="B480" t="s">
        <v>4</v>
      </c>
      <c r="C480">
        <v>0</v>
      </c>
      <c r="D480" t="s">
        <v>18</v>
      </c>
      <c r="E480" t="s">
        <v>67</v>
      </c>
      <c r="F480" t="s">
        <v>224</v>
      </c>
      <c r="G480" t="s">
        <v>0</v>
      </c>
      <c r="H480">
        <v>6.8079999999999998</v>
      </c>
      <c r="I480" t="s">
        <v>461</v>
      </c>
      <c r="K480">
        <v>105553012</v>
      </c>
      <c r="L480" s="2">
        <v>43303</v>
      </c>
      <c r="M480">
        <v>28</v>
      </c>
      <c r="N480">
        <v>1</v>
      </c>
      <c r="O480">
        <v>0</v>
      </c>
      <c r="P480">
        <v>1</v>
      </c>
      <c r="Q480" t="s">
        <v>21</v>
      </c>
    </row>
    <row r="481" spans="1:17" x14ac:dyDescent="0.55000000000000004">
      <c r="A481">
        <v>498</v>
      </c>
      <c r="B481" t="s">
        <v>0</v>
      </c>
      <c r="C481">
        <v>0</v>
      </c>
      <c r="E481" t="s">
        <v>67</v>
      </c>
      <c r="F481" t="s">
        <v>223</v>
      </c>
      <c r="G481" t="s">
        <v>0</v>
      </c>
      <c r="H481">
        <v>6.8079999999999998</v>
      </c>
      <c r="I481" t="s">
        <v>461</v>
      </c>
      <c r="K481">
        <v>105106404</v>
      </c>
      <c r="L481" s="2">
        <v>42860</v>
      </c>
      <c r="M481">
        <v>24</v>
      </c>
      <c r="N481">
        <v>1</v>
      </c>
      <c r="O481">
        <v>0</v>
      </c>
      <c r="P481">
        <v>1</v>
      </c>
      <c r="Q481" t="s">
        <v>15</v>
      </c>
    </row>
    <row r="482" spans="1:17" x14ac:dyDescent="0.55000000000000004">
      <c r="A482">
        <v>498</v>
      </c>
      <c r="B482" t="s">
        <v>4</v>
      </c>
      <c r="C482">
        <v>0</v>
      </c>
      <c r="E482" t="s">
        <v>67</v>
      </c>
      <c r="F482" t="s">
        <v>94</v>
      </c>
      <c r="G482" t="s">
        <v>0</v>
      </c>
      <c r="H482">
        <v>6.8079999999999998</v>
      </c>
      <c r="I482" t="s">
        <v>461</v>
      </c>
      <c r="K482">
        <v>105647909</v>
      </c>
      <c r="L482" s="2">
        <v>43378</v>
      </c>
      <c r="M482">
        <v>30</v>
      </c>
      <c r="N482">
        <v>1</v>
      </c>
      <c r="O482">
        <v>0</v>
      </c>
      <c r="P482">
        <v>1</v>
      </c>
      <c r="Q482" t="s">
        <v>21</v>
      </c>
    </row>
    <row r="483" spans="1:17" x14ac:dyDescent="0.55000000000000004">
      <c r="A483">
        <v>498</v>
      </c>
      <c r="B483" t="s">
        <v>4</v>
      </c>
      <c r="C483">
        <v>0</v>
      </c>
      <c r="E483" t="s">
        <v>67</v>
      </c>
      <c r="F483" t="s">
        <v>70</v>
      </c>
      <c r="G483" t="s">
        <v>0</v>
      </c>
      <c r="H483">
        <v>6.8079999999999998</v>
      </c>
      <c r="I483" t="s">
        <v>461</v>
      </c>
      <c r="K483">
        <v>106083108</v>
      </c>
      <c r="L483" s="2">
        <v>43776</v>
      </c>
      <c r="M483">
        <v>19</v>
      </c>
      <c r="N483">
        <v>1</v>
      </c>
      <c r="O483">
        <v>0</v>
      </c>
      <c r="P483">
        <v>4</v>
      </c>
      <c r="Q483" t="s">
        <v>21</v>
      </c>
    </row>
    <row r="484" spans="1:17" x14ac:dyDescent="0.55000000000000004">
      <c r="A484">
        <v>498</v>
      </c>
      <c r="B484" t="s">
        <v>0</v>
      </c>
      <c r="C484">
        <v>0</v>
      </c>
      <c r="E484" t="s">
        <v>67</v>
      </c>
      <c r="F484" t="s">
        <v>99</v>
      </c>
      <c r="G484" t="s">
        <v>0</v>
      </c>
      <c r="H484">
        <v>6.8079999999999998</v>
      </c>
      <c r="I484" t="s">
        <v>461</v>
      </c>
      <c r="K484">
        <v>106119869</v>
      </c>
      <c r="L484" s="2">
        <v>43804</v>
      </c>
      <c r="M484">
        <v>30</v>
      </c>
      <c r="N484">
        <v>1</v>
      </c>
      <c r="O484">
        <v>9</v>
      </c>
      <c r="P484">
        <v>1</v>
      </c>
      <c r="Q484" t="s">
        <v>21</v>
      </c>
    </row>
    <row r="485" spans="1:17" x14ac:dyDescent="0.55000000000000004">
      <c r="A485">
        <v>498</v>
      </c>
      <c r="B485" t="s">
        <v>0</v>
      </c>
      <c r="C485">
        <v>0</v>
      </c>
      <c r="E485" t="s">
        <v>67</v>
      </c>
      <c r="F485" t="s">
        <v>99</v>
      </c>
      <c r="G485" t="s">
        <v>0</v>
      </c>
      <c r="H485">
        <v>6.8079999999999998</v>
      </c>
      <c r="I485" t="s">
        <v>461</v>
      </c>
      <c r="K485">
        <v>105294321</v>
      </c>
      <c r="L485" s="2">
        <v>43045</v>
      </c>
      <c r="M485">
        <v>30</v>
      </c>
      <c r="N485">
        <v>1</v>
      </c>
      <c r="O485">
        <v>8</v>
      </c>
      <c r="P485">
        <v>1</v>
      </c>
      <c r="Q485" t="s">
        <v>21</v>
      </c>
    </row>
    <row r="486" spans="1:17" x14ac:dyDescent="0.55000000000000004">
      <c r="A486">
        <v>498</v>
      </c>
      <c r="B486" t="s">
        <v>4</v>
      </c>
      <c r="C486">
        <v>0</v>
      </c>
      <c r="E486" t="s">
        <v>67</v>
      </c>
      <c r="F486" t="s">
        <v>99</v>
      </c>
      <c r="G486" t="s">
        <v>0</v>
      </c>
      <c r="H486">
        <v>6.8079999999999998</v>
      </c>
      <c r="I486" t="s">
        <v>461</v>
      </c>
      <c r="K486">
        <v>105127035</v>
      </c>
      <c r="L486" s="2">
        <v>42886</v>
      </c>
      <c r="M486">
        <v>30</v>
      </c>
      <c r="N486">
        <v>1</v>
      </c>
      <c r="O486">
        <v>4</v>
      </c>
      <c r="P486">
        <v>1</v>
      </c>
      <c r="Q486" t="s">
        <v>15</v>
      </c>
    </row>
    <row r="487" spans="1:17" x14ac:dyDescent="0.55000000000000004">
      <c r="A487">
        <v>498</v>
      </c>
      <c r="B487" t="s">
        <v>4</v>
      </c>
      <c r="C487">
        <v>0</v>
      </c>
      <c r="E487" t="s">
        <v>67</v>
      </c>
      <c r="F487" t="s">
        <v>99</v>
      </c>
      <c r="G487" t="s">
        <v>0</v>
      </c>
      <c r="H487">
        <v>6.8079999999999998</v>
      </c>
      <c r="I487" t="s">
        <v>461</v>
      </c>
      <c r="K487">
        <v>106381087</v>
      </c>
      <c r="L487" s="2">
        <v>44111</v>
      </c>
      <c r="M487">
        <v>30</v>
      </c>
      <c r="N487">
        <v>1</v>
      </c>
      <c r="O487">
        <v>0</v>
      </c>
      <c r="P487">
        <v>1</v>
      </c>
      <c r="Q487" t="s">
        <v>21</v>
      </c>
    </row>
    <row r="488" spans="1:17" x14ac:dyDescent="0.55000000000000004">
      <c r="A488">
        <v>498</v>
      </c>
      <c r="B488" t="s">
        <v>4</v>
      </c>
      <c r="C488">
        <v>0</v>
      </c>
      <c r="E488" t="s">
        <v>67</v>
      </c>
      <c r="F488" t="s">
        <v>99</v>
      </c>
      <c r="G488" t="s">
        <v>0</v>
      </c>
      <c r="H488">
        <v>6.8079999999999998</v>
      </c>
      <c r="I488" t="s">
        <v>461</v>
      </c>
      <c r="K488">
        <v>106728310</v>
      </c>
      <c r="L488" s="2">
        <v>44434</v>
      </c>
      <c r="M488">
        <v>30</v>
      </c>
      <c r="N488">
        <v>1</v>
      </c>
      <c r="O488">
        <v>8</v>
      </c>
      <c r="P488">
        <v>1</v>
      </c>
      <c r="Q488" t="s">
        <v>21</v>
      </c>
    </row>
    <row r="489" spans="1:17" x14ac:dyDescent="0.55000000000000004">
      <c r="A489">
        <v>498</v>
      </c>
      <c r="B489" t="s">
        <v>4</v>
      </c>
      <c r="C489">
        <v>0</v>
      </c>
      <c r="E489" t="s">
        <v>67</v>
      </c>
      <c r="F489" t="s">
        <v>67</v>
      </c>
      <c r="G489" t="s">
        <v>0</v>
      </c>
      <c r="H489">
        <v>6.8079999999999998</v>
      </c>
      <c r="I489" t="s">
        <v>461</v>
      </c>
      <c r="K489">
        <v>105106402</v>
      </c>
      <c r="L489" s="2">
        <v>42860</v>
      </c>
      <c r="M489">
        <v>30</v>
      </c>
      <c r="N489">
        <v>1</v>
      </c>
      <c r="O489">
        <v>0</v>
      </c>
      <c r="P489">
        <v>1</v>
      </c>
      <c r="Q489" t="s">
        <v>21</v>
      </c>
    </row>
    <row r="490" spans="1:17" x14ac:dyDescent="0.55000000000000004">
      <c r="A490">
        <v>498</v>
      </c>
      <c r="B490" t="s">
        <v>4</v>
      </c>
      <c r="C490">
        <v>2.8000000000000001E-2</v>
      </c>
      <c r="E490" t="s">
        <v>67</v>
      </c>
      <c r="F490" t="s">
        <v>225</v>
      </c>
      <c r="G490" t="s">
        <v>0</v>
      </c>
      <c r="H490">
        <v>6.8079999999999998</v>
      </c>
      <c r="I490" t="s">
        <v>461</v>
      </c>
      <c r="J490" t="s">
        <v>174</v>
      </c>
      <c r="K490">
        <v>105948723</v>
      </c>
      <c r="L490" s="2">
        <v>43666</v>
      </c>
      <c r="M490">
        <v>21</v>
      </c>
      <c r="N490">
        <v>1</v>
      </c>
      <c r="O490">
        <v>12</v>
      </c>
      <c r="P490">
        <v>1</v>
      </c>
      <c r="Q490" t="s">
        <v>21</v>
      </c>
    </row>
    <row r="491" spans="1:17" x14ac:dyDescent="0.55000000000000004">
      <c r="A491">
        <v>498</v>
      </c>
      <c r="B491" t="s">
        <v>0</v>
      </c>
      <c r="C491">
        <v>0</v>
      </c>
      <c r="D491" t="s">
        <v>18</v>
      </c>
      <c r="E491" t="s">
        <v>67</v>
      </c>
      <c r="F491" t="s">
        <v>43</v>
      </c>
      <c r="G491" t="s">
        <v>0</v>
      </c>
      <c r="H491">
        <v>6.8079999999999998</v>
      </c>
      <c r="I491" t="s">
        <v>461</v>
      </c>
      <c r="K491">
        <v>106153298</v>
      </c>
      <c r="L491" s="2">
        <v>43830</v>
      </c>
      <c r="M491">
        <v>21</v>
      </c>
      <c r="N491">
        <v>1</v>
      </c>
      <c r="O491">
        <v>7</v>
      </c>
      <c r="P491">
        <v>4</v>
      </c>
      <c r="Q491" t="s">
        <v>21</v>
      </c>
    </row>
    <row r="492" spans="1:17" x14ac:dyDescent="0.55000000000000004">
      <c r="A492">
        <v>498</v>
      </c>
      <c r="B492" t="s">
        <v>4</v>
      </c>
      <c r="C492">
        <v>1E-3</v>
      </c>
      <c r="D492" t="s">
        <v>68</v>
      </c>
      <c r="E492" t="s">
        <v>67</v>
      </c>
      <c r="F492" t="s">
        <v>99</v>
      </c>
      <c r="G492" t="s">
        <v>0</v>
      </c>
      <c r="H492">
        <v>6.8090000000000002</v>
      </c>
      <c r="I492" t="s">
        <v>461</v>
      </c>
      <c r="K492">
        <v>105762474</v>
      </c>
      <c r="L492" s="2">
        <v>43490</v>
      </c>
      <c r="M492">
        <v>32</v>
      </c>
      <c r="N492">
        <v>1</v>
      </c>
      <c r="O492">
        <v>0</v>
      </c>
      <c r="P492">
        <v>1</v>
      </c>
      <c r="Q492" t="s">
        <v>15</v>
      </c>
    </row>
    <row r="493" spans="1:17" x14ac:dyDescent="0.55000000000000004">
      <c r="A493">
        <v>498</v>
      </c>
      <c r="B493" t="s">
        <v>4</v>
      </c>
      <c r="C493">
        <v>5.0000000000000001E-3</v>
      </c>
      <c r="D493" t="s">
        <v>30</v>
      </c>
      <c r="E493" t="s">
        <v>67</v>
      </c>
      <c r="F493" t="s">
        <v>67</v>
      </c>
      <c r="G493" t="s">
        <v>0</v>
      </c>
      <c r="H493">
        <v>6.8129999999999997</v>
      </c>
      <c r="I493" t="s">
        <v>461</v>
      </c>
      <c r="K493">
        <v>105148643</v>
      </c>
      <c r="L493" s="2">
        <v>42907</v>
      </c>
      <c r="M493">
        <v>24</v>
      </c>
      <c r="N493">
        <v>1</v>
      </c>
      <c r="O493">
        <v>0</v>
      </c>
      <c r="P493">
        <v>1</v>
      </c>
      <c r="Q493" t="s">
        <v>21</v>
      </c>
    </row>
    <row r="494" spans="1:17" x14ac:dyDescent="0.55000000000000004">
      <c r="A494">
        <v>498</v>
      </c>
      <c r="B494" t="s">
        <v>4</v>
      </c>
      <c r="C494">
        <v>1.9E-2</v>
      </c>
      <c r="D494" t="s">
        <v>68</v>
      </c>
      <c r="E494" t="s">
        <v>67</v>
      </c>
      <c r="F494" t="s">
        <v>67</v>
      </c>
      <c r="G494" t="s">
        <v>0</v>
      </c>
      <c r="H494">
        <v>6.827</v>
      </c>
      <c r="I494" t="s">
        <v>461</v>
      </c>
      <c r="K494">
        <v>105773617</v>
      </c>
      <c r="L494" s="2">
        <v>43502</v>
      </c>
      <c r="M494">
        <v>28</v>
      </c>
      <c r="N494">
        <v>1</v>
      </c>
      <c r="O494">
        <v>0</v>
      </c>
      <c r="P494">
        <v>3</v>
      </c>
      <c r="Q494" t="s">
        <v>21</v>
      </c>
    </row>
    <row r="495" spans="1:17" x14ac:dyDescent="0.55000000000000004">
      <c r="A495">
        <v>498</v>
      </c>
      <c r="B495" t="s">
        <v>0</v>
      </c>
      <c r="C495">
        <v>4.7E-2</v>
      </c>
      <c r="D495" t="s">
        <v>68</v>
      </c>
      <c r="E495" t="s">
        <v>67</v>
      </c>
      <c r="F495" t="s">
        <v>67</v>
      </c>
      <c r="G495" t="s">
        <v>0</v>
      </c>
      <c r="H495">
        <v>6.8550000000000004</v>
      </c>
      <c r="I495" t="s">
        <v>461</v>
      </c>
      <c r="K495">
        <v>104953208</v>
      </c>
      <c r="L495" s="2">
        <v>42698</v>
      </c>
      <c r="M495">
        <v>21</v>
      </c>
      <c r="N495">
        <v>1</v>
      </c>
      <c r="O495">
        <v>0</v>
      </c>
      <c r="P495">
        <v>4</v>
      </c>
      <c r="Q495" t="s">
        <v>21</v>
      </c>
    </row>
    <row r="496" spans="1:17" x14ac:dyDescent="0.55000000000000004">
      <c r="A496">
        <v>498</v>
      </c>
      <c r="B496" t="s">
        <v>4</v>
      </c>
      <c r="C496">
        <v>4.7E-2</v>
      </c>
      <c r="D496" t="s">
        <v>68</v>
      </c>
      <c r="E496" t="s">
        <v>67</v>
      </c>
      <c r="F496" t="s">
        <v>77</v>
      </c>
      <c r="G496" t="s">
        <v>0</v>
      </c>
      <c r="H496">
        <v>6.8550000000000004</v>
      </c>
      <c r="I496" t="s">
        <v>461</v>
      </c>
      <c r="K496">
        <v>105040711</v>
      </c>
      <c r="L496" s="2">
        <v>42801</v>
      </c>
      <c r="M496">
        <v>32</v>
      </c>
      <c r="N496">
        <v>1</v>
      </c>
      <c r="O496">
        <v>0</v>
      </c>
      <c r="P496">
        <v>1</v>
      </c>
      <c r="Q496" t="s">
        <v>21</v>
      </c>
    </row>
    <row r="497" spans="1:17" x14ac:dyDescent="0.55000000000000004">
      <c r="A497">
        <v>498</v>
      </c>
      <c r="B497" t="s">
        <v>4</v>
      </c>
      <c r="C497">
        <v>0.1</v>
      </c>
      <c r="D497" t="s">
        <v>68</v>
      </c>
      <c r="E497" t="s">
        <v>67</v>
      </c>
      <c r="F497" t="s">
        <v>77</v>
      </c>
      <c r="G497" t="s">
        <v>0</v>
      </c>
      <c r="H497">
        <v>6.9080000000000004</v>
      </c>
      <c r="I497" t="s">
        <v>461</v>
      </c>
      <c r="K497">
        <v>106441535</v>
      </c>
      <c r="L497" s="2">
        <v>44165</v>
      </c>
      <c r="M497">
        <v>30</v>
      </c>
      <c r="N497">
        <v>1</v>
      </c>
      <c r="O497">
        <v>0</v>
      </c>
      <c r="P497">
        <v>1</v>
      </c>
      <c r="Q497" t="s">
        <v>21</v>
      </c>
    </row>
    <row r="498" spans="1:17" x14ac:dyDescent="0.55000000000000004">
      <c r="A498">
        <v>498</v>
      </c>
      <c r="B498" t="s">
        <v>4</v>
      </c>
      <c r="C498">
        <v>0</v>
      </c>
      <c r="E498" t="s">
        <v>99</v>
      </c>
      <c r="F498" t="s">
        <v>67</v>
      </c>
      <c r="G498" t="s">
        <v>0</v>
      </c>
      <c r="H498">
        <v>6.9710000000000001</v>
      </c>
      <c r="I498" t="s">
        <v>461</v>
      </c>
      <c r="K498">
        <v>106023585</v>
      </c>
      <c r="L498" s="2">
        <v>43725</v>
      </c>
      <c r="M498">
        <v>19</v>
      </c>
      <c r="N498">
        <v>1</v>
      </c>
      <c r="O498">
        <v>0</v>
      </c>
      <c r="P498">
        <v>1</v>
      </c>
    </row>
    <row r="499" spans="1:17" x14ac:dyDescent="0.55000000000000004">
      <c r="A499">
        <v>498</v>
      </c>
      <c r="B499" t="s">
        <v>0</v>
      </c>
      <c r="C499">
        <v>0</v>
      </c>
      <c r="E499" t="s">
        <v>99</v>
      </c>
      <c r="F499" t="s">
        <v>77</v>
      </c>
      <c r="G499" t="s">
        <v>0</v>
      </c>
      <c r="H499">
        <v>6.9710000000000001</v>
      </c>
      <c r="I499" t="s">
        <v>461</v>
      </c>
      <c r="K499">
        <v>105246913</v>
      </c>
      <c r="L499" s="2">
        <v>43008</v>
      </c>
      <c r="M499">
        <v>30</v>
      </c>
      <c r="N499">
        <v>1</v>
      </c>
      <c r="O499">
        <v>0</v>
      </c>
      <c r="P499">
        <v>4</v>
      </c>
      <c r="Q499" t="s">
        <v>21</v>
      </c>
    </row>
    <row r="500" spans="1:17" x14ac:dyDescent="0.55000000000000004">
      <c r="A500">
        <v>498</v>
      </c>
      <c r="B500" t="s">
        <v>4</v>
      </c>
      <c r="C500">
        <v>0</v>
      </c>
      <c r="E500" t="s">
        <v>99</v>
      </c>
      <c r="F500" t="s">
        <v>77</v>
      </c>
      <c r="G500" t="s">
        <v>0</v>
      </c>
      <c r="H500">
        <v>6.9710000000000001</v>
      </c>
      <c r="I500" t="s">
        <v>461</v>
      </c>
      <c r="K500">
        <v>105865522</v>
      </c>
      <c r="L500" s="2">
        <v>43582</v>
      </c>
      <c r="M500">
        <v>30</v>
      </c>
      <c r="N500">
        <v>1</v>
      </c>
      <c r="O500">
        <v>7</v>
      </c>
      <c r="P500">
        <v>1</v>
      </c>
      <c r="Q500" t="s">
        <v>21</v>
      </c>
    </row>
    <row r="501" spans="1:17" x14ac:dyDescent="0.55000000000000004">
      <c r="A501">
        <v>498</v>
      </c>
      <c r="B501" t="s">
        <v>4</v>
      </c>
      <c r="C501">
        <v>8.9999999999999993E-3</v>
      </c>
      <c r="D501" t="s">
        <v>68</v>
      </c>
      <c r="E501" t="s">
        <v>99</v>
      </c>
      <c r="F501" t="s">
        <v>77</v>
      </c>
      <c r="G501" t="s">
        <v>0</v>
      </c>
      <c r="H501">
        <v>6.98</v>
      </c>
      <c r="I501" t="s">
        <v>461</v>
      </c>
      <c r="K501">
        <v>104868954</v>
      </c>
      <c r="L501" s="2">
        <v>42633</v>
      </c>
      <c r="M501">
        <v>32</v>
      </c>
      <c r="N501">
        <v>1</v>
      </c>
      <c r="O501">
        <v>0</v>
      </c>
      <c r="P501">
        <v>1</v>
      </c>
      <c r="Q501" t="s">
        <v>15</v>
      </c>
    </row>
    <row r="502" spans="1:17" x14ac:dyDescent="0.55000000000000004">
      <c r="A502">
        <v>498</v>
      </c>
      <c r="B502" t="s">
        <v>4</v>
      </c>
      <c r="C502">
        <v>0.01</v>
      </c>
      <c r="D502" t="s">
        <v>68</v>
      </c>
      <c r="E502" t="s">
        <v>99</v>
      </c>
      <c r="F502" t="s">
        <v>77</v>
      </c>
      <c r="G502" t="s">
        <v>0</v>
      </c>
      <c r="H502">
        <v>6.9809999999999999</v>
      </c>
      <c r="I502" t="s">
        <v>461</v>
      </c>
      <c r="K502">
        <v>106280955</v>
      </c>
      <c r="L502" s="2">
        <v>43938</v>
      </c>
      <c r="M502">
        <v>28</v>
      </c>
      <c r="N502">
        <v>1</v>
      </c>
      <c r="O502">
        <v>0</v>
      </c>
      <c r="P502">
        <v>1</v>
      </c>
      <c r="Q502" t="s">
        <v>21</v>
      </c>
    </row>
    <row r="503" spans="1:17" x14ac:dyDescent="0.55000000000000004">
      <c r="A503">
        <v>498</v>
      </c>
      <c r="B503" t="s">
        <v>4</v>
      </c>
      <c r="C503">
        <v>7.5999999999999998E-2</v>
      </c>
      <c r="D503" t="s">
        <v>68</v>
      </c>
      <c r="E503" t="s">
        <v>99</v>
      </c>
      <c r="F503" t="s">
        <v>77</v>
      </c>
      <c r="G503" t="s">
        <v>0</v>
      </c>
      <c r="H503">
        <v>7.0469999999999997</v>
      </c>
      <c r="I503" t="s">
        <v>461</v>
      </c>
      <c r="K503">
        <v>105236189</v>
      </c>
      <c r="L503" s="2">
        <v>42994</v>
      </c>
      <c r="M503">
        <v>21</v>
      </c>
      <c r="N503">
        <v>1</v>
      </c>
      <c r="O503">
        <v>7</v>
      </c>
      <c r="P503">
        <v>1</v>
      </c>
      <c r="Q503" t="s">
        <v>21</v>
      </c>
    </row>
    <row r="504" spans="1:17" x14ac:dyDescent="0.55000000000000004">
      <c r="A504">
        <v>498</v>
      </c>
      <c r="B504" t="s">
        <v>4</v>
      </c>
      <c r="C504">
        <v>7.5999999999999998E-2</v>
      </c>
      <c r="D504" t="s">
        <v>68</v>
      </c>
      <c r="E504" t="s">
        <v>99</v>
      </c>
      <c r="F504" t="s">
        <v>77</v>
      </c>
      <c r="G504" t="s">
        <v>0</v>
      </c>
      <c r="H504">
        <v>7.0469999999999997</v>
      </c>
      <c r="I504" t="s">
        <v>461</v>
      </c>
      <c r="K504">
        <v>104868956</v>
      </c>
      <c r="L504" s="2">
        <v>42633</v>
      </c>
      <c r="M504">
        <v>21</v>
      </c>
      <c r="N504">
        <v>1</v>
      </c>
      <c r="O504">
        <v>0</v>
      </c>
      <c r="P504">
        <v>1</v>
      </c>
      <c r="Q504" t="s">
        <v>21</v>
      </c>
    </row>
    <row r="505" spans="1:17" x14ac:dyDescent="0.55000000000000004">
      <c r="A505">
        <v>498</v>
      </c>
      <c r="B505" t="s">
        <v>4</v>
      </c>
      <c r="C505">
        <v>0.08</v>
      </c>
      <c r="E505" t="s">
        <v>99</v>
      </c>
      <c r="F505" t="s">
        <v>77</v>
      </c>
      <c r="G505" t="s">
        <v>0</v>
      </c>
      <c r="H505">
        <v>7.0510000000000002</v>
      </c>
      <c r="I505" t="s">
        <v>461</v>
      </c>
      <c r="J505" t="s">
        <v>174</v>
      </c>
      <c r="K505">
        <v>105904607</v>
      </c>
      <c r="L505" s="2">
        <v>43613</v>
      </c>
      <c r="M505">
        <v>30</v>
      </c>
      <c r="N505">
        <v>1</v>
      </c>
      <c r="O505">
        <v>7</v>
      </c>
      <c r="P505">
        <v>1</v>
      </c>
      <c r="Q505" t="s">
        <v>15</v>
      </c>
    </row>
    <row r="506" spans="1:17" x14ac:dyDescent="0.55000000000000004">
      <c r="A506">
        <v>498</v>
      </c>
      <c r="B506" t="s">
        <v>4</v>
      </c>
      <c r="C506">
        <v>9.5000000000000001E-2</v>
      </c>
      <c r="D506" t="s">
        <v>68</v>
      </c>
      <c r="E506" t="s">
        <v>99</v>
      </c>
      <c r="F506" t="s">
        <v>77</v>
      </c>
      <c r="G506" t="s">
        <v>0</v>
      </c>
      <c r="H506">
        <v>7.0659999999999998</v>
      </c>
      <c r="I506" t="s">
        <v>461</v>
      </c>
      <c r="K506">
        <v>105159527</v>
      </c>
      <c r="L506" s="2">
        <v>42921</v>
      </c>
      <c r="M506">
        <v>28</v>
      </c>
      <c r="N506">
        <v>1</v>
      </c>
      <c r="O506">
        <v>0</v>
      </c>
      <c r="P506">
        <v>1</v>
      </c>
      <c r="Q506" t="s">
        <v>21</v>
      </c>
    </row>
    <row r="507" spans="1:17" x14ac:dyDescent="0.55000000000000004">
      <c r="A507">
        <v>498</v>
      </c>
      <c r="B507" t="s">
        <v>4</v>
      </c>
      <c r="C507">
        <v>0.1</v>
      </c>
      <c r="D507" t="s">
        <v>68</v>
      </c>
      <c r="E507" t="s">
        <v>99</v>
      </c>
      <c r="F507" t="s">
        <v>77</v>
      </c>
      <c r="G507" t="s">
        <v>0</v>
      </c>
      <c r="H507">
        <v>7.0709999999999997</v>
      </c>
      <c r="I507" t="s">
        <v>461</v>
      </c>
      <c r="K507">
        <v>106083128</v>
      </c>
      <c r="L507" s="2">
        <v>43769</v>
      </c>
      <c r="M507">
        <v>30</v>
      </c>
      <c r="N507">
        <v>1</v>
      </c>
      <c r="O507">
        <v>0</v>
      </c>
      <c r="P507">
        <v>1</v>
      </c>
      <c r="Q507" t="s">
        <v>21</v>
      </c>
    </row>
    <row r="508" spans="1:17" x14ac:dyDescent="0.55000000000000004">
      <c r="A508">
        <v>498</v>
      </c>
      <c r="B508" t="s">
        <v>4</v>
      </c>
      <c r="C508">
        <v>0.5</v>
      </c>
      <c r="D508" t="s">
        <v>68</v>
      </c>
      <c r="E508" t="s">
        <v>43</v>
      </c>
      <c r="F508" t="s">
        <v>67</v>
      </c>
      <c r="G508" t="s">
        <v>0</v>
      </c>
      <c r="H508">
        <v>7.0880000000000001</v>
      </c>
      <c r="I508" t="s">
        <v>461</v>
      </c>
      <c r="K508">
        <v>105126576</v>
      </c>
      <c r="L508" s="2">
        <v>42879</v>
      </c>
      <c r="M508">
        <v>21</v>
      </c>
      <c r="N508">
        <v>2</v>
      </c>
      <c r="O508">
        <v>0</v>
      </c>
      <c r="P508">
        <v>1</v>
      </c>
      <c r="Q508" t="s">
        <v>21</v>
      </c>
    </row>
    <row r="509" spans="1:17" x14ac:dyDescent="0.55000000000000004">
      <c r="A509">
        <v>498</v>
      </c>
      <c r="B509" t="s">
        <v>4</v>
      </c>
      <c r="C509">
        <v>0.25</v>
      </c>
      <c r="D509" t="s">
        <v>18</v>
      </c>
      <c r="E509" t="s">
        <v>77</v>
      </c>
      <c r="F509" t="s">
        <v>67</v>
      </c>
      <c r="G509" t="s">
        <v>0</v>
      </c>
      <c r="H509">
        <v>7.194</v>
      </c>
      <c r="I509" t="s">
        <v>461</v>
      </c>
      <c r="K509">
        <v>105615369</v>
      </c>
      <c r="L509" s="2">
        <v>43360</v>
      </c>
      <c r="M509">
        <v>28</v>
      </c>
      <c r="N509">
        <v>1</v>
      </c>
      <c r="O509">
        <v>0</v>
      </c>
      <c r="P509">
        <v>4</v>
      </c>
      <c r="Q509" t="s">
        <v>21</v>
      </c>
    </row>
    <row r="510" spans="1:17" x14ac:dyDescent="0.55000000000000004">
      <c r="A510">
        <v>498</v>
      </c>
      <c r="B510" t="s">
        <v>0</v>
      </c>
      <c r="C510">
        <v>0.3</v>
      </c>
      <c r="D510" t="s">
        <v>68</v>
      </c>
      <c r="E510" t="s">
        <v>99</v>
      </c>
      <c r="F510" t="s">
        <v>77</v>
      </c>
      <c r="G510" t="s">
        <v>0</v>
      </c>
      <c r="H510">
        <v>7.2709999999999999</v>
      </c>
      <c r="I510" t="s">
        <v>461</v>
      </c>
      <c r="K510">
        <v>105435187</v>
      </c>
      <c r="L510" s="2">
        <v>43173</v>
      </c>
      <c r="M510">
        <v>21</v>
      </c>
      <c r="N510">
        <v>1</v>
      </c>
      <c r="O510">
        <v>0</v>
      </c>
      <c r="P510">
        <v>1</v>
      </c>
      <c r="Q510" t="s">
        <v>21</v>
      </c>
    </row>
    <row r="511" spans="1:17" x14ac:dyDescent="0.55000000000000004">
      <c r="A511">
        <v>498</v>
      </c>
      <c r="B511" t="s">
        <v>4</v>
      </c>
      <c r="C511">
        <v>0.1</v>
      </c>
      <c r="D511" t="s">
        <v>18</v>
      </c>
      <c r="E511" t="s">
        <v>77</v>
      </c>
      <c r="F511" t="s">
        <v>99</v>
      </c>
      <c r="G511" t="s">
        <v>0</v>
      </c>
      <c r="H511">
        <v>7.3440000000000003</v>
      </c>
      <c r="I511" t="s">
        <v>461</v>
      </c>
      <c r="K511">
        <v>106100046</v>
      </c>
      <c r="L511" s="2">
        <v>43787</v>
      </c>
      <c r="M511">
        <v>29</v>
      </c>
      <c r="N511">
        <v>1</v>
      </c>
      <c r="O511">
        <v>0</v>
      </c>
      <c r="P511">
        <v>2</v>
      </c>
      <c r="Q511" t="s">
        <v>21</v>
      </c>
    </row>
    <row r="512" spans="1:17" x14ac:dyDescent="0.55000000000000004">
      <c r="A512">
        <v>498</v>
      </c>
      <c r="B512" t="s">
        <v>4</v>
      </c>
      <c r="C512">
        <v>0.1</v>
      </c>
      <c r="D512" t="s">
        <v>18</v>
      </c>
      <c r="E512" t="s">
        <v>77</v>
      </c>
      <c r="F512" t="s">
        <v>67</v>
      </c>
      <c r="G512" t="s">
        <v>0</v>
      </c>
      <c r="H512">
        <v>7.3440000000000003</v>
      </c>
      <c r="I512" t="s">
        <v>461</v>
      </c>
      <c r="K512">
        <v>104970688</v>
      </c>
      <c r="L512" s="2">
        <v>42709</v>
      </c>
      <c r="M512">
        <v>30</v>
      </c>
      <c r="N512">
        <v>1</v>
      </c>
      <c r="O512">
        <v>4</v>
      </c>
      <c r="P512">
        <v>1</v>
      </c>
      <c r="Q512" t="s">
        <v>21</v>
      </c>
    </row>
    <row r="513" spans="1:17" x14ac:dyDescent="0.55000000000000004">
      <c r="A513">
        <v>498</v>
      </c>
      <c r="B513" t="s">
        <v>4</v>
      </c>
      <c r="C513">
        <v>7.5999999999999998E-2</v>
      </c>
      <c r="D513" t="s">
        <v>18</v>
      </c>
      <c r="E513" t="s">
        <v>77</v>
      </c>
      <c r="F513" t="s">
        <v>99</v>
      </c>
      <c r="G513" t="s">
        <v>0</v>
      </c>
      <c r="H513">
        <v>7.3680000000000003</v>
      </c>
      <c r="I513" t="s">
        <v>461</v>
      </c>
      <c r="K513">
        <v>105252216</v>
      </c>
      <c r="L513" s="2">
        <v>43014</v>
      </c>
      <c r="M513">
        <v>30</v>
      </c>
      <c r="N513">
        <v>1</v>
      </c>
      <c r="O513">
        <v>0</v>
      </c>
      <c r="P513">
        <v>1</v>
      </c>
      <c r="Q513" t="s">
        <v>15</v>
      </c>
    </row>
    <row r="514" spans="1:17" x14ac:dyDescent="0.55000000000000004">
      <c r="A514">
        <v>498</v>
      </c>
      <c r="B514" t="s">
        <v>226</v>
      </c>
      <c r="C514">
        <v>6.6000000000000003E-2</v>
      </c>
      <c r="D514" t="s">
        <v>18</v>
      </c>
      <c r="E514" t="s">
        <v>77</v>
      </c>
      <c r="F514" t="s">
        <v>67</v>
      </c>
      <c r="G514" t="s">
        <v>0</v>
      </c>
      <c r="H514">
        <v>7.3780000000000001</v>
      </c>
      <c r="I514" t="s">
        <v>461</v>
      </c>
      <c r="K514">
        <v>106529083</v>
      </c>
      <c r="L514" s="2">
        <v>44244</v>
      </c>
      <c r="M514">
        <v>28</v>
      </c>
      <c r="N514">
        <v>1</v>
      </c>
      <c r="P514">
        <v>1</v>
      </c>
      <c r="Q514" t="s">
        <v>15</v>
      </c>
    </row>
    <row r="515" spans="1:17" x14ac:dyDescent="0.55000000000000004">
      <c r="A515">
        <v>498</v>
      </c>
      <c r="B515" t="s">
        <v>0</v>
      </c>
      <c r="C515">
        <v>5.7000000000000002E-2</v>
      </c>
      <c r="E515" t="s">
        <v>77</v>
      </c>
      <c r="F515" t="s">
        <v>67</v>
      </c>
      <c r="G515" t="s">
        <v>0</v>
      </c>
      <c r="H515">
        <v>7.3869999999999996</v>
      </c>
      <c r="I515" t="s">
        <v>461</v>
      </c>
      <c r="J515" t="s">
        <v>174</v>
      </c>
      <c r="K515">
        <v>105321640</v>
      </c>
      <c r="L515" s="2">
        <v>43067</v>
      </c>
      <c r="M515">
        <v>24</v>
      </c>
      <c r="N515">
        <v>1</v>
      </c>
      <c r="O515">
        <v>0</v>
      </c>
      <c r="P515">
        <v>1</v>
      </c>
      <c r="Q515" t="s">
        <v>21</v>
      </c>
    </row>
    <row r="516" spans="1:17" x14ac:dyDescent="0.55000000000000004">
      <c r="A516">
        <v>498</v>
      </c>
      <c r="B516" t="s">
        <v>4</v>
      </c>
      <c r="C516">
        <v>3.7999999999999999E-2</v>
      </c>
      <c r="D516" t="s">
        <v>18</v>
      </c>
      <c r="E516" t="s">
        <v>77</v>
      </c>
      <c r="F516" t="s">
        <v>99</v>
      </c>
      <c r="G516" t="s">
        <v>0</v>
      </c>
      <c r="H516">
        <v>7.4059999999999997</v>
      </c>
      <c r="I516" t="s">
        <v>461</v>
      </c>
      <c r="K516">
        <v>105439155</v>
      </c>
      <c r="L516" s="2">
        <v>43175</v>
      </c>
      <c r="M516">
        <v>28</v>
      </c>
      <c r="N516">
        <v>1</v>
      </c>
      <c r="O516">
        <v>0</v>
      </c>
      <c r="P516">
        <v>1</v>
      </c>
      <c r="Q516" t="s">
        <v>21</v>
      </c>
    </row>
    <row r="517" spans="1:17" x14ac:dyDescent="0.55000000000000004">
      <c r="A517">
        <v>498</v>
      </c>
      <c r="B517" t="s">
        <v>4</v>
      </c>
      <c r="C517">
        <v>2.8000000000000001E-2</v>
      </c>
      <c r="D517" t="s">
        <v>18</v>
      </c>
      <c r="E517" t="s">
        <v>77</v>
      </c>
      <c r="F517" t="s">
        <v>99</v>
      </c>
      <c r="G517" t="s">
        <v>0</v>
      </c>
      <c r="H517">
        <v>7.4160000000000004</v>
      </c>
      <c r="I517" t="s">
        <v>461</v>
      </c>
      <c r="K517">
        <v>106442688</v>
      </c>
      <c r="L517" s="2">
        <v>44167</v>
      </c>
      <c r="M517">
        <v>23</v>
      </c>
      <c r="N517">
        <v>1</v>
      </c>
      <c r="P517">
        <v>4</v>
      </c>
      <c r="Q517" t="s">
        <v>15</v>
      </c>
    </row>
    <row r="518" spans="1:17" x14ac:dyDescent="0.55000000000000004">
      <c r="A518">
        <v>498</v>
      </c>
      <c r="B518" t="s">
        <v>4</v>
      </c>
      <c r="C518">
        <v>2.1000000000000001E-2</v>
      </c>
      <c r="D518" t="s">
        <v>18</v>
      </c>
      <c r="E518" t="s">
        <v>77</v>
      </c>
      <c r="F518" t="s">
        <v>99</v>
      </c>
      <c r="G518" t="s">
        <v>0</v>
      </c>
      <c r="H518">
        <v>7.423</v>
      </c>
      <c r="I518" t="s">
        <v>461</v>
      </c>
      <c r="K518">
        <v>106012487</v>
      </c>
      <c r="L518" s="2">
        <v>43726</v>
      </c>
      <c r="M518">
        <v>30</v>
      </c>
      <c r="N518">
        <v>1</v>
      </c>
      <c r="O518">
        <v>0</v>
      </c>
      <c r="P518">
        <v>1</v>
      </c>
      <c r="Q518" t="s">
        <v>15</v>
      </c>
    </row>
    <row r="519" spans="1:17" x14ac:dyDescent="0.55000000000000004">
      <c r="A519">
        <v>498</v>
      </c>
      <c r="B519" t="s">
        <v>4</v>
      </c>
      <c r="C519">
        <v>4.0000000000000001E-3</v>
      </c>
      <c r="D519" t="s">
        <v>18</v>
      </c>
      <c r="E519" t="s">
        <v>77</v>
      </c>
      <c r="F519" t="s">
        <v>99</v>
      </c>
      <c r="G519" t="s">
        <v>0</v>
      </c>
      <c r="H519">
        <v>7.44</v>
      </c>
      <c r="I519" t="s">
        <v>461</v>
      </c>
      <c r="K519">
        <v>106325590</v>
      </c>
      <c r="L519" s="2">
        <v>44038</v>
      </c>
      <c r="M519">
        <v>30</v>
      </c>
      <c r="N519">
        <v>1</v>
      </c>
      <c r="P519">
        <v>1</v>
      </c>
      <c r="Q519" t="s">
        <v>21</v>
      </c>
    </row>
    <row r="520" spans="1:17" x14ac:dyDescent="0.55000000000000004">
      <c r="A520">
        <v>498</v>
      </c>
      <c r="B520" t="s">
        <v>4</v>
      </c>
      <c r="C520">
        <v>2E-3</v>
      </c>
      <c r="D520" t="s">
        <v>18</v>
      </c>
      <c r="E520" t="s">
        <v>227</v>
      </c>
      <c r="F520" t="s">
        <v>93</v>
      </c>
      <c r="G520" t="s">
        <v>0</v>
      </c>
      <c r="H520">
        <v>7.4420000000000002</v>
      </c>
      <c r="I520" t="s">
        <v>461</v>
      </c>
      <c r="K520">
        <v>105948736</v>
      </c>
      <c r="L520" s="2">
        <v>43669</v>
      </c>
      <c r="M520">
        <v>21</v>
      </c>
      <c r="N520">
        <v>2</v>
      </c>
      <c r="O520">
        <v>0</v>
      </c>
      <c r="P520">
        <v>1</v>
      </c>
      <c r="Q520" t="s">
        <v>21</v>
      </c>
    </row>
    <row r="521" spans="1:17" x14ac:dyDescent="0.55000000000000004">
      <c r="A521">
        <v>498</v>
      </c>
      <c r="B521" t="s">
        <v>0</v>
      </c>
      <c r="C521">
        <v>0</v>
      </c>
      <c r="E521" t="s">
        <v>77</v>
      </c>
      <c r="F521" t="s">
        <v>228</v>
      </c>
      <c r="G521" t="s">
        <v>0</v>
      </c>
      <c r="H521">
        <v>7.444</v>
      </c>
      <c r="I521" t="s">
        <v>461</v>
      </c>
      <c r="K521">
        <v>105184013</v>
      </c>
      <c r="L521" s="2">
        <v>42945</v>
      </c>
      <c r="M521">
        <v>21</v>
      </c>
      <c r="N521">
        <v>1</v>
      </c>
      <c r="O521">
        <v>0</v>
      </c>
      <c r="P521">
        <v>1</v>
      </c>
      <c r="Q521" t="s">
        <v>15</v>
      </c>
    </row>
    <row r="522" spans="1:17" x14ac:dyDescent="0.55000000000000004">
      <c r="A522">
        <v>498</v>
      </c>
      <c r="B522" t="s">
        <v>4</v>
      </c>
      <c r="C522">
        <v>0</v>
      </c>
      <c r="E522" t="s">
        <v>77</v>
      </c>
      <c r="F522" t="s">
        <v>228</v>
      </c>
      <c r="G522" t="s">
        <v>0</v>
      </c>
      <c r="H522">
        <v>7.444</v>
      </c>
      <c r="I522" t="s">
        <v>461</v>
      </c>
      <c r="K522">
        <v>106285365</v>
      </c>
      <c r="L522" s="2">
        <v>43980</v>
      </c>
      <c r="M522">
        <v>30</v>
      </c>
      <c r="N522">
        <v>1</v>
      </c>
      <c r="O522">
        <v>7</v>
      </c>
      <c r="P522">
        <v>1</v>
      </c>
      <c r="Q522" t="s">
        <v>21</v>
      </c>
    </row>
    <row r="523" spans="1:17" x14ac:dyDescent="0.55000000000000004">
      <c r="A523">
        <v>498</v>
      </c>
      <c r="B523" t="s">
        <v>0</v>
      </c>
      <c r="C523">
        <v>0</v>
      </c>
      <c r="D523" t="s">
        <v>18</v>
      </c>
      <c r="E523" t="s">
        <v>77</v>
      </c>
      <c r="F523" t="s">
        <v>99</v>
      </c>
      <c r="G523" t="s">
        <v>0</v>
      </c>
      <c r="H523">
        <v>7.444</v>
      </c>
      <c r="I523" t="s">
        <v>461</v>
      </c>
      <c r="K523">
        <v>105736460</v>
      </c>
      <c r="L523" s="2">
        <v>43454</v>
      </c>
      <c r="M523">
        <v>21</v>
      </c>
      <c r="N523">
        <v>2</v>
      </c>
      <c r="O523">
        <v>0</v>
      </c>
      <c r="P523">
        <v>1</v>
      </c>
      <c r="Q523" t="s">
        <v>21</v>
      </c>
    </row>
    <row r="524" spans="1:17" x14ac:dyDescent="0.55000000000000004">
      <c r="A524">
        <v>498</v>
      </c>
      <c r="B524" t="s">
        <v>4</v>
      </c>
      <c r="C524">
        <v>0</v>
      </c>
      <c r="E524" t="s">
        <v>77</v>
      </c>
      <c r="F524" t="s">
        <v>99</v>
      </c>
      <c r="G524" t="s">
        <v>0</v>
      </c>
      <c r="H524">
        <v>7.444</v>
      </c>
      <c r="I524" t="s">
        <v>461</v>
      </c>
      <c r="K524">
        <v>106628056</v>
      </c>
      <c r="L524" s="2">
        <v>44323</v>
      </c>
      <c r="M524">
        <v>30</v>
      </c>
      <c r="N524">
        <v>1</v>
      </c>
      <c r="P524">
        <v>1</v>
      </c>
      <c r="Q524" t="s">
        <v>21</v>
      </c>
    </row>
    <row r="525" spans="1:17" x14ac:dyDescent="0.55000000000000004">
      <c r="A525">
        <v>498</v>
      </c>
      <c r="B525" t="s">
        <v>4</v>
      </c>
      <c r="C525">
        <v>0</v>
      </c>
      <c r="E525" t="s">
        <v>77</v>
      </c>
      <c r="F525" t="s">
        <v>99</v>
      </c>
      <c r="G525" t="s">
        <v>0</v>
      </c>
      <c r="H525">
        <v>7.444</v>
      </c>
      <c r="I525" t="s">
        <v>461</v>
      </c>
      <c r="K525">
        <v>106607082</v>
      </c>
      <c r="L525" s="2">
        <v>44317</v>
      </c>
      <c r="M525">
        <v>28</v>
      </c>
      <c r="N525">
        <v>1</v>
      </c>
      <c r="P525">
        <v>1</v>
      </c>
      <c r="Q525" t="s">
        <v>21</v>
      </c>
    </row>
    <row r="526" spans="1:17" x14ac:dyDescent="0.55000000000000004">
      <c r="A526">
        <v>498</v>
      </c>
      <c r="B526" t="s">
        <v>4</v>
      </c>
      <c r="C526">
        <v>0</v>
      </c>
      <c r="E526" t="s">
        <v>77</v>
      </c>
      <c r="F526" t="s">
        <v>99</v>
      </c>
      <c r="G526" t="s">
        <v>0</v>
      </c>
      <c r="H526">
        <v>7.444</v>
      </c>
      <c r="I526" t="s">
        <v>461</v>
      </c>
      <c r="K526">
        <v>105878139</v>
      </c>
      <c r="L526" s="2">
        <v>43589</v>
      </c>
      <c r="M526">
        <v>28</v>
      </c>
      <c r="N526">
        <v>1</v>
      </c>
      <c r="O526">
        <v>12</v>
      </c>
      <c r="P526">
        <v>1</v>
      </c>
      <c r="Q526" t="s">
        <v>21</v>
      </c>
    </row>
    <row r="527" spans="1:17" x14ac:dyDescent="0.55000000000000004">
      <c r="A527">
        <v>498</v>
      </c>
      <c r="B527" t="s">
        <v>4</v>
      </c>
      <c r="C527">
        <v>0</v>
      </c>
      <c r="E527" t="s">
        <v>77</v>
      </c>
      <c r="F527" t="s">
        <v>99</v>
      </c>
      <c r="G527" t="s">
        <v>0</v>
      </c>
      <c r="H527">
        <v>7.444</v>
      </c>
      <c r="I527" t="s">
        <v>461</v>
      </c>
      <c r="K527">
        <v>106556560</v>
      </c>
      <c r="L527" s="2">
        <v>44277</v>
      </c>
      <c r="M527">
        <v>30</v>
      </c>
      <c r="N527">
        <v>1</v>
      </c>
      <c r="P527">
        <v>1</v>
      </c>
      <c r="Q527" t="s">
        <v>21</v>
      </c>
    </row>
    <row r="528" spans="1:17" x14ac:dyDescent="0.55000000000000004">
      <c r="A528">
        <v>498</v>
      </c>
      <c r="B528" t="s">
        <v>4</v>
      </c>
      <c r="C528">
        <v>0</v>
      </c>
      <c r="E528" t="s">
        <v>77</v>
      </c>
      <c r="F528" t="s">
        <v>230</v>
      </c>
      <c r="G528" t="s">
        <v>0</v>
      </c>
      <c r="H528">
        <v>7.444</v>
      </c>
      <c r="I528" t="s">
        <v>461</v>
      </c>
      <c r="K528">
        <v>105510140</v>
      </c>
      <c r="L528" s="2">
        <v>43252</v>
      </c>
      <c r="M528">
        <v>30</v>
      </c>
      <c r="N528">
        <v>2</v>
      </c>
      <c r="O528">
        <v>0</v>
      </c>
      <c r="P528">
        <v>1</v>
      </c>
      <c r="Q528" t="s">
        <v>15</v>
      </c>
    </row>
    <row r="529" spans="1:17" x14ac:dyDescent="0.55000000000000004">
      <c r="A529">
        <v>498</v>
      </c>
      <c r="B529" t="s">
        <v>4</v>
      </c>
      <c r="C529">
        <v>0</v>
      </c>
      <c r="E529" t="s">
        <v>77</v>
      </c>
      <c r="F529" t="s">
        <v>230</v>
      </c>
      <c r="G529" t="s">
        <v>0</v>
      </c>
      <c r="H529">
        <v>7.444</v>
      </c>
      <c r="I529" t="s">
        <v>461</v>
      </c>
      <c r="K529">
        <v>104860415</v>
      </c>
      <c r="L529" s="2">
        <v>42615</v>
      </c>
      <c r="M529">
        <v>19</v>
      </c>
      <c r="N529">
        <v>1</v>
      </c>
      <c r="P529">
        <v>4</v>
      </c>
      <c r="Q529" t="s">
        <v>21</v>
      </c>
    </row>
    <row r="530" spans="1:17" x14ac:dyDescent="0.55000000000000004">
      <c r="A530">
        <v>498</v>
      </c>
      <c r="B530" t="s">
        <v>4</v>
      </c>
      <c r="C530">
        <v>0</v>
      </c>
      <c r="E530" t="s">
        <v>77</v>
      </c>
      <c r="F530" t="s">
        <v>67</v>
      </c>
      <c r="G530" t="s">
        <v>0</v>
      </c>
      <c r="H530">
        <v>7.444</v>
      </c>
      <c r="I530" t="s">
        <v>461</v>
      </c>
      <c r="K530">
        <v>106083784</v>
      </c>
      <c r="L530" s="2">
        <v>43777</v>
      </c>
      <c r="M530">
        <v>21</v>
      </c>
      <c r="N530">
        <v>1</v>
      </c>
      <c r="O530">
        <v>0</v>
      </c>
      <c r="P530">
        <v>1</v>
      </c>
      <c r="Q530" t="s">
        <v>21</v>
      </c>
    </row>
    <row r="531" spans="1:17" x14ac:dyDescent="0.55000000000000004">
      <c r="A531">
        <v>498</v>
      </c>
      <c r="B531" t="s">
        <v>4</v>
      </c>
      <c r="C531">
        <v>0</v>
      </c>
      <c r="E531" t="s">
        <v>77</v>
      </c>
      <c r="F531" t="s">
        <v>4</v>
      </c>
      <c r="G531" t="s">
        <v>0</v>
      </c>
      <c r="H531">
        <v>7.444</v>
      </c>
      <c r="I531" t="s">
        <v>461</v>
      </c>
      <c r="K531">
        <v>105097863</v>
      </c>
      <c r="L531" s="2">
        <v>42830</v>
      </c>
      <c r="M531">
        <v>21</v>
      </c>
      <c r="N531">
        <v>2</v>
      </c>
      <c r="P531">
        <v>1</v>
      </c>
      <c r="Q531" t="s">
        <v>15</v>
      </c>
    </row>
    <row r="532" spans="1:17" x14ac:dyDescent="0.55000000000000004">
      <c r="A532">
        <v>498</v>
      </c>
      <c r="B532" t="s">
        <v>4</v>
      </c>
      <c r="C532">
        <v>0</v>
      </c>
      <c r="E532" t="s">
        <v>77</v>
      </c>
      <c r="F532" t="s">
        <v>229</v>
      </c>
      <c r="G532" t="s">
        <v>0</v>
      </c>
      <c r="H532">
        <v>7.444</v>
      </c>
      <c r="I532" t="s">
        <v>461</v>
      </c>
      <c r="K532">
        <v>105615365</v>
      </c>
      <c r="L532" s="2">
        <v>43359</v>
      </c>
      <c r="M532">
        <v>21</v>
      </c>
      <c r="N532">
        <v>2</v>
      </c>
      <c r="O532">
        <v>7</v>
      </c>
      <c r="P532">
        <v>1</v>
      </c>
      <c r="Q532" t="s">
        <v>21</v>
      </c>
    </row>
    <row r="533" spans="1:17" x14ac:dyDescent="0.55000000000000004">
      <c r="A533">
        <v>498</v>
      </c>
      <c r="B533" t="s">
        <v>4</v>
      </c>
      <c r="C533">
        <v>0</v>
      </c>
      <c r="E533" t="s">
        <v>77</v>
      </c>
      <c r="F533" t="s">
        <v>229</v>
      </c>
      <c r="G533" t="s">
        <v>0</v>
      </c>
      <c r="H533">
        <v>7.444</v>
      </c>
      <c r="I533" t="s">
        <v>461</v>
      </c>
      <c r="K533">
        <v>106287223</v>
      </c>
      <c r="L533" s="2">
        <v>43986</v>
      </c>
      <c r="M533">
        <v>29</v>
      </c>
      <c r="N533">
        <v>1</v>
      </c>
      <c r="O533">
        <v>0</v>
      </c>
      <c r="P533">
        <v>1</v>
      </c>
      <c r="Q533" t="s">
        <v>21</v>
      </c>
    </row>
    <row r="534" spans="1:17" x14ac:dyDescent="0.55000000000000004">
      <c r="A534">
        <v>498</v>
      </c>
      <c r="B534" t="s">
        <v>4</v>
      </c>
      <c r="C534">
        <v>0</v>
      </c>
      <c r="E534" t="s">
        <v>77</v>
      </c>
      <c r="G534" t="s">
        <v>0</v>
      </c>
      <c r="H534">
        <v>7.444</v>
      </c>
      <c r="I534" t="s">
        <v>461</v>
      </c>
      <c r="K534">
        <v>105471770</v>
      </c>
      <c r="L534" s="2">
        <v>43219</v>
      </c>
      <c r="M534">
        <v>30</v>
      </c>
      <c r="N534">
        <v>1</v>
      </c>
      <c r="P534">
        <v>1</v>
      </c>
      <c r="Q534" t="s">
        <v>21</v>
      </c>
    </row>
    <row r="535" spans="1:17" x14ac:dyDescent="0.55000000000000004">
      <c r="A535">
        <v>498</v>
      </c>
      <c r="B535" t="s">
        <v>0</v>
      </c>
      <c r="C535">
        <v>0</v>
      </c>
      <c r="D535" t="s">
        <v>18</v>
      </c>
      <c r="E535" t="s">
        <v>227</v>
      </c>
      <c r="F535" t="s">
        <v>99</v>
      </c>
      <c r="G535" t="s">
        <v>0</v>
      </c>
      <c r="H535">
        <v>7.444</v>
      </c>
      <c r="I535" t="s">
        <v>461</v>
      </c>
      <c r="K535">
        <v>105880356</v>
      </c>
      <c r="L535" s="2">
        <v>43594</v>
      </c>
      <c r="M535">
        <v>30</v>
      </c>
      <c r="N535">
        <v>1</v>
      </c>
      <c r="O535">
        <v>4</v>
      </c>
      <c r="P535">
        <v>1</v>
      </c>
      <c r="Q535" t="s">
        <v>15</v>
      </c>
    </row>
    <row r="536" spans="1:17" x14ac:dyDescent="0.55000000000000004">
      <c r="A536">
        <v>498</v>
      </c>
      <c r="B536" t="s">
        <v>0</v>
      </c>
      <c r="C536">
        <v>0</v>
      </c>
      <c r="D536" t="s">
        <v>68</v>
      </c>
      <c r="E536" t="s">
        <v>227</v>
      </c>
      <c r="F536" t="s">
        <v>67</v>
      </c>
      <c r="G536" t="s">
        <v>0</v>
      </c>
      <c r="H536">
        <v>7.444</v>
      </c>
      <c r="I536" t="s">
        <v>461</v>
      </c>
      <c r="K536">
        <v>105321643</v>
      </c>
      <c r="L536" s="2">
        <v>43066</v>
      </c>
      <c r="M536">
        <v>21</v>
      </c>
      <c r="N536">
        <v>1</v>
      </c>
      <c r="O536">
        <v>0</v>
      </c>
      <c r="P536">
        <v>1</v>
      </c>
      <c r="Q536" t="s">
        <v>21</v>
      </c>
    </row>
    <row r="537" spans="1:17" x14ac:dyDescent="0.55000000000000004">
      <c r="A537">
        <v>498</v>
      </c>
      <c r="B537" t="s">
        <v>4</v>
      </c>
      <c r="C537">
        <v>4.0000000000000001E-3</v>
      </c>
      <c r="D537" t="s">
        <v>68</v>
      </c>
      <c r="E537" t="s">
        <v>77</v>
      </c>
      <c r="F537" t="s">
        <v>228</v>
      </c>
      <c r="G537" t="s">
        <v>0</v>
      </c>
      <c r="H537">
        <v>7.4480000000000004</v>
      </c>
      <c r="I537" t="s">
        <v>461</v>
      </c>
      <c r="K537">
        <v>105075916</v>
      </c>
      <c r="L537" s="2">
        <v>42836</v>
      </c>
      <c r="M537">
        <v>30</v>
      </c>
      <c r="N537">
        <v>1</v>
      </c>
      <c r="O537">
        <v>4</v>
      </c>
      <c r="P537">
        <v>1</v>
      </c>
      <c r="Q537" t="s">
        <v>21</v>
      </c>
    </row>
    <row r="538" spans="1:17" x14ac:dyDescent="0.55000000000000004">
      <c r="A538">
        <v>498</v>
      </c>
      <c r="B538" t="s">
        <v>4</v>
      </c>
      <c r="C538">
        <v>0.5</v>
      </c>
      <c r="D538" t="s">
        <v>68</v>
      </c>
      <c r="E538" t="s">
        <v>99</v>
      </c>
      <c r="F538" t="s">
        <v>231</v>
      </c>
      <c r="G538" t="s">
        <v>0</v>
      </c>
      <c r="H538">
        <v>7.4710000000000001</v>
      </c>
      <c r="I538" t="s">
        <v>461</v>
      </c>
      <c r="K538">
        <v>106324805</v>
      </c>
      <c r="L538" s="2">
        <v>44033</v>
      </c>
      <c r="M538">
        <v>28</v>
      </c>
      <c r="N538">
        <v>1</v>
      </c>
      <c r="O538">
        <v>0</v>
      </c>
      <c r="P538">
        <v>1</v>
      </c>
      <c r="Q538" t="s">
        <v>21</v>
      </c>
    </row>
    <row r="539" spans="1:17" x14ac:dyDescent="0.55000000000000004">
      <c r="A539">
        <v>498</v>
      </c>
      <c r="B539" t="s">
        <v>4</v>
      </c>
      <c r="C539">
        <v>3.7999999999999999E-2</v>
      </c>
      <c r="D539" t="s">
        <v>68</v>
      </c>
      <c r="E539" t="s">
        <v>77</v>
      </c>
      <c r="F539" t="s">
        <v>228</v>
      </c>
      <c r="G539" t="s">
        <v>0</v>
      </c>
      <c r="H539">
        <v>7.4820000000000002</v>
      </c>
      <c r="I539" t="s">
        <v>461</v>
      </c>
      <c r="K539">
        <v>105048769</v>
      </c>
      <c r="L539" s="2">
        <v>42811</v>
      </c>
      <c r="M539">
        <v>30</v>
      </c>
      <c r="N539">
        <v>1</v>
      </c>
      <c r="P539">
        <v>1</v>
      </c>
      <c r="Q539" t="s">
        <v>21</v>
      </c>
    </row>
    <row r="540" spans="1:17" x14ac:dyDescent="0.55000000000000004">
      <c r="A540">
        <v>498</v>
      </c>
      <c r="B540" t="s">
        <v>4</v>
      </c>
      <c r="C540">
        <v>4.7E-2</v>
      </c>
      <c r="D540" t="s">
        <v>68</v>
      </c>
      <c r="E540" t="s">
        <v>77</v>
      </c>
      <c r="F540" t="s">
        <v>232</v>
      </c>
      <c r="G540" t="s">
        <v>0</v>
      </c>
      <c r="H540">
        <v>7.4909999999999997</v>
      </c>
      <c r="I540" t="s">
        <v>461</v>
      </c>
      <c r="K540">
        <v>106516684</v>
      </c>
      <c r="L540" s="2">
        <v>44225</v>
      </c>
      <c r="M540">
        <v>21</v>
      </c>
      <c r="N540">
        <v>1</v>
      </c>
      <c r="O540">
        <v>0</v>
      </c>
      <c r="P540">
        <v>1</v>
      </c>
      <c r="Q540" t="s">
        <v>21</v>
      </c>
    </row>
    <row r="541" spans="1:17" x14ac:dyDescent="0.55000000000000004">
      <c r="A541">
        <v>498</v>
      </c>
      <c r="B541" t="s">
        <v>0</v>
      </c>
      <c r="C541">
        <v>0.1</v>
      </c>
      <c r="D541" t="s">
        <v>68</v>
      </c>
      <c r="E541" t="s">
        <v>77</v>
      </c>
      <c r="F541" t="s">
        <v>228</v>
      </c>
      <c r="G541" t="s">
        <v>0</v>
      </c>
      <c r="H541">
        <v>7.5439999999999996</v>
      </c>
      <c r="I541" t="s">
        <v>461</v>
      </c>
      <c r="K541">
        <v>104893158</v>
      </c>
      <c r="L541" s="2">
        <v>42651</v>
      </c>
      <c r="M541">
        <v>30</v>
      </c>
      <c r="N541">
        <v>1</v>
      </c>
      <c r="O541">
        <v>0</v>
      </c>
      <c r="P541">
        <v>4</v>
      </c>
      <c r="Q541" t="s">
        <v>21</v>
      </c>
    </row>
    <row r="542" spans="1:17" x14ac:dyDescent="0.55000000000000004">
      <c r="A542">
        <v>498</v>
      </c>
      <c r="B542" t="s">
        <v>4</v>
      </c>
      <c r="C542">
        <v>0.1</v>
      </c>
      <c r="D542" t="s">
        <v>68</v>
      </c>
      <c r="E542" t="s">
        <v>77</v>
      </c>
      <c r="F542" t="s">
        <v>228</v>
      </c>
      <c r="G542" t="s">
        <v>0</v>
      </c>
      <c r="H542">
        <v>7.5439999999999996</v>
      </c>
      <c r="I542" t="s">
        <v>461</v>
      </c>
      <c r="K542">
        <v>106390219</v>
      </c>
      <c r="L542" s="2">
        <v>44120</v>
      </c>
      <c r="M542">
        <v>21</v>
      </c>
      <c r="N542">
        <v>1</v>
      </c>
      <c r="O542">
        <v>0</v>
      </c>
      <c r="P542">
        <v>4</v>
      </c>
      <c r="Q542" t="s">
        <v>15</v>
      </c>
    </row>
    <row r="543" spans="1:17" x14ac:dyDescent="0.55000000000000004">
      <c r="A543">
        <v>498</v>
      </c>
      <c r="B543" t="s">
        <v>4</v>
      </c>
      <c r="C543">
        <v>1</v>
      </c>
      <c r="D543" t="s">
        <v>68</v>
      </c>
      <c r="E543" t="s">
        <v>70</v>
      </c>
      <c r="F543" t="s">
        <v>67</v>
      </c>
      <c r="G543" t="s">
        <v>0</v>
      </c>
      <c r="H543">
        <v>7.5880000000000001</v>
      </c>
      <c r="I543" t="s">
        <v>461</v>
      </c>
      <c r="K543">
        <v>106053238</v>
      </c>
      <c r="L543" s="2">
        <v>43763</v>
      </c>
      <c r="M543">
        <v>30</v>
      </c>
      <c r="N543">
        <v>1</v>
      </c>
      <c r="O543">
        <v>0</v>
      </c>
      <c r="P543">
        <v>1</v>
      </c>
      <c r="Q543" t="s">
        <v>15</v>
      </c>
    </row>
    <row r="544" spans="1:17" x14ac:dyDescent="0.55000000000000004">
      <c r="A544">
        <v>498</v>
      </c>
      <c r="B544" t="s">
        <v>4</v>
      </c>
      <c r="C544">
        <v>3.7999999999999999E-2</v>
      </c>
      <c r="D544" t="s">
        <v>18</v>
      </c>
      <c r="E544" t="s">
        <v>228</v>
      </c>
      <c r="F544" t="s">
        <v>77</v>
      </c>
      <c r="G544" t="s">
        <v>0</v>
      </c>
      <c r="H544">
        <v>7.5890000000000004</v>
      </c>
      <c r="I544" t="s">
        <v>461</v>
      </c>
      <c r="K544">
        <v>106011222</v>
      </c>
      <c r="L544" s="2">
        <v>43727</v>
      </c>
      <c r="M544">
        <v>21</v>
      </c>
      <c r="N544">
        <v>1</v>
      </c>
      <c r="O544">
        <v>0</v>
      </c>
      <c r="P544">
        <v>1</v>
      </c>
      <c r="Q544" t="s">
        <v>21</v>
      </c>
    </row>
    <row r="545" spans="1:17" x14ac:dyDescent="0.55000000000000004">
      <c r="A545">
        <v>498</v>
      </c>
      <c r="B545" t="s">
        <v>0</v>
      </c>
      <c r="C545">
        <v>0</v>
      </c>
      <c r="D545" t="s">
        <v>18</v>
      </c>
      <c r="E545" t="s">
        <v>228</v>
      </c>
      <c r="F545" t="s">
        <v>43</v>
      </c>
      <c r="G545" t="s">
        <v>0</v>
      </c>
      <c r="H545">
        <v>7.6269999999999998</v>
      </c>
      <c r="I545" t="s">
        <v>461</v>
      </c>
      <c r="K545">
        <v>104893557</v>
      </c>
      <c r="L545" s="2">
        <v>42646</v>
      </c>
      <c r="M545">
        <v>28</v>
      </c>
      <c r="N545">
        <v>1</v>
      </c>
      <c r="O545">
        <v>0</v>
      </c>
      <c r="P545">
        <v>1</v>
      </c>
      <c r="Q545" t="s">
        <v>21</v>
      </c>
    </row>
    <row r="546" spans="1:17" x14ac:dyDescent="0.55000000000000004">
      <c r="A546">
        <v>498</v>
      </c>
      <c r="B546" t="s">
        <v>0</v>
      </c>
      <c r="C546">
        <v>0</v>
      </c>
      <c r="E546" t="s">
        <v>228</v>
      </c>
      <c r="F546" t="s">
        <v>227</v>
      </c>
      <c r="G546" t="s">
        <v>0</v>
      </c>
      <c r="H546">
        <v>7.6269999999999998</v>
      </c>
      <c r="I546" t="s">
        <v>461</v>
      </c>
      <c r="K546">
        <v>105114809</v>
      </c>
      <c r="L546" s="2">
        <v>42870</v>
      </c>
      <c r="M546">
        <v>2</v>
      </c>
      <c r="N546">
        <v>1</v>
      </c>
      <c r="O546">
        <v>0</v>
      </c>
      <c r="P546">
        <v>4</v>
      </c>
      <c r="Q546" t="s">
        <v>15</v>
      </c>
    </row>
    <row r="547" spans="1:17" x14ac:dyDescent="0.55000000000000004">
      <c r="A547">
        <v>498</v>
      </c>
      <c r="B547" t="s">
        <v>4</v>
      </c>
      <c r="C547">
        <v>0</v>
      </c>
      <c r="E547" t="s">
        <v>228</v>
      </c>
      <c r="G547" t="s">
        <v>0</v>
      </c>
      <c r="H547">
        <v>7.6269999999999998</v>
      </c>
      <c r="I547" t="s">
        <v>461</v>
      </c>
      <c r="K547">
        <v>105367322</v>
      </c>
      <c r="L547" s="2">
        <v>43111</v>
      </c>
      <c r="M547">
        <v>21</v>
      </c>
      <c r="N547">
        <v>2</v>
      </c>
      <c r="P547">
        <v>1</v>
      </c>
      <c r="Q547" t="s">
        <v>21</v>
      </c>
    </row>
    <row r="548" spans="1:17" x14ac:dyDescent="0.55000000000000004">
      <c r="A548">
        <v>498</v>
      </c>
      <c r="B548" t="s">
        <v>0</v>
      </c>
      <c r="C548">
        <v>0</v>
      </c>
      <c r="D548" t="s">
        <v>18</v>
      </c>
      <c r="E548" t="s">
        <v>233</v>
      </c>
      <c r="F548" t="s">
        <v>228</v>
      </c>
      <c r="G548" t="s">
        <v>0</v>
      </c>
      <c r="H548">
        <v>7.7610000000000001</v>
      </c>
      <c r="I548" t="s">
        <v>461</v>
      </c>
      <c r="K548">
        <v>105238958</v>
      </c>
      <c r="L548" s="2">
        <v>43000</v>
      </c>
      <c r="M548">
        <v>23</v>
      </c>
      <c r="N548">
        <v>1</v>
      </c>
      <c r="O548">
        <v>0</v>
      </c>
      <c r="P548">
        <v>1</v>
      </c>
      <c r="Q548" t="s">
        <v>21</v>
      </c>
    </row>
    <row r="549" spans="1:17" x14ac:dyDescent="0.55000000000000004">
      <c r="A549">
        <v>498</v>
      </c>
      <c r="B549" t="s">
        <v>4</v>
      </c>
      <c r="C549">
        <v>0.08</v>
      </c>
      <c r="D549" t="s">
        <v>18</v>
      </c>
      <c r="E549" t="s">
        <v>34</v>
      </c>
      <c r="F549" t="s">
        <v>233</v>
      </c>
      <c r="G549" t="s">
        <v>0</v>
      </c>
      <c r="H549">
        <v>7.7709999999999999</v>
      </c>
      <c r="I549" t="s">
        <v>461</v>
      </c>
      <c r="K549">
        <v>105576311</v>
      </c>
      <c r="L549" s="2">
        <v>43321</v>
      </c>
      <c r="M549">
        <v>1</v>
      </c>
      <c r="N549">
        <v>1</v>
      </c>
      <c r="O549">
        <v>0</v>
      </c>
      <c r="P549">
        <v>3</v>
      </c>
      <c r="Q549" t="s">
        <v>21</v>
      </c>
    </row>
    <row r="550" spans="1:17" x14ac:dyDescent="0.55000000000000004">
      <c r="A550">
        <v>498</v>
      </c>
      <c r="B550" t="s">
        <v>4</v>
      </c>
      <c r="C550">
        <v>0.4</v>
      </c>
      <c r="D550" t="s">
        <v>68</v>
      </c>
      <c r="E550" t="s">
        <v>77</v>
      </c>
      <c r="F550" t="s">
        <v>70</v>
      </c>
      <c r="G550" t="s">
        <v>0</v>
      </c>
      <c r="H550">
        <v>7.8440000000000003</v>
      </c>
      <c r="I550" t="s">
        <v>461</v>
      </c>
      <c r="K550">
        <v>104875015</v>
      </c>
      <c r="L550" s="2">
        <v>42631</v>
      </c>
      <c r="M550">
        <v>27</v>
      </c>
      <c r="N550">
        <v>1</v>
      </c>
      <c r="O550">
        <v>0</v>
      </c>
      <c r="P550">
        <v>1</v>
      </c>
      <c r="Q550" t="s">
        <v>21</v>
      </c>
    </row>
    <row r="551" spans="1:17" x14ac:dyDescent="0.55000000000000004">
      <c r="A551">
        <v>498</v>
      </c>
      <c r="B551" t="s">
        <v>0</v>
      </c>
      <c r="C551">
        <v>0</v>
      </c>
      <c r="D551" t="s">
        <v>68</v>
      </c>
      <c r="E551" t="s">
        <v>34</v>
      </c>
      <c r="F551" t="s">
        <v>234</v>
      </c>
      <c r="G551" t="s">
        <v>0</v>
      </c>
      <c r="H551">
        <v>7.851</v>
      </c>
      <c r="I551" t="s">
        <v>461</v>
      </c>
      <c r="K551">
        <v>105440637</v>
      </c>
      <c r="L551" s="2">
        <v>43176</v>
      </c>
      <c r="M551">
        <v>30</v>
      </c>
      <c r="N551">
        <v>1</v>
      </c>
      <c r="O551">
        <v>0</v>
      </c>
      <c r="P551">
        <v>4</v>
      </c>
      <c r="Q551" t="s">
        <v>15</v>
      </c>
    </row>
    <row r="552" spans="1:17" x14ac:dyDescent="0.55000000000000004">
      <c r="A552">
        <v>498</v>
      </c>
      <c r="B552" t="s">
        <v>4</v>
      </c>
      <c r="C552">
        <v>0</v>
      </c>
      <c r="D552" t="s">
        <v>18</v>
      </c>
      <c r="E552" t="s">
        <v>34</v>
      </c>
      <c r="F552" t="s">
        <v>77</v>
      </c>
      <c r="G552" t="s">
        <v>0</v>
      </c>
      <c r="H552">
        <v>7.851</v>
      </c>
      <c r="I552" t="s">
        <v>461</v>
      </c>
      <c r="K552">
        <v>106394541</v>
      </c>
      <c r="L552" s="2">
        <v>44132</v>
      </c>
      <c r="M552">
        <v>21</v>
      </c>
      <c r="N552">
        <v>2</v>
      </c>
      <c r="P552">
        <v>1</v>
      </c>
      <c r="Q552" t="s">
        <v>21</v>
      </c>
    </row>
    <row r="553" spans="1:17" x14ac:dyDescent="0.55000000000000004">
      <c r="A553">
        <v>498</v>
      </c>
      <c r="B553" t="s">
        <v>0</v>
      </c>
      <c r="C553">
        <v>6.0999999999999999E-2</v>
      </c>
      <c r="D553" t="s">
        <v>68</v>
      </c>
      <c r="E553" t="s">
        <v>34</v>
      </c>
      <c r="F553" t="s">
        <v>28</v>
      </c>
      <c r="G553" t="s">
        <v>0</v>
      </c>
      <c r="H553">
        <v>7.9119999999999999</v>
      </c>
      <c r="I553" t="s">
        <v>461</v>
      </c>
      <c r="K553">
        <v>106234820</v>
      </c>
      <c r="L553" s="2">
        <v>43910</v>
      </c>
      <c r="M553">
        <v>2</v>
      </c>
      <c r="N553">
        <v>1</v>
      </c>
      <c r="O553">
        <v>0</v>
      </c>
      <c r="P553">
        <v>4</v>
      </c>
      <c r="Q553" t="s">
        <v>21</v>
      </c>
    </row>
    <row r="554" spans="1:17" x14ac:dyDescent="0.55000000000000004">
      <c r="A554">
        <v>498</v>
      </c>
      <c r="B554" t="s">
        <v>4</v>
      </c>
      <c r="C554">
        <v>1.0999999999999999E-2</v>
      </c>
      <c r="D554" t="s">
        <v>18</v>
      </c>
      <c r="E554" t="s">
        <v>28</v>
      </c>
      <c r="F554" t="s">
        <v>34</v>
      </c>
      <c r="G554" t="s">
        <v>0</v>
      </c>
      <c r="H554">
        <v>8.0039999999999996</v>
      </c>
      <c r="I554" t="s">
        <v>461</v>
      </c>
      <c r="K554">
        <v>105977354</v>
      </c>
      <c r="L554" s="2">
        <v>43696</v>
      </c>
      <c r="M554">
        <v>1</v>
      </c>
      <c r="N554">
        <v>1</v>
      </c>
      <c r="O554">
        <v>0</v>
      </c>
      <c r="P554">
        <v>4</v>
      </c>
      <c r="Q554" t="s">
        <v>21</v>
      </c>
    </row>
    <row r="555" spans="1:17" x14ac:dyDescent="0.55000000000000004">
      <c r="A555">
        <v>498</v>
      </c>
      <c r="B555" t="s">
        <v>4</v>
      </c>
      <c r="C555">
        <v>0</v>
      </c>
      <c r="E555" t="s">
        <v>28</v>
      </c>
      <c r="F555" t="s">
        <v>234</v>
      </c>
      <c r="G555" t="s">
        <v>0</v>
      </c>
      <c r="H555">
        <v>8.0150000000000006</v>
      </c>
      <c r="I555" t="s">
        <v>461</v>
      </c>
      <c r="K555">
        <v>105615348</v>
      </c>
      <c r="L555" s="2">
        <v>43355</v>
      </c>
      <c r="M555">
        <v>30</v>
      </c>
      <c r="N555">
        <v>1</v>
      </c>
      <c r="O555">
        <v>7</v>
      </c>
      <c r="P555">
        <v>1</v>
      </c>
      <c r="Q555" t="s">
        <v>15</v>
      </c>
    </row>
    <row r="556" spans="1:17" x14ac:dyDescent="0.55000000000000004">
      <c r="A556">
        <v>498</v>
      </c>
      <c r="B556" t="s">
        <v>4</v>
      </c>
      <c r="C556">
        <v>0</v>
      </c>
      <c r="E556" t="s">
        <v>28</v>
      </c>
      <c r="F556" t="s">
        <v>234</v>
      </c>
      <c r="G556" t="s">
        <v>0</v>
      </c>
      <c r="H556">
        <v>8.0150000000000006</v>
      </c>
      <c r="I556" t="s">
        <v>461</v>
      </c>
      <c r="K556">
        <v>105020463</v>
      </c>
      <c r="L556" s="2">
        <v>42771</v>
      </c>
      <c r="M556">
        <v>17</v>
      </c>
      <c r="N556">
        <v>1</v>
      </c>
      <c r="O556">
        <v>8</v>
      </c>
      <c r="P556">
        <v>4</v>
      </c>
      <c r="Q556" t="s">
        <v>21</v>
      </c>
    </row>
    <row r="557" spans="1:17" x14ac:dyDescent="0.55000000000000004">
      <c r="A557">
        <v>498</v>
      </c>
      <c r="B557" t="s">
        <v>4</v>
      </c>
      <c r="C557">
        <v>0</v>
      </c>
      <c r="E557" t="s">
        <v>28</v>
      </c>
      <c r="F557" t="s">
        <v>234</v>
      </c>
      <c r="G557" t="s">
        <v>0</v>
      </c>
      <c r="H557">
        <v>8.0150000000000006</v>
      </c>
      <c r="I557" t="s">
        <v>461</v>
      </c>
      <c r="K557">
        <v>106344810</v>
      </c>
      <c r="L557" s="2">
        <v>44065</v>
      </c>
      <c r="M557">
        <v>30</v>
      </c>
      <c r="N557">
        <v>1</v>
      </c>
      <c r="P557">
        <v>1</v>
      </c>
      <c r="Q557" t="s">
        <v>15</v>
      </c>
    </row>
    <row r="558" spans="1:17" x14ac:dyDescent="0.55000000000000004">
      <c r="A558">
        <v>498</v>
      </c>
      <c r="B558" t="s">
        <v>4</v>
      </c>
      <c r="C558">
        <v>0</v>
      </c>
      <c r="D558" t="s">
        <v>18</v>
      </c>
      <c r="E558" t="s">
        <v>28</v>
      </c>
      <c r="F558" t="s">
        <v>34</v>
      </c>
      <c r="G558" t="s">
        <v>0</v>
      </c>
      <c r="H558">
        <v>8.0150000000000006</v>
      </c>
      <c r="I558" t="s">
        <v>461</v>
      </c>
      <c r="K558">
        <v>105252221</v>
      </c>
      <c r="L558" s="2">
        <v>43015</v>
      </c>
      <c r="M558">
        <v>30</v>
      </c>
      <c r="N558">
        <v>1</v>
      </c>
      <c r="O558">
        <v>7</v>
      </c>
      <c r="P558">
        <v>1</v>
      </c>
      <c r="Q558" t="s">
        <v>21</v>
      </c>
    </row>
    <row r="559" spans="1:17" x14ac:dyDescent="0.55000000000000004">
      <c r="A559">
        <v>498</v>
      </c>
      <c r="B559" t="s">
        <v>0</v>
      </c>
      <c r="C559">
        <v>0</v>
      </c>
      <c r="E559" t="s">
        <v>28</v>
      </c>
      <c r="F559" t="s">
        <v>34</v>
      </c>
      <c r="G559" t="s">
        <v>0</v>
      </c>
      <c r="H559">
        <v>8.0150000000000006</v>
      </c>
      <c r="I559" t="s">
        <v>461</v>
      </c>
      <c r="K559">
        <v>105274003</v>
      </c>
      <c r="L559" s="2">
        <v>43035</v>
      </c>
      <c r="M559">
        <v>28</v>
      </c>
      <c r="N559">
        <v>1</v>
      </c>
      <c r="O559">
        <v>0</v>
      </c>
      <c r="P559">
        <v>4</v>
      </c>
      <c r="Q559" t="s">
        <v>21</v>
      </c>
    </row>
    <row r="560" spans="1:17" x14ac:dyDescent="0.55000000000000004">
      <c r="A560">
        <v>498</v>
      </c>
      <c r="B560" t="s">
        <v>0</v>
      </c>
      <c r="C560">
        <v>0</v>
      </c>
      <c r="E560" t="s">
        <v>28</v>
      </c>
      <c r="F560" t="s">
        <v>34</v>
      </c>
      <c r="G560" t="s">
        <v>0</v>
      </c>
      <c r="H560">
        <v>8.0150000000000006</v>
      </c>
      <c r="I560" t="s">
        <v>461</v>
      </c>
      <c r="K560">
        <v>105035457</v>
      </c>
      <c r="L560" s="2">
        <v>42782</v>
      </c>
      <c r="M560">
        <v>30</v>
      </c>
      <c r="N560">
        <v>1</v>
      </c>
      <c r="O560">
        <v>0</v>
      </c>
      <c r="P560">
        <v>4</v>
      </c>
      <c r="Q560" t="s">
        <v>15</v>
      </c>
    </row>
    <row r="561" spans="1:17" x14ac:dyDescent="0.55000000000000004">
      <c r="A561">
        <v>498</v>
      </c>
      <c r="B561" t="s">
        <v>0</v>
      </c>
      <c r="C561">
        <v>0</v>
      </c>
      <c r="E561" t="s">
        <v>28</v>
      </c>
      <c r="F561" t="s">
        <v>34</v>
      </c>
      <c r="G561" t="s">
        <v>0</v>
      </c>
      <c r="H561">
        <v>8.0150000000000006</v>
      </c>
      <c r="I561" t="s">
        <v>461</v>
      </c>
      <c r="K561">
        <v>106216804</v>
      </c>
      <c r="L561" s="2">
        <v>43894</v>
      </c>
      <c r="M561">
        <v>30</v>
      </c>
      <c r="N561">
        <v>1</v>
      </c>
      <c r="O561">
        <v>7</v>
      </c>
      <c r="P561">
        <v>1</v>
      </c>
      <c r="Q561" t="s">
        <v>21</v>
      </c>
    </row>
    <row r="562" spans="1:17" x14ac:dyDescent="0.55000000000000004">
      <c r="A562">
        <v>498</v>
      </c>
      <c r="B562" t="s">
        <v>4</v>
      </c>
      <c r="C562">
        <v>0</v>
      </c>
      <c r="E562" t="s">
        <v>28</v>
      </c>
      <c r="F562" t="s">
        <v>34</v>
      </c>
      <c r="G562" t="s">
        <v>0</v>
      </c>
      <c r="H562">
        <v>8.0150000000000006</v>
      </c>
      <c r="I562" t="s">
        <v>461</v>
      </c>
      <c r="K562">
        <v>105631988</v>
      </c>
      <c r="L562" s="2">
        <v>43373</v>
      </c>
      <c r="M562">
        <v>21</v>
      </c>
      <c r="N562">
        <v>1</v>
      </c>
      <c r="O562">
        <v>7</v>
      </c>
      <c r="P562">
        <v>1</v>
      </c>
      <c r="Q562" t="s">
        <v>21</v>
      </c>
    </row>
    <row r="563" spans="1:17" x14ac:dyDescent="0.55000000000000004">
      <c r="A563">
        <v>498</v>
      </c>
      <c r="B563" t="s">
        <v>4</v>
      </c>
      <c r="C563">
        <v>0</v>
      </c>
      <c r="D563" t="s">
        <v>68</v>
      </c>
      <c r="E563" t="s">
        <v>28</v>
      </c>
      <c r="F563" t="s">
        <v>37</v>
      </c>
      <c r="G563" t="s">
        <v>0</v>
      </c>
      <c r="H563">
        <v>8.0150000000000006</v>
      </c>
      <c r="I563" t="s">
        <v>461</v>
      </c>
      <c r="K563">
        <v>105471769</v>
      </c>
      <c r="L563" s="2">
        <v>43216</v>
      </c>
      <c r="M563">
        <v>30</v>
      </c>
      <c r="N563">
        <v>1</v>
      </c>
      <c r="O563">
        <v>0</v>
      </c>
      <c r="P563">
        <v>4</v>
      </c>
      <c r="Q563" t="s">
        <v>21</v>
      </c>
    </row>
    <row r="564" spans="1:17" x14ac:dyDescent="0.55000000000000004">
      <c r="A564">
        <v>498</v>
      </c>
      <c r="B564" t="s">
        <v>4</v>
      </c>
      <c r="C564">
        <v>0</v>
      </c>
      <c r="E564" t="s">
        <v>28</v>
      </c>
      <c r="F564" t="s">
        <v>37</v>
      </c>
      <c r="G564" t="s">
        <v>0</v>
      </c>
      <c r="H564">
        <v>8.0150000000000006</v>
      </c>
      <c r="I564" t="s">
        <v>461</v>
      </c>
      <c r="K564">
        <v>105759526</v>
      </c>
      <c r="L564" s="2">
        <v>43483</v>
      </c>
      <c r="M564">
        <v>24</v>
      </c>
      <c r="N564">
        <v>2</v>
      </c>
      <c r="O564">
        <v>0</v>
      </c>
      <c r="P564">
        <v>1</v>
      </c>
      <c r="Q564" t="s">
        <v>15</v>
      </c>
    </row>
    <row r="565" spans="1:17" x14ac:dyDescent="0.55000000000000004">
      <c r="A565">
        <v>498</v>
      </c>
      <c r="B565" t="s">
        <v>4</v>
      </c>
      <c r="C565">
        <v>0</v>
      </c>
      <c r="E565" t="s">
        <v>28</v>
      </c>
      <c r="F565" t="s">
        <v>235</v>
      </c>
      <c r="G565" t="s">
        <v>0</v>
      </c>
      <c r="H565">
        <v>8.0150000000000006</v>
      </c>
      <c r="I565" t="s">
        <v>461</v>
      </c>
      <c r="K565">
        <v>105677727</v>
      </c>
      <c r="L565" s="2">
        <v>43399</v>
      </c>
      <c r="M565">
        <v>30</v>
      </c>
      <c r="N565">
        <v>2</v>
      </c>
      <c r="O565">
        <v>7</v>
      </c>
      <c r="P565">
        <v>2</v>
      </c>
      <c r="Q565" t="s">
        <v>21</v>
      </c>
    </row>
    <row r="566" spans="1:17" x14ac:dyDescent="0.55000000000000004">
      <c r="A566">
        <v>498</v>
      </c>
      <c r="B566" t="s">
        <v>4</v>
      </c>
      <c r="C566">
        <v>0</v>
      </c>
      <c r="E566" t="s">
        <v>28</v>
      </c>
      <c r="G566" t="s">
        <v>0</v>
      </c>
      <c r="H566">
        <v>8.0150000000000006</v>
      </c>
      <c r="I566" t="s">
        <v>461</v>
      </c>
      <c r="K566">
        <v>106667223</v>
      </c>
      <c r="L566" s="2">
        <v>44378</v>
      </c>
      <c r="M566">
        <v>30</v>
      </c>
      <c r="N566">
        <v>1</v>
      </c>
      <c r="P566">
        <v>1</v>
      </c>
      <c r="Q566" t="s">
        <v>45</v>
      </c>
    </row>
    <row r="567" spans="1:17" x14ac:dyDescent="0.55000000000000004">
      <c r="A567">
        <v>498</v>
      </c>
      <c r="B567" t="s">
        <v>4</v>
      </c>
      <c r="C567">
        <v>0</v>
      </c>
      <c r="E567" t="s">
        <v>28</v>
      </c>
      <c r="G567" t="s">
        <v>0</v>
      </c>
      <c r="H567">
        <v>8.0150000000000006</v>
      </c>
      <c r="I567" t="s">
        <v>461</v>
      </c>
      <c r="K567">
        <v>106726069</v>
      </c>
      <c r="L567" s="2">
        <v>44421</v>
      </c>
      <c r="M567">
        <v>30</v>
      </c>
      <c r="N567">
        <v>1</v>
      </c>
      <c r="P567">
        <v>1</v>
      </c>
      <c r="Q567" t="s">
        <v>21</v>
      </c>
    </row>
    <row r="568" spans="1:17" x14ac:dyDescent="0.55000000000000004">
      <c r="A568">
        <v>498</v>
      </c>
      <c r="B568" t="s">
        <v>4</v>
      </c>
      <c r="C568">
        <v>0.01</v>
      </c>
      <c r="E568" t="s">
        <v>28</v>
      </c>
      <c r="F568" t="s">
        <v>234</v>
      </c>
      <c r="G568" t="s">
        <v>0</v>
      </c>
      <c r="H568">
        <v>8.0250000000000004</v>
      </c>
      <c r="I568" t="s">
        <v>461</v>
      </c>
      <c r="J568" t="s">
        <v>174</v>
      </c>
      <c r="K568">
        <v>106375161</v>
      </c>
      <c r="L568" s="2">
        <v>44108</v>
      </c>
      <c r="M568">
        <v>30</v>
      </c>
      <c r="N568">
        <v>1</v>
      </c>
      <c r="O568">
        <v>0</v>
      </c>
      <c r="P568">
        <v>1</v>
      </c>
      <c r="Q568" t="s">
        <v>21</v>
      </c>
    </row>
    <row r="569" spans="1:17" x14ac:dyDescent="0.55000000000000004">
      <c r="A569">
        <v>498</v>
      </c>
      <c r="B569" t="s">
        <v>4</v>
      </c>
      <c r="C569">
        <v>1.9E-2</v>
      </c>
      <c r="D569" t="s">
        <v>68</v>
      </c>
      <c r="E569" t="s">
        <v>28</v>
      </c>
      <c r="F569" t="s">
        <v>239</v>
      </c>
      <c r="G569" t="s">
        <v>0</v>
      </c>
      <c r="H569">
        <v>8.0340000000000007</v>
      </c>
      <c r="I569" t="s">
        <v>461</v>
      </c>
      <c r="K569">
        <v>106280818</v>
      </c>
      <c r="L569" s="2">
        <v>43949</v>
      </c>
      <c r="M569">
        <v>28</v>
      </c>
      <c r="N569">
        <v>1</v>
      </c>
      <c r="O569">
        <v>0</v>
      </c>
      <c r="P569">
        <v>1</v>
      </c>
      <c r="Q569" t="s">
        <v>21</v>
      </c>
    </row>
    <row r="570" spans="1:17" x14ac:dyDescent="0.55000000000000004">
      <c r="A570">
        <v>498</v>
      </c>
      <c r="B570" t="s">
        <v>4</v>
      </c>
      <c r="C570">
        <v>1.9E-2</v>
      </c>
      <c r="E570" t="s">
        <v>28</v>
      </c>
      <c r="F570" t="s">
        <v>234</v>
      </c>
      <c r="G570" t="s">
        <v>0</v>
      </c>
      <c r="H570">
        <v>8.0340000000000007</v>
      </c>
      <c r="I570" t="s">
        <v>461</v>
      </c>
      <c r="J570" t="s">
        <v>174</v>
      </c>
      <c r="K570">
        <v>106435721</v>
      </c>
      <c r="L570" s="2">
        <v>44167</v>
      </c>
      <c r="M570">
        <v>30</v>
      </c>
      <c r="N570">
        <v>1</v>
      </c>
      <c r="O570">
        <v>0</v>
      </c>
      <c r="P570">
        <v>4</v>
      </c>
      <c r="Q570" t="s">
        <v>21</v>
      </c>
    </row>
    <row r="571" spans="1:17" x14ac:dyDescent="0.55000000000000004">
      <c r="A571">
        <v>498</v>
      </c>
      <c r="B571" t="s">
        <v>0</v>
      </c>
      <c r="C571">
        <v>1.9E-2</v>
      </c>
      <c r="D571" t="s">
        <v>68</v>
      </c>
      <c r="E571" t="s">
        <v>236</v>
      </c>
      <c r="F571" t="s">
        <v>238</v>
      </c>
      <c r="G571" t="s">
        <v>0</v>
      </c>
      <c r="H571">
        <v>8.0340000000000007</v>
      </c>
      <c r="I571" t="s">
        <v>461</v>
      </c>
      <c r="K571">
        <v>105763168</v>
      </c>
      <c r="L571" s="2">
        <v>43497</v>
      </c>
      <c r="M571">
        <v>28</v>
      </c>
      <c r="N571">
        <v>1</v>
      </c>
      <c r="O571">
        <v>7</v>
      </c>
      <c r="P571">
        <v>1</v>
      </c>
      <c r="Q571" t="s">
        <v>21</v>
      </c>
    </row>
    <row r="572" spans="1:17" x14ac:dyDescent="0.55000000000000004">
      <c r="A572">
        <v>498</v>
      </c>
      <c r="B572" t="s">
        <v>0</v>
      </c>
      <c r="C572">
        <v>1.9E-2</v>
      </c>
      <c r="D572" t="s">
        <v>68</v>
      </c>
      <c r="E572" t="s">
        <v>236</v>
      </c>
      <c r="F572" t="s">
        <v>237</v>
      </c>
      <c r="G572" t="s">
        <v>0</v>
      </c>
      <c r="H572">
        <v>8.0340000000000007</v>
      </c>
      <c r="I572" t="s">
        <v>461</v>
      </c>
      <c r="K572">
        <v>105134563</v>
      </c>
      <c r="L572" s="2">
        <v>42900</v>
      </c>
      <c r="M572">
        <v>28</v>
      </c>
      <c r="N572">
        <v>1</v>
      </c>
      <c r="O572">
        <v>0</v>
      </c>
      <c r="P572">
        <v>1</v>
      </c>
      <c r="Q572" t="s">
        <v>45</v>
      </c>
    </row>
    <row r="573" spans="1:17" x14ac:dyDescent="0.55000000000000004">
      <c r="A573">
        <v>498</v>
      </c>
      <c r="B573" t="s">
        <v>4</v>
      </c>
      <c r="C573">
        <v>3.7999999999999999E-2</v>
      </c>
      <c r="D573" t="s">
        <v>30</v>
      </c>
      <c r="E573" t="s">
        <v>28</v>
      </c>
      <c r="F573" t="s">
        <v>37</v>
      </c>
      <c r="G573" t="s">
        <v>0</v>
      </c>
      <c r="H573">
        <v>8.0530000000000008</v>
      </c>
      <c r="I573" t="s">
        <v>461</v>
      </c>
      <c r="K573">
        <v>105148609</v>
      </c>
      <c r="L573" s="2">
        <v>42902</v>
      </c>
      <c r="M573">
        <v>28</v>
      </c>
      <c r="N573">
        <v>1</v>
      </c>
      <c r="O573">
        <v>0</v>
      </c>
      <c r="P573">
        <v>1</v>
      </c>
      <c r="Q573" t="s">
        <v>21</v>
      </c>
    </row>
    <row r="574" spans="1:17" x14ac:dyDescent="0.55000000000000004">
      <c r="A574">
        <v>498</v>
      </c>
      <c r="B574" t="s">
        <v>0</v>
      </c>
      <c r="C574">
        <v>0</v>
      </c>
      <c r="E574" t="s">
        <v>234</v>
      </c>
      <c r="F574" t="s">
        <v>28</v>
      </c>
      <c r="G574" t="s">
        <v>0</v>
      </c>
      <c r="H574">
        <v>8.1069999999999993</v>
      </c>
      <c r="I574" t="s">
        <v>461</v>
      </c>
      <c r="K574">
        <v>104878198</v>
      </c>
      <c r="L574" s="2">
        <v>42620</v>
      </c>
      <c r="M574">
        <v>30</v>
      </c>
      <c r="N574">
        <v>1</v>
      </c>
      <c r="O574">
        <v>0</v>
      </c>
      <c r="P574">
        <v>1</v>
      </c>
      <c r="Q574" t="s">
        <v>21</v>
      </c>
    </row>
    <row r="575" spans="1:17" x14ac:dyDescent="0.55000000000000004">
      <c r="A575">
        <v>498</v>
      </c>
      <c r="B575" t="s">
        <v>4</v>
      </c>
      <c r="C575">
        <v>0</v>
      </c>
      <c r="E575" t="s">
        <v>234</v>
      </c>
      <c r="F575" t="s">
        <v>37</v>
      </c>
      <c r="G575" t="s">
        <v>0</v>
      </c>
      <c r="H575">
        <v>8.1069999999999993</v>
      </c>
      <c r="I575" t="s">
        <v>461</v>
      </c>
      <c r="K575">
        <v>105813539</v>
      </c>
      <c r="L575" s="2">
        <v>43536</v>
      </c>
      <c r="M575">
        <v>28</v>
      </c>
      <c r="N575">
        <v>1</v>
      </c>
      <c r="O575">
        <v>0</v>
      </c>
      <c r="P575">
        <v>1</v>
      </c>
      <c r="Q575" t="s">
        <v>21</v>
      </c>
    </row>
    <row r="576" spans="1:17" x14ac:dyDescent="0.55000000000000004">
      <c r="A576">
        <v>498</v>
      </c>
      <c r="B576" t="s">
        <v>4</v>
      </c>
      <c r="C576">
        <v>0</v>
      </c>
      <c r="E576" t="s">
        <v>234</v>
      </c>
      <c r="F576" t="s">
        <v>37</v>
      </c>
      <c r="G576" t="s">
        <v>0</v>
      </c>
      <c r="H576">
        <v>8.1069999999999993</v>
      </c>
      <c r="I576" t="s">
        <v>461</v>
      </c>
      <c r="K576">
        <v>106037963</v>
      </c>
      <c r="L576" s="2">
        <v>43742</v>
      </c>
      <c r="M576">
        <v>1</v>
      </c>
      <c r="N576">
        <v>1</v>
      </c>
      <c r="O576">
        <v>0</v>
      </c>
      <c r="P576">
        <v>4</v>
      </c>
      <c r="Q576" t="s">
        <v>21</v>
      </c>
    </row>
    <row r="577" spans="1:17" x14ac:dyDescent="0.55000000000000004">
      <c r="A577">
        <v>498</v>
      </c>
      <c r="B577" t="s">
        <v>0</v>
      </c>
      <c r="C577">
        <v>4.7E-2</v>
      </c>
      <c r="D577" t="s">
        <v>68</v>
      </c>
      <c r="E577" t="s">
        <v>234</v>
      </c>
      <c r="F577" t="s">
        <v>37</v>
      </c>
      <c r="G577" t="s">
        <v>0</v>
      </c>
      <c r="H577">
        <v>8.1539999999999999</v>
      </c>
      <c r="I577" t="s">
        <v>461</v>
      </c>
      <c r="K577">
        <v>106324817</v>
      </c>
      <c r="L577" s="2">
        <v>44034</v>
      </c>
      <c r="M577">
        <v>28</v>
      </c>
      <c r="N577">
        <v>1</v>
      </c>
      <c r="O577">
        <v>14</v>
      </c>
      <c r="P577">
        <v>1</v>
      </c>
      <c r="Q577" t="s">
        <v>21</v>
      </c>
    </row>
    <row r="578" spans="1:17" x14ac:dyDescent="0.55000000000000004">
      <c r="A578">
        <v>498</v>
      </c>
      <c r="B578" t="s">
        <v>4</v>
      </c>
      <c r="C578">
        <v>7.5999999999999998E-2</v>
      </c>
      <c r="D578" t="s">
        <v>18</v>
      </c>
      <c r="E578" t="s">
        <v>37</v>
      </c>
      <c r="F578" t="s">
        <v>240</v>
      </c>
      <c r="G578" t="s">
        <v>0</v>
      </c>
      <c r="H578">
        <v>8.1620000000000008</v>
      </c>
      <c r="I578" t="s">
        <v>461</v>
      </c>
      <c r="K578">
        <v>105355784</v>
      </c>
      <c r="L578" s="2">
        <v>43099</v>
      </c>
      <c r="M578">
        <v>21</v>
      </c>
      <c r="N578">
        <v>1</v>
      </c>
      <c r="O578">
        <v>0</v>
      </c>
      <c r="P578">
        <v>1</v>
      </c>
      <c r="Q578" t="s">
        <v>21</v>
      </c>
    </row>
    <row r="579" spans="1:17" x14ac:dyDescent="0.55000000000000004">
      <c r="A579">
        <v>498</v>
      </c>
      <c r="B579" t="s">
        <v>4</v>
      </c>
      <c r="C579">
        <v>5.7000000000000002E-2</v>
      </c>
      <c r="D579" t="s">
        <v>18</v>
      </c>
      <c r="E579" t="s">
        <v>37</v>
      </c>
      <c r="F579" t="s">
        <v>240</v>
      </c>
      <c r="G579" t="s">
        <v>0</v>
      </c>
      <c r="H579">
        <v>8.1809999999999992</v>
      </c>
      <c r="I579" t="s">
        <v>461</v>
      </c>
      <c r="K579">
        <v>105355788</v>
      </c>
      <c r="L579" s="2">
        <v>43097</v>
      </c>
      <c r="M579">
        <v>21</v>
      </c>
      <c r="N579">
        <v>1</v>
      </c>
      <c r="O579">
        <v>0</v>
      </c>
      <c r="P579">
        <v>1</v>
      </c>
      <c r="Q579" t="s">
        <v>21</v>
      </c>
    </row>
    <row r="580" spans="1:17" x14ac:dyDescent="0.55000000000000004">
      <c r="A580">
        <v>498</v>
      </c>
      <c r="B580" t="s">
        <v>0</v>
      </c>
      <c r="C580">
        <v>0.09</v>
      </c>
      <c r="D580" t="s">
        <v>68</v>
      </c>
      <c r="E580" t="s">
        <v>234</v>
      </c>
      <c r="F580" t="s">
        <v>37</v>
      </c>
      <c r="G580" t="s">
        <v>0</v>
      </c>
      <c r="H580">
        <v>8.1969999999999992</v>
      </c>
      <c r="I580" t="s">
        <v>461</v>
      </c>
      <c r="K580">
        <v>105020465</v>
      </c>
      <c r="L580" s="2">
        <v>42768</v>
      </c>
      <c r="M580">
        <v>21</v>
      </c>
      <c r="N580">
        <v>1</v>
      </c>
      <c r="P580">
        <v>1</v>
      </c>
      <c r="Q580" t="s">
        <v>15</v>
      </c>
    </row>
    <row r="581" spans="1:17" x14ac:dyDescent="0.55000000000000004">
      <c r="A581">
        <v>498</v>
      </c>
      <c r="B581" t="s">
        <v>4</v>
      </c>
      <c r="C581">
        <v>0.2</v>
      </c>
      <c r="D581" t="s">
        <v>18</v>
      </c>
      <c r="E581" t="s">
        <v>240</v>
      </c>
      <c r="F581" t="s">
        <v>37</v>
      </c>
      <c r="G581" t="s">
        <v>0</v>
      </c>
      <c r="H581">
        <v>8.2170000000000005</v>
      </c>
      <c r="I581" t="s">
        <v>461</v>
      </c>
      <c r="K581">
        <v>105017415</v>
      </c>
      <c r="L581" s="2">
        <v>42774</v>
      </c>
      <c r="M581">
        <v>1</v>
      </c>
      <c r="N581">
        <v>1</v>
      </c>
      <c r="O581">
        <v>0</v>
      </c>
      <c r="P581">
        <v>4</v>
      </c>
      <c r="Q581" t="s">
        <v>21</v>
      </c>
    </row>
    <row r="582" spans="1:17" x14ac:dyDescent="0.55000000000000004">
      <c r="A582">
        <v>498</v>
      </c>
      <c r="B582" t="s">
        <v>4</v>
      </c>
      <c r="C582">
        <v>0.2</v>
      </c>
      <c r="D582" t="s">
        <v>18</v>
      </c>
      <c r="E582" t="s">
        <v>240</v>
      </c>
      <c r="F582" t="s">
        <v>37</v>
      </c>
      <c r="G582" t="s">
        <v>0</v>
      </c>
      <c r="H582">
        <v>8.2170000000000005</v>
      </c>
      <c r="I582" t="s">
        <v>461</v>
      </c>
      <c r="K582">
        <v>104988836</v>
      </c>
      <c r="L582" s="2">
        <v>42719</v>
      </c>
      <c r="M582">
        <v>21</v>
      </c>
      <c r="N582">
        <v>1</v>
      </c>
      <c r="P582">
        <v>1</v>
      </c>
      <c r="Q582" t="s">
        <v>21</v>
      </c>
    </row>
    <row r="583" spans="1:17" x14ac:dyDescent="0.55000000000000004">
      <c r="A583">
        <v>498</v>
      </c>
      <c r="B583" t="s">
        <v>0</v>
      </c>
      <c r="C583">
        <v>0</v>
      </c>
      <c r="D583" t="s">
        <v>68</v>
      </c>
      <c r="E583" t="s">
        <v>37</v>
      </c>
      <c r="F583" t="s">
        <v>240</v>
      </c>
      <c r="G583" t="s">
        <v>0</v>
      </c>
      <c r="H583">
        <v>8.2379999999999995</v>
      </c>
      <c r="I583" t="s">
        <v>461</v>
      </c>
      <c r="K583">
        <v>106375142</v>
      </c>
      <c r="L583" s="2">
        <v>44104</v>
      </c>
      <c r="M583">
        <v>21</v>
      </c>
      <c r="N583">
        <v>1</v>
      </c>
      <c r="O583">
        <v>0</v>
      </c>
      <c r="P583">
        <v>1</v>
      </c>
      <c r="Q583" t="s">
        <v>21</v>
      </c>
    </row>
    <row r="584" spans="1:17" x14ac:dyDescent="0.55000000000000004">
      <c r="A584">
        <v>498</v>
      </c>
      <c r="B584" t="s">
        <v>4</v>
      </c>
      <c r="C584">
        <v>0</v>
      </c>
      <c r="D584" t="s">
        <v>18</v>
      </c>
      <c r="E584" t="s">
        <v>37</v>
      </c>
      <c r="F584" t="s">
        <v>240</v>
      </c>
      <c r="G584" t="s">
        <v>0</v>
      </c>
      <c r="H584">
        <v>8.2379999999999995</v>
      </c>
      <c r="I584" t="s">
        <v>461</v>
      </c>
      <c r="K584">
        <v>106648745</v>
      </c>
      <c r="L584" s="2">
        <v>44342</v>
      </c>
      <c r="M584">
        <v>21</v>
      </c>
      <c r="N584">
        <v>1</v>
      </c>
      <c r="P584">
        <v>1</v>
      </c>
      <c r="Q584" t="s">
        <v>15</v>
      </c>
    </row>
    <row r="585" spans="1:17" x14ac:dyDescent="0.55000000000000004">
      <c r="A585">
        <v>498</v>
      </c>
      <c r="B585" t="s">
        <v>0</v>
      </c>
      <c r="C585">
        <v>0</v>
      </c>
      <c r="E585" t="s">
        <v>37</v>
      </c>
      <c r="F585" t="s">
        <v>240</v>
      </c>
      <c r="G585" t="s">
        <v>0</v>
      </c>
      <c r="H585">
        <v>8.2379999999999995</v>
      </c>
      <c r="I585" t="s">
        <v>461</v>
      </c>
      <c r="K585">
        <v>105647910</v>
      </c>
      <c r="L585" s="2">
        <v>43379</v>
      </c>
      <c r="M585">
        <v>21</v>
      </c>
      <c r="N585">
        <v>1</v>
      </c>
      <c r="O585">
        <v>0</v>
      </c>
      <c r="P585">
        <v>1</v>
      </c>
      <c r="Q585" t="s">
        <v>21</v>
      </c>
    </row>
    <row r="586" spans="1:17" x14ac:dyDescent="0.55000000000000004">
      <c r="A586">
        <v>498</v>
      </c>
      <c r="B586" t="s">
        <v>0</v>
      </c>
      <c r="C586">
        <v>0</v>
      </c>
      <c r="E586" t="s">
        <v>37</v>
      </c>
      <c r="F586" t="s">
        <v>240</v>
      </c>
      <c r="G586" t="s">
        <v>0</v>
      </c>
      <c r="H586">
        <v>8.2379999999999995</v>
      </c>
      <c r="I586" t="s">
        <v>461</v>
      </c>
      <c r="K586">
        <v>106228526</v>
      </c>
      <c r="L586" s="2">
        <v>43904</v>
      </c>
      <c r="M586">
        <v>21</v>
      </c>
      <c r="N586">
        <v>1</v>
      </c>
      <c r="O586">
        <v>8</v>
      </c>
      <c r="P586">
        <v>1</v>
      </c>
      <c r="Q586" t="s">
        <v>15</v>
      </c>
    </row>
    <row r="587" spans="1:17" x14ac:dyDescent="0.55000000000000004">
      <c r="A587">
        <v>498</v>
      </c>
      <c r="B587" t="s">
        <v>4</v>
      </c>
      <c r="C587">
        <v>0</v>
      </c>
      <c r="E587" t="s">
        <v>37</v>
      </c>
      <c r="F587" t="s">
        <v>240</v>
      </c>
      <c r="G587" t="s">
        <v>0</v>
      </c>
      <c r="H587">
        <v>8.2379999999999995</v>
      </c>
      <c r="I587" t="s">
        <v>461</v>
      </c>
      <c r="K587">
        <v>105766785</v>
      </c>
      <c r="L587" s="2">
        <v>43495</v>
      </c>
      <c r="M587">
        <v>21</v>
      </c>
      <c r="N587">
        <v>1</v>
      </c>
      <c r="O587">
        <v>0</v>
      </c>
      <c r="P587">
        <v>1</v>
      </c>
      <c r="Q587" t="s">
        <v>15</v>
      </c>
    </row>
    <row r="588" spans="1:17" x14ac:dyDescent="0.55000000000000004">
      <c r="A588">
        <v>498</v>
      </c>
      <c r="B588" t="s">
        <v>4</v>
      </c>
      <c r="C588">
        <v>0</v>
      </c>
      <c r="E588" t="s">
        <v>37</v>
      </c>
      <c r="F588" t="s">
        <v>240</v>
      </c>
      <c r="G588" t="s">
        <v>0</v>
      </c>
      <c r="H588">
        <v>8.2379999999999995</v>
      </c>
      <c r="I588" t="s">
        <v>461</v>
      </c>
      <c r="K588">
        <v>105845636</v>
      </c>
      <c r="L588" s="2">
        <v>43564</v>
      </c>
      <c r="M588">
        <v>1</v>
      </c>
      <c r="N588">
        <v>1</v>
      </c>
      <c r="O588">
        <v>0</v>
      </c>
      <c r="P588">
        <v>1</v>
      </c>
      <c r="Q588" t="s">
        <v>21</v>
      </c>
    </row>
    <row r="589" spans="1:17" x14ac:dyDescent="0.55000000000000004">
      <c r="A589">
        <v>498</v>
      </c>
      <c r="B589" t="s">
        <v>4</v>
      </c>
      <c r="C589">
        <v>0</v>
      </c>
      <c r="E589" t="s">
        <v>37</v>
      </c>
      <c r="F589" t="s">
        <v>240</v>
      </c>
      <c r="G589" t="s">
        <v>0</v>
      </c>
      <c r="H589">
        <v>8.2379999999999995</v>
      </c>
      <c r="I589" t="s">
        <v>461</v>
      </c>
      <c r="K589">
        <v>106635419</v>
      </c>
      <c r="L589" s="2">
        <v>44331</v>
      </c>
      <c r="M589">
        <v>21</v>
      </c>
      <c r="N589">
        <v>1</v>
      </c>
      <c r="P589">
        <v>1</v>
      </c>
      <c r="Q589" t="s">
        <v>21</v>
      </c>
    </row>
    <row r="590" spans="1:17" x14ac:dyDescent="0.55000000000000004">
      <c r="A590">
        <v>0</v>
      </c>
      <c r="B590" t="s">
        <v>0</v>
      </c>
      <c r="C590">
        <v>0</v>
      </c>
      <c r="E590" t="s">
        <v>37</v>
      </c>
      <c r="F590" t="s">
        <v>234</v>
      </c>
      <c r="G590" t="s">
        <v>0</v>
      </c>
      <c r="H590">
        <v>8.2379999999999995</v>
      </c>
      <c r="I590" t="s">
        <v>461</v>
      </c>
      <c r="K590">
        <v>105355062</v>
      </c>
      <c r="L590" s="2">
        <v>43101</v>
      </c>
      <c r="M590">
        <v>27</v>
      </c>
      <c r="N590">
        <v>1</v>
      </c>
      <c r="O590">
        <v>0</v>
      </c>
      <c r="P590">
        <v>1</v>
      </c>
      <c r="Q590" t="s">
        <v>45</v>
      </c>
    </row>
    <row r="591" spans="1:17" x14ac:dyDescent="0.55000000000000004">
      <c r="A591">
        <v>498</v>
      </c>
      <c r="B591" t="s">
        <v>4</v>
      </c>
      <c r="C591">
        <v>0</v>
      </c>
      <c r="E591" t="s">
        <v>37</v>
      </c>
      <c r="F591" t="s">
        <v>34</v>
      </c>
      <c r="G591" t="s">
        <v>0</v>
      </c>
      <c r="H591">
        <v>8.2379999999999995</v>
      </c>
      <c r="I591" t="s">
        <v>461</v>
      </c>
      <c r="K591">
        <v>105114804</v>
      </c>
      <c r="L591" s="2">
        <v>42868</v>
      </c>
      <c r="M591">
        <v>21</v>
      </c>
      <c r="N591">
        <v>1</v>
      </c>
      <c r="O591">
        <v>0</v>
      </c>
      <c r="P591">
        <v>1</v>
      </c>
      <c r="Q591" t="s">
        <v>21</v>
      </c>
    </row>
    <row r="592" spans="1:17" x14ac:dyDescent="0.55000000000000004">
      <c r="A592">
        <v>0</v>
      </c>
      <c r="B592" t="s">
        <v>0</v>
      </c>
      <c r="C592">
        <v>0</v>
      </c>
      <c r="E592" t="s">
        <v>37</v>
      </c>
      <c r="F592" t="s">
        <v>242</v>
      </c>
      <c r="G592" t="s">
        <v>0</v>
      </c>
      <c r="H592">
        <v>8.2379999999999995</v>
      </c>
      <c r="I592" t="s">
        <v>461</v>
      </c>
      <c r="K592">
        <v>105150012</v>
      </c>
      <c r="L592" s="2">
        <v>42919</v>
      </c>
      <c r="M592">
        <v>21</v>
      </c>
      <c r="N592">
        <v>1</v>
      </c>
      <c r="O592">
        <v>8</v>
      </c>
      <c r="P592">
        <v>1</v>
      </c>
      <c r="Q592" t="s">
        <v>15</v>
      </c>
    </row>
    <row r="593" spans="1:17" x14ac:dyDescent="0.55000000000000004">
      <c r="A593">
        <v>498</v>
      </c>
      <c r="B593" t="s">
        <v>37</v>
      </c>
      <c r="C593">
        <v>0</v>
      </c>
      <c r="E593" t="s">
        <v>4</v>
      </c>
      <c r="F593" t="s">
        <v>241</v>
      </c>
      <c r="G593" t="s">
        <v>0</v>
      </c>
      <c r="H593">
        <v>8.2379999999999995</v>
      </c>
      <c r="I593" t="s">
        <v>461</v>
      </c>
      <c r="K593">
        <v>106482759</v>
      </c>
      <c r="L593" s="2">
        <v>44188</v>
      </c>
      <c r="M593">
        <v>27</v>
      </c>
      <c r="N593">
        <v>1</v>
      </c>
      <c r="O593">
        <v>0</v>
      </c>
      <c r="P593">
        <v>4</v>
      </c>
      <c r="Q593" t="s">
        <v>15</v>
      </c>
    </row>
    <row r="594" spans="1:17" x14ac:dyDescent="0.55000000000000004">
      <c r="A594">
        <v>498</v>
      </c>
      <c r="B594" t="s">
        <v>0</v>
      </c>
      <c r="C594">
        <v>5.8000000000000003E-2</v>
      </c>
      <c r="D594" t="s">
        <v>68</v>
      </c>
      <c r="E594" t="s">
        <v>37</v>
      </c>
      <c r="F594" t="s">
        <v>240</v>
      </c>
      <c r="G594" t="s">
        <v>0</v>
      </c>
      <c r="H594">
        <v>8.2959999999999994</v>
      </c>
      <c r="I594" t="s">
        <v>461</v>
      </c>
      <c r="K594">
        <v>105651054</v>
      </c>
      <c r="L594" s="2">
        <v>43386</v>
      </c>
      <c r="M594">
        <v>1</v>
      </c>
      <c r="N594">
        <v>1</v>
      </c>
      <c r="O594">
        <v>0</v>
      </c>
      <c r="P594">
        <v>4</v>
      </c>
      <c r="Q594" t="s">
        <v>15</v>
      </c>
    </row>
    <row r="595" spans="1:17" x14ac:dyDescent="0.55000000000000004">
      <c r="A595">
        <v>498</v>
      </c>
      <c r="B595" t="s">
        <v>0</v>
      </c>
      <c r="C595">
        <v>0.1</v>
      </c>
      <c r="D595" t="s">
        <v>18</v>
      </c>
      <c r="E595" t="s">
        <v>240</v>
      </c>
      <c r="F595" t="s">
        <v>37</v>
      </c>
      <c r="G595" t="s">
        <v>0</v>
      </c>
      <c r="H595">
        <v>8.3170000000000002</v>
      </c>
      <c r="I595" t="s">
        <v>461</v>
      </c>
      <c r="K595">
        <v>105544120</v>
      </c>
      <c r="L595" s="2">
        <v>43290</v>
      </c>
      <c r="M595">
        <v>21</v>
      </c>
      <c r="N595">
        <v>1</v>
      </c>
      <c r="O595">
        <v>0</v>
      </c>
      <c r="P595">
        <v>1</v>
      </c>
      <c r="Q595" t="s">
        <v>21</v>
      </c>
    </row>
    <row r="596" spans="1:17" x14ac:dyDescent="0.55000000000000004">
      <c r="A596">
        <v>498</v>
      </c>
      <c r="B596" t="s">
        <v>0</v>
      </c>
      <c r="C596">
        <v>8.6999999999999994E-2</v>
      </c>
      <c r="D596" t="s">
        <v>18</v>
      </c>
      <c r="E596" t="s">
        <v>240</v>
      </c>
      <c r="F596" t="s">
        <v>37</v>
      </c>
      <c r="G596" t="s">
        <v>0</v>
      </c>
      <c r="H596">
        <v>8.33</v>
      </c>
      <c r="I596" t="s">
        <v>461</v>
      </c>
      <c r="K596">
        <v>104921320</v>
      </c>
      <c r="L596" s="2">
        <v>42647</v>
      </c>
      <c r="M596">
        <v>21</v>
      </c>
      <c r="N596">
        <v>1</v>
      </c>
      <c r="O596">
        <v>0</v>
      </c>
      <c r="P596">
        <v>1</v>
      </c>
      <c r="Q596" t="s">
        <v>21</v>
      </c>
    </row>
    <row r="597" spans="1:17" x14ac:dyDescent="0.55000000000000004">
      <c r="A597">
        <v>498</v>
      </c>
      <c r="B597" t="s">
        <v>4</v>
      </c>
      <c r="C597">
        <v>0.08</v>
      </c>
      <c r="D597" t="s">
        <v>18</v>
      </c>
      <c r="E597" t="s">
        <v>240</v>
      </c>
      <c r="F597" t="s">
        <v>37</v>
      </c>
      <c r="G597" t="s">
        <v>0</v>
      </c>
      <c r="H597">
        <v>8.3369999999999997</v>
      </c>
      <c r="I597" t="s">
        <v>461</v>
      </c>
      <c r="K597">
        <v>106296388</v>
      </c>
      <c r="L597" s="2">
        <v>43996</v>
      </c>
      <c r="M597">
        <v>27</v>
      </c>
      <c r="N597">
        <v>1</v>
      </c>
      <c r="O597">
        <v>0</v>
      </c>
      <c r="P597">
        <v>1</v>
      </c>
      <c r="Q597" t="s">
        <v>45</v>
      </c>
    </row>
    <row r="598" spans="1:17" x14ac:dyDescent="0.55000000000000004">
      <c r="A598">
        <v>498</v>
      </c>
      <c r="B598" t="s">
        <v>4</v>
      </c>
      <c r="C598">
        <v>0.1</v>
      </c>
      <c r="D598" t="s">
        <v>68</v>
      </c>
      <c r="E598" t="s">
        <v>37</v>
      </c>
      <c r="F598" t="s">
        <v>240</v>
      </c>
      <c r="G598" t="s">
        <v>0</v>
      </c>
      <c r="H598">
        <v>8.3379999999999992</v>
      </c>
      <c r="I598" t="s">
        <v>461</v>
      </c>
      <c r="K598">
        <v>106655133</v>
      </c>
      <c r="L598" s="2">
        <v>44363</v>
      </c>
      <c r="M598">
        <v>21</v>
      </c>
      <c r="N598">
        <v>1</v>
      </c>
      <c r="P598">
        <v>1</v>
      </c>
      <c r="Q598" t="s">
        <v>21</v>
      </c>
    </row>
    <row r="599" spans="1:17" x14ac:dyDescent="0.55000000000000004">
      <c r="A599">
        <v>498</v>
      </c>
      <c r="B599" t="s">
        <v>4</v>
      </c>
      <c r="C599">
        <v>0.1</v>
      </c>
      <c r="D599" t="s">
        <v>68</v>
      </c>
      <c r="E599" t="s">
        <v>37</v>
      </c>
      <c r="F599" t="s">
        <v>240</v>
      </c>
      <c r="G599" t="s">
        <v>0</v>
      </c>
      <c r="H599">
        <v>8.3379999999999992</v>
      </c>
      <c r="I599" t="s">
        <v>461</v>
      </c>
      <c r="K599">
        <v>105759503</v>
      </c>
      <c r="L599" s="2">
        <v>43487</v>
      </c>
      <c r="M599">
        <v>21</v>
      </c>
      <c r="N599">
        <v>1</v>
      </c>
      <c r="O599">
        <v>0</v>
      </c>
      <c r="P599">
        <v>1</v>
      </c>
      <c r="Q599" t="s">
        <v>15</v>
      </c>
    </row>
    <row r="600" spans="1:17" x14ac:dyDescent="0.55000000000000004">
      <c r="A600">
        <v>498</v>
      </c>
      <c r="B600" t="s">
        <v>4</v>
      </c>
      <c r="C600">
        <v>0.12</v>
      </c>
      <c r="D600" t="s">
        <v>68</v>
      </c>
      <c r="E600" t="s">
        <v>37</v>
      </c>
      <c r="F600" t="s">
        <v>240</v>
      </c>
      <c r="G600" t="s">
        <v>0</v>
      </c>
      <c r="H600">
        <v>8.3580000000000005</v>
      </c>
      <c r="I600" t="s">
        <v>461</v>
      </c>
      <c r="K600">
        <v>106628135</v>
      </c>
      <c r="L600" s="2">
        <v>44325</v>
      </c>
      <c r="M600">
        <v>21</v>
      </c>
      <c r="N600">
        <v>1</v>
      </c>
      <c r="P600">
        <v>1</v>
      </c>
      <c r="Q600" t="s">
        <v>15</v>
      </c>
    </row>
    <row r="601" spans="1:17" x14ac:dyDescent="0.55000000000000004">
      <c r="A601">
        <v>498</v>
      </c>
      <c r="B601" t="s">
        <v>0</v>
      </c>
      <c r="C601">
        <v>0.15</v>
      </c>
      <c r="D601" t="s">
        <v>68</v>
      </c>
      <c r="E601" t="s">
        <v>37</v>
      </c>
      <c r="F601" t="s">
        <v>240</v>
      </c>
      <c r="G601" t="s">
        <v>0</v>
      </c>
      <c r="H601">
        <v>8.3879999999999999</v>
      </c>
      <c r="I601" t="s">
        <v>461</v>
      </c>
      <c r="K601">
        <v>106366189</v>
      </c>
      <c r="L601" s="2">
        <v>44095</v>
      </c>
      <c r="M601">
        <v>21</v>
      </c>
      <c r="N601">
        <v>1</v>
      </c>
      <c r="O601">
        <v>4</v>
      </c>
      <c r="P601">
        <v>1</v>
      </c>
      <c r="Q601" t="s">
        <v>21</v>
      </c>
    </row>
    <row r="602" spans="1:17" x14ac:dyDescent="0.55000000000000004">
      <c r="A602">
        <v>498</v>
      </c>
      <c r="B602" t="s">
        <v>4</v>
      </c>
      <c r="C602">
        <v>8.9999999999999993E-3</v>
      </c>
      <c r="D602" t="s">
        <v>18</v>
      </c>
      <c r="E602" t="s">
        <v>240</v>
      </c>
      <c r="F602" t="s">
        <v>37</v>
      </c>
      <c r="G602" t="s">
        <v>0</v>
      </c>
      <c r="H602">
        <v>8.4079999999999995</v>
      </c>
      <c r="I602" t="s">
        <v>461</v>
      </c>
      <c r="K602">
        <v>105582004</v>
      </c>
      <c r="L602" s="2">
        <v>43325</v>
      </c>
      <c r="M602">
        <v>21</v>
      </c>
      <c r="N602">
        <v>1</v>
      </c>
      <c r="O602">
        <v>0</v>
      </c>
      <c r="P602">
        <v>1</v>
      </c>
      <c r="Q602" t="s">
        <v>21</v>
      </c>
    </row>
    <row r="603" spans="1:17" x14ac:dyDescent="0.55000000000000004">
      <c r="A603">
        <v>498</v>
      </c>
      <c r="B603" t="s">
        <v>4</v>
      </c>
      <c r="C603">
        <v>8.9999999999999993E-3</v>
      </c>
      <c r="D603" t="s">
        <v>18</v>
      </c>
      <c r="E603" t="s">
        <v>240</v>
      </c>
      <c r="F603" t="s">
        <v>37</v>
      </c>
      <c r="G603" t="s">
        <v>0</v>
      </c>
      <c r="H603">
        <v>8.4079999999999995</v>
      </c>
      <c r="I603" t="s">
        <v>461</v>
      </c>
      <c r="K603">
        <v>106141070</v>
      </c>
      <c r="L603" s="2">
        <v>43816</v>
      </c>
      <c r="M603">
        <v>21</v>
      </c>
      <c r="N603">
        <v>2</v>
      </c>
      <c r="O603">
        <v>0</v>
      </c>
      <c r="P603">
        <v>3</v>
      </c>
      <c r="Q603" t="s">
        <v>21</v>
      </c>
    </row>
    <row r="604" spans="1:17" x14ac:dyDescent="0.55000000000000004">
      <c r="A604">
        <v>498</v>
      </c>
      <c r="B604" t="s">
        <v>0</v>
      </c>
      <c r="C604">
        <v>8.0000000000000002E-3</v>
      </c>
      <c r="D604" t="s">
        <v>18</v>
      </c>
      <c r="E604" t="s">
        <v>240</v>
      </c>
      <c r="F604" t="s">
        <v>34</v>
      </c>
      <c r="G604" t="s">
        <v>0</v>
      </c>
      <c r="H604">
        <v>8.4090000000000007</v>
      </c>
      <c r="I604" t="s">
        <v>461</v>
      </c>
      <c r="K604">
        <v>105439169</v>
      </c>
      <c r="L604" s="2">
        <v>43178</v>
      </c>
      <c r="M604">
        <v>21</v>
      </c>
      <c r="N604">
        <v>1</v>
      </c>
      <c r="O604">
        <v>0</v>
      </c>
      <c r="P604">
        <v>1</v>
      </c>
      <c r="Q604" t="s">
        <v>21</v>
      </c>
    </row>
    <row r="605" spans="1:17" x14ac:dyDescent="0.55000000000000004">
      <c r="A605">
        <v>498</v>
      </c>
      <c r="B605" t="s">
        <v>4</v>
      </c>
      <c r="C605">
        <v>0</v>
      </c>
      <c r="E605" t="s">
        <v>240</v>
      </c>
      <c r="F605" t="s">
        <v>243</v>
      </c>
      <c r="G605" t="s">
        <v>0</v>
      </c>
      <c r="H605">
        <v>8.4169999999999998</v>
      </c>
      <c r="I605" t="s">
        <v>461</v>
      </c>
      <c r="K605">
        <v>106153299</v>
      </c>
      <c r="L605" s="2">
        <v>43830</v>
      </c>
      <c r="M605">
        <v>1</v>
      </c>
      <c r="N605">
        <v>1</v>
      </c>
      <c r="O605">
        <v>0</v>
      </c>
      <c r="P605">
        <v>4</v>
      </c>
      <c r="Q605" t="s">
        <v>15</v>
      </c>
    </row>
    <row r="606" spans="1:17" x14ac:dyDescent="0.55000000000000004">
      <c r="A606">
        <v>498</v>
      </c>
      <c r="B606" t="s">
        <v>4</v>
      </c>
      <c r="C606">
        <v>8.9999999999999993E-3</v>
      </c>
      <c r="D606" t="s">
        <v>68</v>
      </c>
      <c r="E606" t="s">
        <v>240</v>
      </c>
      <c r="F606" t="s">
        <v>37</v>
      </c>
      <c r="G606" t="s">
        <v>0</v>
      </c>
      <c r="H606">
        <v>8.4260000000000002</v>
      </c>
      <c r="I606" t="s">
        <v>461</v>
      </c>
      <c r="K606">
        <v>105236157</v>
      </c>
      <c r="L606" s="2">
        <v>42998</v>
      </c>
      <c r="M606">
        <v>2</v>
      </c>
      <c r="N606">
        <v>1</v>
      </c>
      <c r="O606">
        <v>0</v>
      </c>
      <c r="P606">
        <v>4</v>
      </c>
    </row>
    <row r="607" spans="1:17" x14ac:dyDescent="0.55000000000000004">
      <c r="A607">
        <v>498</v>
      </c>
      <c r="B607" t="s">
        <v>4</v>
      </c>
      <c r="C607">
        <v>1.9E-2</v>
      </c>
      <c r="D607" t="s">
        <v>68</v>
      </c>
      <c r="E607" t="s">
        <v>240</v>
      </c>
      <c r="F607" t="s">
        <v>37</v>
      </c>
      <c r="G607" t="s">
        <v>0</v>
      </c>
      <c r="H607">
        <v>8.4359999999999999</v>
      </c>
      <c r="I607" t="s">
        <v>461</v>
      </c>
      <c r="K607">
        <v>104939099</v>
      </c>
      <c r="L607" s="2">
        <v>42687</v>
      </c>
      <c r="M607">
        <v>21</v>
      </c>
      <c r="N607">
        <v>1</v>
      </c>
      <c r="O607">
        <v>0</v>
      </c>
      <c r="P607">
        <v>1</v>
      </c>
      <c r="Q607" t="s">
        <v>21</v>
      </c>
    </row>
    <row r="608" spans="1:17" x14ac:dyDescent="0.55000000000000004">
      <c r="A608">
        <v>498</v>
      </c>
      <c r="B608" t="s">
        <v>4</v>
      </c>
      <c r="C608">
        <v>3.7999999999999999E-2</v>
      </c>
      <c r="D608" t="s">
        <v>68</v>
      </c>
      <c r="E608" t="s">
        <v>240</v>
      </c>
      <c r="F608" t="s">
        <v>37</v>
      </c>
      <c r="G608" t="s">
        <v>0</v>
      </c>
      <c r="H608">
        <v>8.4550000000000001</v>
      </c>
      <c r="I608" t="s">
        <v>461</v>
      </c>
      <c r="K608">
        <v>105461696</v>
      </c>
      <c r="L608" s="2">
        <v>43207</v>
      </c>
      <c r="M608">
        <v>2</v>
      </c>
      <c r="N608">
        <v>1</v>
      </c>
      <c r="O608">
        <v>0</v>
      </c>
      <c r="P608">
        <v>1</v>
      </c>
      <c r="Q608" t="s">
        <v>15</v>
      </c>
    </row>
    <row r="609" spans="1:17" x14ac:dyDescent="0.55000000000000004">
      <c r="A609">
        <v>498</v>
      </c>
      <c r="B609" t="s">
        <v>0</v>
      </c>
      <c r="C609">
        <v>3.7999999999999999E-2</v>
      </c>
      <c r="D609" t="s">
        <v>68</v>
      </c>
      <c r="E609" t="s">
        <v>240</v>
      </c>
      <c r="F609" t="s">
        <v>243</v>
      </c>
      <c r="G609" t="s">
        <v>0</v>
      </c>
      <c r="H609">
        <v>8.4550000000000001</v>
      </c>
      <c r="I609" t="s">
        <v>461</v>
      </c>
      <c r="K609">
        <v>105461699</v>
      </c>
      <c r="L609" s="2">
        <v>43206</v>
      </c>
      <c r="M609">
        <v>21</v>
      </c>
      <c r="N609">
        <v>1</v>
      </c>
      <c r="O609">
        <v>0</v>
      </c>
      <c r="P609">
        <v>1</v>
      </c>
      <c r="Q609" t="s">
        <v>21</v>
      </c>
    </row>
    <row r="610" spans="1:17" x14ac:dyDescent="0.55000000000000004">
      <c r="A610">
        <v>498</v>
      </c>
      <c r="B610" t="s">
        <v>0</v>
      </c>
      <c r="C610">
        <v>3.0000000000000001E-3</v>
      </c>
      <c r="D610" t="s">
        <v>68</v>
      </c>
      <c r="E610" t="s">
        <v>237</v>
      </c>
      <c r="F610" t="s">
        <v>244</v>
      </c>
      <c r="G610" t="s">
        <v>0</v>
      </c>
      <c r="H610">
        <v>8.5090000000000003</v>
      </c>
      <c r="I610" t="s">
        <v>461</v>
      </c>
      <c r="K610">
        <v>106519110</v>
      </c>
      <c r="L610" s="2">
        <v>44270</v>
      </c>
      <c r="M610">
        <v>21</v>
      </c>
      <c r="N610">
        <v>1</v>
      </c>
      <c r="O610">
        <v>0</v>
      </c>
      <c r="P610">
        <v>1</v>
      </c>
      <c r="Q610" t="s">
        <v>15</v>
      </c>
    </row>
    <row r="611" spans="1:17" x14ac:dyDescent="0.55000000000000004">
      <c r="A611">
        <v>498</v>
      </c>
      <c r="B611" t="s">
        <v>0</v>
      </c>
      <c r="C611">
        <v>0.5</v>
      </c>
      <c r="D611" t="s">
        <v>68</v>
      </c>
      <c r="E611" t="s">
        <v>236</v>
      </c>
      <c r="F611" t="s">
        <v>169</v>
      </c>
      <c r="G611" t="s">
        <v>0</v>
      </c>
      <c r="H611">
        <v>8.5150000000000006</v>
      </c>
      <c r="I611" t="s">
        <v>461</v>
      </c>
      <c r="K611">
        <v>105159132</v>
      </c>
      <c r="L611" s="2">
        <v>42928</v>
      </c>
      <c r="M611">
        <v>18</v>
      </c>
      <c r="N611">
        <v>1</v>
      </c>
      <c r="O611">
        <v>0</v>
      </c>
      <c r="P611">
        <v>1</v>
      </c>
      <c r="Q611" t="s">
        <v>21</v>
      </c>
    </row>
    <row r="612" spans="1:17" x14ac:dyDescent="0.55000000000000004">
      <c r="A612">
        <v>498</v>
      </c>
      <c r="B612" t="s">
        <v>4</v>
      </c>
      <c r="C612">
        <v>3.7999999999999999E-2</v>
      </c>
      <c r="D612" t="s">
        <v>68</v>
      </c>
      <c r="E612" t="s">
        <v>243</v>
      </c>
      <c r="F612" t="s">
        <v>245</v>
      </c>
      <c r="G612" t="s">
        <v>0</v>
      </c>
      <c r="H612">
        <v>8.5440000000000005</v>
      </c>
      <c r="I612" t="s">
        <v>461</v>
      </c>
      <c r="K612">
        <v>106351697</v>
      </c>
      <c r="L612" s="2">
        <v>44076</v>
      </c>
      <c r="M612">
        <v>1</v>
      </c>
      <c r="N612">
        <v>1</v>
      </c>
      <c r="P612">
        <v>1</v>
      </c>
      <c r="Q612" t="s">
        <v>15</v>
      </c>
    </row>
    <row r="613" spans="1:17" x14ac:dyDescent="0.55000000000000004">
      <c r="A613">
        <v>498</v>
      </c>
      <c r="B613" t="s">
        <v>0</v>
      </c>
      <c r="C613">
        <v>0.10199999999999999</v>
      </c>
      <c r="D613" t="s">
        <v>68</v>
      </c>
      <c r="E613" t="s">
        <v>243</v>
      </c>
      <c r="F613" t="s">
        <v>246</v>
      </c>
      <c r="G613" t="s">
        <v>0</v>
      </c>
      <c r="H613">
        <v>8.6080000000000005</v>
      </c>
      <c r="I613" t="s">
        <v>461</v>
      </c>
      <c r="K613">
        <v>105123841</v>
      </c>
      <c r="L613" s="2">
        <v>42881</v>
      </c>
      <c r="M613">
        <v>2</v>
      </c>
      <c r="N613">
        <v>1</v>
      </c>
      <c r="P613">
        <v>1</v>
      </c>
      <c r="Q613" t="s">
        <v>21</v>
      </c>
    </row>
    <row r="614" spans="1:17" x14ac:dyDescent="0.55000000000000004">
      <c r="A614">
        <v>498</v>
      </c>
      <c r="B614" t="s">
        <v>4</v>
      </c>
      <c r="C614">
        <v>1</v>
      </c>
      <c r="D614" t="s">
        <v>18</v>
      </c>
      <c r="E614" t="s">
        <v>162</v>
      </c>
      <c r="F614" t="s">
        <v>246</v>
      </c>
      <c r="G614" t="s">
        <v>0</v>
      </c>
      <c r="H614">
        <v>8.6539999999999999</v>
      </c>
      <c r="I614" t="s">
        <v>461</v>
      </c>
      <c r="K614">
        <v>105586867</v>
      </c>
      <c r="L614" s="2">
        <v>43333</v>
      </c>
      <c r="M614">
        <v>21</v>
      </c>
      <c r="N614">
        <v>1</v>
      </c>
      <c r="O614">
        <v>0</v>
      </c>
      <c r="P614">
        <v>1</v>
      </c>
      <c r="Q614" t="s">
        <v>21</v>
      </c>
    </row>
    <row r="615" spans="1:17" x14ac:dyDescent="0.55000000000000004">
      <c r="A615">
        <v>0</v>
      </c>
      <c r="B615" t="s">
        <v>0</v>
      </c>
      <c r="C615">
        <v>0.04</v>
      </c>
      <c r="D615" t="s">
        <v>18</v>
      </c>
      <c r="E615" t="s">
        <v>169</v>
      </c>
      <c r="F615" t="s">
        <v>163</v>
      </c>
      <c r="G615" t="s">
        <v>0</v>
      </c>
      <c r="H615">
        <v>8.6620000000000008</v>
      </c>
      <c r="I615" t="s">
        <v>461</v>
      </c>
      <c r="K615">
        <v>104868716</v>
      </c>
      <c r="L615" s="2">
        <v>42644</v>
      </c>
      <c r="M615">
        <v>17</v>
      </c>
      <c r="N615">
        <v>1</v>
      </c>
      <c r="O615">
        <v>0</v>
      </c>
      <c r="P615">
        <v>5</v>
      </c>
      <c r="Q615" t="s">
        <v>21</v>
      </c>
    </row>
    <row r="616" spans="1:17" x14ac:dyDescent="0.55000000000000004">
      <c r="A616">
        <v>498</v>
      </c>
      <c r="B616" t="s">
        <v>4</v>
      </c>
      <c r="C616">
        <v>0</v>
      </c>
      <c r="D616" t="s">
        <v>18</v>
      </c>
      <c r="E616" t="s">
        <v>246</v>
      </c>
      <c r="F616" t="s">
        <v>243</v>
      </c>
      <c r="G616" t="s">
        <v>0</v>
      </c>
      <c r="H616">
        <v>8.702</v>
      </c>
      <c r="I616" t="s">
        <v>461</v>
      </c>
      <c r="K616">
        <v>105481766</v>
      </c>
      <c r="L616" s="2">
        <v>43228</v>
      </c>
      <c r="M616">
        <v>21</v>
      </c>
      <c r="N616">
        <v>1</v>
      </c>
      <c r="O616">
        <v>0</v>
      </c>
      <c r="P616">
        <v>1</v>
      </c>
      <c r="Q616" t="s">
        <v>21</v>
      </c>
    </row>
    <row r="617" spans="1:17" x14ac:dyDescent="0.55000000000000004">
      <c r="A617">
        <v>498</v>
      </c>
      <c r="B617" t="s">
        <v>4</v>
      </c>
      <c r="C617">
        <v>0</v>
      </c>
      <c r="E617" t="s">
        <v>246</v>
      </c>
      <c r="F617" t="s">
        <v>4</v>
      </c>
      <c r="G617" t="s">
        <v>0</v>
      </c>
      <c r="H617">
        <v>8.702</v>
      </c>
      <c r="I617" t="s">
        <v>461</v>
      </c>
      <c r="K617">
        <v>106101241</v>
      </c>
      <c r="L617" s="2">
        <v>43798</v>
      </c>
      <c r="M617">
        <v>17</v>
      </c>
      <c r="N617">
        <v>1</v>
      </c>
      <c r="O617">
        <v>0</v>
      </c>
      <c r="P617">
        <v>1</v>
      </c>
      <c r="Q617" t="s">
        <v>21</v>
      </c>
    </row>
    <row r="618" spans="1:17" x14ac:dyDescent="0.55000000000000004">
      <c r="A618">
        <v>0</v>
      </c>
      <c r="B618" t="s">
        <v>0</v>
      </c>
      <c r="C618">
        <v>0</v>
      </c>
      <c r="E618" t="s">
        <v>169</v>
      </c>
      <c r="F618" t="s">
        <v>163</v>
      </c>
      <c r="G618" t="s">
        <v>0</v>
      </c>
      <c r="H618">
        <v>8.702</v>
      </c>
      <c r="I618" t="s">
        <v>461</v>
      </c>
      <c r="K618">
        <v>105804645</v>
      </c>
      <c r="L618" s="2">
        <v>43540</v>
      </c>
      <c r="M618">
        <v>17</v>
      </c>
      <c r="N618">
        <v>1</v>
      </c>
      <c r="O618">
        <v>0</v>
      </c>
      <c r="P618">
        <v>5</v>
      </c>
      <c r="Q618" t="s">
        <v>21</v>
      </c>
    </row>
    <row r="619" spans="1:17" x14ac:dyDescent="0.55000000000000004">
      <c r="A619">
        <v>0</v>
      </c>
      <c r="B619" t="s">
        <v>0</v>
      </c>
      <c r="C619">
        <v>2E-3</v>
      </c>
      <c r="D619" t="s">
        <v>68</v>
      </c>
      <c r="E619" t="s">
        <v>169</v>
      </c>
      <c r="F619" t="s">
        <v>163</v>
      </c>
      <c r="G619" t="s">
        <v>0</v>
      </c>
      <c r="H619">
        <v>8.7040000000000006</v>
      </c>
      <c r="I619" t="s">
        <v>461</v>
      </c>
      <c r="K619">
        <v>105215230</v>
      </c>
      <c r="L619" s="2">
        <v>42986</v>
      </c>
      <c r="M619">
        <v>17</v>
      </c>
      <c r="N619">
        <v>1</v>
      </c>
      <c r="O619">
        <v>0</v>
      </c>
      <c r="P619">
        <v>1</v>
      </c>
      <c r="Q619" t="s">
        <v>21</v>
      </c>
    </row>
    <row r="620" spans="1:17" x14ac:dyDescent="0.55000000000000004">
      <c r="A620">
        <v>0</v>
      </c>
      <c r="B620" t="s">
        <v>0</v>
      </c>
      <c r="C620">
        <v>1.9E-2</v>
      </c>
      <c r="D620" t="s">
        <v>68</v>
      </c>
      <c r="E620" t="s">
        <v>169</v>
      </c>
      <c r="F620" t="s">
        <v>163</v>
      </c>
      <c r="G620" t="s">
        <v>0</v>
      </c>
      <c r="H620">
        <v>8.7210000000000001</v>
      </c>
      <c r="I620" t="s">
        <v>461</v>
      </c>
      <c r="K620">
        <v>105679536</v>
      </c>
      <c r="L620" s="2">
        <v>43420</v>
      </c>
      <c r="M620">
        <v>21</v>
      </c>
      <c r="N620">
        <v>1</v>
      </c>
      <c r="O620">
        <v>0</v>
      </c>
      <c r="P620">
        <v>1</v>
      </c>
      <c r="Q620" t="s">
        <v>21</v>
      </c>
    </row>
    <row r="621" spans="1:17" x14ac:dyDescent="0.55000000000000004">
      <c r="A621">
        <v>498</v>
      </c>
      <c r="B621" t="s">
        <v>4</v>
      </c>
      <c r="C621">
        <v>0.5</v>
      </c>
      <c r="D621" t="s">
        <v>68</v>
      </c>
      <c r="E621" t="s">
        <v>37</v>
      </c>
      <c r="F621" t="s">
        <v>240</v>
      </c>
      <c r="G621" t="s">
        <v>0</v>
      </c>
      <c r="H621">
        <v>8.7379999999999995</v>
      </c>
      <c r="I621" t="s">
        <v>461</v>
      </c>
      <c r="K621">
        <v>105845619</v>
      </c>
      <c r="L621" s="2">
        <v>43564</v>
      </c>
      <c r="M621">
        <v>21</v>
      </c>
      <c r="N621">
        <v>1</v>
      </c>
      <c r="O621">
        <v>0</v>
      </c>
      <c r="P621">
        <v>1</v>
      </c>
      <c r="Q621" t="s">
        <v>21</v>
      </c>
    </row>
    <row r="622" spans="1:17" x14ac:dyDescent="0.55000000000000004">
      <c r="A622">
        <v>0</v>
      </c>
      <c r="B622" t="s">
        <v>0</v>
      </c>
      <c r="C622">
        <v>0.1</v>
      </c>
      <c r="D622" t="s">
        <v>68</v>
      </c>
      <c r="E622" t="s">
        <v>169</v>
      </c>
      <c r="F622" t="s">
        <v>163</v>
      </c>
      <c r="G622" t="s">
        <v>0</v>
      </c>
      <c r="H622">
        <v>8.8019999999999996</v>
      </c>
      <c r="I622" t="s">
        <v>461</v>
      </c>
      <c r="K622">
        <v>105815996</v>
      </c>
      <c r="L622" s="2">
        <v>43542</v>
      </c>
      <c r="M622">
        <v>29</v>
      </c>
      <c r="N622">
        <v>1</v>
      </c>
      <c r="O622">
        <v>0</v>
      </c>
      <c r="P622">
        <v>1</v>
      </c>
      <c r="Q622" t="s">
        <v>21</v>
      </c>
    </row>
    <row r="623" spans="1:17" x14ac:dyDescent="0.55000000000000004">
      <c r="A623">
        <v>0</v>
      </c>
      <c r="B623" t="s">
        <v>0</v>
      </c>
      <c r="C623">
        <v>0.1</v>
      </c>
      <c r="D623" t="s">
        <v>68</v>
      </c>
      <c r="E623" t="s">
        <v>169</v>
      </c>
      <c r="F623" t="s">
        <v>163</v>
      </c>
      <c r="G623" t="s">
        <v>0</v>
      </c>
      <c r="H623">
        <v>8.8019999999999996</v>
      </c>
      <c r="I623" t="s">
        <v>461</v>
      </c>
      <c r="K623">
        <v>105350921</v>
      </c>
      <c r="L623" s="2">
        <v>43112</v>
      </c>
      <c r="M623">
        <v>21</v>
      </c>
      <c r="N623">
        <v>2</v>
      </c>
      <c r="O623">
        <v>0</v>
      </c>
      <c r="P623">
        <v>1</v>
      </c>
      <c r="Q623" t="s">
        <v>15</v>
      </c>
    </row>
    <row r="624" spans="1:17" x14ac:dyDescent="0.55000000000000004">
      <c r="A624">
        <v>0</v>
      </c>
      <c r="B624" t="s">
        <v>0</v>
      </c>
      <c r="C624">
        <v>0.1</v>
      </c>
      <c r="D624" t="s">
        <v>68</v>
      </c>
      <c r="E624" t="s">
        <v>169</v>
      </c>
      <c r="F624" t="s">
        <v>163</v>
      </c>
      <c r="G624" t="s">
        <v>0</v>
      </c>
      <c r="H624">
        <v>8.8019999999999996</v>
      </c>
      <c r="I624" t="s">
        <v>461</v>
      </c>
      <c r="K624">
        <v>106370281</v>
      </c>
      <c r="L624" s="2">
        <v>44120</v>
      </c>
      <c r="M624">
        <v>17</v>
      </c>
      <c r="N624">
        <v>1</v>
      </c>
      <c r="O624">
        <v>0</v>
      </c>
      <c r="P624">
        <v>5</v>
      </c>
      <c r="Q624" t="s">
        <v>21</v>
      </c>
    </row>
    <row r="625" spans="1:17" x14ac:dyDescent="0.55000000000000004">
      <c r="A625">
        <v>0</v>
      </c>
      <c r="B625" t="s">
        <v>0</v>
      </c>
      <c r="C625">
        <v>0.1</v>
      </c>
      <c r="D625" t="s">
        <v>68</v>
      </c>
      <c r="E625" t="s">
        <v>169</v>
      </c>
      <c r="F625" t="s">
        <v>163</v>
      </c>
      <c r="G625" t="s">
        <v>0</v>
      </c>
      <c r="H625">
        <v>8.8019999999999996</v>
      </c>
      <c r="I625" t="s">
        <v>461</v>
      </c>
      <c r="K625">
        <v>105388649</v>
      </c>
      <c r="L625" s="2">
        <v>43151</v>
      </c>
      <c r="M625">
        <v>17</v>
      </c>
      <c r="N625">
        <v>2</v>
      </c>
      <c r="O625">
        <v>0</v>
      </c>
      <c r="P625">
        <v>5</v>
      </c>
      <c r="Q625" t="s">
        <v>21</v>
      </c>
    </row>
    <row r="626" spans="1:17" x14ac:dyDescent="0.55000000000000004">
      <c r="A626">
        <v>0</v>
      </c>
      <c r="B626" t="s">
        <v>0</v>
      </c>
      <c r="C626">
        <v>0.1</v>
      </c>
      <c r="D626" t="s">
        <v>68</v>
      </c>
      <c r="E626" t="s">
        <v>169</v>
      </c>
      <c r="F626" t="s">
        <v>237</v>
      </c>
      <c r="G626" t="s">
        <v>0</v>
      </c>
      <c r="H626">
        <v>8.8019999999999996</v>
      </c>
      <c r="I626" t="s">
        <v>461</v>
      </c>
      <c r="K626">
        <v>106447030</v>
      </c>
      <c r="L626" s="2">
        <v>44187</v>
      </c>
      <c r="M626">
        <v>19</v>
      </c>
      <c r="N626">
        <v>1</v>
      </c>
      <c r="O626">
        <v>0</v>
      </c>
      <c r="P626">
        <v>1</v>
      </c>
    </row>
    <row r="627" spans="1:17" x14ac:dyDescent="0.55000000000000004">
      <c r="A627">
        <v>498</v>
      </c>
      <c r="B627" t="s">
        <v>4</v>
      </c>
      <c r="C627">
        <v>0.2</v>
      </c>
      <c r="D627" t="s">
        <v>68</v>
      </c>
      <c r="E627" t="s">
        <v>246</v>
      </c>
      <c r="F627" t="s">
        <v>162</v>
      </c>
      <c r="G627" t="s">
        <v>0</v>
      </c>
      <c r="H627">
        <v>8.9019999999999992</v>
      </c>
      <c r="I627" t="s">
        <v>461</v>
      </c>
      <c r="K627">
        <v>105708309</v>
      </c>
      <c r="L627" s="2">
        <v>43433</v>
      </c>
      <c r="M627">
        <v>21</v>
      </c>
      <c r="N627">
        <v>1</v>
      </c>
      <c r="O627">
        <v>0</v>
      </c>
      <c r="P627">
        <v>1</v>
      </c>
      <c r="Q627" t="s">
        <v>21</v>
      </c>
    </row>
    <row r="628" spans="1:17" x14ac:dyDescent="0.55000000000000004">
      <c r="A628">
        <v>0</v>
      </c>
      <c r="B628" t="s">
        <v>0</v>
      </c>
      <c r="C628">
        <v>0.2</v>
      </c>
      <c r="D628" t="s">
        <v>68</v>
      </c>
      <c r="E628" t="s">
        <v>169</v>
      </c>
      <c r="F628" t="s">
        <v>163</v>
      </c>
      <c r="G628" t="s">
        <v>0</v>
      </c>
      <c r="H628">
        <v>8.9019999999999992</v>
      </c>
      <c r="I628" t="s">
        <v>461</v>
      </c>
      <c r="K628">
        <v>106336845</v>
      </c>
      <c r="L628" s="2">
        <v>44088</v>
      </c>
      <c r="M628">
        <v>19</v>
      </c>
      <c r="N628">
        <v>1</v>
      </c>
      <c r="O628">
        <v>4</v>
      </c>
      <c r="P628">
        <v>1</v>
      </c>
      <c r="Q628" t="s">
        <v>21</v>
      </c>
    </row>
    <row r="629" spans="1:17" x14ac:dyDescent="0.55000000000000004">
      <c r="A629">
        <v>0</v>
      </c>
      <c r="B629" t="s">
        <v>0</v>
      </c>
      <c r="C629">
        <v>0.2</v>
      </c>
      <c r="D629" t="s">
        <v>68</v>
      </c>
      <c r="E629" t="s">
        <v>169</v>
      </c>
      <c r="F629" t="s">
        <v>163</v>
      </c>
      <c r="G629" t="s">
        <v>0</v>
      </c>
      <c r="H629">
        <v>8.9019999999999992</v>
      </c>
      <c r="I629" t="s">
        <v>461</v>
      </c>
      <c r="K629">
        <v>104853063</v>
      </c>
      <c r="L629" s="2">
        <v>42628</v>
      </c>
      <c r="M629">
        <v>28</v>
      </c>
      <c r="N629">
        <v>1</v>
      </c>
      <c r="O629">
        <v>0</v>
      </c>
      <c r="P629">
        <v>4</v>
      </c>
      <c r="Q629" t="s">
        <v>21</v>
      </c>
    </row>
    <row r="630" spans="1:17" x14ac:dyDescent="0.55000000000000004">
      <c r="A630">
        <v>0</v>
      </c>
      <c r="B630" t="s">
        <v>0</v>
      </c>
      <c r="C630">
        <v>0.2</v>
      </c>
      <c r="D630" t="s">
        <v>68</v>
      </c>
      <c r="E630" t="s">
        <v>169</v>
      </c>
      <c r="F630" t="s">
        <v>163</v>
      </c>
      <c r="G630" t="s">
        <v>0</v>
      </c>
      <c r="H630">
        <v>8.9019999999999992</v>
      </c>
      <c r="I630" t="s">
        <v>461</v>
      </c>
      <c r="K630">
        <v>105318056</v>
      </c>
      <c r="L630" s="2">
        <v>43076</v>
      </c>
      <c r="M630">
        <v>28</v>
      </c>
      <c r="N630">
        <v>1</v>
      </c>
      <c r="O630">
        <v>0</v>
      </c>
      <c r="P630">
        <v>1</v>
      </c>
      <c r="Q630" t="s">
        <v>21</v>
      </c>
    </row>
    <row r="631" spans="1:17" x14ac:dyDescent="0.55000000000000004">
      <c r="A631">
        <v>0</v>
      </c>
      <c r="B631" t="s">
        <v>0</v>
      </c>
      <c r="C631">
        <v>0.75</v>
      </c>
      <c r="D631" t="s">
        <v>18</v>
      </c>
      <c r="E631" t="s">
        <v>163</v>
      </c>
      <c r="F631" t="s">
        <v>169</v>
      </c>
      <c r="G631" t="s">
        <v>0</v>
      </c>
      <c r="H631">
        <v>8.9039999999999999</v>
      </c>
      <c r="I631" t="s">
        <v>461</v>
      </c>
      <c r="K631">
        <v>106009223</v>
      </c>
      <c r="L631" s="2">
        <v>43720</v>
      </c>
      <c r="M631">
        <v>21</v>
      </c>
      <c r="N631">
        <v>1</v>
      </c>
      <c r="O631">
        <v>0</v>
      </c>
      <c r="P631">
        <v>1</v>
      </c>
      <c r="Q631" t="s">
        <v>15</v>
      </c>
    </row>
    <row r="632" spans="1:17" x14ac:dyDescent="0.55000000000000004">
      <c r="A632">
        <v>498</v>
      </c>
      <c r="B632" t="s">
        <v>4</v>
      </c>
      <c r="C632">
        <v>0.5</v>
      </c>
      <c r="D632" t="s">
        <v>68</v>
      </c>
      <c r="E632" t="s">
        <v>240</v>
      </c>
      <c r="F632" t="s">
        <v>243</v>
      </c>
      <c r="G632" t="s">
        <v>0</v>
      </c>
      <c r="H632">
        <v>8.9169999999999998</v>
      </c>
      <c r="I632" t="s">
        <v>461</v>
      </c>
      <c r="K632">
        <v>105787744</v>
      </c>
      <c r="L632" s="2">
        <v>43517</v>
      </c>
      <c r="M632">
        <v>21</v>
      </c>
      <c r="N632">
        <v>2</v>
      </c>
      <c r="O632">
        <v>0</v>
      </c>
      <c r="P632">
        <v>1</v>
      </c>
      <c r="Q632" t="s">
        <v>15</v>
      </c>
    </row>
    <row r="633" spans="1:17" x14ac:dyDescent="0.55000000000000004">
      <c r="A633">
        <v>0</v>
      </c>
      <c r="B633" t="s">
        <v>0</v>
      </c>
      <c r="C633">
        <v>0.3</v>
      </c>
      <c r="D633" t="s">
        <v>68</v>
      </c>
      <c r="E633" t="s">
        <v>169</v>
      </c>
      <c r="F633" t="s">
        <v>163</v>
      </c>
      <c r="G633" t="s">
        <v>0</v>
      </c>
      <c r="H633">
        <v>9.0020000000000007</v>
      </c>
      <c r="I633" t="s">
        <v>461</v>
      </c>
      <c r="K633">
        <v>105911160</v>
      </c>
      <c r="L633" s="2">
        <v>43640</v>
      </c>
      <c r="M633">
        <v>21</v>
      </c>
      <c r="N633">
        <v>2</v>
      </c>
      <c r="O633">
        <v>0</v>
      </c>
      <c r="P633">
        <v>5</v>
      </c>
      <c r="Q633" t="s">
        <v>167</v>
      </c>
    </row>
    <row r="634" spans="1:17" x14ac:dyDescent="0.55000000000000004">
      <c r="A634">
        <v>0</v>
      </c>
      <c r="B634" t="s">
        <v>0</v>
      </c>
      <c r="C634">
        <v>0.6</v>
      </c>
      <c r="D634" t="s">
        <v>18</v>
      </c>
      <c r="E634" t="s">
        <v>163</v>
      </c>
      <c r="F634" t="s">
        <v>247</v>
      </c>
      <c r="G634" t="s">
        <v>0</v>
      </c>
      <c r="H634">
        <v>9.0540000000000003</v>
      </c>
      <c r="I634" t="s">
        <v>461</v>
      </c>
      <c r="K634">
        <v>105284199</v>
      </c>
      <c r="L634" s="2">
        <v>43048</v>
      </c>
      <c r="M634">
        <v>19</v>
      </c>
      <c r="N634">
        <v>2</v>
      </c>
      <c r="O634">
        <v>0</v>
      </c>
      <c r="P634">
        <v>1</v>
      </c>
      <c r="Q634" t="s">
        <v>15</v>
      </c>
    </row>
    <row r="635" spans="1:17" x14ac:dyDescent="0.55000000000000004">
      <c r="A635">
        <v>0</v>
      </c>
      <c r="B635" t="s">
        <v>0</v>
      </c>
      <c r="C635">
        <v>0.6</v>
      </c>
      <c r="D635" t="s">
        <v>18</v>
      </c>
      <c r="E635" t="s">
        <v>163</v>
      </c>
      <c r="F635" t="s">
        <v>169</v>
      </c>
      <c r="G635" t="s">
        <v>0</v>
      </c>
      <c r="H635">
        <v>9.0540000000000003</v>
      </c>
      <c r="I635" t="s">
        <v>461</v>
      </c>
      <c r="K635">
        <v>106032498</v>
      </c>
      <c r="L635" s="2">
        <v>43754</v>
      </c>
      <c r="M635">
        <v>22</v>
      </c>
      <c r="N635">
        <v>2</v>
      </c>
      <c r="O635">
        <v>0</v>
      </c>
      <c r="P635">
        <v>1</v>
      </c>
      <c r="Q635" t="s">
        <v>15</v>
      </c>
    </row>
    <row r="636" spans="1:17" x14ac:dyDescent="0.55000000000000004">
      <c r="A636">
        <v>0</v>
      </c>
      <c r="B636" t="s">
        <v>0</v>
      </c>
      <c r="C636">
        <v>0.4</v>
      </c>
      <c r="D636" t="s">
        <v>68</v>
      </c>
      <c r="E636" t="s">
        <v>169</v>
      </c>
      <c r="F636" t="s">
        <v>163</v>
      </c>
      <c r="G636" t="s">
        <v>0</v>
      </c>
      <c r="H636">
        <v>9.1020000000000003</v>
      </c>
      <c r="I636" t="s">
        <v>461</v>
      </c>
      <c r="K636">
        <v>106582260</v>
      </c>
      <c r="L636" s="2">
        <v>44339</v>
      </c>
      <c r="M636">
        <v>19</v>
      </c>
      <c r="N636">
        <v>1</v>
      </c>
      <c r="O636">
        <v>0</v>
      </c>
      <c r="P636">
        <v>5</v>
      </c>
      <c r="Q636" t="s">
        <v>15</v>
      </c>
    </row>
    <row r="637" spans="1:17" x14ac:dyDescent="0.55000000000000004">
      <c r="A637">
        <v>0</v>
      </c>
      <c r="B637" t="s">
        <v>0</v>
      </c>
      <c r="C637">
        <v>0.4</v>
      </c>
      <c r="D637" t="s">
        <v>68</v>
      </c>
      <c r="E637" t="s">
        <v>169</v>
      </c>
      <c r="F637" t="s">
        <v>163</v>
      </c>
      <c r="G637" t="s">
        <v>0</v>
      </c>
      <c r="H637">
        <v>9.1020000000000003</v>
      </c>
      <c r="I637" t="s">
        <v>461</v>
      </c>
      <c r="K637">
        <v>104920286</v>
      </c>
      <c r="L637" s="2">
        <v>42693</v>
      </c>
      <c r="M637">
        <v>17</v>
      </c>
      <c r="N637">
        <v>1</v>
      </c>
      <c r="O637">
        <v>0</v>
      </c>
      <c r="P637">
        <v>1</v>
      </c>
      <c r="Q637" t="s">
        <v>21</v>
      </c>
    </row>
    <row r="638" spans="1:17" x14ac:dyDescent="0.55000000000000004">
      <c r="A638">
        <v>0</v>
      </c>
      <c r="B638" t="s">
        <v>0</v>
      </c>
      <c r="C638">
        <v>0.5</v>
      </c>
      <c r="D638" t="s">
        <v>18</v>
      </c>
      <c r="E638" t="s">
        <v>163</v>
      </c>
      <c r="F638" t="s">
        <v>169</v>
      </c>
      <c r="G638" t="s">
        <v>0</v>
      </c>
      <c r="H638">
        <v>9.1539999999999999</v>
      </c>
      <c r="I638" t="s">
        <v>461</v>
      </c>
      <c r="K638">
        <v>106033253</v>
      </c>
      <c r="L638" s="2">
        <v>43758</v>
      </c>
      <c r="M638">
        <v>5</v>
      </c>
      <c r="N638">
        <v>2</v>
      </c>
      <c r="O638">
        <v>0</v>
      </c>
      <c r="P638">
        <v>3</v>
      </c>
    </row>
    <row r="639" spans="1:17" x14ac:dyDescent="0.55000000000000004">
      <c r="A639">
        <v>0</v>
      </c>
      <c r="B639" t="s">
        <v>0</v>
      </c>
      <c r="C639">
        <v>0.4</v>
      </c>
      <c r="D639" t="s">
        <v>18</v>
      </c>
      <c r="E639" t="s">
        <v>163</v>
      </c>
      <c r="F639" t="s">
        <v>237</v>
      </c>
      <c r="G639" t="s">
        <v>0</v>
      </c>
      <c r="H639">
        <v>9.2539999999999996</v>
      </c>
      <c r="I639" t="s">
        <v>461</v>
      </c>
      <c r="K639">
        <v>106072934</v>
      </c>
      <c r="L639" s="2">
        <v>43793</v>
      </c>
      <c r="M639">
        <v>19</v>
      </c>
      <c r="N639">
        <v>1</v>
      </c>
      <c r="O639">
        <v>0</v>
      </c>
      <c r="P639">
        <v>1</v>
      </c>
      <c r="Q639" t="s">
        <v>15</v>
      </c>
    </row>
    <row r="640" spans="1:17" x14ac:dyDescent="0.55000000000000004">
      <c r="A640">
        <v>0</v>
      </c>
      <c r="B640" t="s">
        <v>0</v>
      </c>
      <c r="C640">
        <v>0.56999999999999995</v>
      </c>
      <c r="D640" t="s">
        <v>68</v>
      </c>
      <c r="E640" t="s">
        <v>169</v>
      </c>
      <c r="F640" t="s">
        <v>163</v>
      </c>
      <c r="G640" t="s">
        <v>0</v>
      </c>
      <c r="H640">
        <v>9.2720000000000002</v>
      </c>
      <c r="I640" t="s">
        <v>461</v>
      </c>
      <c r="K640">
        <v>106653524</v>
      </c>
      <c r="L640" s="2">
        <v>44411</v>
      </c>
      <c r="M640">
        <v>19</v>
      </c>
      <c r="N640">
        <v>2</v>
      </c>
      <c r="O640">
        <v>0</v>
      </c>
      <c r="P640">
        <v>1</v>
      </c>
      <c r="Q640" t="s">
        <v>15</v>
      </c>
    </row>
    <row r="641" spans="1:17" x14ac:dyDescent="0.55000000000000004">
      <c r="A641">
        <v>0</v>
      </c>
      <c r="B641" t="s">
        <v>0</v>
      </c>
      <c r="C641">
        <v>0.3</v>
      </c>
      <c r="D641" t="s">
        <v>18</v>
      </c>
      <c r="E641" t="s">
        <v>163</v>
      </c>
      <c r="F641" t="s">
        <v>169</v>
      </c>
      <c r="G641" t="s">
        <v>0</v>
      </c>
      <c r="H641">
        <v>9.3539999999999992</v>
      </c>
      <c r="I641" t="s">
        <v>461</v>
      </c>
      <c r="K641">
        <v>105350967</v>
      </c>
      <c r="L641" s="2">
        <v>43112</v>
      </c>
      <c r="M641">
        <v>27</v>
      </c>
      <c r="N641">
        <v>2</v>
      </c>
      <c r="O641">
        <v>0</v>
      </c>
      <c r="P641">
        <v>1</v>
      </c>
      <c r="Q641" t="s">
        <v>15</v>
      </c>
    </row>
    <row r="642" spans="1:17" x14ac:dyDescent="0.55000000000000004">
      <c r="A642">
        <v>0</v>
      </c>
      <c r="B642" t="s">
        <v>0</v>
      </c>
      <c r="C642">
        <v>0.2</v>
      </c>
      <c r="D642" t="s">
        <v>18</v>
      </c>
      <c r="E642" t="s">
        <v>163</v>
      </c>
      <c r="F642" t="s">
        <v>169</v>
      </c>
      <c r="G642" t="s">
        <v>0</v>
      </c>
      <c r="H642">
        <v>9.4540000000000006</v>
      </c>
      <c r="I642" t="s">
        <v>461</v>
      </c>
      <c r="K642">
        <v>106493676</v>
      </c>
      <c r="L642" s="2">
        <v>44242</v>
      </c>
      <c r="M642">
        <v>29</v>
      </c>
      <c r="N642">
        <v>2</v>
      </c>
      <c r="O642">
        <v>0</v>
      </c>
      <c r="P642">
        <v>5</v>
      </c>
      <c r="Q642" t="s">
        <v>21</v>
      </c>
    </row>
    <row r="643" spans="1:17" x14ac:dyDescent="0.55000000000000004">
      <c r="A643">
        <v>0</v>
      </c>
      <c r="B643" t="s">
        <v>0</v>
      </c>
      <c r="C643">
        <v>0.2</v>
      </c>
      <c r="D643" t="s">
        <v>18</v>
      </c>
      <c r="E643" t="s">
        <v>163</v>
      </c>
      <c r="F643" t="s">
        <v>169</v>
      </c>
      <c r="G643" t="s">
        <v>0</v>
      </c>
      <c r="H643">
        <v>9.4540000000000006</v>
      </c>
      <c r="I643" t="s">
        <v>461</v>
      </c>
      <c r="K643">
        <v>104926318</v>
      </c>
      <c r="L643" s="2">
        <v>42699</v>
      </c>
      <c r="M643">
        <v>17</v>
      </c>
      <c r="N643">
        <v>1</v>
      </c>
      <c r="O643">
        <v>0</v>
      </c>
      <c r="P643">
        <v>5</v>
      </c>
      <c r="Q643" t="s">
        <v>21</v>
      </c>
    </row>
    <row r="644" spans="1:17" x14ac:dyDescent="0.55000000000000004">
      <c r="A644">
        <v>0</v>
      </c>
      <c r="B644" t="s">
        <v>0</v>
      </c>
      <c r="C644">
        <v>0.2</v>
      </c>
      <c r="D644" t="s">
        <v>18</v>
      </c>
      <c r="E644" t="s">
        <v>163</v>
      </c>
      <c r="F644" t="s">
        <v>169</v>
      </c>
      <c r="G644" t="s">
        <v>0</v>
      </c>
      <c r="H644">
        <v>9.4540000000000006</v>
      </c>
      <c r="I644" t="s">
        <v>461</v>
      </c>
      <c r="K644">
        <v>106289113</v>
      </c>
      <c r="L644" s="2">
        <v>44029</v>
      </c>
      <c r="M644">
        <v>5</v>
      </c>
      <c r="N644">
        <v>1</v>
      </c>
      <c r="O644">
        <v>0</v>
      </c>
      <c r="P644">
        <v>1</v>
      </c>
      <c r="Q644" t="s">
        <v>21</v>
      </c>
    </row>
    <row r="645" spans="1:17" x14ac:dyDescent="0.55000000000000004">
      <c r="A645">
        <v>498</v>
      </c>
      <c r="B645" t="s">
        <v>4</v>
      </c>
      <c r="C645">
        <v>0.1</v>
      </c>
      <c r="D645" t="s">
        <v>18</v>
      </c>
      <c r="E645" t="s">
        <v>162</v>
      </c>
      <c r="F645" t="s">
        <v>246</v>
      </c>
      <c r="G645" t="s">
        <v>0</v>
      </c>
      <c r="H645">
        <v>9.5540000000000003</v>
      </c>
      <c r="I645" t="s">
        <v>461</v>
      </c>
      <c r="K645">
        <v>106690052</v>
      </c>
      <c r="L645" s="2">
        <v>44392</v>
      </c>
      <c r="M645">
        <v>21</v>
      </c>
      <c r="N645">
        <v>1</v>
      </c>
      <c r="O645">
        <v>0</v>
      </c>
      <c r="P645">
        <v>1</v>
      </c>
      <c r="Q645" t="s">
        <v>15</v>
      </c>
    </row>
    <row r="646" spans="1:17" x14ac:dyDescent="0.55000000000000004">
      <c r="A646">
        <v>0</v>
      </c>
      <c r="B646" t="s">
        <v>0</v>
      </c>
      <c r="C646">
        <v>0.1</v>
      </c>
      <c r="D646" t="s">
        <v>18</v>
      </c>
      <c r="E646" t="s">
        <v>163</v>
      </c>
      <c r="F646" t="s">
        <v>247</v>
      </c>
      <c r="G646" t="s">
        <v>0</v>
      </c>
      <c r="H646">
        <v>9.5540000000000003</v>
      </c>
      <c r="I646" t="s">
        <v>461</v>
      </c>
      <c r="K646">
        <v>105686028</v>
      </c>
      <c r="L646" s="2">
        <v>43426</v>
      </c>
      <c r="M646">
        <v>17</v>
      </c>
      <c r="N646">
        <v>1</v>
      </c>
      <c r="O646">
        <v>0</v>
      </c>
      <c r="P646">
        <v>5</v>
      </c>
      <c r="Q646" t="s">
        <v>21</v>
      </c>
    </row>
    <row r="647" spans="1:17" x14ac:dyDescent="0.55000000000000004">
      <c r="A647">
        <v>0</v>
      </c>
      <c r="B647" t="s">
        <v>0</v>
      </c>
      <c r="C647">
        <v>0.1</v>
      </c>
      <c r="D647" t="s">
        <v>18</v>
      </c>
      <c r="E647" t="s">
        <v>163</v>
      </c>
      <c r="F647" t="s">
        <v>169</v>
      </c>
      <c r="G647" t="s">
        <v>0</v>
      </c>
      <c r="H647">
        <v>9.5540000000000003</v>
      </c>
      <c r="I647" t="s">
        <v>461</v>
      </c>
      <c r="K647">
        <v>105084088</v>
      </c>
      <c r="L647" s="2">
        <v>42858</v>
      </c>
      <c r="M647">
        <v>21</v>
      </c>
      <c r="N647">
        <v>1</v>
      </c>
      <c r="O647">
        <v>0</v>
      </c>
      <c r="P647">
        <v>1</v>
      </c>
      <c r="Q647" t="s">
        <v>21</v>
      </c>
    </row>
    <row r="648" spans="1:17" x14ac:dyDescent="0.55000000000000004">
      <c r="A648">
        <v>0</v>
      </c>
      <c r="B648" t="s">
        <v>0</v>
      </c>
      <c r="C648">
        <v>0.1</v>
      </c>
      <c r="D648" t="s">
        <v>18</v>
      </c>
      <c r="E648" t="s">
        <v>163</v>
      </c>
      <c r="F648" t="s">
        <v>169</v>
      </c>
      <c r="G648" t="s">
        <v>0</v>
      </c>
      <c r="H648">
        <v>9.5540000000000003</v>
      </c>
      <c r="I648" t="s">
        <v>461</v>
      </c>
      <c r="K648">
        <v>106039073</v>
      </c>
      <c r="L648" s="2">
        <v>43763</v>
      </c>
      <c r="M648">
        <v>19</v>
      </c>
      <c r="N648">
        <v>1</v>
      </c>
      <c r="O648">
        <v>0</v>
      </c>
      <c r="P648">
        <v>1</v>
      </c>
      <c r="Q648" t="s">
        <v>21</v>
      </c>
    </row>
    <row r="649" spans="1:17" x14ac:dyDescent="0.55000000000000004">
      <c r="A649">
        <v>498</v>
      </c>
      <c r="B649" t="s">
        <v>0</v>
      </c>
      <c r="C649">
        <v>0.9</v>
      </c>
      <c r="D649" t="s">
        <v>68</v>
      </c>
      <c r="E649" t="s">
        <v>246</v>
      </c>
      <c r="F649" t="s">
        <v>163</v>
      </c>
      <c r="G649" t="s">
        <v>0</v>
      </c>
      <c r="H649">
        <v>9.6020000000000003</v>
      </c>
      <c r="I649" t="s">
        <v>461</v>
      </c>
      <c r="K649">
        <v>105435222</v>
      </c>
      <c r="L649" s="2">
        <v>43168</v>
      </c>
      <c r="M649">
        <v>21</v>
      </c>
      <c r="N649">
        <v>1</v>
      </c>
      <c r="O649">
        <v>12</v>
      </c>
      <c r="P649">
        <v>1</v>
      </c>
      <c r="Q649" t="s">
        <v>15</v>
      </c>
    </row>
    <row r="650" spans="1:17" x14ac:dyDescent="0.55000000000000004">
      <c r="A650">
        <v>498</v>
      </c>
      <c r="B650" t="s">
        <v>0</v>
      </c>
      <c r="C650">
        <v>0.91</v>
      </c>
      <c r="D650" t="s">
        <v>68</v>
      </c>
      <c r="E650" t="s">
        <v>246</v>
      </c>
      <c r="F650" t="s">
        <v>163</v>
      </c>
      <c r="G650" t="s">
        <v>0</v>
      </c>
      <c r="H650">
        <v>9.6120000000000001</v>
      </c>
      <c r="I650" t="s">
        <v>461</v>
      </c>
      <c r="K650">
        <v>105958125</v>
      </c>
      <c r="L650" s="2">
        <v>43677</v>
      </c>
      <c r="M650">
        <v>21</v>
      </c>
      <c r="N650">
        <v>1</v>
      </c>
      <c r="O650">
        <v>7</v>
      </c>
      <c r="P650">
        <v>1</v>
      </c>
      <c r="Q650" t="s">
        <v>21</v>
      </c>
    </row>
    <row r="651" spans="1:17" x14ac:dyDescent="0.55000000000000004">
      <c r="A651">
        <v>0</v>
      </c>
      <c r="B651" t="s">
        <v>0</v>
      </c>
      <c r="C651">
        <v>0.01</v>
      </c>
      <c r="D651" t="s">
        <v>18</v>
      </c>
      <c r="E651" t="s">
        <v>163</v>
      </c>
      <c r="F651" t="s">
        <v>247</v>
      </c>
      <c r="G651" t="s">
        <v>0</v>
      </c>
      <c r="H651">
        <v>9.6440000000000001</v>
      </c>
      <c r="I651" t="s">
        <v>461</v>
      </c>
      <c r="K651">
        <v>104912589</v>
      </c>
      <c r="L651" s="2">
        <v>42684</v>
      </c>
      <c r="M651">
        <v>17</v>
      </c>
      <c r="N651">
        <v>1</v>
      </c>
      <c r="P651">
        <v>5</v>
      </c>
      <c r="Q651" t="s">
        <v>21</v>
      </c>
    </row>
    <row r="652" spans="1:17" x14ac:dyDescent="0.55000000000000004">
      <c r="A652">
        <v>0</v>
      </c>
      <c r="B652" t="s">
        <v>0</v>
      </c>
      <c r="C652">
        <v>8.9999999999999993E-3</v>
      </c>
      <c r="D652" t="s">
        <v>18</v>
      </c>
      <c r="E652" t="s">
        <v>163</v>
      </c>
      <c r="F652" t="s">
        <v>247</v>
      </c>
      <c r="G652" t="s">
        <v>0</v>
      </c>
      <c r="H652">
        <v>9.6449999999999996</v>
      </c>
      <c r="I652" t="s">
        <v>461</v>
      </c>
      <c r="K652">
        <v>105566668</v>
      </c>
      <c r="L652" s="2">
        <v>43320</v>
      </c>
      <c r="M652">
        <v>19</v>
      </c>
      <c r="N652">
        <v>2</v>
      </c>
      <c r="O652">
        <v>0</v>
      </c>
      <c r="P652">
        <v>5</v>
      </c>
    </row>
    <row r="653" spans="1:17" x14ac:dyDescent="0.55000000000000004">
      <c r="A653">
        <v>0</v>
      </c>
      <c r="B653" t="s">
        <v>0</v>
      </c>
      <c r="C653">
        <v>8.0000000000000002E-3</v>
      </c>
      <c r="D653" t="s">
        <v>18</v>
      </c>
      <c r="E653" t="s">
        <v>163</v>
      </c>
      <c r="F653" t="s">
        <v>171</v>
      </c>
      <c r="G653" t="s">
        <v>0</v>
      </c>
      <c r="H653">
        <v>9.6460000000000008</v>
      </c>
      <c r="I653" t="s">
        <v>461</v>
      </c>
      <c r="K653">
        <v>106076193</v>
      </c>
      <c r="L653" s="2">
        <v>43794</v>
      </c>
      <c r="M653">
        <v>21</v>
      </c>
      <c r="N653">
        <v>1</v>
      </c>
      <c r="O653">
        <v>7</v>
      </c>
      <c r="P653">
        <v>1</v>
      </c>
      <c r="Q653" t="s">
        <v>21</v>
      </c>
    </row>
    <row r="654" spans="1:17" x14ac:dyDescent="0.55000000000000004">
      <c r="A654">
        <v>498</v>
      </c>
      <c r="B654" t="s">
        <v>4</v>
      </c>
      <c r="C654">
        <v>2E-3</v>
      </c>
      <c r="D654" t="s">
        <v>18</v>
      </c>
      <c r="E654" t="s">
        <v>162</v>
      </c>
      <c r="F654" t="s">
        <v>248</v>
      </c>
      <c r="G654" t="s">
        <v>0</v>
      </c>
      <c r="H654">
        <v>9.6519999999999992</v>
      </c>
      <c r="I654" t="s">
        <v>461</v>
      </c>
      <c r="K654">
        <v>106725793</v>
      </c>
      <c r="L654" s="2">
        <v>44429</v>
      </c>
      <c r="M654">
        <v>21</v>
      </c>
      <c r="N654">
        <v>1</v>
      </c>
      <c r="P654">
        <v>5</v>
      </c>
      <c r="Q654" t="s">
        <v>21</v>
      </c>
    </row>
    <row r="655" spans="1:17" x14ac:dyDescent="0.55000000000000004">
      <c r="A655">
        <v>498</v>
      </c>
      <c r="B655" t="s">
        <v>4</v>
      </c>
      <c r="C655">
        <v>0</v>
      </c>
      <c r="E655" t="s">
        <v>162</v>
      </c>
      <c r="F655" t="s">
        <v>251</v>
      </c>
      <c r="G655" t="s">
        <v>0</v>
      </c>
      <c r="H655">
        <v>9.6539999999999999</v>
      </c>
      <c r="I655" t="s">
        <v>461</v>
      </c>
      <c r="K655">
        <v>105958132</v>
      </c>
      <c r="L655" s="2">
        <v>43681</v>
      </c>
      <c r="M655">
        <v>21</v>
      </c>
      <c r="N655">
        <v>1</v>
      </c>
      <c r="O655">
        <v>0</v>
      </c>
      <c r="P655">
        <v>1</v>
      </c>
      <c r="Q655" t="s">
        <v>21</v>
      </c>
    </row>
    <row r="656" spans="1:17" x14ac:dyDescent="0.55000000000000004">
      <c r="A656">
        <v>498</v>
      </c>
      <c r="B656" t="s">
        <v>4</v>
      </c>
      <c r="C656">
        <v>0</v>
      </c>
      <c r="E656" t="s">
        <v>162</v>
      </c>
      <c r="F656" t="s">
        <v>252</v>
      </c>
      <c r="G656" t="s">
        <v>0</v>
      </c>
      <c r="H656">
        <v>9.6539999999999999</v>
      </c>
      <c r="I656" t="s">
        <v>461</v>
      </c>
      <c r="K656">
        <v>106461072</v>
      </c>
      <c r="L656" s="2">
        <v>44177</v>
      </c>
      <c r="M656">
        <v>21</v>
      </c>
      <c r="N656">
        <v>1</v>
      </c>
      <c r="O656">
        <v>7</v>
      </c>
      <c r="P656">
        <v>5</v>
      </c>
      <c r="Q656" t="s">
        <v>21</v>
      </c>
    </row>
    <row r="657" spans="1:17" x14ac:dyDescent="0.55000000000000004">
      <c r="A657">
        <v>498</v>
      </c>
      <c r="B657" t="s">
        <v>4</v>
      </c>
      <c r="C657">
        <v>0</v>
      </c>
      <c r="E657" t="s">
        <v>162</v>
      </c>
      <c r="F657" t="s">
        <v>252</v>
      </c>
      <c r="G657" t="s">
        <v>0</v>
      </c>
      <c r="H657">
        <v>9.6539999999999999</v>
      </c>
      <c r="I657" t="s">
        <v>461</v>
      </c>
      <c r="K657">
        <v>105982608</v>
      </c>
      <c r="L657" s="2">
        <v>43704</v>
      </c>
      <c r="M657">
        <v>21</v>
      </c>
      <c r="N657">
        <v>2</v>
      </c>
      <c r="O657">
        <v>0</v>
      </c>
      <c r="P657">
        <v>1</v>
      </c>
      <c r="Q657" t="s">
        <v>21</v>
      </c>
    </row>
    <row r="658" spans="1:17" x14ac:dyDescent="0.55000000000000004">
      <c r="A658">
        <v>498</v>
      </c>
      <c r="B658" t="s">
        <v>4</v>
      </c>
      <c r="C658">
        <v>0</v>
      </c>
      <c r="E658" t="s">
        <v>162</v>
      </c>
      <c r="F658" t="s">
        <v>248</v>
      </c>
      <c r="G658" t="s">
        <v>0</v>
      </c>
      <c r="H658">
        <v>9.6539999999999999</v>
      </c>
      <c r="I658" t="s">
        <v>461</v>
      </c>
      <c r="K658">
        <v>106234549</v>
      </c>
      <c r="L658" s="2">
        <v>43912</v>
      </c>
      <c r="M658">
        <v>21</v>
      </c>
      <c r="N658">
        <v>1</v>
      </c>
      <c r="O658">
        <v>0</v>
      </c>
      <c r="P658">
        <v>1</v>
      </c>
      <c r="Q658" t="s">
        <v>21</v>
      </c>
    </row>
    <row r="659" spans="1:17" x14ac:dyDescent="0.55000000000000004">
      <c r="A659">
        <v>498</v>
      </c>
      <c r="B659" t="s">
        <v>4</v>
      </c>
      <c r="C659">
        <v>0</v>
      </c>
      <c r="E659" t="s">
        <v>162</v>
      </c>
      <c r="F659" t="s">
        <v>162</v>
      </c>
      <c r="G659" t="s">
        <v>0</v>
      </c>
      <c r="H659">
        <v>9.6539999999999999</v>
      </c>
      <c r="I659" t="s">
        <v>461</v>
      </c>
      <c r="K659">
        <v>105651048</v>
      </c>
      <c r="L659" s="2">
        <v>43385</v>
      </c>
      <c r="M659">
        <v>21</v>
      </c>
      <c r="N659">
        <v>1</v>
      </c>
      <c r="O659">
        <v>7</v>
      </c>
      <c r="P659">
        <v>1</v>
      </c>
      <c r="Q659" t="s">
        <v>21</v>
      </c>
    </row>
    <row r="660" spans="1:17" x14ac:dyDescent="0.55000000000000004">
      <c r="A660">
        <v>498</v>
      </c>
      <c r="B660" t="s">
        <v>4</v>
      </c>
      <c r="C660">
        <v>0</v>
      </c>
      <c r="E660" t="s">
        <v>162</v>
      </c>
      <c r="F660" t="s">
        <v>162</v>
      </c>
      <c r="G660" t="s">
        <v>0</v>
      </c>
      <c r="H660">
        <v>9.6539999999999999</v>
      </c>
      <c r="I660" t="s">
        <v>461</v>
      </c>
      <c r="K660">
        <v>105565330</v>
      </c>
      <c r="L660" s="2">
        <v>43307</v>
      </c>
      <c r="M660">
        <v>21</v>
      </c>
      <c r="N660">
        <v>1</v>
      </c>
      <c r="O660">
        <v>7</v>
      </c>
      <c r="P660">
        <v>1</v>
      </c>
      <c r="Q660" t="s">
        <v>21</v>
      </c>
    </row>
    <row r="661" spans="1:17" x14ac:dyDescent="0.55000000000000004">
      <c r="A661">
        <v>498</v>
      </c>
      <c r="B661" t="s">
        <v>4</v>
      </c>
      <c r="C661">
        <v>0</v>
      </c>
      <c r="E661" t="s">
        <v>162</v>
      </c>
      <c r="F661" t="s">
        <v>162</v>
      </c>
      <c r="G661" t="s">
        <v>0</v>
      </c>
      <c r="H661">
        <v>9.6539999999999999</v>
      </c>
      <c r="I661" t="s">
        <v>461</v>
      </c>
      <c r="K661">
        <v>105011662</v>
      </c>
      <c r="L661" s="2">
        <v>42720</v>
      </c>
      <c r="M661">
        <v>21</v>
      </c>
      <c r="N661">
        <v>1</v>
      </c>
      <c r="P661">
        <v>4</v>
      </c>
      <c r="Q661" t="s">
        <v>21</v>
      </c>
    </row>
    <row r="662" spans="1:17" x14ac:dyDescent="0.55000000000000004">
      <c r="A662">
        <v>498</v>
      </c>
      <c r="B662" t="s">
        <v>4</v>
      </c>
      <c r="C662">
        <v>0</v>
      </c>
      <c r="E662" t="s">
        <v>162</v>
      </c>
      <c r="F662" t="s">
        <v>249</v>
      </c>
      <c r="G662" t="s">
        <v>0</v>
      </c>
      <c r="H662">
        <v>9.6539999999999999</v>
      </c>
      <c r="I662" t="s">
        <v>461</v>
      </c>
      <c r="K662">
        <v>106210270</v>
      </c>
      <c r="L662" s="2">
        <v>43875</v>
      </c>
      <c r="M662">
        <v>21</v>
      </c>
      <c r="N662">
        <v>1</v>
      </c>
      <c r="O662">
        <v>0</v>
      </c>
      <c r="P662">
        <v>1</v>
      </c>
      <c r="Q662" t="s">
        <v>21</v>
      </c>
    </row>
    <row r="663" spans="1:17" x14ac:dyDescent="0.55000000000000004">
      <c r="A663">
        <v>498</v>
      </c>
      <c r="B663" t="s">
        <v>4</v>
      </c>
      <c r="C663">
        <v>0</v>
      </c>
      <c r="E663" t="s">
        <v>162</v>
      </c>
      <c r="F663" t="s">
        <v>246</v>
      </c>
      <c r="G663" t="s">
        <v>0</v>
      </c>
      <c r="H663">
        <v>9.6539999999999999</v>
      </c>
      <c r="I663" t="s">
        <v>461</v>
      </c>
      <c r="K663">
        <v>105687240</v>
      </c>
      <c r="L663" s="2">
        <v>43416</v>
      </c>
      <c r="M663">
        <v>30</v>
      </c>
      <c r="N663">
        <v>2</v>
      </c>
      <c r="O663">
        <v>0</v>
      </c>
      <c r="P663">
        <v>1</v>
      </c>
      <c r="Q663" t="s">
        <v>21</v>
      </c>
    </row>
    <row r="664" spans="1:17" x14ac:dyDescent="0.55000000000000004">
      <c r="A664">
        <v>498</v>
      </c>
      <c r="B664" t="s">
        <v>4</v>
      </c>
      <c r="C664">
        <v>0</v>
      </c>
      <c r="E664" t="s">
        <v>162</v>
      </c>
      <c r="F664" t="s">
        <v>168</v>
      </c>
      <c r="G664" t="s">
        <v>0</v>
      </c>
      <c r="H664">
        <v>9.6539999999999999</v>
      </c>
      <c r="I664" t="s">
        <v>461</v>
      </c>
      <c r="K664">
        <v>104939156</v>
      </c>
      <c r="L664" s="2">
        <v>42688</v>
      </c>
      <c r="M664">
        <v>28</v>
      </c>
      <c r="N664">
        <v>1</v>
      </c>
      <c r="O664">
        <v>0</v>
      </c>
      <c r="P664">
        <v>1</v>
      </c>
      <c r="Q664" t="s">
        <v>21</v>
      </c>
    </row>
    <row r="665" spans="1:17" x14ac:dyDescent="0.55000000000000004">
      <c r="A665">
        <v>498</v>
      </c>
      <c r="B665" t="s">
        <v>4</v>
      </c>
      <c r="C665">
        <v>5.0000000000000001E-3</v>
      </c>
      <c r="E665" t="s">
        <v>162</v>
      </c>
      <c r="F665" t="s">
        <v>165</v>
      </c>
      <c r="G665" t="s">
        <v>0</v>
      </c>
      <c r="H665">
        <v>9.6539999999999999</v>
      </c>
      <c r="I665" t="s">
        <v>461</v>
      </c>
      <c r="J665" t="s">
        <v>174</v>
      </c>
      <c r="K665">
        <v>106655560</v>
      </c>
      <c r="L665" s="2">
        <v>44403</v>
      </c>
      <c r="M665">
        <v>29</v>
      </c>
      <c r="N665">
        <v>2</v>
      </c>
      <c r="P665">
        <v>1</v>
      </c>
      <c r="Q665" t="s">
        <v>21</v>
      </c>
    </row>
    <row r="666" spans="1:17" x14ac:dyDescent="0.55000000000000004">
      <c r="A666">
        <v>498</v>
      </c>
      <c r="B666" t="s">
        <v>4</v>
      </c>
      <c r="C666">
        <v>0</v>
      </c>
      <c r="E666" t="s">
        <v>162</v>
      </c>
      <c r="F666" t="s">
        <v>164</v>
      </c>
      <c r="G666" t="s">
        <v>0</v>
      </c>
      <c r="H666">
        <v>9.6539999999999999</v>
      </c>
      <c r="I666" t="s">
        <v>461</v>
      </c>
      <c r="K666">
        <v>105206303</v>
      </c>
      <c r="L666" s="2">
        <v>42967</v>
      </c>
      <c r="M666">
        <v>30</v>
      </c>
      <c r="N666">
        <v>1</v>
      </c>
      <c r="O666">
        <v>7</v>
      </c>
      <c r="P666">
        <v>1</v>
      </c>
      <c r="Q666" t="s">
        <v>15</v>
      </c>
    </row>
    <row r="667" spans="1:17" x14ac:dyDescent="0.55000000000000004">
      <c r="A667">
        <v>498</v>
      </c>
      <c r="B667" t="s">
        <v>4</v>
      </c>
      <c r="C667">
        <v>0</v>
      </c>
      <c r="E667" t="s">
        <v>162</v>
      </c>
      <c r="F667" t="s">
        <v>164</v>
      </c>
      <c r="G667" t="s">
        <v>0</v>
      </c>
      <c r="H667">
        <v>9.6539999999999999</v>
      </c>
      <c r="I667" t="s">
        <v>461</v>
      </c>
      <c r="K667">
        <v>106435754</v>
      </c>
      <c r="L667" s="2">
        <v>44167</v>
      </c>
      <c r="M667">
        <v>21</v>
      </c>
      <c r="N667">
        <v>1</v>
      </c>
      <c r="O667">
        <v>0</v>
      </c>
      <c r="P667">
        <v>4</v>
      </c>
      <c r="Q667" t="s">
        <v>21</v>
      </c>
    </row>
    <row r="668" spans="1:17" x14ac:dyDescent="0.55000000000000004">
      <c r="A668">
        <v>498</v>
      </c>
      <c r="B668" t="s">
        <v>0</v>
      </c>
      <c r="C668">
        <v>0</v>
      </c>
      <c r="E668" t="s">
        <v>163</v>
      </c>
      <c r="F668" t="s">
        <v>248</v>
      </c>
      <c r="G668" t="s">
        <v>0</v>
      </c>
      <c r="H668">
        <v>9.6539999999999999</v>
      </c>
      <c r="I668" t="s">
        <v>461</v>
      </c>
      <c r="K668">
        <v>106274718</v>
      </c>
      <c r="L668" s="2">
        <v>43964</v>
      </c>
      <c r="M668">
        <v>30</v>
      </c>
      <c r="N668">
        <v>1</v>
      </c>
      <c r="O668">
        <v>7</v>
      </c>
      <c r="P668">
        <v>5</v>
      </c>
      <c r="Q668" t="s">
        <v>21</v>
      </c>
    </row>
    <row r="669" spans="1:17" x14ac:dyDescent="0.55000000000000004">
      <c r="A669">
        <v>498</v>
      </c>
      <c r="B669" t="s">
        <v>0</v>
      </c>
      <c r="C669">
        <v>0</v>
      </c>
      <c r="E669" t="s">
        <v>163</v>
      </c>
      <c r="F669" t="s">
        <v>249</v>
      </c>
      <c r="G669" t="s">
        <v>0</v>
      </c>
      <c r="H669">
        <v>9.6539999999999999</v>
      </c>
      <c r="I669" t="s">
        <v>461</v>
      </c>
      <c r="K669">
        <v>105798128</v>
      </c>
      <c r="L669" s="2">
        <v>43524</v>
      </c>
      <c r="M669">
        <v>30</v>
      </c>
      <c r="N669">
        <v>2</v>
      </c>
      <c r="O669">
        <v>7</v>
      </c>
      <c r="P669">
        <v>4</v>
      </c>
      <c r="Q669" t="s">
        <v>21</v>
      </c>
    </row>
    <row r="670" spans="1:17" x14ac:dyDescent="0.55000000000000004">
      <c r="A670">
        <v>498</v>
      </c>
      <c r="B670" t="s">
        <v>0</v>
      </c>
      <c r="C670">
        <v>0</v>
      </c>
      <c r="E670" t="s">
        <v>163</v>
      </c>
      <c r="F670" t="s">
        <v>165</v>
      </c>
      <c r="G670" t="s">
        <v>0</v>
      </c>
      <c r="H670">
        <v>9.6539999999999999</v>
      </c>
      <c r="I670" t="s">
        <v>461</v>
      </c>
      <c r="K670">
        <v>105294319</v>
      </c>
      <c r="L670" s="2">
        <v>43052</v>
      </c>
      <c r="M670">
        <v>24</v>
      </c>
      <c r="N670">
        <v>1</v>
      </c>
      <c r="O670">
        <v>7</v>
      </c>
      <c r="P670">
        <v>1</v>
      </c>
      <c r="Q670" t="s">
        <v>21</v>
      </c>
    </row>
    <row r="671" spans="1:17" x14ac:dyDescent="0.55000000000000004">
      <c r="A671">
        <v>498</v>
      </c>
      <c r="B671" t="s">
        <v>0</v>
      </c>
      <c r="C671">
        <v>0</v>
      </c>
      <c r="E671" t="s">
        <v>163</v>
      </c>
      <c r="F671" t="s">
        <v>182</v>
      </c>
      <c r="G671" t="s">
        <v>0</v>
      </c>
      <c r="H671">
        <v>9.6539999999999999</v>
      </c>
      <c r="I671" t="s">
        <v>461</v>
      </c>
      <c r="K671">
        <v>106253726</v>
      </c>
      <c r="L671" s="2">
        <v>43986</v>
      </c>
      <c r="M671">
        <v>21</v>
      </c>
      <c r="N671">
        <v>1</v>
      </c>
      <c r="O671">
        <v>7</v>
      </c>
      <c r="P671">
        <v>1</v>
      </c>
      <c r="Q671" t="s">
        <v>21</v>
      </c>
    </row>
    <row r="672" spans="1:17" x14ac:dyDescent="0.55000000000000004">
      <c r="A672">
        <v>0</v>
      </c>
      <c r="B672" t="s">
        <v>0</v>
      </c>
      <c r="C672">
        <v>0</v>
      </c>
      <c r="E672" t="s">
        <v>163</v>
      </c>
      <c r="F672" t="s">
        <v>250</v>
      </c>
      <c r="G672" t="s">
        <v>0</v>
      </c>
      <c r="H672">
        <v>9.6539999999999999</v>
      </c>
      <c r="I672" t="s">
        <v>461</v>
      </c>
      <c r="K672">
        <v>104883655</v>
      </c>
      <c r="L672" s="2">
        <v>42661</v>
      </c>
      <c r="M672">
        <v>21</v>
      </c>
      <c r="N672">
        <v>1</v>
      </c>
      <c r="O672">
        <v>7</v>
      </c>
      <c r="P672">
        <v>1</v>
      </c>
      <c r="Q672" t="s">
        <v>21</v>
      </c>
    </row>
    <row r="673" spans="1:17" x14ac:dyDescent="0.55000000000000004">
      <c r="A673">
        <v>0</v>
      </c>
      <c r="B673" t="s">
        <v>0</v>
      </c>
      <c r="C673">
        <v>0</v>
      </c>
      <c r="E673" t="s">
        <v>163</v>
      </c>
      <c r="F673" t="s">
        <v>171</v>
      </c>
      <c r="G673" t="s">
        <v>0</v>
      </c>
      <c r="H673">
        <v>9.6539999999999999</v>
      </c>
      <c r="I673" t="s">
        <v>461</v>
      </c>
      <c r="K673">
        <v>106199585</v>
      </c>
      <c r="L673" s="2">
        <v>43928</v>
      </c>
      <c r="M673">
        <v>21</v>
      </c>
      <c r="N673">
        <v>1</v>
      </c>
      <c r="O673">
        <v>7</v>
      </c>
      <c r="P673">
        <v>1</v>
      </c>
      <c r="Q673" t="s">
        <v>21</v>
      </c>
    </row>
    <row r="674" spans="1:17" x14ac:dyDescent="0.55000000000000004">
      <c r="A674">
        <v>498</v>
      </c>
      <c r="B674" t="s">
        <v>4</v>
      </c>
      <c r="C674">
        <v>4.0000000000000001E-3</v>
      </c>
      <c r="D674" t="s">
        <v>68</v>
      </c>
      <c r="E674" t="s">
        <v>162</v>
      </c>
      <c r="F674" t="s">
        <v>165</v>
      </c>
      <c r="G674" t="s">
        <v>0</v>
      </c>
      <c r="H674">
        <v>9.6579999999999995</v>
      </c>
      <c r="I674" t="s">
        <v>461</v>
      </c>
      <c r="K674">
        <v>106351803</v>
      </c>
      <c r="L674" s="2">
        <v>44071</v>
      </c>
      <c r="M674">
        <v>28</v>
      </c>
      <c r="N674">
        <v>1</v>
      </c>
      <c r="O674">
        <v>0</v>
      </c>
      <c r="P674">
        <v>1</v>
      </c>
      <c r="Q674" t="s">
        <v>21</v>
      </c>
    </row>
    <row r="675" spans="1:17" x14ac:dyDescent="0.55000000000000004">
      <c r="A675">
        <v>498</v>
      </c>
      <c r="B675" t="s">
        <v>4</v>
      </c>
      <c r="C675">
        <v>5.0000000000000001E-3</v>
      </c>
      <c r="D675" t="s">
        <v>68</v>
      </c>
      <c r="E675" t="s">
        <v>162</v>
      </c>
      <c r="F675" t="s">
        <v>248</v>
      </c>
      <c r="G675" t="s">
        <v>0</v>
      </c>
      <c r="H675">
        <v>9.6590000000000007</v>
      </c>
      <c r="I675" t="s">
        <v>461</v>
      </c>
      <c r="K675">
        <v>104999210</v>
      </c>
      <c r="L675" s="2">
        <v>42749</v>
      </c>
      <c r="M675">
        <v>32</v>
      </c>
      <c r="N675">
        <v>1</v>
      </c>
      <c r="O675">
        <v>0</v>
      </c>
      <c r="P675">
        <v>4</v>
      </c>
      <c r="Q675" t="s">
        <v>21</v>
      </c>
    </row>
    <row r="676" spans="1:17" x14ac:dyDescent="0.55000000000000004">
      <c r="A676">
        <v>0</v>
      </c>
      <c r="B676" t="s">
        <v>0</v>
      </c>
      <c r="C676">
        <v>8.9999999999999993E-3</v>
      </c>
      <c r="D676" t="s">
        <v>68</v>
      </c>
      <c r="E676" t="s">
        <v>163</v>
      </c>
      <c r="F676" t="s">
        <v>250</v>
      </c>
      <c r="G676" t="s">
        <v>0</v>
      </c>
      <c r="H676">
        <v>9.6630000000000003</v>
      </c>
      <c r="I676" t="s">
        <v>461</v>
      </c>
      <c r="K676">
        <v>105625164</v>
      </c>
      <c r="L676" s="2">
        <v>43377</v>
      </c>
      <c r="M676">
        <v>21</v>
      </c>
      <c r="N676">
        <v>1</v>
      </c>
      <c r="O676">
        <v>0</v>
      </c>
      <c r="P676">
        <v>1</v>
      </c>
      <c r="Q676" t="s">
        <v>21</v>
      </c>
    </row>
    <row r="677" spans="1:17" x14ac:dyDescent="0.55000000000000004">
      <c r="A677">
        <v>498</v>
      </c>
      <c r="B677" t="s">
        <v>4</v>
      </c>
      <c r="C677">
        <v>1.9E-2</v>
      </c>
      <c r="D677" t="s">
        <v>68</v>
      </c>
      <c r="E677" t="s">
        <v>162</v>
      </c>
      <c r="F677" t="s">
        <v>246</v>
      </c>
      <c r="G677" t="s">
        <v>0</v>
      </c>
      <c r="H677">
        <v>9.673</v>
      </c>
      <c r="I677" t="s">
        <v>461</v>
      </c>
      <c r="K677">
        <v>105007216</v>
      </c>
      <c r="L677" s="2">
        <v>42760</v>
      </c>
      <c r="M677">
        <v>1</v>
      </c>
      <c r="N677">
        <v>1</v>
      </c>
      <c r="O677">
        <v>0</v>
      </c>
      <c r="P677">
        <v>1</v>
      </c>
      <c r="Q677" t="s">
        <v>21</v>
      </c>
    </row>
    <row r="678" spans="1:17" x14ac:dyDescent="0.55000000000000004">
      <c r="A678">
        <v>0</v>
      </c>
      <c r="B678" t="s">
        <v>0</v>
      </c>
      <c r="C678">
        <v>0.02</v>
      </c>
      <c r="D678" t="s">
        <v>68</v>
      </c>
      <c r="E678" t="s">
        <v>163</v>
      </c>
      <c r="F678" t="s">
        <v>253</v>
      </c>
      <c r="G678" t="s">
        <v>0</v>
      </c>
      <c r="H678">
        <v>9.6739999999999995</v>
      </c>
      <c r="I678" t="s">
        <v>461</v>
      </c>
      <c r="K678">
        <v>104982642</v>
      </c>
      <c r="L678" s="2">
        <v>42756</v>
      </c>
      <c r="M678">
        <v>21</v>
      </c>
      <c r="N678">
        <v>2</v>
      </c>
      <c r="O678">
        <v>0</v>
      </c>
      <c r="P678">
        <v>1</v>
      </c>
      <c r="Q678" t="s">
        <v>15</v>
      </c>
    </row>
    <row r="679" spans="1:17" x14ac:dyDescent="0.55000000000000004">
      <c r="A679">
        <v>0</v>
      </c>
      <c r="B679" t="s">
        <v>0</v>
      </c>
      <c r="C679">
        <v>2.8000000000000001E-2</v>
      </c>
      <c r="D679" t="s">
        <v>23</v>
      </c>
      <c r="E679" t="s">
        <v>163</v>
      </c>
      <c r="F679" t="s">
        <v>250</v>
      </c>
      <c r="G679" t="s">
        <v>0</v>
      </c>
      <c r="H679">
        <v>9.6820000000000004</v>
      </c>
      <c r="I679" t="s">
        <v>461</v>
      </c>
      <c r="K679">
        <v>105766087</v>
      </c>
      <c r="L679" s="2">
        <v>43502</v>
      </c>
      <c r="M679">
        <v>21</v>
      </c>
      <c r="N679">
        <v>1</v>
      </c>
      <c r="O679">
        <v>0</v>
      </c>
      <c r="P679">
        <v>1</v>
      </c>
      <c r="Q679" t="s">
        <v>21</v>
      </c>
    </row>
    <row r="680" spans="1:17" x14ac:dyDescent="0.55000000000000004">
      <c r="A680">
        <v>0</v>
      </c>
      <c r="B680" t="s">
        <v>0</v>
      </c>
      <c r="C680">
        <v>0.03</v>
      </c>
      <c r="D680" t="s">
        <v>68</v>
      </c>
      <c r="E680" t="s">
        <v>163</v>
      </c>
      <c r="F680" t="s">
        <v>247</v>
      </c>
      <c r="G680" t="s">
        <v>0</v>
      </c>
      <c r="H680">
        <v>9.6839999999999993</v>
      </c>
      <c r="I680" t="s">
        <v>461</v>
      </c>
      <c r="K680">
        <v>105285077</v>
      </c>
      <c r="L680" s="2">
        <v>43051</v>
      </c>
      <c r="M680">
        <v>17</v>
      </c>
      <c r="N680">
        <v>1</v>
      </c>
      <c r="O680">
        <v>0</v>
      </c>
      <c r="P680">
        <v>5</v>
      </c>
      <c r="Q680" t="s">
        <v>21</v>
      </c>
    </row>
    <row r="681" spans="1:17" x14ac:dyDescent="0.55000000000000004">
      <c r="A681">
        <v>498</v>
      </c>
      <c r="B681" t="s">
        <v>4</v>
      </c>
      <c r="C681">
        <v>1</v>
      </c>
      <c r="D681" t="s">
        <v>23</v>
      </c>
      <c r="E681" t="s">
        <v>246</v>
      </c>
      <c r="F681" t="s">
        <v>162</v>
      </c>
      <c r="G681" t="s">
        <v>0</v>
      </c>
      <c r="H681">
        <v>9.702</v>
      </c>
      <c r="I681" t="s">
        <v>461</v>
      </c>
      <c r="K681">
        <v>105138242</v>
      </c>
      <c r="L681" s="2">
        <v>42892</v>
      </c>
      <c r="M681">
        <v>30</v>
      </c>
      <c r="N681">
        <v>1</v>
      </c>
      <c r="O681">
        <v>0</v>
      </c>
      <c r="P681">
        <v>1</v>
      </c>
      <c r="Q681" t="s">
        <v>21</v>
      </c>
    </row>
    <row r="682" spans="1:17" x14ac:dyDescent="0.55000000000000004">
      <c r="A682">
        <v>0</v>
      </c>
      <c r="B682" t="s">
        <v>0</v>
      </c>
      <c r="C682">
        <v>0.1</v>
      </c>
      <c r="D682" t="s">
        <v>68</v>
      </c>
      <c r="E682" t="s">
        <v>163</v>
      </c>
      <c r="F682" t="s">
        <v>250</v>
      </c>
      <c r="G682" t="s">
        <v>0</v>
      </c>
      <c r="H682">
        <v>9.7539999999999996</v>
      </c>
      <c r="I682" t="s">
        <v>461</v>
      </c>
      <c r="K682">
        <v>105711373</v>
      </c>
      <c r="L682" s="2">
        <v>43448</v>
      </c>
      <c r="M682">
        <v>19</v>
      </c>
      <c r="N682">
        <v>3</v>
      </c>
      <c r="O682">
        <v>0</v>
      </c>
      <c r="P682">
        <v>5</v>
      </c>
    </row>
    <row r="683" spans="1:17" x14ac:dyDescent="0.55000000000000004">
      <c r="A683">
        <v>0</v>
      </c>
      <c r="B683" t="s">
        <v>0</v>
      </c>
      <c r="C683">
        <v>0.1</v>
      </c>
      <c r="D683" t="s">
        <v>68</v>
      </c>
      <c r="E683" t="s">
        <v>163</v>
      </c>
      <c r="F683" t="s">
        <v>250</v>
      </c>
      <c r="G683" t="s">
        <v>0</v>
      </c>
      <c r="H683">
        <v>9.7539999999999996</v>
      </c>
      <c r="I683" t="s">
        <v>461</v>
      </c>
      <c r="K683">
        <v>105093066</v>
      </c>
      <c r="L683" s="2">
        <v>42859</v>
      </c>
      <c r="M683">
        <v>29</v>
      </c>
      <c r="N683">
        <v>1</v>
      </c>
      <c r="O683">
        <v>0</v>
      </c>
      <c r="P683">
        <v>1</v>
      </c>
      <c r="Q683" t="s">
        <v>21</v>
      </c>
    </row>
    <row r="684" spans="1:17" x14ac:dyDescent="0.55000000000000004">
      <c r="A684">
        <v>0</v>
      </c>
      <c r="B684" t="s">
        <v>0</v>
      </c>
      <c r="C684">
        <v>0.2</v>
      </c>
      <c r="D684" t="s">
        <v>68</v>
      </c>
      <c r="E684" t="s">
        <v>163</v>
      </c>
      <c r="F684" t="s">
        <v>250</v>
      </c>
      <c r="G684" t="s">
        <v>0</v>
      </c>
      <c r="H684">
        <v>9.8539999999999992</v>
      </c>
      <c r="I684" t="s">
        <v>461</v>
      </c>
      <c r="K684">
        <v>105561110</v>
      </c>
      <c r="L684" s="2">
        <v>43315</v>
      </c>
      <c r="M684">
        <v>17</v>
      </c>
      <c r="N684">
        <v>2</v>
      </c>
      <c r="O684">
        <v>0</v>
      </c>
      <c r="P684">
        <v>1</v>
      </c>
      <c r="Q684" t="s">
        <v>21</v>
      </c>
    </row>
    <row r="685" spans="1:17" x14ac:dyDescent="0.55000000000000004">
      <c r="A685">
        <v>0</v>
      </c>
      <c r="B685" t="s">
        <v>0</v>
      </c>
      <c r="C685">
        <v>0.2</v>
      </c>
      <c r="D685" t="s">
        <v>68</v>
      </c>
      <c r="E685" t="s">
        <v>163</v>
      </c>
      <c r="F685" t="s">
        <v>250</v>
      </c>
      <c r="G685" t="s">
        <v>0</v>
      </c>
      <c r="H685">
        <v>9.8539999999999992</v>
      </c>
      <c r="I685" t="s">
        <v>461</v>
      </c>
      <c r="K685">
        <v>105243816</v>
      </c>
      <c r="L685" s="2">
        <v>43011</v>
      </c>
      <c r="M685">
        <v>21</v>
      </c>
      <c r="N685">
        <v>1</v>
      </c>
      <c r="O685">
        <v>4</v>
      </c>
      <c r="P685">
        <v>1</v>
      </c>
      <c r="Q685" t="s">
        <v>15</v>
      </c>
    </row>
    <row r="686" spans="1:17" x14ac:dyDescent="0.55000000000000004">
      <c r="A686">
        <v>0</v>
      </c>
      <c r="B686" t="s">
        <v>0</v>
      </c>
      <c r="C686">
        <v>0.3</v>
      </c>
      <c r="D686" t="s">
        <v>68</v>
      </c>
      <c r="E686" t="s">
        <v>163</v>
      </c>
      <c r="F686" t="s">
        <v>250</v>
      </c>
      <c r="G686" t="s">
        <v>0</v>
      </c>
      <c r="H686">
        <v>9.9540000000000006</v>
      </c>
      <c r="I686" t="s">
        <v>461</v>
      </c>
      <c r="K686">
        <v>105119687</v>
      </c>
      <c r="L686" s="2">
        <v>42888</v>
      </c>
      <c r="M686">
        <v>21</v>
      </c>
      <c r="N686">
        <v>1</v>
      </c>
      <c r="O686">
        <v>0</v>
      </c>
      <c r="P686">
        <v>1</v>
      </c>
      <c r="Q686" t="s">
        <v>21</v>
      </c>
    </row>
    <row r="687" spans="1:17" x14ac:dyDescent="0.55000000000000004">
      <c r="A687">
        <v>0</v>
      </c>
      <c r="B687" t="s">
        <v>0</v>
      </c>
      <c r="C687">
        <v>0.3</v>
      </c>
      <c r="D687" t="s">
        <v>68</v>
      </c>
      <c r="E687" t="s">
        <v>163</v>
      </c>
      <c r="F687" t="s">
        <v>250</v>
      </c>
      <c r="G687" t="s">
        <v>0</v>
      </c>
      <c r="H687">
        <v>9.9540000000000006</v>
      </c>
      <c r="I687" t="s">
        <v>461</v>
      </c>
      <c r="K687">
        <v>106328722</v>
      </c>
      <c r="L687" s="2">
        <v>44078</v>
      </c>
      <c r="M687">
        <v>24</v>
      </c>
      <c r="N687">
        <v>1</v>
      </c>
      <c r="O687">
        <v>0</v>
      </c>
      <c r="P687">
        <v>1</v>
      </c>
      <c r="Q687" t="s">
        <v>21</v>
      </c>
    </row>
    <row r="688" spans="1:17" x14ac:dyDescent="0.55000000000000004">
      <c r="A688">
        <v>0</v>
      </c>
      <c r="B688" t="s">
        <v>0</v>
      </c>
      <c r="C688">
        <v>0.3</v>
      </c>
      <c r="D688" t="s">
        <v>68</v>
      </c>
      <c r="E688" t="s">
        <v>163</v>
      </c>
      <c r="F688" t="s">
        <v>254</v>
      </c>
      <c r="G688" t="s">
        <v>0</v>
      </c>
      <c r="H688">
        <v>9.9540000000000006</v>
      </c>
      <c r="I688" t="s">
        <v>461</v>
      </c>
      <c r="K688">
        <v>105311250</v>
      </c>
      <c r="L688" s="2">
        <v>43073</v>
      </c>
      <c r="M688">
        <v>17</v>
      </c>
      <c r="N688">
        <v>1</v>
      </c>
      <c r="O688">
        <v>0</v>
      </c>
      <c r="P688">
        <v>5</v>
      </c>
      <c r="Q688" t="s">
        <v>21</v>
      </c>
    </row>
    <row r="689" spans="1:17" x14ac:dyDescent="0.55000000000000004">
      <c r="A689">
        <v>0</v>
      </c>
      <c r="B689" t="s">
        <v>0</v>
      </c>
      <c r="C689">
        <v>0.2</v>
      </c>
      <c r="D689" t="s">
        <v>18</v>
      </c>
      <c r="E689" t="s">
        <v>250</v>
      </c>
      <c r="F689" t="s">
        <v>163</v>
      </c>
      <c r="G689" t="s">
        <v>0</v>
      </c>
      <c r="H689">
        <v>10.039</v>
      </c>
      <c r="I689" t="s">
        <v>461</v>
      </c>
      <c r="K689">
        <v>105140787</v>
      </c>
      <c r="L689" s="2">
        <v>42908</v>
      </c>
      <c r="M689">
        <v>24</v>
      </c>
      <c r="N689">
        <v>1</v>
      </c>
      <c r="O689">
        <v>0</v>
      </c>
      <c r="P689">
        <v>1</v>
      </c>
      <c r="Q689" t="s">
        <v>21</v>
      </c>
    </row>
    <row r="690" spans="1:17" x14ac:dyDescent="0.55000000000000004">
      <c r="A690">
        <v>0</v>
      </c>
      <c r="B690" t="s">
        <v>0</v>
      </c>
      <c r="C690">
        <v>0.2</v>
      </c>
      <c r="D690" t="s">
        <v>18</v>
      </c>
      <c r="E690" t="s">
        <v>250</v>
      </c>
      <c r="F690" t="s">
        <v>255</v>
      </c>
      <c r="G690" t="s">
        <v>0</v>
      </c>
      <c r="H690">
        <v>10.039</v>
      </c>
      <c r="I690" t="s">
        <v>461</v>
      </c>
      <c r="K690">
        <v>106131518</v>
      </c>
      <c r="L690" s="2">
        <v>43851</v>
      </c>
      <c r="M690">
        <v>23</v>
      </c>
      <c r="N690">
        <v>1</v>
      </c>
      <c r="O690">
        <v>4</v>
      </c>
      <c r="P690">
        <v>1</v>
      </c>
      <c r="Q690" t="s">
        <v>21</v>
      </c>
    </row>
    <row r="691" spans="1:17" x14ac:dyDescent="0.55000000000000004">
      <c r="A691">
        <v>0</v>
      </c>
      <c r="B691" t="s">
        <v>0</v>
      </c>
      <c r="C691">
        <v>0</v>
      </c>
      <c r="E691" t="s">
        <v>249</v>
      </c>
      <c r="F691" t="s">
        <v>250</v>
      </c>
      <c r="G691" t="s">
        <v>0</v>
      </c>
      <c r="H691">
        <v>10.087999999999999</v>
      </c>
      <c r="I691" t="s">
        <v>461</v>
      </c>
      <c r="K691">
        <v>105058669</v>
      </c>
      <c r="L691" s="2">
        <v>42827</v>
      </c>
      <c r="M691">
        <v>21</v>
      </c>
      <c r="N691">
        <v>1</v>
      </c>
      <c r="O691">
        <v>0</v>
      </c>
      <c r="P691">
        <v>1</v>
      </c>
      <c r="Q691" t="s">
        <v>21</v>
      </c>
    </row>
    <row r="692" spans="1:17" x14ac:dyDescent="0.55000000000000004">
      <c r="A692">
        <v>0</v>
      </c>
      <c r="B692" t="s">
        <v>0</v>
      </c>
      <c r="C692">
        <v>0.1</v>
      </c>
      <c r="D692" t="s">
        <v>18</v>
      </c>
      <c r="E692" t="s">
        <v>250</v>
      </c>
      <c r="F692" t="s">
        <v>163</v>
      </c>
      <c r="G692" t="s">
        <v>0</v>
      </c>
      <c r="H692">
        <v>10.138999999999999</v>
      </c>
      <c r="I692" t="s">
        <v>461</v>
      </c>
      <c r="K692">
        <v>105536943</v>
      </c>
      <c r="L692" s="2">
        <v>43291</v>
      </c>
      <c r="M692">
        <v>24</v>
      </c>
      <c r="N692">
        <v>1</v>
      </c>
      <c r="O692">
        <v>4</v>
      </c>
      <c r="P692">
        <v>1</v>
      </c>
      <c r="Q692" t="s">
        <v>190</v>
      </c>
    </row>
    <row r="693" spans="1:17" x14ac:dyDescent="0.55000000000000004">
      <c r="A693">
        <v>0</v>
      </c>
      <c r="B693" t="s">
        <v>0</v>
      </c>
      <c r="C693">
        <v>0.1</v>
      </c>
      <c r="D693" t="s">
        <v>18</v>
      </c>
      <c r="E693" t="s">
        <v>250</v>
      </c>
      <c r="F693" t="s">
        <v>163</v>
      </c>
      <c r="G693" t="s">
        <v>0</v>
      </c>
      <c r="H693">
        <v>10.138999999999999</v>
      </c>
      <c r="I693" t="s">
        <v>461</v>
      </c>
      <c r="K693">
        <v>104944730</v>
      </c>
      <c r="L693" s="2">
        <v>42716</v>
      </c>
      <c r="M693">
        <v>17</v>
      </c>
      <c r="N693">
        <v>1</v>
      </c>
      <c r="O693">
        <v>0</v>
      </c>
      <c r="P693">
        <v>5</v>
      </c>
      <c r="Q693" t="s">
        <v>21</v>
      </c>
    </row>
    <row r="694" spans="1:17" x14ac:dyDescent="0.55000000000000004">
      <c r="A694">
        <v>0</v>
      </c>
      <c r="B694" t="s">
        <v>0</v>
      </c>
      <c r="C694">
        <v>0.5</v>
      </c>
      <c r="D694" t="s">
        <v>68</v>
      </c>
      <c r="E694" t="s">
        <v>163</v>
      </c>
      <c r="F694" t="s">
        <v>250</v>
      </c>
      <c r="G694" t="s">
        <v>0</v>
      </c>
      <c r="H694">
        <v>10.154</v>
      </c>
      <c r="I694" t="s">
        <v>461</v>
      </c>
      <c r="K694">
        <v>105673203</v>
      </c>
      <c r="L694" s="2">
        <v>43417</v>
      </c>
      <c r="M694">
        <v>21</v>
      </c>
      <c r="N694">
        <v>2</v>
      </c>
      <c r="O694">
        <v>0</v>
      </c>
      <c r="P694">
        <v>1</v>
      </c>
      <c r="Q694" t="s">
        <v>15</v>
      </c>
    </row>
    <row r="695" spans="1:17" x14ac:dyDescent="0.55000000000000004">
      <c r="A695">
        <v>0</v>
      </c>
      <c r="B695" t="s">
        <v>0</v>
      </c>
      <c r="C695">
        <v>0.5</v>
      </c>
      <c r="D695" t="s">
        <v>68</v>
      </c>
      <c r="E695" t="s">
        <v>163</v>
      </c>
      <c r="F695" t="s">
        <v>250</v>
      </c>
      <c r="G695" t="s">
        <v>0</v>
      </c>
      <c r="H695">
        <v>10.154</v>
      </c>
      <c r="I695" t="s">
        <v>461</v>
      </c>
      <c r="K695">
        <v>105563808</v>
      </c>
      <c r="L695" s="2">
        <v>43318</v>
      </c>
      <c r="M695">
        <v>19</v>
      </c>
      <c r="N695">
        <v>1</v>
      </c>
      <c r="O695">
        <v>0</v>
      </c>
      <c r="P695">
        <v>5</v>
      </c>
    </row>
    <row r="696" spans="1:17" x14ac:dyDescent="0.55000000000000004">
      <c r="A696">
        <v>498</v>
      </c>
      <c r="B696" t="s">
        <v>0</v>
      </c>
      <c r="C696">
        <v>1.4999999999999999E-2</v>
      </c>
      <c r="D696" t="s">
        <v>102</v>
      </c>
      <c r="E696" t="s">
        <v>248</v>
      </c>
      <c r="F696" t="s">
        <v>256</v>
      </c>
      <c r="G696" t="s">
        <v>0</v>
      </c>
      <c r="H696">
        <v>10.224</v>
      </c>
      <c r="I696" t="s">
        <v>461</v>
      </c>
      <c r="K696">
        <v>106169364</v>
      </c>
      <c r="L696" s="2">
        <v>43851</v>
      </c>
      <c r="M696">
        <v>2</v>
      </c>
      <c r="N696">
        <v>1</v>
      </c>
      <c r="O696">
        <v>7</v>
      </c>
      <c r="P696">
        <v>4</v>
      </c>
    </row>
    <row r="697" spans="1:17" x14ac:dyDescent="0.55000000000000004">
      <c r="A697">
        <v>498</v>
      </c>
      <c r="B697" t="s">
        <v>248</v>
      </c>
      <c r="C697">
        <v>0</v>
      </c>
      <c r="E697" t="s">
        <v>4</v>
      </c>
      <c r="G697" t="s">
        <v>0</v>
      </c>
      <c r="H697">
        <v>10.239000000000001</v>
      </c>
      <c r="I697" t="s">
        <v>461</v>
      </c>
      <c r="K697">
        <v>105335533</v>
      </c>
      <c r="L697" s="2">
        <v>43081</v>
      </c>
      <c r="M697">
        <v>32</v>
      </c>
      <c r="N697">
        <v>1</v>
      </c>
      <c r="P697">
        <v>1</v>
      </c>
      <c r="Q697" t="s">
        <v>21</v>
      </c>
    </row>
    <row r="698" spans="1:17" x14ac:dyDescent="0.55000000000000004">
      <c r="A698">
        <v>0</v>
      </c>
      <c r="B698" t="s">
        <v>0</v>
      </c>
      <c r="C698">
        <v>0</v>
      </c>
      <c r="E698" t="s">
        <v>250</v>
      </c>
      <c r="F698" t="s">
        <v>163</v>
      </c>
      <c r="G698" t="s">
        <v>0</v>
      </c>
      <c r="H698">
        <v>10.239000000000001</v>
      </c>
      <c r="I698" t="s">
        <v>461</v>
      </c>
      <c r="K698">
        <v>105591587</v>
      </c>
      <c r="L698" s="2">
        <v>43343</v>
      </c>
      <c r="M698">
        <v>21</v>
      </c>
      <c r="N698">
        <v>1</v>
      </c>
      <c r="O698">
        <v>7</v>
      </c>
      <c r="P698">
        <v>1</v>
      </c>
      <c r="Q698" t="s">
        <v>21</v>
      </c>
    </row>
    <row r="699" spans="1:17" x14ac:dyDescent="0.55000000000000004">
      <c r="A699">
        <v>0</v>
      </c>
      <c r="B699" t="s">
        <v>0</v>
      </c>
      <c r="C699">
        <v>0</v>
      </c>
      <c r="E699" t="s">
        <v>250</v>
      </c>
      <c r="F699" t="s">
        <v>163</v>
      </c>
      <c r="G699" t="s">
        <v>0</v>
      </c>
      <c r="H699">
        <v>10.239000000000001</v>
      </c>
      <c r="I699" t="s">
        <v>461</v>
      </c>
      <c r="K699">
        <v>105370706</v>
      </c>
      <c r="L699" s="2">
        <v>43120</v>
      </c>
      <c r="M699">
        <v>30</v>
      </c>
      <c r="N699">
        <v>1</v>
      </c>
      <c r="O699">
        <v>7</v>
      </c>
      <c r="P699">
        <v>1</v>
      </c>
      <c r="Q699" t="s">
        <v>21</v>
      </c>
    </row>
    <row r="700" spans="1:17" x14ac:dyDescent="0.55000000000000004">
      <c r="A700">
        <v>0</v>
      </c>
      <c r="B700" t="s">
        <v>0</v>
      </c>
      <c r="C700">
        <v>0</v>
      </c>
      <c r="E700" t="s">
        <v>250</v>
      </c>
      <c r="F700" t="s">
        <v>163</v>
      </c>
      <c r="G700" t="s">
        <v>0</v>
      </c>
      <c r="H700">
        <v>10.239000000000001</v>
      </c>
      <c r="I700" t="s">
        <v>461</v>
      </c>
      <c r="K700">
        <v>106039484</v>
      </c>
      <c r="L700" s="2">
        <v>43763</v>
      </c>
      <c r="M700">
        <v>24</v>
      </c>
      <c r="N700">
        <v>1</v>
      </c>
      <c r="O700">
        <v>7</v>
      </c>
      <c r="P700">
        <v>1</v>
      </c>
      <c r="Q700" t="s">
        <v>21</v>
      </c>
    </row>
    <row r="701" spans="1:17" x14ac:dyDescent="0.55000000000000004">
      <c r="A701">
        <v>0</v>
      </c>
      <c r="B701" t="s">
        <v>0</v>
      </c>
      <c r="C701">
        <v>0</v>
      </c>
      <c r="E701" t="s">
        <v>250</v>
      </c>
      <c r="F701" t="s">
        <v>163</v>
      </c>
      <c r="G701" t="s">
        <v>0</v>
      </c>
      <c r="H701">
        <v>10.239000000000001</v>
      </c>
      <c r="I701" t="s">
        <v>461</v>
      </c>
      <c r="K701">
        <v>105020736</v>
      </c>
      <c r="L701" s="2">
        <v>42790</v>
      </c>
      <c r="M701">
        <v>30</v>
      </c>
      <c r="N701">
        <v>1</v>
      </c>
      <c r="O701">
        <v>7</v>
      </c>
      <c r="P701">
        <v>5</v>
      </c>
      <c r="Q701" t="s">
        <v>15</v>
      </c>
    </row>
    <row r="702" spans="1:17" x14ac:dyDescent="0.55000000000000004">
      <c r="A702">
        <v>0</v>
      </c>
      <c r="B702" t="s">
        <v>0</v>
      </c>
      <c r="C702">
        <v>0</v>
      </c>
      <c r="E702" t="s">
        <v>250</v>
      </c>
      <c r="F702" t="s">
        <v>172</v>
      </c>
      <c r="G702" t="s">
        <v>0</v>
      </c>
      <c r="H702">
        <v>10.239000000000001</v>
      </c>
      <c r="I702" t="s">
        <v>461</v>
      </c>
      <c r="K702">
        <v>105678841</v>
      </c>
      <c r="L702" s="2">
        <v>43420</v>
      </c>
      <c r="M702">
        <v>24</v>
      </c>
      <c r="N702">
        <v>1</v>
      </c>
      <c r="O702">
        <v>7</v>
      </c>
      <c r="P702">
        <v>1</v>
      </c>
      <c r="Q702" t="s">
        <v>15</v>
      </c>
    </row>
    <row r="703" spans="1:17" x14ac:dyDescent="0.55000000000000004">
      <c r="A703">
        <v>0</v>
      </c>
      <c r="B703" t="s">
        <v>0</v>
      </c>
      <c r="C703">
        <v>0</v>
      </c>
      <c r="E703" t="s">
        <v>250</v>
      </c>
      <c r="F703" t="s">
        <v>257</v>
      </c>
      <c r="G703" t="s">
        <v>0</v>
      </c>
      <c r="H703">
        <v>10.239000000000001</v>
      </c>
      <c r="I703" t="s">
        <v>461</v>
      </c>
      <c r="K703">
        <v>106340792</v>
      </c>
      <c r="L703" s="2">
        <v>44089</v>
      </c>
      <c r="M703">
        <v>24</v>
      </c>
      <c r="N703">
        <v>1</v>
      </c>
      <c r="O703">
        <v>7</v>
      </c>
      <c r="P703">
        <v>1</v>
      </c>
      <c r="Q703" t="s">
        <v>15</v>
      </c>
    </row>
    <row r="704" spans="1:17" x14ac:dyDescent="0.55000000000000004">
      <c r="A704">
        <v>0</v>
      </c>
      <c r="B704" t="s">
        <v>0</v>
      </c>
      <c r="C704">
        <v>0</v>
      </c>
      <c r="E704" t="s">
        <v>250</v>
      </c>
      <c r="G704" t="s">
        <v>0</v>
      </c>
      <c r="H704">
        <v>10.239000000000001</v>
      </c>
      <c r="I704" t="s">
        <v>461</v>
      </c>
      <c r="K704">
        <v>105766218</v>
      </c>
      <c r="L704" s="2">
        <v>43502</v>
      </c>
      <c r="M704">
        <v>23</v>
      </c>
      <c r="N704">
        <v>1</v>
      </c>
      <c r="O704">
        <v>7</v>
      </c>
      <c r="P704">
        <v>5</v>
      </c>
      <c r="Q704" t="s">
        <v>45</v>
      </c>
    </row>
    <row r="705" spans="1:17" x14ac:dyDescent="0.55000000000000004">
      <c r="A705">
        <v>0</v>
      </c>
      <c r="B705" t="s">
        <v>0</v>
      </c>
      <c r="C705">
        <v>5.7000000000000002E-2</v>
      </c>
      <c r="D705" t="s">
        <v>68</v>
      </c>
      <c r="E705" t="s">
        <v>250</v>
      </c>
      <c r="F705" t="s">
        <v>258</v>
      </c>
      <c r="G705" t="s">
        <v>0</v>
      </c>
      <c r="H705">
        <v>10.295999999999999</v>
      </c>
      <c r="I705" t="s">
        <v>461</v>
      </c>
      <c r="K705">
        <v>104900422</v>
      </c>
      <c r="L705" s="2">
        <v>42663</v>
      </c>
      <c r="M705">
        <v>21</v>
      </c>
      <c r="N705">
        <v>1</v>
      </c>
      <c r="O705">
        <v>0</v>
      </c>
      <c r="P705">
        <v>1</v>
      </c>
      <c r="Q705" t="s">
        <v>21</v>
      </c>
    </row>
    <row r="706" spans="1:17" x14ac:dyDescent="0.55000000000000004">
      <c r="A706">
        <v>0</v>
      </c>
      <c r="B706" t="s">
        <v>0</v>
      </c>
      <c r="C706">
        <v>0.1</v>
      </c>
      <c r="D706" t="s">
        <v>68</v>
      </c>
      <c r="E706" t="s">
        <v>250</v>
      </c>
      <c r="F706" t="s">
        <v>257</v>
      </c>
      <c r="G706" t="s">
        <v>0</v>
      </c>
      <c r="H706">
        <v>10.339</v>
      </c>
      <c r="I706" t="s">
        <v>461</v>
      </c>
      <c r="K706">
        <v>106277778</v>
      </c>
      <c r="L706" s="2">
        <v>44022</v>
      </c>
      <c r="M706">
        <v>29</v>
      </c>
      <c r="N706">
        <v>1</v>
      </c>
      <c r="O706">
        <v>0</v>
      </c>
      <c r="P706">
        <v>1</v>
      </c>
      <c r="Q706" t="s">
        <v>21</v>
      </c>
    </row>
    <row r="707" spans="1:17" x14ac:dyDescent="0.55000000000000004">
      <c r="A707">
        <v>0</v>
      </c>
      <c r="B707" t="s">
        <v>0</v>
      </c>
      <c r="C707">
        <v>0.1</v>
      </c>
      <c r="D707" t="s">
        <v>68</v>
      </c>
      <c r="E707" t="s">
        <v>250</v>
      </c>
      <c r="F707" t="s">
        <v>257</v>
      </c>
      <c r="G707" t="s">
        <v>0</v>
      </c>
      <c r="H707">
        <v>10.339</v>
      </c>
      <c r="I707" t="s">
        <v>461</v>
      </c>
      <c r="K707">
        <v>104934676</v>
      </c>
      <c r="L707" s="2">
        <v>42703</v>
      </c>
      <c r="M707">
        <v>20</v>
      </c>
      <c r="N707">
        <v>1</v>
      </c>
      <c r="O707">
        <v>0</v>
      </c>
      <c r="P707">
        <v>1</v>
      </c>
      <c r="Q707" t="s">
        <v>21</v>
      </c>
    </row>
    <row r="708" spans="1:17" x14ac:dyDescent="0.55000000000000004">
      <c r="A708">
        <v>0</v>
      </c>
      <c r="B708" t="s">
        <v>0</v>
      </c>
      <c r="C708">
        <v>0.1</v>
      </c>
      <c r="D708" t="s">
        <v>68</v>
      </c>
      <c r="E708" t="s">
        <v>250</v>
      </c>
      <c r="F708" t="s">
        <v>257</v>
      </c>
      <c r="G708" t="s">
        <v>0</v>
      </c>
      <c r="H708">
        <v>10.339</v>
      </c>
      <c r="I708" t="s">
        <v>461</v>
      </c>
      <c r="K708">
        <v>106330658</v>
      </c>
      <c r="L708" s="2">
        <v>44073</v>
      </c>
      <c r="M708">
        <v>29</v>
      </c>
      <c r="N708">
        <v>1</v>
      </c>
      <c r="O708">
        <v>0</v>
      </c>
      <c r="P708">
        <v>1</v>
      </c>
      <c r="Q708" t="s">
        <v>21</v>
      </c>
    </row>
    <row r="709" spans="1:17" x14ac:dyDescent="0.55000000000000004">
      <c r="A709">
        <v>0</v>
      </c>
      <c r="B709" t="s">
        <v>0</v>
      </c>
      <c r="C709">
        <v>0.1</v>
      </c>
      <c r="D709" t="s">
        <v>68</v>
      </c>
      <c r="E709" t="s">
        <v>250</v>
      </c>
      <c r="F709" t="s">
        <v>257</v>
      </c>
      <c r="G709" t="s">
        <v>0</v>
      </c>
      <c r="H709">
        <v>10.339</v>
      </c>
      <c r="I709" t="s">
        <v>461</v>
      </c>
      <c r="K709">
        <v>106086656</v>
      </c>
      <c r="L709" s="2">
        <v>43805</v>
      </c>
      <c r="M709">
        <v>19</v>
      </c>
      <c r="N709">
        <v>1</v>
      </c>
      <c r="O709">
        <v>4</v>
      </c>
      <c r="P709">
        <v>1</v>
      </c>
      <c r="Q709" t="s">
        <v>21</v>
      </c>
    </row>
    <row r="710" spans="1:17" x14ac:dyDescent="0.55000000000000004">
      <c r="A710">
        <v>0</v>
      </c>
      <c r="B710" t="s">
        <v>0</v>
      </c>
      <c r="C710">
        <v>0.2</v>
      </c>
      <c r="D710" t="s">
        <v>68</v>
      </c>
      <c r="E710" t="s">
        <v>250</v>
      </c>
      <c r="F710" t="s">
        <v>182</v>
      </c>
      <c r="G710" t="s">
        <v>0</v>
      </c>
      <c r="H710">
        <v>10.439</v>
      </c>
      <c r="I710" t="s">
        <v>461</v>
      </c>
      <c r="K710">
        <v>106014518</v>
      </c>
      <c r="L710" s="2">
        <v>43744</v>
      </c>
      <c r="M710">
        <v>5</v>
      </c>
      <c r="N710">
        <v>1</v>
      </c>
      <c r="O710">
        <v>0</v>
      </c>
      <c r="P710">
        <v>5</v>
      </c>
      <c r="Q710" t="s">
        <v>21</v>
      </c>
    </row>
    <row r="711" spans="1:17" x14ac:dyDescent="0.55000000000000004">
      <c r="A711">
        <v>0</v>
      </c>
      <c r="B711" t="s">
        <v>0</v>
      </c>
      <c r="C711">
        <v>0.2</v>
      </c>
      <c r="D711" t="s">
        <v>68</v>
      </c>
      <c r="E711" t="s">
        <v>250</v>
      </c>
      <c r="F711" t="s">
        <v>182</v>
      </c>
      <c r="G711" t="s">
        <v>0</v>
      </c>
      <c r="H711">
        <v>10.439</v>
      </c>
      <c r="I711" t="s">
        <v>461</v>
      </c>
      <c r="K711">
        <v>106622789</v>
      </c>
      <c r="L711" s="2">
        <v>44378</v>
      </c>
      <c r="M711">
        <v>19</v>
      </c>
      <c r="N711">
        <v>1</v>
      </c>
      <c r="O711">
        <v>0</v>
      </c>
      <c r="P711">
        <v>1</v>
      </c>
    </row>
    <row r="712" spans="1:17" x14ac:dyDescent="0.55000000000000004">
      <c r="A712">
        <v>0</v>
      </c>
      <c r="B712" t="s">
        <v>0</v>
      </c>
      <c r="C712">
        <v>0.2</v>
      </c>
      <c r="D712" t="s">
        <v>68</v>
      </c>
      <c r="E712" t="s">
        <v>250</v>
      </c>
      <c r="F712" t="s">
        <v>259</v>
      </c>
      <c r="G712" t="s">
        <v>0</v>
      </c>
      <c r="H712">
        <v>10.439</v>
      </c>
      <c r="I712" t="s">
        <v>461</v>
      </c>
      <c r="K712">
        <v>105591583</v>
      </c>
      <c r="L712" s="2">
        <v>43343</v>
      </c>
      <c r="M712">
        <v>5</v>
      </c>
      <c r="N712">
        <v>1</v>
      </c>
      <c r="O712">
        <v>0</v>
      </c>
      <c r="P712">
        <v>1</v>
      </c>
      <c r="Q712" t="s">
        <v>45</v>
      </c>
    </row>
    <row r="713" spans="1:17" x14ac:dyDescent="0.55000000000000004">
      <c r="A713">
        <v>0</v>
      </c>
      <c r="B713" t="s">
        <v>0</v>
      </c>
      <c r="C713">
        <v>0.2</v>
      </c>
      <c r="D713" t="s">
        <v>68</v>
      </c>
      <c r="E713" t="s">
        <v>250</v>
      </c>
      <c r="F713" t="s">
        <v>255</v>
      </c>
      <c r="G713" t="s">
        <v>0</v>
      </c>
      <c r="H713">
        <v>10.439</v>
      </c>
      <c r="I713" t="s">
        <v>461</v>
      </c>
      <c r="K713">
        <v>105623287</v>
      </c>
      <c r="L713" s="2">
        <v>43371</v>
      </c>
      <c r="M713">
        <v>21</v>
      </c>
      <c r="N713">
        <v>1</v>
      </c>
      <c r="O713">
        <v>0</v>
      </c>
      <c r="P713">
        <v>1</v>
      </c>
      <c r="Q713" t="s">
        <v>21</v>
      </c>
    </row>
    <row r="714" spans="1:17" x14ac:dyDescent="0.55000000000000004">
      <c r="A714">
        <v>0</v>
      </c>
      <c r="B714" t="s">
        <v>0</v>
      </c>
      <c r="C714">
        <v>0.2</v>
      </c>
      <c r="D714" t="s">
        <v>68</v>
      </c>
      <c r="E714" t="s">
        <v>250</v>
      </c>
      <c r="F714" t="s">
        <v>255</v>
      </c>
      <c r="G714" t="s">
        <v>0</v>
      </c>
      <c r="H714">
        <v>10.439</v>
      </c>
      <c r="I714" t="s">
        <v>461</v>
      </c>
      <c r="K714">
        <v>106553220</v>
      </c>
      <c r="L714" s="2">
        <v>44307</v>
      </c>
      <c r="M714">
        <v>21</v>
      </c>
      <c r="N714">
        <v>1</v>
      </c>
      <c r="O714">
        <v>0</v>
      </c>
      <c r="P714">
        <v>1</v>
      </c>
      <c r="Q714" t="s">
        <v>21</v>
      </c>
    </row>
    <row r="715" spans="1:17" x14ac:dyDescent="0.55000000000000004">
      <c r="A715">
        <v>0</v>
      </c>
      <c r="B715" t="s">
        <v>0</v>
      </c>
      <c r="C715">
        <v>0.8</v>
      </c>
      <c r="D715" t="s">
        <v>68</v>
      </c>
      <c r="E715" t="s">
        <v>163</v>
      </c>
      <c r="F715" t="s">
        <v>258</v>
      </c>
      <c r="G715" t="s">
        <v>0</v>
      </c>
      <c r="H715">
        <v>10.454000000000001</v>
      </c>
      <c r="I715" t="s">
        <v>461</v>
      </c>
      <c r="K715">
        <v>106443951</v>
      </c>
      <c r="L715" s="2">
        <v>44184</v>
      </c>
      <c r="M715">
        <v>21</v>
      </c>
      <c r="N715">
        <v>1</v>
      </c>
      <c r="O715">
        <v>0</v>
      </c>
      <c r="P715">
        <v>1</v>
      </c>
      <c r="Q715" t="s">
        <v>15</v>
      </c>
    </row>
    <row r="716" spans="1:17" x14ac:dyDescent="0.55000000000000004">
      <c r="A716">
        <v>0</v>
      </c>
      <c r="B716" t="s">
        <v>0</v>
      </c>
      <c r="C716">
        <v>0.1</v>
      </c>
      <c r="D716" t="s">
        <v>18</v>
      </c>
      <c r="E716" t="s">
        <v>258</v>
      </c>
      <c r="F716" t="s">
        <v>250</v>
      </c>
      <c r="G716" t="s">
        <v>0</v>
      </c>
      <c r="H716">
        <v>10.454000000000001</v>
      </c>
      <c r="I716" t="s">
        <v>461</v>
      </c>
      <c r="K716">
        <v>106667445</v>
      </c>
      <c r="L716" s="2">
        <v>44431</v>
      </c>
      <c r="M716">
        <v>17</v>
      </c>
      <c r="N716">
        <v>1</v>
      </c>
      <c r="O716">
        <v>0</v>
      </c>
      <c r="P716">
        <v>1</v>
      </c>
      <c r="Q716" t="s">
        <v>21</v>
      </c>
    </row>
    <row r="717" spans="1:17" x14ac:dyDescent="0.55000000000000004">
      <c r="A717">
        <v>0</v>
      </c>
      <c r="B717" t="s">
        <v>0</v>
      </c>
      <c r="C717">
        <v>0.1</v>
      </c>
      <c r="D717" t="s">
        <v>18</v>
      </c>
      <c r="E717" t="s">
        <v>257</v>
      </c>
      <c r="F717" t="s">
        <v>163</v>
      </c>
      <c r="G717" t="s">
        <v>0</v>
      </c>
      <c r="H717">
        <v>10.467000000000001</v>
      </c>
      <c r="I717" t="s">
        <v>461</v>
      </c>
      <c r="K717">
        <v>105571261</v>
      </c>
      <c r="L717" s="2">
        <v>43324</v>
      </c>
      <c r="M717">
        <v>19</v>
      </c>
      <c r="N717">
        <v>1</v>
      </c>
      <c r="O717">
        <v>0</v>
      </c>
      <c r="P717">
        <v>1</v>
      </c>
      <c r="Q717" t="s">
        <v>21</v>
      </c>
    </row>
    <row r="718" spans="1:17" x14ac:dyDescent="0.55000000000000004">
      <c r="A718">
        <v>0</v>
      </c>
      <c r="B718" t="s">
        <v>0</v>
      </c>
      <c r="C718">
        <v>0.1</v>
      </c>
      <c r="D718" t="s">
        <v>18</v>
      </c>
      <c r="E718" t="s">
        <v>257</v>
      </c>
      <c r="F718" t="s">
        <v>250</v>
      </c>
      <c r="G718" t="s">
        <v>0</v>
      </c>
      <c r="H718">
        <v>10.467000000000001</v>
      </c>
      <c r="I718" t="s">
        <v>461</v>
      </c>
      <c r="K718">
        <v>106203738</v>
      </c>
      <c r="L718" s="2">
        <v>43935</v>
      </c>
      <c r="M718">
        <v>21</v>
      </c>
      <c r="N718">
        <v>1</v>
      </c>
      <c r="O718">
        <v>4</v>
      </c>
      <c r="P718">
        <v>1</v>
      </c>
      <c r="Q718" t="s">
        <v>21</v>
      </c>
    </row>
    <row r="719" spans="1:17" x14ac:dyDescent="0.55000000000000004">
      <c r="A719">
        <v>498</v>
      </c>
      <c r="B719" t="s">
        <v>4</v>
      </c>
      <c r="C719">
        <v>0.3</v>
      </c>
      <c r="D719" t="s">
        <v>30</v>
      </c>
      <c r="E719" t="s">
        <v>248</v>
      </c>
      <c r="F719" t="s">
        <v>162</v>
      </c>
      <c r="G719" t="s">
        <v>0</v>
      </c>
      <c r="H719">
        <v>10.539</v>
      </c>
      <c r="I719" t="s">
        <v>461</v>
      </c>
      <c r="K719">
        <v>105183968</v>
      </c>
      <c r="L719" s="2">
        <v>42947</v>
      </c>
      <c r="M719">
        <v>30</v>
      </c>
      <c r="N719">
        <v>1</v>
      </c>
      <c r="O719">
        <v>0</v>
      </c>
      <c r="P719">
        <v>1</v>
      </c>
      <c r="Q719" t="s">
        <v>15</v>
      </c>
    </row>
    <row r="720" spans="1:17" x14ac:dyDescent="0.55000000000000004">
      <c r="A720">
        <v>0</v>
      </c>
      <c r="B720" t="s">
        <v>0</v>
      </c>
      <c r="C720">
        <v>2E-3</v>
      </c>
      <c r="D720" t="s">
        <v>68</v>
      </c>
      <c r="E720" t="s">
        <v>257</v>
      </c>
      <c r="F720" t="s">
        <v>259</v>
      </c>
      <c r="G720" t="s">
        <v>0</v>
      </c>
      <c r="H720">
        <v>10.569000000000001</v>
      </c>
      <c r="I720" t="s">
        <v>461</v>
      </c>
      <c r="K720">
        <v>104955595</v>
      </c>
      <c r="L720" s="2">
        <v>42722</v>
      </c>
      <c r="M720">
        <v>14</v>
      </c>
      <c r="N720">
        <v>2</v>
      </c>
      <c r="O720">
        <v>9</v>
      </c>
      <c r="P720">
        <v>1</v>
      </c>
      <c r="Q720" t="s">
        <v>190</v>
      </c>
    </row>
    <row r="721" spans="1:17" x14ac:dyDescent="0.55000000000000004">
      <c r="A721">
        <v>0</v>
      </c>
      <c r="B721" t="s">
        <v>0</v>
      </c>
      <c r="C721">
        <v>0.1</v>
      </c>
      <c r="D721" t="s">
        <v>18</v>
      </c>
      <c r="E721" t="s">
        <v>259</v>
      </c>
      <c r="F721" t="s">
        <v>257</v>
      </c>
      <c r="G721" t="s">
        <v>0</v>
      </c>
      <c r="H721">
        <v>10.586</v>
      </c>
      <c r="I721" t="s">
        <v>461</v>
      </c>
      <c r="K721">
        <v>106227435</v>
      </c>
      <c r="L721" s="2">
        <v>43968</v>
      </c>
      <c r="M721">
        <v>15</v>
      </c>
      <c r="N721">
        <v>1</v>
      </c>
      <c r="O721">
        <v>4</v>
      </c>
      <c r="P721">
        <v>1</v>
      </c>
      <c r="Q721" t="s">
        <v>15</v>
      </c>
    </row>
    <row r="722" spans="1:17" x14ac:dyDescent="0.55000000000000004">
      <c r="A722">
        <v>0</v>
      </c>
      <c r="B722" t="s">
        <v>0</v>
      </c>
      <c r="C722">
        <v>0.1</v>
      </c>
      <c r="D722" t="s">
        <v>18</v>
      </c>
      <c r="E722" t="s">
        <v>259</v>
      </c>
      <c r="F722" t="s">
        <v>257</v>
      </c>
      <c r="G722" t="s">
        <v>0</v>
      </c>
      <c r="H722">
        <v>10.586</v>
      </c>
      <c r="I722" t="s">
        <v>461</v>
      </c>
      <c r="K722">
        <v>105350942</v>
      </c>
      <c r="L722" s="2">
        <v>43112</v>
      </c>
      <c r="M722">
        <v>19</v>
      </c>
      <c r="N722">
        <v>2</v>
      </c>
      <c r="O722">
        <v>0</v>
      </c>
      <c r="P722">
        <v>1</v>
      </c>
      <c r="Q722" t="s">
        <v>15</v>
      </c>
    </row>
    <row r="723" spans="1:17" x14ac:dyDescent="0.55000000000000004">
      <c r="A723">
        <v>0</v>
      </c>
      <c r="B723" t="s">
        <v>0</v>
      </c>
      <c r="C723">
        <v>9.5000000000000001E-2</v>
      </c>
      <c r="D723" t="s">
        <v>18</v>
      </c>
      <c r="E723" t="s">
        <v>260</v>
      </c>
      <c r="F723" t="s">
        <v>250</v>
      </c>
      <c r="G723" t="s">
        <v>0</v>
      </c>
      <c r="H723">
        <v>10.634</v>
      </c>
      <c r="I723" t="s">
        <v>461</v>
      </c>
      <c r="K723">
        <v>104956786</v>
      </c>
      <c r="L723" s="2">
        <v>42726</v>
      </c>
      <c r="M723">
        <v>19</v>
      </c>
      <c r="N723">
        <v>1</v>
      </c>
      <c r="O723">
        <v>0</v>
      </c>
      <c r="P723">
        <v>1</v>
      </c>
      <c r="Q723" t="s">
        <v>21</v>
      </c>
    </row>
    <row r="724" spans="1:17" x14ac:dyDescent="0.55000000000000004">
      <c r="A724">
        <v>0</v>
      </c>
      <c r="B724" t="s">
        <v>0</v>
      </c>
      <c r="C724">
        <v>0.1</v>
      </c>
      <c r="D724" t="s">
        <v>68</v>
      </c>
      <c r="E724" t="s">
        <v>257</v>
      </c>
      <c r="F724" t="s">
        <v>182</v>
      </c>
      <c r="G724" t="s">
        <v>0</v>
      </c>
      <c r="H724">
        <v>10.667</v>
      </c>
      <c r="I724" t="s">
        <v>461</v>
      </c>
      <c r="K724">
        <v>106430740</v>
      </c>
      <c r="L724" s="2">
        <v>44169</v>
      </c>
      <c r="M724">
        <v>14</v>
      </c>
      <c r="N724">
        <v>2</v>
      </c>
      <c r="O724">
        <v>0</v>
      </c>
      <c r="P724">
        <v>5</v>
      </c>
      <c r="Q724" t="s">
        <v>45</v>
      </c>
    </row>
    <row r="725" spans="1:17" x14ac:dyDescent="0.55000000000000004">
      <c r="A725">
        <v>0</v>
      </c>
      <c r="B725" t="s">
        <v>0</v>
      </c>
      <c r="C725">
        <v>0</v>
      </c>
      <c r="E725" t="s">
        <v>259</v>
      </c>
      <c r="F725" t="s">
        <v>182</v>
      </c>
      <c r="G725" t="s">
        <v>0</v>
      </c>
      <c r="H725">
        <v>10.686</v>
      </c>
      <c r="I725" t="s">
        <v>461</v>
      </c>
      <c r="K725">
        <v>105938270</v>
      </c>
      <c r="L725" s="2">
        <v>43673</v>
      </c>
      <c r="M725">
        <v>21</v>
      </c>
      <c r="N725">
        <v>1</v>
      </c>
      <c r="O725">
        <v>8</v>
      </c>
      <c r="P725">
        <v>1</v>
      </c>
      <c r="Q725" t="s">
        <v>15</v>
      </c>
    </row>
    <row r="726" spans="1:17" x14ac:dyDescent="0.55000000000000004">
      <c r="A726">
        <v>0</v>
      </c>
      <c r="B726" t="s">
        <v>0</v>
      </c>
      <c r="C726">
        <v>0</v>
      </c>
      <c r="E726" t="s">
        <v>259</v>
      </c>
      <c r="F726" t="s">
        <v>257</v>
      </c>
      <c r="G726" t="s">
        <v>0</v>
      </c>
      <c r="H726">
        <v>10.686</v>
      </c>
      <c r="I726" t="s">
        <v>461</v>
      </c>
      <c r="K726">
        <v>104858885</v>
      </c>
      <c r="L726" s="2">
        <v>42636</v>
      </c>
      <c r="M726">
        <v>23</v>
      </c>
      <c r="N726">
        <v>1</v>
      </c>
      <c r="O726">
        <v>8</v>
      </c>
      <c r="P726">
        <v>1</v>
      </c>
      <c r="Q726" t="s">
        <v>21</v>
      </c>
    </row>
    <row r="727" spans="1:17" x14ac:dyDescent="0.55000000000000004">
      <c r="A727">
        <v>0</v>
      </c>
      <c r="B727" t="s">
        <v>0</v>
      </c>
      <c r="C727">
        <v>2E-3</v>
      </c>
      <c r="D727" t="s">
        <v>68</v>
      </c>
      <c r="E727" t="s">
        <v>259</v>
      </c>
      <c r="F727" t="s">
        <v>182</v>
      </c>
      <c r="G727" t="s">
        <v>0</v>
      </c>
      <c r="H727">
        <v>10.688000000000001</v>
      </c>
      <c r="I727" t="s">
        <v>461</v>
      </c>
      <c r="K727">
        <v>105635154</v>
      </c>
      <c r="L727" s="2">
        <v>43384</v>
      </c>
      <c r="M727">
        <v>19</v>
      </c>
      <c r="N727">
        <v>2</v>
      </c>
      <c r="O727">
        <v>0</v>
      </c>
      <c r="P727">
        <v>5</v>
      </c>
      <c r="Q727" t="s">
        <v>21</v>
      </c>
    </row>
    <row r="728" spans="1:17" x14ac:dyDescent="0.55000000000000004">
      <c r="A728">
        <v>498</v>
      </c>
      <c r="B728" t="s">
        <v>0</v>
      </c>
      <c r="C728">
        <v>2</v>
      </c>
      <c r="D728" t="s">
        <v>68</v>
      </c>
      <c r="E728" t="s">
        <v>246</v>
      </c>
      <c r="F728" t="s">
        <v>163</v>
      </c>
      <c r="G728" t="s">
        <v>0</v>
      </c>
      <c r="H728">
        <v>10.702</v>
      </c>
      <c r="I728" t="s">
        <v>461</v>
      </c>
      <c r="K728">
        <v>105048762</v>
      </c>
      <c r="L728" s="2">
        <v>42809</v>
      </c>
      <c r="M728">
        <v>21</v>
      </c>
      <c r="N728">
        <v>1</v>
      </c>
      <c r="O728">
        <v>0</v>
      </c>
      <c r="P728">
        <v>1</v>
      </c>
      <c r="Q728" t="s">
        <v>21</v>
      </c>
    </row>
    <row r="729" spans="1:17" x14ac:dyDescent="0.55000000000000004">
      <c r="A729">
        <v>0</v>
      </c>
      <c r="B729" t="s">
        <v>0</v>
      </c>
      <c r="C729">
        <v>0</v>
      </c>
      <c r="E729" t="s">
        <v>260</v>
      </c>
      <c r="F729" t="s">
        <v>259</v>
      </c>
      <c r="G729" t="s">
        <v>0</v>
      </c>
      <c r="H729">
        <v>10.728999999999999</v>
      </c>
      <c r="I729" t="s">
        <v>461</v>
      </c>
      <c r="K729">
        <v>105615989</v>
      </c>
      <c r="L729" s="2">
        <v>43368</v>
      </c>
      <c r="M729">
        <v>21</v>
      </c>
      <c r="N729">
        <v>1</v>
      </c>
      <c r="O729">
        <v>8</v>
      </c>
      <c r="P729">
        <v>1</v>
      </c>
      <c r="Q729" t="s">
        <v>15</v>
      </c>
    </row>
    <row r="730" spans="1:17" x14ac:dyDescent="0.55000000000000004">
      <c r="A730">
        <v>0</v>
      </c>
      <c r="B730" t="s">
        <v>0</v>
      </c>
      <c r="C730">
        <v>0.5</v>
      </c>
      <c r="D730" t="s">
        <v>68</v>
      </c>
      <c r="E730" t="s">
        <v>250</v>
      </c>
      <c r="F730" t="s">
        <v>182</v>
      </c>
      <c r="G730" t="s">
        <v>0</v>
      </c>
      <c r="H730">
        <v>10.739000000000001</v>
      </c>
      <c r="I730" t="s">
        <v>461</v>
      </c>
      <c r="K730">
        <v>106480698</v>
      </c>
      <c r="L730" s="2">
        <v>44230</v>
      </c>
      <c r="M730">
        <v>29</v>
      </c>
      <c r="N730">
        <v>1</v>
      </c>
      <c r="O730">
        <v>0</v>
      </c>
      <c r="P730">
        <v>1</v>
      </c>
      <c r="Q730" t="s">
        <v>21</v>
      </c>
    </row>
    <row r="731" spans="1:17" x14ac:dyDescent="0.55000000000000004">
      <c r="A731">
        <v>0</v>
      </c>
      <c r="B731" t="s">
        <v>0</v>
      </c>
      <c r="C731">
        <v>0.1</v>
      </c>
      <c r="D731" t="s">
        <v>68</v>
      </c>
      <c r="E731" t="s">
        <v>259</v>
      </c>
      <c r="F731" t="s">
        <v>261</v>
      </c>
      <c r="G731" t="s">
        <v>0</v>
      </c>
      <c r="H731">
        <v>10.786</v>
      </c>
      <c r="I731" t="s">
        <v>461</v>
      </c>
      <c r="K731">
        <v>105942901</v>
      </c>
      <c r="L731" s="2">
        <v>43676</v>
      </c>
      <c r="M731">
        <v>19</v>
      </c>
      <c r="N731">
        <v>1</v>
      </c>
      <c r="O731">
        <v>0</v>
      </c>
      <c r="P731">
        <v>5</v>
      </c>
      <c r="Q731" t="s">
        <v>21</v>
      </c>
    </row>
    <row r="732" spans="1:17" x14ac:dyDescent="0.55000000000000004">
      <c r="A732">
        <v>0</v>
      </c>
      <c r="B732" t="s">
        <v>0</v>
      </c>
      <c r="C732">
        <v>0.11</v>
      </c>
      <c r="D732" t="s">
        <v>68</v>
      </c>
      <c r="E732" t="s">
        <v>259</v>
      </c>
      <c r="F732" t="s">
        <v>255</v>
      </c>
      <c r="G732" t="s">
        <v>0</v>
      </c>
      <c r="H732">
        <v>10.795999999999999</v>
      </c>
      <c r="I732" t="s">
        <v>461</v>
      </c>
      <c r="K732">
        <v>106199561</v>
      </c>
      <c r="L732" s="2">
        <v>43927</v>
      </c>
      <c r="M732">
        <v>19</v>
      </c>
      <c r="N732">
        <v>1</v>
      </c>
      <c r="O732">
        <v>0</v>
      </c>
      <c r="P732">
        <v>1</v>
      </c>
      <c r="Q732" t="s">
        <v>21</v>
      </c>
    </row>
    <row r="733" spans="1:17" x14ac:dyDescent="0.55000000000000004">
      <c r="A733">
        <v>0</v>
      </c>
      <c r="B733" t="s">
        <v>0</v>
      </c>
      <c r="C733">
        <v>0.6</v>
      </c>
      <c r="D733" t="s">
        <v>68</v>
      </c>
      <c r="E733" t="s">
        <v>250</v>
      </c>
      <c r="F733" t="s">
        <v>182</v>
      </c>
      <c r="G733" t="s">
        <v>0</v>
      </c>
      <c r="H733">
        <v>10.839</v>
      </c>
      <c r="I733" t="s">
        <v>461</v>
      </c>
      <c r="K733">
        <v>106641651</v>
      </c>
      <c r="L733" s="2">
        <v>44401</v>
      </c>
      <c r="M733">
        <v>21</v>
      </c>
      <c r="N733">
        <v>1</v>
      </c>
      <c r="O733">
        <v>0</v>
      </c>
      <c r="P733">
        <v>1</v>
      </c>
      <c r="Q733" t="s">
        <v>21</v>
      </c>
    </row>
    <row r="734" spans="1:17" x14ac:dyDescent="0.55000000000000004">
      <c r="A734">
        <v>0</v>
      </c>
      <c r="B734" t="s">
        <v>0</v>
      </c>
      <c r="C734">
        <v>0</v>
      </c>
      <c r="E734" t="s">
        <v>261</v>
      </c>
      <c r="F734" t="s">
        <v>182</v>
      </c>
      <c r="G734" t="s">
        <v>0</v>
      </c>
      <c r="H734">
        <v>10.911</v>
      </c>
      <c r="I734" t="s">
        <v>461</v>
      </c>
      <c r="K734">
        <v>105691220</v>
      </c>
      <c r="L734" s="2">
        <v>43431</v>
      </c>
      <c r="M734">
        <v>19</v>
      </c>
      <c r="N734">
        <v>1</v>
      </c>
      <c r="O734">
        <v>0</v>
      </c>
      <c r="P734">
        <v>5</v>
      </c>
      <c r="Q734" t="s">
        <v>15</v>
      </c>
    </row>
    <row r="735" spans="1:17" x14ac:dyDescent="0.55000000000000004">
      <c r="A735">
        <v>0</v>
      </c>
      <c r="B735" t="s">
        <v>0</v>
      </c>
      <c r="C735">
        <v>8.9999999999999993E-3</v>
      </c>
      <c r="D735" t="s">
        <v>68</v>
      </c>
      <c r="E735" t="s">
        <v>261</v>
      </c>
      <c r="F735" t="s">
        <v>250</v>
      </c>
      <c r="G735" t="s">
        <v>0</v>
      </c>
      <c r="H735">
        <v>10.92</v>
      </c>
      <c r="I735" t="s">
        <v>461</v>
      </c>
      <c r="K735">
        <v>105085489</v>
      </c>
      <c r="L735" s="2">
        <v>42858</v>
      </c>
      <c r="M735">
        <v>30</v>
      </c>
      <c r="N735">
        <v>1</v>
      </c>
      <c r="O735">
        <v>0</v>
      </c>
      <c r="P735">
        <v>1</v>
      </c>
      <c r="Q735" t="s">
        <v>21</v>
      </c>
    </row>
    <row r="736" spans="1:17" x14ac:dyDescent="0.55000000000000004">
      <c r="A736">
        <v>0</v>
      </c>
      <c r="B736" t="s">
        <v>0</v>
      </c>
      <c r="C736">
        <v>0.1</v>
      </c>
      <c r="D736" t="s">
        <v>18</v>
      </c>
      <c r="E736" t="s">
        <v>182</v>
      </c>
      <c r="F736" t="s">
        <v>261</v>
      </c>
      <c r="G736" t="s">
        <v>0</v>
      </c>
      <c r="H736">
        <v>11.037000000000001</v>
      </c>
      <c r="I736" t="s">
        <v>461</v>
      </c>
      <c r="K736">
        <v>106248909</v>
      </c>
      <c r="L736" s="2">
        <v>43992</v>
      </c>
      <c r="M736">
        <v>29</v>
      </c>
      <c r="N736">
        <v>1</v>
      </c>
      <c r="O736">
        <v>0</v>
      </c>
      <c r="P736">
        <v>1</v>
      </c>
      <c r="Q736" t="s">
        <v>21</v>
      </c>
    </row>
    <row r="737" spans="1:17" x14ac:dyDescent="0.55000000000000004">
      <c r="A737">
        <v>0</v>
      </c>
      <c r="B737" t="s">
        <v>0</v>
      </c>
      <c r="C737">
        <v>6.0000000000000001E-3</v>
      </c>
      <c r="D737" t="s">
        <v>18</v>
      </c>
      <c r="E737" t="s">
        <v>182</v>
      </c>
      <c r="F737" t="s">
        <v>259</v>
      </c>
      <c r="G737" t="s">
        <v>0</v>
      </c>
      <c r="H737">
        <v>11.131</v>
      </c>
      <c r="I737" t="s">
        <v>461</v>
      </c>
      <c r="K737">
        <v>106189573</v>
      </c>
      <c r="L737" s="2">
        <v>43909</v>
      </c>
      <c r="M737">
        <v>21</v>
      </c>
      <c r="N737">
        <v>1</v>
      </c>
      <c r="O737">
        <v>0</v>
      </c>
      <c r="P737">
        <v>1</v>
      </c>
      <c r="Q737" t="s">
        <v>21</v>
      </c>
    </row>
    <row r="738" spans="1:17" x14ac:dyDescent="0.55000000000000004">
      <c r="A738">
        <v>0</v>
      </c>
      <c r="B738" t="s">
        <v>0</v>
      </c>
      <c r="C738">
        <v>0</v>
      </c>
      <c r="E738" t="s">
        <v>182</v>
      </c>
      <c r="F738" t="s">
        <v>172</v>
      </c>
      <c r="G738" t="s">
        <v>0</v>
      </c>
      <c r="H738">
        <v>11.137</v>
      </c>
      <c r="I738" t="s">
        <v>461</v>
      </c>
      <c r="K738">
        <v>105847308</v>
      </c>
      <c r="L738" s="2">
        <v>43584</v>
      </c>
      <c r="M738">
        <v>30</v>
      </c>
      <c r="N738">
        <v>1</v>
      </c>
      <c r="O738">
        <v>7</v>
      </c>
      <c r="P738">
        <v>1</v>
      </c>
      <c r="Q738" t="s">
        <v>21</v>
      </c>
    </row>
    <row r="739" spans="1:17" x14ac:dyDescent="0.55000000000000004">
      <c r="A739">
        <v>0</v>
      </c>
      <c r="B739" t="s">
        <v>0</v>
      </c>
      <c r="C739">
        <v>0</v>
      </c>
      <c r="E739" t="s">
        <v>182</v>
      </c>
      <c r="F739" t="s">
        <v>172</v>
      </c>
      <c r="G739" t="s">
        <v>0</v>
      </c>
      <c r="H739">
        <v>11.137</v>
      </c>
      <c r="I739" t="s">
        <v>461</v>
      </c>
      <c r="K739">
        <v>106447053</v>
      </c>
      <c r="L739" s="2">
        <v>44188</v>
      </c>
      <c r="M739">
        <v>30</v>
      </c>
      <c r="N739">
        <v>1</v>
      </c>
      <c r="O739">
        <v>7</v>
      </c>
      <c r="P739">
        <v>5</v>
      </c>
      <c r="Q739" t="s">
        <v>15</v>
      </c>
    </row>
    <row r="740" spans="1:17" x14ac:dyDescent="0.55000000000000004">
      <c r="A740">
        <v>0</v>
      </c>
      <c r="B740" t="s">
        <v>0</v>
      </c>
      <c r="C740">
        <v>0</v>
      </c>
      <c r="E740" t="s">
        <v>182</v>
      </c>
      <c r="F740" t="s">
        <v>172</v>
      </c>
      <c r="G740" t="s">
        <v>0</v>
      </c>
      <c r="H740">
        <v>11.137</v>
      </c>
      <c r="I740" t="s">
        <v>461</v>
      </c>
      <c r="K740">
        <v>106521579</v>
      </c>
      <c r="L740" s="2">
        <v>44275</v>
      </c>
      <c r="M740">
        <v>30</v>
      </c>
      <c r="N740">
        <v>1</v>
      </c>
      <c r="O740">
        <v>7</v>
      </c>
      <c r="P740">
        <v>1</v>
      </c>
      <c r="Q740" t="s">
        <v>21</v>
      </c>
    </row>
    <row r="741" spans="1:17" x14ac:dyDescent="0.55000000000000004">
      <c r="A741">
        <v>0</v>
      </c>
      <c r="B741" t="s">
        <v>0</v>
      </c>
      <c r="C741">
        <v>0</v>
      </c>
      <c r="E741" t="s">
        <v>182</v>
      </c>
      <c r="F741" t="s">
        <v>172</v>
      </c>
      <c r="G741" t="s">
        <v>0</v>
      </c>
      <c r="H741">
        <v>11.137</v>
      </c>
      <c r="I741" t="s">
        <v>461</v>
      </c>
      <c r="K741">
        <v>105123635</v>
      </c>
      <c r="L741" s="2">
        <v>42892</v>
      </c>
      <c r="M741">
        <v>30</v>
      </c>
      <c r="N741">
        <v>1</v>
      </c>
      <c r="O741">
        <v>7</v>
      </c>
      <c r="P741">
        <v>1</v>
      </c>
      <c r="Q741" t="s">
        <v>21</v>
      </c>
    </row>
    <row r="742" spans="1:17" x14ac:dyDescent="0.55000000000000004">
      <c r="A742">
        <v>0</v>
      </c>
      <c r="B742" t="s">
        <v>0</v>
      </c>
      <c r="C742">
        <v>0</v>
      </c>
      <c r="E742" t="s">
        <v>182</v>
      </c>
      <c r="F742" t="s">
        <v>172</v>
      </c>
      <c r="G742" t="s">
        <v>0</v>
      </c>
      <c r="H742">
        <v>11.137</v>
      </c>
      <c r="I742" t="s">
        <v>461</v>
      </c>
      <c r="K742">
        <v>105745264</v>
      </c>
      <c r="L742" s="2">
        <v>43478</v>
      </c>
      <c r="M742">
        <v>30</v>
      </c>
      <c r="N742">
        <v>2</v>
      </c>
      <c r="O742">
        <v>7</v>
      </c>
      <c r="P742">
        <v>1</v>
      </c>
      <c r="Q742" t="s">
        <v>21</v>
      </c>
    </row>
    <row r="743" spans="1:17" x14ac:dyDescent="0.55000000000000004">
      <c r="A743">
        <v>0</v>
      </c>
      <c r="B743" t="s">
        <v>0</v>
      </c>
      <c r="C743">
        <v>0</v>
      </c>
      <c r="E743" t="s">
        <v>182</v>
      </c>
      <c r="F743" t="s">
        <v>172</v>
      </c>
      <c r="G743" t="s">
        <v>0</v>
      </c>
      <c r="H743">
        <v>11.137</v>
      </c>
      <c r="I743" t="s">
        <v>461</v>
      </c>
      <c r="K743">
        <v>105977179</v>
      </c>
      <c r="L743" s="2">
        <v>43711</v>
      </c>
      <c r="M743">
        <v>24</v>
      </c>
      <c r="N743">
        <v>1</v>
      </c>
      <c r="O743">
        <v>7</v>
      </c>
      <c r="P743">
        <v>1</v>
      </c>
      <c r="Q743" t="s">
        <v>15</v>
      </c>
    </row>
    <row r="744" spans="1:17" x14ac:dyDescent="0.55000000000000004">
      <c r="A744">
        <v>0</v>
      </c>
      <c r="B744" t="s">
        <v>0</v>
      </c>
      <c r="C744">
        <v>0</v>
      </c>
      <c r="E744" t="s">
        <v>182</v>
      </c>
      <c r="F744" t="s">
        <v>172</v>
      </c>
      <c r="G744" t="s">
        <v>0</v>
      </c>
      <c r="H744">
        <v>11.137</v>
      </c>
      <c r="I744" t="s">
        <v>461</v>
      </c>
      <c r="K744">
        <v>105113565</v>
      </c>
      <c r="L744" s="2">
        <v>42881</v>
      </c>
      <c r="M744">
        <v>24</v>
      </c>
      <c r="N744">
        <v>1</v>
      </c>
      <c r="O744">
        <v>7</v>
      </c>
      <c r="P744">
        <v>1</v>
      </c>
      <c r="Q744" t="s">
        <v>21</v>
      </c>
    </row>
    <row r="745" spans="1:17" x14ac:dyDescent="0.55000000000000004">
      <c r="A745">
        <v>0</v>
      </c>
      <c r="B745" t="s">
        <v>0</v>
      </c>
      <c r="C745">
        <v>0</v>
      </c>
      <c r="E745" t="s">
        <v>182</v>
      </c>
      <c r="F745" t="s">
        <v>263</v>
      </c>
      <c r="G745" t="s">
        <v>0</v>
      </c>
      <c r="H745">
        <v>11.137</v>
      </c>
      <c r="I745" t="s">
        <v>461</v>
      </c>
      <c r="K745">
        <v>105318295</v>
      </c>
      <c r="L745" s="2">
        <v>43079</v>
      </c>
      <c r="M745">
        <v>30</v>
      </c>
      <c r="N745">
        <v>1</v>
      </c>
      <c r="O745">
        <v>7</v>
      </c>
      <c r="P745">
        <v>1</v>
      </c>
      <c r="Q745" t="s">
        <v>21</v>
      </c>
    </row>
    <row r="746" spans="1:17" x14ac:dyDescent="0.55000000000000004">
      <c r="A746">
        <v>0</v>
      </c>
      <c r="B746" t="s">
        <v>0</v>
      </c>
      <c r="C746">
        <v>0</v>
      </c>
      <c r="E746" t="s">
        <v>182</v>
      </c>
      <c r="F746" t="s">
        <v>263</v>
      </c>
      <c r="G746" t="s">
        <v>0</v>
      </c>
      <c r="H746">
        <v>11.137</v>
      </c>
      <c r="I746" t="s">
        <v>461</v>
      </c>
      <c r="K746">
        <v>104931786</v>
      </c>
      <c r="L746" s="2">
        <v>42704</v>
      </c>
      <c r="M746">
        <v>30</v>
      </c>
      <c r="N746">
        <v>2</v>
      </c>
      <c r="O746">
        <v>7</v>
      </c>
      <c r="P746">
        <v>1</v>
      </c>
      <c r="Q746" t="s">
        <v>167</v>
      </c>
    </row>
    <row r="747" spans="1:17" x14ac:dyDescent="0.55000000000000004">
      <c r="A747">
        <v>0</v>
      </c>
      <c r="B747" t="s">
        <v>0</v>
      </c>
      <c r="C747">
        <v>0</v>
      </c>
      <c r="E747" t="s">
        <v>182</v>
      </c>
      <c r="F747" t="s">
        <v>262</v>
      </c>
      <c r="G747" t="s">
        <v>0</v>
      </c>
      <c r="H747">
        <v>11.137</v>
      </c>
      <c r="I747" t="s">
        <v>461</v>
      </c>
      <c r="K747">
        <v>105980610</v>
      </c>
      <c r="L747" s="2">
        <v>43712</v>
      </c>
      <c r="M747">
        <v>29</v>
      </c>
      <c r="N747">
        <v>1</v>
      </c>
      <c r="O747">
        <v>7</v>
      </c>
      <c r="P747">
        <v>1</v>
      </c>
      <c r="Q747" t="s">
        <v>21</v>
      </c>
    </row>
    <row r="748" spans="1:17" x14ac:dyDescent="0.55000000000000004">
      <c r="A748">
        <v>0</v>
      </c>
      <c r="B748" t="s">
        <v>0</v>
      </c>
      <c r="C748">
        <v>0</v>
      </c>
      <c r="E748" t="s">
        <v>182</v>
      </c>
      <c r="F748" t="s">
        <v>262</v>
      </c>
      <c r="G748" t="s">
        <v>0</v>
      </c>
      <c r="H748">
        <v>11.137</v>
      </c>
      <c r="I748" t="s">
        <v>461</v>
      </c>
      <c r="K748">
        <v>106241961</v>
      </c>
      <c r="L748" s="2">
        <v>43984</v>
      </c>
      <c r="M748">
        <v>21</v>
      </c>
      <c r="N748">
        <v>1</v>
      </c>
      <c r="O748">
        <v>0</v>
      </c>
      <c r="P748">
        <v>1</v>
      </c>
      <c r="Q748" t="s">
        <v>15</v>
      </c>
    </row>
    <row r="749" spans="1:17" x14ac:dyDescent="0.55000000000000004">
      <c r="A749">
        <v>0</v>
      </c>
      <c r="B749" t="s">
        <v>0</v>
      </c>
      <c r="C749">
        <v>0</v>
      </c>
      <c r="E749" t="s">
        <v>182</v>
      </c>
      <c r="F749" t="s">
        <v>262</v>
      </c>
      <c r="G749" t="s">
        <v>0</v>
      </c>
      <c r="H749">
        <v>11.137</v>
      </c>
      <c r="I749" t="s">
        <v>461</v>
      </c>
      <c r="K749">
        <v>106477630</v>
      </c>
      <c r="L749" s="2">
        <v>44226</v>
      </c>
      <c r="M749">
        <v>30</v>
      </c>
      <c r="N749">
        <v>1</v>
      </c>
      <c r="O749">
        <v>7</v>
      </c>
      <c r="P749">
        <v>1</v>
      </c>
      <c r="Q749" t="s">
        <v>21</v>
      </c>
    </row>
    <row r="750" spans="1:17" x14ac:dyDescent="0.55000000000000004">
      <c r="A750">
        <v>0</v>
      </c>
      <c r="B750" t="s">
        <v>0</v>
      </c>
      <c r="C750">
        <v>0</v>
      </c>
      <c r="E750" t="s">
        <v>182</v>
      </c>
      <c r="F750" t="s">
        <v>262</v>
      </c>
      <c r="G750" t="s">
        <v>0</v>
      </c>
      <c r="H750">
        <v>11.137</v>
      </c>
      <c r="I750" t="s">
        <v>461</v>
      </c>
      <c r="K750">
        <v>106243266</v>
      </c>
      <c r="L750" s="2">
        <v>43984</v>
      </c>
      <c r="M750">
        <v>30</v>
      </c>
      <c r="N750">
        <v>1</v>
      </c>
      <c r="O750">
        <v>7</v>
      </c>
      <c r="P750">
        <v>1</v>
      </c>
      <c r="Q750" t="s">
        <v>21</v>
      </c>
    </row>
    <row r="751" spans="1:17" x14ac:dyDescent="0.55000000000000004">
      <c r="A751">
        <v>0</v>
      </c>
      <c r="B751" t="s">
        <v>0</v>
      </c>
      <c r="C751">
        <v>0</v>
      </c>
      <c r="E751" t="s">
        <v>182</v>
      </c>
      <c r="F751" t="s">
        <v>262</v>
      </c>
      <c r="G751" t="s">
        <v>0</v>
      </c>
      <c r="H751">
        <v>11.137</v>
      </c>
      <c r="I751" t="s">
        <v>461</v>
      </c>
      <c r="K751">
        <v>106381635</v>
      </c>
      <c r="L751" s="2">
        <v>44129</v>
      </c>
      <c r="M751">
        <v>30</v>
      </c>
      <c r="N751">
        <v>2</v>
      </c>
      <c r="O751">
        <v>7</v>
      </c>
      <c r="P751">
        <v>1</v>
      </c>
      <c r="Q751" t="s">
        <v>21</v>
      </c>
    </row>
    <row r="752" spans="1:17" x14ac:dyDescent="0.55000000000000004">
      <c r="A752">
        <v>0</v>
      </c>
      <c r="B752" t="s">
        <v>0</v>
      </c>
      <c r="C752">
        <v>0</v>
      </c>
      <c r="E752" t="s">
        <v>182</v>
      </c>
      <c r="F752" t="s">
        <v>262</v>
      </c>
      <c r="G752" t="s">
        <v>0</v>
      </c>
      <c r="H752">
        <v>11.137</v>
      </c>
      <c r="I752" t="s">
        <v>461</v>
      </c>
      <c r="K752">
        <v>105491982</v>
      </c>
      <c r="L752" s="2">
        <v>43243</v>
      </c>
      <c r="M752">
        <v>30</v>
      </c>
      <c r="N752">
        <v>1</v>
      </c>
      <c r="O752">
        <v>7</v>
      </c>
      <c r="P752">
        <v>1</v>
      </c>
      <c r="Q752" t="s">
        <v>21</v>
      </c>
    </row>
    <row r="753" spans="1:17" x14ac:dyDescent="0.55000000000000004">
      <c r="A753">
        <v>0</v>
      </c>
      <c r="B753" t="s">
        <v>0</v>
      </c>
      <c r="C753">
        <v>0</v>
      </c>
      <c r="E753" t="s">
        <v>182</v>
      </c>
      <c r="F753" t="s">
        <v>250</v>
      </c>
      <c r="G753" t="s">
        <v>0</v>
      </c>
      <c r="H753">
        <v>11.137</v>
      </c>
      <c r="I753" t="s">
        <v>461</v>
      </c>
      <c r="K753">
        <v>106251530</v>
      </c>
      <c r="L753" s="2">
        <v>43994</v>
      </c>
      <c r="M753">
        <v>30</v>
      </c>
      <c r="N753">
        <v>1</v>
      </c>
      <c r="O753">
        <v>7</v>
      </c>
      <c r="P753">
        <v>1</v>
      </c>
      <c r="Q753" t="s">
        <v>21</v>
      </c>
    </row>
    <row r="754" spans="1:17" x14ac:dyDescent="0.55000000000000004">
      <c r="A754">
        <v>0</v>
      </c>
      <c r="B754" t="s">
        <v>0</v>
      </c>
      <c r="C754">
        <v>0</v>
      </c>
      <c r="E754" t="s">
        <v>182</v>
      </c>
      <c r="F754" t="s">
        <v>257</v>
      </c>
      <c r="G754" t="s">
        <v>0</v>
      </c>
      <c r="H754">
        <v>11.137</v>
      </c>
      <c r="I754" t="s">
        <v>461</v>
      </c>
      <c r="K754">
        <v>105889120</v>
      </c>
      <c r="L754" s="2">
        <v>43616</v>
      </c>
      <c r="M754">
        <v>24</v>
      </c>
      <c r="N754">
        <v>1</v>
      </c>
      <c r="O754">
        <v>7</v>
      </c>
      <c r="P754">
        <v>1</v>
      </c>
      <c r="Q754" t="s">
        <v>21</v>
      </c>
    </row>
    <row r="755" spans="1:17" x14ac:dyDescent="0.55000000000000004">
      <c r="A755">
        <v>0</v>
      </c>
      <c r="B755" t="s">
        <v>0</v>
      </c>
      <c r="C755">
        <v>0</v>
      </c>
      <c r="E755" t="s">
        <v>182</v>
      </c>
      <c r="F755" t="s">
        <v>259</v>
      </c>
      <c r="G755" t="s">
        <v>0</v>
      </c>
      <c r="H755">
        <v>11.137</v>
      </c>
      <c r="I755" t="s">
        <v>461</v>
      </c>
      <c r="K755">
        <v>106538406</v>
      </c>
      <c r="L755" s="2">
        <v>44291</v>
      </c>
      <c r="M755">
        <v>21</v>
      </c>
      <c r="N755">
        <v>1</v>
      </c>
      <c r="O755">
        <v>7</v>
      </c>
      <c r="P755">
        <v>1</v>
      </c>
      <c r="Q755" t="s">
        <v>21</v>
      </c>
    </row>
    <row r="756" spans="1:17" x14ac:dyDescent="0.55000000000000004">
      <c r="A756">
        <v>0</v>
      </c>
      <c r="B756" t="s">
        <v>0</v>
      </c>
      <c r="C756">
        <v>0</v>
      </c>
      <c r="E756" t="s">
        <v>182</v>
      </c>
      <c r="F756" t="s">
        <v>261</v>
      </c>
      <c r="G756" t="s">
        <v>0</v>
      </c>
      <c r="H756">
        <v>11.137</v>
      </c>
      <c r="I756" t="s">
        <v>461</v>
      </c>
      <c r="K756">
        <v>105732228</v>
      </c>
      <c r="L756" s="2">
        <v>43468</v>
      </c>
      <c r="M756">
        <v>30</v>
      </c>
      <c r="N756">
        <v>2</v>
      </c>
      <c r="O756">
        <v>7</v>
      </c>
      <c r="P756">
        <v>1</v>
      </c>
      <c r="Q756" t="s">
        <v>15</v>
      </c>
    </row>
    <row r="757" spans="1:17" x14ac:dyDescent="0.55000000000000004">
      <c r="A757">
        <v>0</v>
      </c>
      <c r="B757" t="s">
        <v>0</v>
      </c>
      <c r="C757">
        <v>0</v>
      </c>
      <c r="E757" t="s">
        <v>182</v>
      </c>
      <c r="F757" t="s">
        <v>261</v>
      </c>
      <c r="G757" t="s">
        <v>0</v>
      </c>
      <c r="H757">
        <v>11.137</v>
      </c>
      <c r="I757" t="s">
        <v>461</v>
      </c>
      <c r="K757">
        <v>104959276</v>
      </c>
      <c r="L757" s="2">
        <v>42726</v>
      </c>
      <c r="M757">
        <v>19</v>
      </c>
      <c r="N757">
        <v>1</v>
      </c>
      <c r="O757">
        <v>7</v>
      </c>
      <c r="P757">
        <v>1</v>
      </c>
      <c r="Q757" t="s">
        <v>21</v>
      </c>
    </row>
    <row r="758" spans="1:17" x14ac:dyDescent="0.55000000000000004">
      <c r="A758">
        <v>0</v>
      </c>
      <c r="B758" t="s">
        <v>0</v>
      </c>
      <c r="C758">
        <v>0</v>
      </c>
      <c r="E758" t="s">
        <v>182</v>
      </c>
      <c r="F758" t="s">
        <v>261</v>
      </c>
      <c r="G758" t="s">
        <v>0</v>
      </c>
      <c r="H758">
        <v>11.137</v>
      </c>
      <c r="I758" t="s">
        <v>461</v>
      </c>
      <c r="K758">
        <v>105378692</v>
      </c>
      <c r="L758" s="2">
        <v>43141</v>
      </c>
      <c r="M758">
        <v>30</v>
      </c>
      <c r="N758">
        <v>2</v>
      </c>
      <c r="O758">
        <v>7</v>
      </c>
      <c r="P758">
        <v>1</v>
      </c>
      <c r="Q758" t="s">
        <v>45</v>
      </c>
    </row>
    <row r="759" spans="1:17" x14ac:dyDescent="0.55000000000000004">
      <c r="A759">
        <v>0</v>
      </c>
      <c r="B759" t="s">
        <v>0</v>
      </c>
      <c r="C759">
        <v>0.1</v>
      </c>
      <c r="D759" t="s">
        <v>68</v>
      </c>
      <c r="E759" t="s">
        <v>182</v>
      </c>
      <c r="F759" t="s">
        <v>263</v>
      </c>
      <c r="G759" t="s">
        <v>0</v>
      </c>
      <c r="H759">
        <v>11.237</v>
      </c>
      <c r="I759" t="s">
        <v>461</v>
      </c>
      <c r="K759">
        <v>106597466</v>
      </c>
      <c r="L759" s="2">
        <v>44354</v>
      </c>
      <c r="M759">
        <v>17</v>
      </c>
      <c r="N759">
        <v>1</v>
      </c>
      <c r="O759">
        <v>0</v>
      </c>
      <c r="P759">
        <v>5</v>
      </c>
      <c r="Q759" t="s">
        <v>21</v>
      </c>
    </row>
    <row r="760" spans="1:17" x14ac:dyDescent="0.55000000000000004">
      <c r="A760">
        <v>0</v>
      </c>
      <c r="B760" t="s">
        <v>0</v>
      </c>
      <c r="C760">
        <v>0.1</v>
      </c>
      <c r="D760" t="s">
        <v>68</v>
      </c>
      <c r="E760" t="s">
        <v>182</v>
      </c>
      <c r="F760" t="s">
        <v>262</v>
      </c>
      <c r="G760" t="s">
        <v>0</v>
      </c>
      <c r="H760">
        <v>11.237</v>
      </c>
      <c r="I760" t="s">
        <v>461</v>
      </c>
      <c r="K760">
        <v>106355474</v>
      </c>
      <c r="L760" s="2">
        <v>44103</v>
      </c>
      <c r="M760">
        <v>19</v>
      </c>
      <c r="N760">
        <v>2</v>
      </c>
      <c r="O760">
        <v>0</v>
      </c>
      <c r="P760">
        <v>1</v>
      </c>
      <c r="Q760" t="s">
        <v>21</v>
      </c>
    </row>
    <row r="761" spans="1:17" x14ac:dyDescent="0.55000000000000004">
      <c r="A761">
        <v>0</v>
      </c>
      <c r="B761" t="s">
        <v>0</v>
      </c>
      <c r="C761">
        <v>0.1</v>
      </c>
      <c r="D761" t="s">
        <v>68</v>
      </c>
      <c r="E761" t="s">
        <v>182</v>
      </c>
      <c r="F761" t="s">
        <v>262</v>
      </c>
      <c r="G761" t="s">
        <v>0</v>
      </c>
      <c r="H761">
        <v>11.237</v>
      </c>
      <c r="I761" t="s">
        <v>461</v>
      </c>
      <c r="K761">
        <v>105423530</v>
      </c>
      <c r="L761" s="2">
        <v>43183</v>
      </c>
      <c r="M761">
        <v>19</v>
      </c>
      <c r="N761">
        <v>1</v>
      </c>
      <c r="O761">
        <v>5</v>
      </c>
      <c r="P761">
        <v>5</v>
      </c>
      <c r="Q761" t="s">
        <v>21</v>
      </c>
    </row>
    <row r="762" spans="1:17" x14ac:dyDescent="0.55000000000000004">
      <c r="A762">
        <v>0</v>
      </c>
      <c r="B762" t="s">
        <v>0</v>
      </c>
      <c r="C762">
        <v>0.2</v>
      </c>
      <c r="D762" t="s">
        <v>18</v>
      </c>
      <c r="E762" t="s">
        <v>262</v>
      </c>
      <c r="F762" t="s">
        <v>264</v>
      </c>
      <c r="G762" t="s">
        <v>0</v>
      </c>
      <c r="H762">
        <v>11.308</v>
      </c>
      <c r="I762" t="s">
        <v>461</v>
      </c>
      <c r="K762">
        <v>105264022</v>
      </c>
      <c r="L762" s="2">
        <v>43032</v>
      </c>
      <c r="M762">
        <v>17</v>
      </c>
      <c r="N762">
        <v>1</v>
      </c>
      <c r="O762">
        <v>0</v>
      </c>
      <c r="P762">
        <v>1</v>
      </c>
      <c r="Q762" t="s">
        <v>21</v>
      </c>
    </row>
    <row r="763" spans="1:17" x14ac:dyDescent="0.55000000000000004">
      <c r="A763">
        <v>0</v>
      </c>
      <c r="B763" t="s">
        <v>0</v>
      </c>
      <c r="C763">
        <v>0.2</v>
      </c>
      <c r="D763" t="s">
        <v>68</v>
      </c>
      <c r="E763" t="s">
        <v>182</v>
      </c>
      <c r="F763" t="s">
        <v>172</v>
      </c>
      <c r="G763" t="s">
        <v>0</v>
      </c>
      <c r="H763">
        <v>11.337</v>
      </c>
      <c r="I763" t="s">
        <v>461</v>
      </c>
      <c r="K763">
        <v>106052256</v>
      </c>
      <c r="L763" s="2">
        <v>43775</v>
      </c>
      <c r="M763">
        <v>17</v>
      </c>
      <c r="N763">
        <v>1</v>
      </c>
      <c r="O763">
        <v>0</v>
      </c>
      <c r="P763">
        <v>3</v>
      </c>
      <c r="Q763" t="s">
        <v>15</v>
      </c>
    </row>
    <row r="764" spans="1:17" x14ac:dyDescent="0.55000000000000004">
      <c r="A764">
        <v>0</v>
      </c>
      <c r="B764" t="s">
        <v>0</v>
      </c>
      <c r="C764">
        <v>0.1</v>
      </c>
      <c r="D764" t="s">
        <v>18</v>
      </c>
      <c r="E764" t="s">
        <v>262</v>
      </c>
      <c r="F764" t="s">
        <v>182</v>
      </c>
      <c r="G764" t="s">
        <v>0</v>
      </c>
      <c r="H764">
        <v>11.407999999999999</v>
      </c>
      <c r="I764" t="s">
        <v>461</v>
      </c>
      <c r="K764">
        <v>104917161</v>
      </c>
      <c r="L764" s="2">
        <v>42689</v>
      </c>
      <c r="M764">
        <v>17</v>
      </c>
      <c r="N764">
        <v>1</v>
      </c>
      <c r="O764">
        <v>0</v>
      </c>
      <c r="P764">
        <v>1</v>
      </c>
      <c r="Q764" t="s">
        <v>21</v>
      </c>
    </row>
    <row r="765" spans="1:17" x14ac:dyDescent="0.55000000000000004">
      <c r="A765">
        <v>0</v>
      </c>
      <c r="B765" t="s">
        <v>0</v>
      </c>
      <c r="C765">
        <v>1.9E-2</v>
      </c>
      <c r="D765" t="s">
        <v>18</v>
      </c>
      <c r="E765" t="s">
        <v>262</v>
      </c>
      <c r="F765" t="s">
        <v>182</v>
      </c>
      <c r="G765" t="s">
        <v>0</v>
      </c>
      <c r="H765">
        <v>11.489000000000001</v>
      </c>
      <c r="I765" t="s">
        <v>461</v>
      </c>
      <c r="K765">
        <v>105994280</v>
      </c>
      <c r="L765" s="2">
        <v>43725</v>
      </c>
      <c r="M765">
        <v>21</v>
      </c>
      <c r="N765">
        <v>1</v>
      </c>
      <c r="O765">
        <v>8</v>
      </c>
      <c r="P765">
        <v>1</v>
      </c>
      <c r="Q765" t="s">
        <v>21</v>
      </c>
    </row>
    <row r="766" spans="1:17" x14ac:dyDescent="0.55000000000000004">
      <c r="A766">
        <v>0</v>
      </c>
      <c r="B766" t="s">
        <v>0</v>
      </c>
      <c r="C766">
        <v>0</v>
      </c>
      <c r="E766" t="s">
        <v>262</v>
      </c>
      <c r="F766" t="s">
        <v>263</v>
      </c>
      <c r="G766" t="s">
        <v>0</v>
      </c>
      <c r="H766">
        <v>11.507999999999999</v>
      </c>
      <c r="I766" t="s">
        <v>461</v>
      </c>
      <c r="K766">
        <v>106028634</v>
      </c>
      <c r="L766" s="2">
        <v>43754</v>
      </c>
      <c r="M766">
        <v>21</v>
      </c>
      <c r="N766">
        <v>1</v>
      </c>
      <c r="O766">
        <v>8</v>
      </c>
      <c r="P766">
        <v>5</v>
      </c>
      <c r="Q766" t="s">
        <v>15</v>
      </c>
    </row>
    <row r="767" spans="1:17" x14ac:dyDescent="0.55000000000000004">
      <c r="A767">
        <v>0</v>
      </c>
      <c r="B767" t="s">
        <v>0</v>
      </c>
      <c r="C767">
        <v>0</v>
      </c>
      <c r="E767" t="s">
        <v>262</v>
      </c>
      <c r="F767" t="s">
        <v>263</v>
      </c>
      <c r="G767" t="s">
        <v>0</v>
      </c>
      <c r="H767">
        <v>11.507999999999999</v>
      </c>
      <c r="I767" t="s">
        <v>461</v>
      </c>
      <c r="K767">
        <v>105592110</v>
      </c>
      <c r="L767" s="2">
        <v>43344</v>
      </c>
      <c r="M767">
        <v>21</v>
      </c>
      <c r="N767">
        <v>1</v>
      </c>
      <c r="O767">
        <v>7</v>
      </c>
      <c r="P767">
        <v>1</v>
      </c>
      <c r="Q767" t="s">
        <v>21</v>
      </c>
    </row>
    <row r="768" spans="1:17" x14ac:dyDescent="0.55000000000000004">
      <c r="A768">
        <v>0</v>
      </c>
      <c r="B768" t="s">
        <v>0</v>
      </c>
      <c r="C768">
        <v>0.1</v>
      </c>
      <c r="D768" t="s">
        <v>68</v>
      </c>
      <c r="E768" t="s">
        <v>262</v>
      </c>
      <c r="F768" t="s">
        <v>263</v>
      </c>
      <c r="G768" t="s">
        <v>0</v>
      </c>
      <c r="H768">
        <v>11.608000000000001</v>
      </c>
      <c r="I768" t="s">
        <v>461</v>
      </c>
      <c r="K768">
        <v>106232784</v>
      </c>
      <c r="L768" s="2">
        <v>43969</v>
      </c>
      <c r="M768">
        <v>21</v>
      </c>
      <c r="N768">
        <v>2</v>
      </c>
      <c r="O768">
        <v>0</v>
      </c>
      <c r="P768">
        <v>1</v>
      </c>
      <c r="Q768" t="s">
        <v>21</v>
      </c>
    </row>
    <row r="769" spans="1:17" x14ac:dyDescent="0.55000000000000004">
      <c r="A769">
        <v>0</v>
      </c>
      <c r="B769" t="s">
        <v>0</v>
      </c>
      <c r="C769">
        <v>0.15</v>
      </c>
      <c r="D769" t="s">
        <v>68</v>
      </c>
      <c r="E769" t="s">
        <v>262</v>
      </c>
      <c r="F769" t="s">
        <v>263</v>
      </c>
      <c r="G769" t="s">
        <v>0</v>
      </c>
      <c r="H769">
        <v>11.657999999999999</v>
      </c>
      <c r="I769" t="s">
        <v>461</v>
      </c>
      <c r="K769">
        <v>105641406</v>
      </c>
      <c r="L769" s="2">
        <v>43391</v>
      </c>
      <c r="M769">
        <v>21</v>
      </c>
      <c r="N769">
        <v>1</v>
      </c>
      <c r="O769">
        <v>0</v>
      </c>
      <c r="P769">
        <v>5</v>
      </c>
      <c r="Q769" t="s">
        <v>21</v>
      </c>
    </row>
    <row r="770" spans="1:17" x14ac:dyDescent="0.55000000000000004">
      <c r="A770">
        <v>0</v>
      </c>
      <c r="B770" t="s">
        <v>0</v>
      </c>
      <c r="C770">
        <v>0.2</v>
      </c>
      <c r="D770" t="s">
        <v>18</v>
      </c>
      <c r="E770" t="s">
        <v>263</v>
      </c>
      <c r="F770" t="s">
        <v>182</v>
      </c>
      <c r="G770" t="s">
        <v>0</v>
      </c>
      <c r="H770">
        <v>11.669</v>
      </c>
      <c r="I770" t="s">
        <v>461</v>
      </c>
      <c r="K770">
        <v>106619261</v>
      </c>
      <c r="L770" s="2">
        <v>44369</v>
      </c>
      <c r="M770">
        <v>21</v>
      </c>
      <c r="N770">
        <v>1</v>
      </c>
      <c r="O770">
        <v>5</v>
      </c>
      <c r="P770">
        <v>1</v>
      </c>
      <c r="Q770" t="s">
        <v>21</v>
      </c>
    </row>
    <row r="771" spans="1:17" x14ac:dyDescent="0.55000000000000004">
      <c r="A771">
        <v>0</v>
      </c>
      <c r="B771" t="s">
        <v>0</v>
      </c>
      <c r="C771">
        <v>0.1</v>
      </c>
      <c r="D771" t="s">
        <v>18</v>
      </c>
      <c r="E771" t="s">
        <v>265</v>
      </c>
      <c r="F771" t="s">
        <v>262</v>
      </c>
      <c r="G771" t="s">
        <v>0</v>
      </c>
      <c r="H771">
        <v>11.680999999999999</v>
      </c>
      <c r="I771" t="s">
        <v>461</v>
      </c>
      <c r="K771">
        <v>106126443</v>
      </c>
      <c r="L771" s="2">
        <v>43832</v>
      </c>
      <c r="M771">
        <v>21</v>
      </c>
      <c r="N771">
        <v>2</v>
      </c>
      <c r="O771">
        <v>0</v>
      </c>
      <c r="P771">
        <v>1</v>
      </c>
      <c r="Q771" t="s">
        <v>21</v>
      </c>
    </row>
    <row r="772" spans="1:17" x14ac:dyDescent="0.55000000000000004">
      <c r="A772">
        <v>0</v>
      </c>
      <c r="B772" t="s">
        <v>0</v>
      </c>
      <c r="C772">
        <v>0</v>
      </c>
      <c r="E772" t="s">
        <v>265</v>
      </c>
      <c r="F772" t="s">
        <v>172</v>
      </c>
      <c r="G772" t="s">
        <v>0</v>
      </c>
      <c r="H772">
        <v>11.781000000000001</v>
      </c>
      <c r="I772" t="s">
        <v>461</v>
      </c>
      <c r="K772">
        <v>104954030</v>
      </c>
      <c r="L772" s="2">
        <v>42720</v>
      </c>
      <c r="M772">
        <v>21</v>
      </c>
      <c r="N772">
        <v>1</v>
      </c>
      <c r="O772">
        <v>8</v>
      </c>
      <c r="P772">
        <v>4</v>
      </c>
      <c r="Q772" t="s">
        <v>21</v>
      </c>
    </row>
    <row r="773" spans="1:17" x14ac:dyDescent="0.55000000000000004">
      <c r="A773">
        <v>0</v>
      </c>
      <c r="B773" t="s">
        <v>0</v>
      </c>
      <c r="C773">
        <v>0.03</v>
      </c>
      <c r="D773" t="s">
        <v>68</v>
      </c>
      <c r="E773" t="s">
        <v>265</v>
      </c>
      <c r="F773" t="s">
        <v>263</v>
      </c>
      <c r="G773" t="s">
        <v>0</v>
      </c>
      <c r="H773">
        <v>11.811</v>
      </c>
      <c r="I773" t="s">
        <v>461</v>
      </c>
      <c r="K773">
        <v>106676019</v>
      </c>
      <c r="L773" s="2">
        <v>44407</v>
      </c>
      <c r="M773">
        <v>19</v>
      </c>
      <c r="N773">
        <v>1</v>
      </c>
      <c r="O773">
        <v>0</v>
      </c>
      <c r="P773">
        <v>1</v>
      </c>
      <c r="Q773" t="s">
        <v>45</v>
      </c>
    </row>
    <row r="774" spans="1:17" x14ac:dyDescent="0.55000000000000004">
      <c r="A774">
        <v>0</v>
      </c>
      <c r="B774" t="s">
        <v>0</v>
      </c>
      <c r="C774">
        <v>0.1</v>
      </c>
      <c r="D774" t="s">
        <v>27</v>
      </c>
      <c r="E774" t="s">
        <v>172</v>
      </c>
      <c r="F774" t="s">
        <v>182</v>
      </c>
      <c r="G774" t="s">
        <v>0</v>
      </c>
      <c r="H774">
        <v>11.858000000000001</v>
      </c>
      <c r="I774" t="s">
        <v>461</v>
      </c>
      <c r="J774" t="s">
        <v>174</v>
      </c>
      <c r="K774">
        <v>104931741</v>
      </c>
      <c r="L774" s="2">
        <v>42704</v>
      </c>
      <c r="M774">
        <v>19</v>
      </c>
      <c r="N774">
        <v>2</v>
      </c>
      <c r="O774">
        <v>0</v>
      </c>
      <c r="P774">
        <v>5</v>
      </c>
      <c r="Q774" t="s">
        <v>21</v>
      </c>
    </row>
    <row r="775" spans="1:17" x14ac:dyDescent="0.55000000000000004">
      <c r="A775">
        <v>0</v>
      </c>
      <c r="B775" t="s">
        <v>0</v>
      </c>
      <c r="C775">
        <v>0</v>
      </c>
      <c r="E775" t="s">
        <v>263</v>
      </c>
      <c r="F775" t="s">
        <v>266</v>
      </c>
      <c r="G775" t="s">
        <v>0</v>
      </c>
      <c r="H775">
        <v>11.869</v>
      </c>
      <c r="I775" t="s">
        <v>461</v>
      </c>
      <c r="K775">
        <v>105191880</v>
      </c>
      <c r="L775" s="2">
        <v>42961</v>
      </c>
      <c r="M775">
        <v>21</v>
      </c>
      <c r="N775">
        <v>1</v>
      </c>
      <c r="O775">
        <v>0</v>
      </c>
      <c r="P775">
        <v>1</v>
      </c>
      <c r="Q775" t="s">
        <v>21</v>
      </c>
    </row>
    <row r="776" spans="1:17" x14ac:dyDescent="0.55000000000000004">
      <c r="A776">
        <v>0</v>
      </c>
      <c r="B776" t="s">
        <v>0</v>
      </c>
      <c r="C776">
        <v>0</v>
      </c>
      <c r="E776" t="s">
        <v>263</v>
      </c>
      <c r="F776" t="s">
        <v>172</v>
      </c>
      <c r="G776" t="s">
        <v>0</v>
      </c>
      <c r="H776">
        <v>11.869</v>
      </c>
      <c r="I776" t="s">
        <v>461</v>
      </c>
      <c r="K776">
        <v>105873823</v>
      </c>
      <c r="L776" s="2">
        <v>43608</v>
      </c>
      <c r="M776">
        <v>24</v>
      </c>
      <c r="N776">
        <v>1</v>
      </c>
      <c r="O776">
        <v>8</v>
      </c>
      <c r="P776">
        <v>1</v>
      </c>
      <c r="Q776" t="s">
        <v>45</v>
      </c>
    </row>
    <row r="777" spans="1:17" x14ac:dyDescent="0.55000000000000004">
      <c r="A777">
        <v>0</v>
      </c>
      <c r="B777" t="s">
        <v>0</v>
      </c>
      <c r="C777">
        <v>8.9999999999999993E-3</v>
      </c>
      <c r="D777" t="s">
        <v>30</v>
      </c>
      <c r="E777" t="s">
        <v>172</v>
      </c>
      <c r="F777" t="s">
        <v>263</v>
      </c>
      <c r="G777" t="s">
        <v>0</v>
      </c>
      <c r="H777">
        <v>11.949</v>
      </c>
      <c r="I777" t="s">
        <v>461</v>
      </c>
      <c r="J777" t="s">
        <v>174</v>
      </c>
      <c r="K777">
        <v>105853347</v>
      </c>
      <c r="L777" s="2">
        <v>43589</v>
      </c>
      <c r="M777">
        <v>21</v>
      </c>
      <c r="N777">
        <v>1</v>
      </c>
      <c r="O777">
        <v>0</v>
      </c>
      <c r="P777">
        <v>5</v>
      </c>
      <c r="Q777" t="s">
        <v>21</v>
      </c>
    </row>
    <row r="778" spans="1:17" x14ac:dyDescent="0.55000000000000004">
      <c r="A778">
        <v>0</v>
      </c>
      <c r="B778" t="s">
        <v>0</v>
      </c>
      <c r="C778">
        <v>4.0000000000000001E-3</v>
      </c>
      <c r="D778" t="s">
        <v>18</v>
      </c>
      <c r="E778" t="s">
        <v>172</v>
      </c>
      <c r="F778" t="s">
        <v>263</v>
      </c>
      <c r="G778" t="s">
        <v>0</v>
      </c>
      <c r="H778">
        <v>11.954000000000001</v>
      </c>
      <c r="I778" t="s">
        <v>461</v>
      </c>
      <c r="J778" t="s">
        <v>174</v>
      </c>
      <c r="K778">
        <v>105989990</v>
      </c>
      <c r="L778" s="2">
        <v>43720</v>
      </c>
      <c r="M778">
        <v>21</v>
      </c>
      <c r="N778">
        <v>1</v>
      </c>
      <c r="O778">
        <v>8</v>
      </c>
      <c r="P778">
        <v>1</v>
      </c>
      <c r="Q778" t="s">
        <v>21</v>
      </c>
    </row>
    <row r="779" spans="1:17" x14ac:dyDescent="0.55000000000000004">
      <c r="A779">
        <v>0</v>
      </c>
      <c r="B779" t="s">
        <v>0</v>
      </c>
      <c r="C779">
        <v>2E-3</v>
      </c>
      <c r="D779" t="s">
        <v>30</v>
      </c>
      <c r="E779" t="s">
        <v>172</v>
      </c>
      <c r="F779" t="s">
        <v>263</v>
      </c>
      <c r="G779" t="s">
        <v>0</v>
      </c>
      <c r="H779">
        <v>11.956</v>
      </c>
      <c r="I779" t="s">
        <v>461</v>
      </c>
      <c r="J779" t="s">
        <v>174</v>
      </c>
      <c r="K779">
        <v>105970147</v>
      </c>
      <c r="L779" s="2">
        <v>43695</v>
      </c>
      <c r="M779">
        <v>21</v>
      </c>
      <c r="N779">
        <v>1</v>
      </c>
      <c r="O779">
        <v>0</v>
      </c>
      <c r="P779">
        <v>1</v>
      </c>
      <c r="Q779" t="s">
        <v>21</v>
      </c>
    </row>
    <row r="780" spans="1:17" x14ac:dyDescent="0.55000000000000004">
      <c r="A780">
        <v>498</v>
      </c>
      <c r="B780" t="s">
        <v>4</v>
      </c>
      <c r="C780">
        <v>13</v>
      </c>
      <c r="D780" t="s">
        <v>68</v>
      </c>
      <c r="E780" t="s">
        <v>99</v>
      </c>
      <c r="F780" t="s">
        <v>77</v>
      </c>
      <c r="G780" t="s">
        <v>0</v>
      </c>
      <c r="H780">
        <v>11.958</v>
      </c>
      <c r="I780" t="s">
        <v>461</v>
      </c>
      <c r="K780">
        <v>105977266</v>
      </c>
      <c r="L780" s="2">
        <v>43693</v>
      </c>
      <c r="M780">
        <v>30</v>
      </c>
      <c r="N780">
        <v>1</v>
      </c>
      <c r="O780">
        <v>0</v>
      </c>
      <c r="P780">
        <v>1</v>
      </c>
      <c r="Q780" t="s">
        <v>15</v>
      </c>
    </row>
    <row r="781" spans="1:17" x14ac:dyDescent="0.55000000000000004">
      <c r="A781">
        <v>0</v>
      </c>
      <c r="B781" t="s">
        <v>0</v>
      </c>
      <c r="C781">
        <v>0</v>
      </c>
      <c r="E781" t="s">
        <v>172</v>
      </c>
      <c r="F781" t="s">
        <v>263</v>
      </c>
      <c r="G781" t="s">
        <v>0</v>
      </c>
      <c r="H781">
        <v>11.958</v>
      </c>
      <c r="I781" t="s">
        <v>461</v>
      </c>
      <c r="J781" t="s">
        <v>174</v>
      </c>
      <c r="K781">
        <v>105002043</v>
      </c>
      <c r="L781" s="2">
        <v>42773</v>
      </c>
      <c r="M781">
        <v>31</v>
      </c>
      <c r="N781">
        <v>1</v>
      </c>
      <c r="O781">
        <v>7</v>
      </c>
      <c r="P781">
        <v>1</v>
      </c>
      <c r="Q781" t="s">
        <v>21</v>
      </c>
    </row>
    <row r="782" spans="1:17" x14ac:dyDescent="0.55000000000000004">
      <c r="A782">
        <v>0</v>
      </c>
      <c r="B782" t="s">
        <v>0</v>
      </c>
      <c r="C782">
        <v>0</v>
      </c>
      <c r="E782" t="s">
        <v>172</v>
      </c>
      <c r="F782" t="s">
        <v>263</v>
      </c>
      <c r="G782" t="s">
        <v>0</v>
      </c>
      <c r="H782">
        <v>11.958</v>
      </c>
      <c r="I782" t="s">
        <v>461</v>
      </c>
      <c r="J782" t="s">
        <v>174</v>
      </c>
      <c r="K782">
        <v>106456570</v>
      </c>
      <c r="L782" s="2">
        <v>44201</v>
      </c>
      <c r="M782">
        <v>21</v>
      </c>
      <c r="N782">
        <v>1</v>
      </c>
      <c r="O782">
        <v>8</v>
      </c>
      <c r="P782">
        <v>1</v>
      </c>
      <c r="Q782" t="s">
        <v>21</v>
      </c>
    </row>
    <row r="783" spans="1:17" x14ac:dyDescent="0.55000000000000004">
      <c r="A783">
        <v>0</v>
      </c>
      <c r="B783" t="s">
        <v>0</v>
      </c>
      <c r="C783">
        <v>0</v>
      </c>
      <c r="E783" t="s">
        <v>172</v>
      </c>
      <c r="F783" t="s">
        <v>262</v>
      </c>
      <c r="G783" t="s">
        <v>0</v>
      </c>
      <c r="H783">
        <v>11.958</v>
      </c>
      <c r="I783" t="s">
        <v>461</v>
      </c>
      <c r="J783" t="s">
        <v>174</v>
      </c>
      <c r="K783">
        <v>105337190</v>
      </c>
      <c r="L783" s="2">
        <v>43096</v>
      </c>
      <c r="M783">
        <v>19</v>
      </c>
      <c r="N783">
        <v>1</v>
      </c>
      <c r="O783">
        <v>0</v>
      </c>
      <c r="P783">
        <v>5</v>
      </c>
      <c r="Q783" t="s">
        <v>21</v>
      </c>
    </row>
    <row r="784" spans="1:17" x14ac:dyDescent="0.55000000000000004">
      <c r="A784">
        <v>0</v>
      </c>
      <c r="B784" t="s">
        <v>0</v>
      </c>
      <c r="C784">
        <v>0.1</v>
      </c>
      <c r="D784" t="s">
        <v>30</v>
      </c>
      <c r="E784" t="s">
        <v>172</v>
      </c>
      <c r="F784" t="s">
        <v>267</v>
      </c>
      <c r="G784" t="s">
        <v>0</v>
      </c>
      <c r="H784">
        <v>999.99900000000002</v>
      </c>
      <c r="I784" t="s">
        <v>461</v>
      </c>
      <c r="K784">
        <v>106096191</v>
      </c>
      <c r="L784" s="2">
        <v>43811</v>
      </c>
      <c r="M784">
        <v>31</v>
      </c>
      <c r="N784">
        <v>1</v>
      </c>
      <c r="O784">
        <v>5</v>
      </c>
      <c r="P784">
        <v>5</v>
      </c>
      <c r="Q784" t="s">
        <v>15</v>
      </c>
    </row>
    <row r="785" spans="1:17" x14ac:dyDescent="0.55000000000000004">
      <c r="A785">
        <v>0</v>
      </c>
      <c r="B785" t="s">
        <v>0</v>
      </c>
      <c r="C785">
        <v>0</v>
      </c>
      <c r="E785" t="s">
        <v>172</v>
      </c>
      <c r="F785" t="s">
        <v>135</v>
      </c>
      <c r="G785" t="s">
        <v>0</v>
      </c>
      <c r="H785">
        <v>999.99900000000002</v>
      </c>
      <c r="I785" t="s">
        <v>461</v>
      </c>
      <c r="K785">
        <v>105318455</v>
      </c>
      <c r="L785" s="2">
        <v>43080</v>
      </c>
      <c r="M785">
        <v>21</v>
      </c>
      <c r="N785">
        <v>1</v>
      </c>
      <c r="O785">
        <v>8</v>
      </c>
      <c r="P785">
        <v>1</v>
      </c>
      <c r="Q785" t="s">
        <v>21</v>
      </c>
    </row>
    <row r="786" spans="1:17" x14ac:dyDescent="0.55000000000000004">
      <c r="A786">
        <v>0</v>
      </c>
      <c r="B786" t="s">
        <v>0</v>
      </c>
      <c r="C786">
        <v>0</v>
      </c>
      <c r="E786" t="s">
        <v>172</v>
      </c>
      <c r="F786" t="s">
        <v>135</v>
      </c>
      <c r="G786" t="s">
        <v>0</v>
      </c>
      <c r="H786">
        <v>999.99900000000002</v>
      </c>
      <c r="I786" t="s">
        <v>461</v>
      </c>
      <c r="K786">
        <v>105324490</v>
      </c>
      <c r="L786" s="2">
        <v>43079</v>
      </c>
      <c r="M786">
        <v>21</v>
      </c>
      <c r="N786">
        <v>1</v>
      </c>
      <c r="O786">
        <v>8</v>
      </c>
      <c r="P786">
        <v>1</v>
      </c>
      <c r="Q786" t="s">
        <v>21</v>
      </c>
    </row>
    <row r="787" spans="1:17" x14ac:dyDescent="0.55000000000000004">
      <c r="A787">
        <v>0</v>
      </c>
      <c r="B787" t="s">
        <v>0</v>
      </c>
      <c r="C787">
        <v>0</v>
      </c>
      <c r="E787" t="s">
        <v>172</v>
      </c>
      <c r="G787" t="s">
        <v>0</v>
      </c>
      <c r="H787">
        <v>999.99900000000002</v>
      </c>
      <c r="I787" t="s">
        <v>461</v>
      </c>
      <c r="K787">
        <v>105559906</v>
      </c>
      <c r="L787" s="2">
        <v>43311</v>
      </c>
      <c r="M787">
        <v>27</v>
      </c>
      <c r="N787">
        <v>1</v>
      </c>
      <c r="O787">
        <v>8</v>
      </c>
      <c r="P787">
        <v>5</v>
      </c>
      <c r="Q787" t="s">
        <v>45</v>
      </c>
    </row>
    <row r="788" spans="1:17" x14ac:dyDescent="0.55000000000000004">
      <c r="A788">
        <v>0</v>
      </c>
      <c r="B788" t="s">
        <v>0</v>
      </c>
      <c r="C788">
        <v>0</v>
      </c>
      <c r="E788" t="s">
        <v>0</v>
      </c>
      <c r="F788" t="s">
        <v>186</v>
      </c>
      <c r="G788" t="s">
        <v>0</v>
      </c>
      <c r="H788">
        <v>999.99900000000002</v>
      </c>
      <c r="I788" t="s">
        <v>461</v>
      </c>
      <c r="K788">
        <v>105848366</v>
      </c>
      <c r="L788" s="2">
        <v>43584</v>
      </c>
      <c r="M788">
        <v>23</v>
      </c>
      <c r="N788">
        <v>1</v>
      </c>
      <c r="O788">
        <v>8</v>
      </c>
      <c r="P788">
        <v>1</v>
      </c>
      <c r="Q788" t="s">
        <v>15</v>
      </c>
    </row>
    <row r="789" spans="1:17" x14ac:dyDescent="0.55000000000000004">
      <c r="A789">
        <v>414</v>
      </c>
      <c r="B789" t="s">
        <v>0</v>
      </c>
      <c r="C789">
        <v>0</v>
      </c>
      <c r="E789" t="s">
        <v>1</v>
      </c>
      <c r="F789" t="s">
        <v>195</v>
      </c>
      <c r="G789" t="s">
        <v>0</v>
      </c>
      <c r="H789">
        <v>999.99900000000002</v>
      </c>
      <c r="I789" t="s">
        <v>461</v>
      </c>
      <c r="K789">
        <v>105676608</v>
      </c>
      <c r="L789" s="2">
        <v>43419</v>
      </c>
      <c r="M789">
        <v>21</v>
      </c>
      <c r="N789">
        <v>1</v>
      </c>
      <c r="O789">
        <v>0</v>
      </c>
      <c r="P789">
        <v>5</v>
      </c>
      <c r="Q789" t="s">
        <v>21</v>
      </c>
    </row>
    <row r="790" spans="1:17" x14ac:dyDescent="0.55000000000000004">
      <c r="A790">
        <v>414</v>
      </c>
      <c r="B790" t="s">
        <v>0</v>
      </c>
      <c r="C790">
        <v>0</v>
      </c>
      <c r="E790" t="s">
        <v>1</v>
      </c>
      <c r="F790" t="s">
        <v>195</v>
      </c>
      <c r="G790" t="s">
        <v>0</v>
      </c>
      <c r="H790">
        <v>999.99900000000002</v>
      </c>
      <c r="I790" t="s">
        <v>461</v>
      </c>
      <c r="K790">
        <v>104857715</v>
      </c>
      <c r="L790" s="2">
        <v>42621</v>
      </c>
      <c r="M790">
        <v>22</v>
      </c>
      <c r="N790">
        <v>1</v>
      </c>
      <c r="O790">
        <v>8</v>
      </c>
      <c r="P790">
        <v>1</v>
      </c>
      <c r="Q790" t="s">
        <v>45</v>
      </c>
    </row>
    <row r="791" spans="1:17" x14ac:dyDescent="0.55000000000000004">
      <c r="A791">
        <v>0</v>
      </c>
      <c r="B791" t="s">
        <v>0</v>
      </c>
      <c r="C791">
        <v>0.2</v>
      </c>
      <c r="D791" t="s">
        <v>68</v>
      </c>
      <c r="E791" t="s">
        <v>1</v>
      </c>
      <c r="F791" t="s">
        <v>269</v>
      </c>
      <c r="G791" t="s">
        <v>0</v>
      </c>
      <c r="H791">
        <v>999.99900000000002</v>
      </c>
      <c r="I791" t="s">
        <v>461</v>
      </c>
      <c r="K791">
        <v>106636848</v>
      </c>
      <c r="L791" s="2">
        <v>44393</v>
      </c>
      <c r="M791">
        <v>19</v>
      </c>
      <c r="N791">
        <v>1</v>
      </c>
      <c r="O791">
        <v>0</v>
      </c>
      <c r="P791">
        <v>1</v>
      </c>
      <c r="Q791" t="s">
        <v>15</v>
      </c>
    </row>
    <row r="792" spans="1:17" x14ac:dyDescent="0.55000000000000004">
      <c r="A792">
        <v>0</v>
      </c>
      <c r="B792" t="s">
        <v>0</v>
      </c>
      <c r="C792">
        <v>3.7999999999999999E-2</v>
      </c>
      <c r="D792" t="s">
        <v>68</v>
      </c>
      <c r="E792" t="s">
        <v>1</v>
      </c>
      <c r="F792" t="s">
        <v>268</v>
      </c>
      <c r="G792" t="s">
        <v>0</v>
      </c>
      <c r="H792">
        <v>999.99900000000002</v>
      </c>
      <c r="I792" t="s">
        <v>461</v>
      </c>
      <c r="K792">
        <v>105042258</v>
      </c>
      <c r="L792" s="2">
        <v>42811</v>
      </c>
      <c r="M792">
        <v>21</v>
      </c>
      <c r="N792">
        <v>1</v>
      </c>
      <c r="O792">
        <v>8</v>
      </c>
      <c r="P792">
        <v>1</v>
      </c>
      <c r="Q792" t="s">
        <v>21</v>
      </c>
    </row>
    <row r="793" spans="1:17" x14ac:dyDescent="0.55000000000000004">
      <c r="A793">
        <v>414</v>
      </c>
      <c r="B793" t="s">
        <v>0</v>
      </c>
      <c r="C793">
        <v>0.2</v>
      </c>
      <c r="D793" t="s">
        <v>68</v>
      </c>
      <c r="E793" t="s">
        <v>1</v>
      </c>
      <c r="F793" t="s">
        <v>270</v>
      </c>
      <c r="G793" t="s">
        <v>0</v>
      </c>
      <c r="H793">
        <v>999.99900000000002</v>
      </c>
      <c r="I793" t="s">
        <v>461</v>
      </c>
      <c r="K793">
        <v>106158312</v>
      </c>
      <c r="L793" s="2">
        <v>43877</v>
      </c>
      <c r="M793">
        <v>20</v>
      </c>
      <c r="N793">
        <v>1</v>
      </c>
      <c r="O793">
        <v>0</v>
      </c>
      <c r="P793">
        <v>5</v>
      </c>
    </row>
    <row r="794" spans="1:17" x14ac:dyDescent="0.55000000000000004">
      <c r="A794">
        <v>0</v>
      </c>
      <c r="B794" t="s">
        <v>0</v>
      </c>
      <c r="C794">
        <v>1.4E-2</v>
      </c>
      <c r="D794" t="s">
        <v>18</v>
      </c>
      <c r="E794" t="s">
        <v>1</v>
      </c>
      <c r="F794" t="s">
        <v>210</v>
      </c>
      <c r="G794" t="s">
        <v>0</v>
      </c>
      <c r="H794">
        <v>999.99900000000002</v>
      </c>
      <c r="I794" t="s">
        <v>461</v>
      </c>
      <c r="K794">
        <v>104858470</v>
      </c>
      <c r="L794" s="2">
        <v>42636</v>
      </c>
      <c r="M794">
        <v>23</v>
      </c>
      <c r="N794">
        <v>1</v>
      </c>
      <c r="O794">
        <v>0</v>
      </c>
      <c r="P794">
        <v>1</v>
      </c>
      <c r="Q794" t="s">
        <v>21</v>
      </c>
    </row>
    <row r="795" spans="1:17" x14ac:dyDescent="0.55000000000000004">
      <c r="A795">
        <v>0</v>
      </c>
      <c r="B795" t="s">
        <v>0</v>
      </c>
      <c r="C795">
        <v>0.3</v>
      </c>
      <c r="D795" t="s">
        <v>18</v>
      </c>
      <c r="E795" t="s">
        <v>271</v>
      </c>
      <c r="F795" t="s">
        <v>62</v>
      </c>
      <c r="G795" t="s">
        <v>0</v>
      </c>
      <c r="H795">
        <v>999.99900000000002</v>
      </c>
      <c r="I795" t="s">
        <v>461</v>
      </c>
      <c r="K795">
        <v>105462130</v>
      </c>
      <c r="L795" s="2">
        <v>43212</v>
      </c>
      <c r="M795">
        <v>17</v>
      </c>
      <c r="N795">
        <v>1</v>
      </c>
      <c r="P795">
        <v>5</v>
      </c>
      <c r="Q795" t="s">
        <v>21</v>
      </c>
    </row>
    <row r="796" spans="1:17" x14ac:dyDescent="0.55000000000000004">
      <c r="A796">
        <v>414</v>
      </c>
      <c r="B796" t="s">
        <v>0</v>
      </c>
      <c r="C796">
        <v>1.9E-2</v>
      </c>
      <c r="D796" t="s">
        <v>18</v>
      </c>
      <c r="E796" t="s">
        <v>202</v>
      </c>
      <c r="F796" t="s">
        <v>200</v>
      </c>
      <c r="G796" t="s">
        <v>0</v>
      </c>
      <c r="H796">
        <v>999.99900000000002</v>
      </c>
      <c r="I796" t="s">
        <v>461</v>
      </c>
      <c r="K796">
        <v>105394819</v>
      </c>
      <c r="L796" s="2">
        <v>43156</v>
      </c>
      <c r="M796">
        <v>21</v>
      </c>
      <c r="N796">
        <v>1</v>
      </c>
      <c r="O796">
        <v>0</v>
      </c>
      <c r="P796">
        <v>1</v>
      </c>
      <c r="Q796" t="s">
        <v>21</v>
      </c>
    </row>
    <row r="797" spans="1:17" x14ac:dyDescent="0.55000000000000004">
      <c r="A797">
        <v>0</v>
      </c>
      <c r="B797" t="s">
        <v>0</v>
      </c>
      <c r="C797">
        <v>0.1</v>
      </c>
      <c r="D797" t="s">
        <v>68</v>
      </c>
      <c r="E797" t="s">
        <v>196</v>
      </c>
      <c r="F797" t="s">
        <v>198</v>
      </c>
      <c r="G797" t="s">
        <v>0</v>
      </c>
      <c r="H797">
        <v>999.99900000000002</v>
      </c>
      <c r="I797" t="s">
        <v>461</v>
      </c>
      <c r="K797">
        <v>105945347</v>
      </c>
      <c r="L797" s="2">
        <v>43678</v>
      </c>
      <c r="M797">
        <v>21</v>
      </c>
      <c r="N797">
        <v>1</v>
      </c>
      <c r="O797">
        <v>0</v>
      </c>
      <c r="P797">
        <v>1</v>
      </c>
      <c r="Q797" t="s">
        <v>15</v>
      </c>
    </row>
    <row r="798" spans="1:17" x14ac:dyDescent="0.55000000000000004">
      <c r="A798">
        <v>0</v>
      </c>
      <c r="B798" t="s">
        <v>0</v>
      </c>
      <c r="C798">
        <v>0</v>
      </c>
      <c r="E798" t="s">
        <v>272</v>
      </c>
      <c r="F798" t="s">
        <v>3</v>
      </c>
      <c r="G798" t="s">
        <v>0</v>
      </c>
      <c r="H798">
        <v>999.99900000000002</v>
      </c>
      <c r="I798" t="s">
        <v>461</v>
      </c>
      <c r="K798">
        <v>105316591</v>
      </c>
      <c r="L798" s="2">
        <v>43077</v>
      </c>
      <c r="M798">
        <v>22</v>
      </c>
      <c r="N798">
        <v>2</v>
      </c>
      <c r="O798">
        <v>7</v>
      </c>
      <c r="P798">
        <v>1</v>
      </c>
      <c r="Q798" t="s">
        <v>15</v>
      </c>
    </row>
    <row r="799" spans="1:17" x14ac:dyDescent="0.55000000000000004">
      <c r="A799">
        <v>0</v>
      </c>
      <c r="B799" t="s">
        <v>0</v>
      </c>
      <c r="C799">
        <v>0.5</v>
      </c>
      <c r="D799" t="s">
        <v>18</v>
      </c>
      <c r="E799" t="s">
        <v>272</v>
      </c>
      <c r="F799" t="s">
        <v>185</v>
      </c>
      <c r="G799" t="s">
        <v>0</v>
      </c>
      <c r="H799">
        <v>999.99900000000002</v>
      </c>
      <c r="I799" t="s">
        <v>461</v>
      </c>
      <c r="K799">
        <v>106195993</v>
      </c>
      <c r="L799" s="2">
        <v>43917</v>
      </c>
      <c r="M799">
        <v>19</v>
      </c>
      <c r="N799">
        <v>1</v>
      </c>
      <c r="O799">
        <v>0</v>
      </c>
      <c r="P799">
        <v>1</v>
      </c>
      <c r="Q799" t="s">
        <v>21</v>
      </c>
    </row>
    <row r="800" spans="1:17" x14ac:dyDescent="0.55000000000000004">
      <c r="A800">
        <v>414</v>
      </c>
      <c r="B800" t="s">
        <v>0</v>
      </c>
      <c r="C800">
        <v>0.1</v>
      </c>
      <c r="D800" t="s">
        <v>18</v>
      </c>
      <c r="E800" t="s">
        <v>273</v>
      </c>
      <c r="F800" t="s">
        <v>62</v>
      </c>
      <c r="G800" t="s">
        <v>0</v>
      </c>
      <c r="H800">
        <v>999.99900000000002</v>
      </c>
      <c r="I800" t="s">
        <v>461</v>
      </c>
      <c r="K800">
        <v>105147923</v>
      </c>
      <c r="L800" s="2">
        <v>42912</v>
      </c>
      <c r="M800">
        <v>29</v>
      </c>
      <c r="N800">
        <v>1</v>
      </c>
      <c r="O800">
        <v>0</v>
      </c>
      <c r="P800">
        <v>1</v>
      </c>
      <c r="Q800" t="s">
        <v>45</v>
      </c>
    </row>
    <row r="801" spans="1:17" x14ac:dyDescent="0.55000000000000004">
      <c r="A801">
        <v>0</v>
      </c>
      <c r="B801" t="s">
        <v>0</v>
      </c>
      <c r="C801">
        <v>0</v>
      </c>
      <c r="E801" t="s">
        <v>254</v>
      </c>
      <c r="F801" t="s">
        <v>163</v>
      </c>
      <c r="G801" t="s">
        <v>0</v>
      </c>
      <c r="H801">
        <v>999.99900000000002</v>
      </c>
      <c r="I801" t="s">
        <v>461</v>
      </c>
      <c r="K801">
        <v>105491747</v>
      </c>
      <c r="L801" s="2">
        <v>43241</v>
      </c>
      <c r="M801">
        <v>30</v>
      </c>
      <c r="N801">
        <v>1</v>
      </c>
      <c r="O801">
        <v>7</v>
      </c>
      <c r="P801">
        <v>1</v>
      </c>
      <c r="Q801" t="s">
        <v>21</v>
      </c>
    </row>
    <row r="802" spans="1:17" x14ac:dyDescent="0.55000000000000004">
      <c r="A802">
        <v>0</v>
      </c>
      <c r="B802" t="s">
        <v>0</v>
      </c>
      <c r="C802">
        <v>0</v>
      </c>
      <c r="E802" t="s">
        <v>274</v>
      </c>
      <c r="F802" t="s">
        <v>1</v>
      </c>
      <c r="G802" t="s">
        <v>0</v>
      </c>
      <c r="H802">
        <v>999.99900000000002</v>
      </c>
      <c r="I802" t="s">
        <v>461</v>
      </c>
      <c r="K802">
        <v>104926208</v>
      </c>
      <c r="L802" s="2">
        <v>42699</v>
      </c>
      <c r="M802">
        <v>30</v>
      </c>
      <c r="N802">
        <v>1</v>
      </c>
      <c r="O802">
        <v>7</v>
      </c>
      <c r="P802">
        <v>1</v>
      </c>
      <c r="Q802" t="s">
        <v>15</v>
      </c>
    </row>
    <row r="803" spans="1:17" x14ac:dyDescent="0.55000000000000004">
      <c r="A803">
        <v>0</v>
      </c>
      <c r="B803" t="s">
        <v>0</v>
      </c>
      <c r="C803">
        <v>0</v>
      </c>
      <c r="E803" t="s">
        <v>269</v>
      </c>
      <c r="F803" t="s">
        <v>1</v>
      </c>
      <c r="G803" t="s">
        <v>0</v>
      </c>
      <c r="H803">
        <v>999.99900000000002</v>
      </c>
      <c r="I803" t="s">
        <v>461</v>
      </c>
      <c r="K803">
        <v>105651753</v>
      </c>
      <c r="L803" s="2">
        <v>43398</v>
      </c>
      <c r="M803">
        <v>30</v>
      </c>
      <c r="N803">
        <v>1</v>
      </c>
      <c r="O803">
        <v>7</v>
      </c>
      <c r="P803">
        <v>1</v>
      </c>
      <c r="Q803" t="s">
        <v>15</v>
      </c>
    </row>
    <row r="804" spans="1:17" x14ac:dyDescent="0.55000000000000004">
      <c r="A804">
        <v>0</v>
      </c>
      <c r="B804" t="s">
        <v>0</v>
      </c>
      <c r="C804">
        <v>6.6000000000000003E-2</v>
      </c>
      <c r="D804" t="s">
        <v>68</v>
      </c>
      <c r="E804" t="s">
        <v>275</v>
      </c>
      <c r="F804" t="s">
        <v>211</v>
      </c>
      <c r="G804" t="s">
        <v>0</v>
      </c>
      <c r="H804">
        <v>999.99900000000002</v>
      </c>
      <c r="I804" t="s">
        <v>461</v>
      </c>
      <c r="K804">
        <v>106221037</v>
      </c>
      <c r="L804" s="2">
        <v>43959</v>
      </c>
      <c r="M804">
        <v>21</v>
      </c>
      <c r="N804">
        <v>2</v>
      </c>
      <c r="O804">
        <v>0</v>
      </c>
      <c r="P804">
        <v>1</v>
      </c>
      <c r="Q804" t="s">
        <v>21</v>
      </c>
    </row>
    <row r="805" spans="1:17" x14ac:dyDescent="0.55000000000000004">
      <c r="A805">
        <v>0</v>
      </c>
      <c r="B805" t="s">
        <v>0</v>
      </c>
      <c r="C805">
        <v>0.2</v>
      </c>
      <c r="D805" t="s">
        <v>68</v>
      </c>
      <c r="E805" t="s">
        <v>275</v>
      </c>
      <c r="F805" t="s">
        <v>211</v>
      </c>
      <c r="G805" t="s">
        <v>0</v>
      </c>
      <c r="H805">
        <v>999.99900000000002</v>
      </c>
      <c r="I805" t="s">
        <v>461</v>
      </c>
      <c r="K805">
        <v>105992544</v>
      </c>
      <c r="L805" s="2">
        <v>43724</v>
      </c>
      <c r="M805">
        <v>21</v>
      </c>
      <c r="N805">
        <v>1</v>
      </c>
      <c r="O805">
        <v>0</v>
      </c>
      <c r="P805">
        <v>1</v>
      </c>
      <c r="Q805" t="s">
        <v>15</v>
      </c>
    </row>
    <row r="806" spans="1:17" x14ac:dyDescent="0.55000000000000004">
      <c r="A806">
        <v>0</v>
      </c>
      <c r="B806" t="s">
        <v>0</v>
      </c>
      <c r="C806">
        <v>2E-3</v>
      </c>
      <c r="D806" t="s">
        <v>18</v>
      </c>
      <c r="E806" t="s">
        <v>276</v>
      </c>
      <c r="F806" t="s">
        <v>238</v>
      </c>
      <c r="G806" t="s">
        <v>0</v>
      </c>
      <c r="H806">
        <v>999.99900000000002</v>
      </c>
      <c r="I806" t="s">
        <v>461</v>
      </c>
      <c r="K806">
        <v>106239782</v>
      </c>
      <c r="L806" s="2">
        <v>43981</v>
      </c>
      <c r="M806">
        <v>21</v>
      </c>
      <c r="N806">
        <v>1</v>
      </c>
      <c r="O806">
        <v>0</v>
      </c>
      <c r="P806">
        <v>1</v>
      </c>
      <c r="Q806" t="s">
        <v>15</v>
      </c>
    </row>
    <row r="807" spans="1:17" x14ac:dyDescent="0.55000000000000004">
      <c r="A807">
        <v>0</v>
      </c>
      <c r="B807" t="s">
        <v>0</v>
      </c>
      <c r="C807">
        <v>4.7E-2</v>
      </c>
      <c r="D807" t="s">
        <v>18</v>
      </c>
      <c r="E807" t="s">
        <v>268</v>
      </c>
      <c r="F807" t="s">
        <v>1</v>
      </c>
      <c r="G807" t="s">
        <v>0</v>
      </c>
      <c r="H807">
        <v>999.99900000000002</v>
      </c>
      <c r="I807" t="s">
        <v>461</v>
      </c>
      <c r="K807">
        <v>104925358</v>
      </c>
      <c r="L807" s="2">
        <v>42696</v>
      </c>
      <c r="M807">
        <v>21</v>
      </c>
      <c r="N807">
        <v>1</v>
      </c>
      <c r="O807">
        <v>0</v>
      </c>
      <c r="P807">
        <v>1</v>
      </c>
      <c r="Q807" t="s">
        <v>21</v>
      </c>
    </row>
    <row r="808" spans="1:17" x14ac:dyDescent="0.55000000000000004">
      <c r="A808">
        <v>0</v>
      </c>
      <c r="B808" t="s">
        <v>0</v>
      </c>
      <c r="C808">
        <v>0.1</v>
      </c>
      <c r="D808" t="s">
        <v>18</v>
      </c>
      <c r="E808" t="s">
        <v>277</v>
      </c>
      <c r="F808" t="s">
        <v>268</v>
      </c>
      <c r="G808" t="s">
        <v>0</v>
      </c>
      <c r="H808">
        <v>999.99900000000002</v>
      </c>
      <c r="I808" t="s">
        <v>461</v>
      </c>
      <c r="K808">
        <v>104982159</v>
      </c>
      <c r="L808" s="2">
        <v>42753</v>
      </c>
      <c r="M808">
        <v>21</v>
      </c>
      <c r="N808">
        <v>1</v>
      </c>
      <c r="O808">
        <v>0</v>
      </c>
      <c r="P808">
        <v>1</v>
      </c>
      <c r="Q808" t="s">
        <v>21</v>
      </c>
    </row>
    <row r="809" spans="1:17" x14ac:dyDescent="0.55000000000000004">
      <c r="A809">
        <v>0</v>
      </c>
      <c r="B809" t="s">
        <v>0</v>
      </c>
      <c r="C809">
        <v>0.1</v>
      </c>
      <c r="D809" t="s">
        <v>18</v>
      </c>
      <c r="E809" t="s">
        <v>277</v>
      </c>
      <c r="F809" t="s">
        <v>268</v>
      </c>
      <c r="G809" t="s">
        <v>0</v>
      </c>
      <c r="H809">
        <v>999.99900000000002</v>
      </c>
      <c r="I809" t="s">
        <v>461</v>
      </c>
      <c r="K809">
        <v>104979544</v>
      </c>
      <c r="L809" s="2">
        <v>42753</v>
      </c>
      <c r="M809">
        <v>21</v>
      </c>
      <c r="N809">
        <v>1</v>
      </c>
      <c r="O809">
        <v>0</v>
      </c>
      <c r="P809">
        <v>1</v>
      </c>
      <c r="Q809" t="s">
        <v>21</v>
      </c>
    </row>
    <row r="810" spans="1:17" x14ac:dyDescent="0.55000000000000004">
      <c r="A810">
        <v>0</v>
      </c>
      <c r="B810" t="s">
        <v>0</v>
      </c>
      <c r="C810">
        <v>0.2</v>
      </c>
      <c r="D810" t="s">
        <v>68</v>
      </c>
      <c r="E810" t="s">
        <v>210</v>
      </c>
      <c r="F810" t="s">
        <v>211</v>
      </c>
      <c r="G810" t="s">
        <v>0</v>
      </c>
      <c r="H810">
        <v>999.99900000000002</v>
      </c>
      <c r="I810" t="s">
        <v>461</v>
      </c>
      <c r="K810">
        <v>106140150</v>
      </c>
      <c r="L810" s="2">
        <v>43858</v>
      </c>
      <c r="M810">
        <v>21</v>
      </c>
      <c r="N810">
        <v>1</v>
      </c>
      <c r="O810">
        <v>0</v>
      </c>
      <c r="P810">
        <v>1</v>
      </c>
      <c r="Q810" t="s">
        <v>45</v>
      </c>
    </row>
    <row r="811" spans="1:17" x14ac:dyDescent="0.55000000000000004">
      <c r="A811">
        <v>0</v>
      </c>
      <c r="B811" t="s">
        <v>0</v>
      </c>
      <c r="C811">
        <v>0.3</v>
      </c>
      <c r="D811" t="s">
        <v>18</v>
      </c>
      <c r="E811" t="s">
        <v>210</v>
      </c>
      <c r="F811" t="s">
        <v>208</v>
      </c>
      <c r="G811" t="s">
        <v>0</v>
      </c>
      <c r="H811">
        <v>999.99900000000002</v>
      </c>
      <c r="I811" t="s">
        <v>461</v>
      </c>
      <c r="K811">
        <v>105382247</v>
      </c>
      <c r="L811" s="2">
        <v>43145</v>
      </c>
      <c r="M811">
        <v>27</v>
      </c>
      <c r="N811">
        <v>1</v>
      </c>
      <c r="O811">
        <v>8</v>
      </c>
      <c r="P811">
        <v>4</v>
      </c>
      <c r="Q811" t="s">
        <v>15</v>
      </c>
    </row>
    <row r="812" spans="1:17" x14ac:dyDescent="0.55000000000000004">
      <c r="A812">
        <v>498</v>
      </c>
      <c r="B812" t="s">
        <v>0</v>
      </c>
      <c r="C812">
        <v>0</v>
      </c>
      <c r="E812" t="s">
        <v>278</v>
      </c>
      <c r="F812" t="s">
        <v>279</v>
      </c>
      <c r="G812" t="s">
        <v>0</v>
      </c>
      <c r="H812">
        <v>999.99900000000002</v>
      </c>
      <c r="I812" t="s">
        <v>461</v>
      </c>
      <c r="K812">
        <v>105647914</v>
      </c>
      <c r="L812" s="2">
        <v>43383</v>
      </c>
      <c r="M812">
        <v>30</v>
      </c>
      <c r="N812">
        <v>2</v>
      </c>
      <c r="O812">
        <v>8</v>
      </c>
      <c r="P812">
        <v>1</v>
      </c>
      <c r="Q812" t="s">
        <v>21</v>
      </c>
    </row>
    <row r="813" spans="1:17" x14ac:dyDescent="0.55000000000000004">
      <c r="A813">
        <v>430</v>
      </c>
      <c r="B813" t="s">
        <v>159</v>
      </c>
      <c r="C813">
        <v>0</v>
      </c>
      <c r="E813" t="s">
        <v>1</v>
      </c>
      <c r="F813" t="s">
        <v>158</v>
      </c>
      <c r="G813" t="s">
        <v>159</v>
      </c>
      <c r="H813">
        <v>0</v>
      </c>
      <c r="I813" t="s">
        <v>461</v>
      </c>
      <c r="K813">
        <v>105748027</v>
      </c>
      <c r="L813" s="2">
        <v>43479</v>
      </c>
      <c r="M813">
        <v>24</v>
      </c>
      <c r="N813">
        <v>1</v>
      </c>
      <c r="O813">
        <v>7</v>
      </c>
      <c r="P813">
        <v>4</v>
      </c>
      <c r="Q813" t="s">
        <v>21</v>
      </c>
    </row>
    <row r="814" spans="1:17" x14ac:dyDescent="0.55000000000000004">
      <c r="A814">
        <v>430</v>
      </c>
      <c r="B814" t="s">
        <v>159</v>
      </c>
      <c r="C814">
        <v>0</v>
      </c>
      <c r="E814" t="s">
        <v>1</v>
      </c>
      <c r="F814" t="s">
        <v>158</v>
      </c>
      <c r="G814" t="s">
        <v>159</v>
      </c>
      <c r="H814">
        <v>0</v>
      </c>
      <c r="I814" t="s">
        <v>461</v>
      </c>
      <c r="K814">
        <v>105210857</v>
      </c>
      <c r="L814" s="2">
        <v>42983</v>
      </c>
      <c r="M814">
        <v>24</v>
      </c>
      <c r="N814">
        <v>1</v>
      </c>
      <c r="O814">
        <v>7</v>
      </c>
      <c r="P814">
        <v>1</v>
      </c>
      <c r="Q814" t="s">
        <v>21</v>
      </c>
    </row>
    <row r="815" spans="1:17" x14ac:dyDescent="0.55000000000000004">
      <c r="A815">
        <v>0</v>
      </c>
      <c r="B815" t="s">
        <v>3</v>
      </c>
      <c r="C815">
        <v>3</v>
      </c>
      <c r="D815" t="s">
        <v>18</v>
      </c>
      <c r="E815" t="s">
        <v>280</v>
      </c>
      <c r="F815" t="s">
        <v>281</v>
      </c>
      <c r="G815" t="s">
        <v>3</v>
      </c>
      <c r="H815">
        <v>0</v>
      </c>
      <c r="I815" t="s">
        <v>461</v>
      </c>
      <c r="K815">
        <v>105555032</v>
      </c>
      <c r="L815" s="2">
        <v>43310</v>
      </c>
      <c r="M815">
        <v>5</v>
      </c>
      <c r="N815">
        <v>1</v>
      </c>
      <c r="O815">
        <v>0</v>
      </c>
      <c r="P815">
        <v>1</v>
      </c>
      <c r="Q815" t="s">
        <v>45</v>
      </c>
    </row>
    <row r="816" spans="1:17" x14ac:dyDescent="0.55000000000000004">
      <c r="A816">
        <v>0</v>
      </c>
      <c r="B816" t="s">
        <v>3</v>
      </c>
      <c r="C816">
        <v>1.5</v>
      </c>
      <c r="D816" t="s">
        <v>18</v>
      </c>
      <c r="E816" t="s">
        <v>282</v>
      </c>
      <c r="F816" t="s">
        <v>281</v>
      </c>
      <c r="G816" t="s">
        <v>3</v>
      </c>
      <c r="H816">
        <v>0</v>
      </c>
      <c r="I816" t="s">
        <v>461</v>
      </c>
      <c r="K816">
        <v>104868602</v>
      </c>
      <c r="L816" s="2">
        <v>42625</v>
      </c>
      <c r="M816">
        <v>5</v>
      </c>
      <c r="N816">
        <v>1</v>
      </c>
      <c r="O816">
        <v>0</v>
      </c>
      <c r="P816">
        <v>1</v>
      </c>
      <c r="Q816" t="s">
        <v>21</v>
      </c>
    </row>
    <row r="817" spans="1:17" x14ac:dyDescent="0.55000000000000004">
      <c r="A817">
        <v>0</v>
      </c>
      <c r="B817" t="s">
        <v>3</v>
      </c>
      <c r="C817">
        <v>0.3</v>
      </c>
      <c r="D817" t="s">
        <v>68</v>
      </c>
      <c r="E817" t="s">
        <v>281</v>
      </c>
      <c r="F817" t="s">
        <v>282</v>
      </c>
      <c r="G817" t="s">
        <v>3</v>
      </c>
      <c r="H817">
        <v>0.3</v>
      </c>
      <c r="I817" t="s">
        <v>461</v>
      </c>
      <c r="K817">
        <v>106313699</v>
      </c>
      <c r="L817" s="2">
        <v>44062</v>
      </c>
      <c r="M817">
        <v>29</v>
      </c>
      <c r="N817">
        <v>1</v>
      </c>
      <c r="O817">
        <v>0</v>
      </c>
      <c r="P817">
        <v>1</v>
      </c>
      <c r="Q817" t="s">
        <v>21</v>
      </c>
    </row>
    <row r="818" spans="1:17" x14ac:dyDescent="0.55000000000000004">
      <c r="A818">
        <v>0</v>
      </c>
      <c r="B818" t="s">
        <v>3</v>
      </c>
      <c r="C818">
        <v>0.5</v>
      </c>
      <c r="D818" t="s">
        <v>68</v>
      </c>
      <c r="E818" t="s">
        <v>281</v>
      </c>
      <c r="F818" t="s">
        <v>282</v>
      </c>
      <c r="G818" t="s">
        <v>3</v>
      </c>
      <c r="H818">
        <v>0.5</v>
      </c>
      <c r="I818" t="s">
        <v>461</v>
      </c>
      <c r="K818">
        <v>105103603</v>
      </c>
      <c r="L818" s="2">
        <v>42873</v>
      </c>
      <c r="M818">
        <v>19</v>
      </c>
      <c r="N818">
        <v>1</v>
      </c>
      <c r="O818">
        <v>0</v>
      </c>
      <c r="P818">
        <v>3</v>
      </c>
      <c r="Q818" t="s">
        <v>45</v>
      </c>
    </row>
    <row r="819" spans="1:17" x14ac:dyDescent="0.55000000000000004">
      <c r="A819">
        <v>0</v>
      </c>
      <c r="B819" t="s">
        <v>3</v>
      </c>
      <c r="C819">
        <v>1.9</v>
      </c>
      <c r="D819" t="s">
        <v>18</v>
      </c>
      <c r="E819" t="s">
        <v>280</v>
      </c>
      <c r="F819" t="s">
        <v>281</v>
      </c>
      <c r="G819" t="s">
        <v>3</v>
      </c>
      <c r="H819">
        <v>0.51400000000000001</v>
      </c>
      <c r="I819" t="s">
        <v>461</v>
      </c>
      <c r="K819">
        <v>106666193</v>
      </c>
      <c r="L819" s="2">
        <v>44428</v>
      </c>
      <c r="M819">
        <v>26</v>
      </c>
      <c r="N819">
        <v>1</v>
      </c>
      <c r="O819">
        <v>5</v>
      </c>
      <c r="P819">
        <v>1</v>
      </c>
      <c r="Q819" t="s">
        <v>21</v>
      </c>
    </row>
    <row r="820" spans="1:17" x14ac:dyDescent="0.55000000000000004">
      <c r="A820">
        <v>0</v>
      </c>
      <c r="B820" t="s">
        <v>3</v>
      </c>
      <c r="C820">
        <v>0.5</v>
      </c>
      <c r="D820" t="s">
        <v>18</v>
      </c>
      <c r="E820" t="s">
        <v>282</v>
      </c>
      <c r="F820" t="s">
        <v>281</v>
      </c>
      <c r="G820" t="s">
        <v>3</v>
      </c>
      <c r="H820">
        <v>0.89400000000000002</v>
      </c>
      <c r="I820" t="s">
        <v>461</v>
      </c>
      <c r="K820">
        <v>106481809</v>
      </c>
      <c r="L820" s="2">
        <v>44232</v>
      </c>
      <c r="M820">
        <v>17</v>
      </c>
      <c r="N820">
        <v>1</v>
      </c>
      <c r="O820">
        <v>0</v>
      </c>
      <c r="P820">
        <v>5</v>
      </c>
      <c r="Q820" t="s">
        <v>21</v>
      </c>
    </row>
    <row r="821" spans="1:17" x14ac:dyDescent="0.55000000000000004">
      <c r="A821">
        <v>0</v>
      </c>
      <c r="B821" t="s">
        <v>3</v>
      </c>
      <c r="C821">
        <v>0.5</v>
      </c>
      <c r="D821" t="s">
        <v>18</v>
      </c>
      <c r="E821" t="s">
        <v>282</v>
      </c>
      <c r="F821" t="s">
        <v>281</v>
      </c>
      <c r="G821" t="s">
        <v>3</v>
      </c>
      <c r="H821">
        <v>0.89400000000000002</v>
      </c>
      <c r="I821" t="s">
        <v>461</v>
      </c>
      <c r="K821">
        <v>105713054</v>
      </c>
      <c r="L821" s="2">
        <v>43449</v>
      </c>
      <c r="M821">
        <v>19</v>
      </c>
      <c r="N821">
        <v>2</v>
      </c>
      <c r="O821">
        <v>0</v>
      </c>
      <c r="P821">
        <v>5</v>
      </c>
      <c r="Q821" t="s">
        <v>15</v>
      </c>
    </row>
    <row r="822" spans="1:17" x14ac:dyDescent="0.55000000000000004">
      <c r="A822">
        <v>0</v>
      </c>
      <c r="B822" t="s">
        <v>3</v>
      </c>
      <c r="C822">
        <v>0.5</v>
      </c>
      <c r="D822" t="s">
        <v>18</v>
      </c>
      <c r="E822" t="s">
        <v>282</v>
      </c>
      <c r="F822" t="s">
        <v>281</v>
      </c>
      <c r="G822" t="s">
        <v>3</v>
      </c>
      <c r="H822">
        <v>0.89400000000000002</v>
      </c>
      <c r="I822" t="s">
        <v>461</v>
      </c>
      <c r="K822">
        <v>105215570</v>
      </c>
      <c r="L822" s="2">
        <v>42988</v>
      </c>
      <c r="M822">
        <v>19</v>
      </c>
      <c r="N822">
        <v>1</v>
      </c>
      <c r="O822">
        <v>0</v>
      </c>
      <c r="P822">
        <v>1</v>
      </c>
      <c r="Q822" t="s">
        <v>21</v>
      </c>
    </row>
    <row r="823" spans="1:17" x14ac:dyDescent="0.55000000000000004">
      <c r="A823">
        <v>0</v>
      </c>
      <c r="B823" t="s">
        <v>3</v>
      </c>
      <c r="C823">
        <v>0.2</v>
      </c>
      <c r="D823" t="s">
        <v>18</v>
      </c>
      <c r="E823" t="s">
        <v>282</v>
      </c>
      <c r="F823" t="s">
        <v>281</v>
      </c>
      <c r="G823" t="s">
        <v>3</v>
      </c>
      <c r="H823">
        <v>1.194</v>
      </c>
      <c r="I823" t="s">
        <v>461</v>
      </c>
      <c r="K823">
        <v>105034312</v>
      </c>
      <c r="L823" s="2">
        <v>42805</v>
      </c>
      <c r="M823">
        <v>19</v>
      </c>
      <c r="N823">
        <v>1</v>
      </c>
      <c r="O823">
        <v>0</v>
      </c>
      <c r="P823">
        <v>5</v>
      </c>
      <c r="Q823" t="s">
        <v>21</v>
      </c>
    </row>
    <row r="824" spans="1:17" x14ac:dyDescent="0.55000000000000004">
      <c r="A824">
        <v>151</v>
      </c>
      <c r="B824" t="s">
        <v>3</v>
      </c>
      <c r="C824">
        <v>0.2</v>
      </c>
      <c r="D824" t="s">
        <v>18</v>
      </c>
      <c r="E824" t="s">
        <v>283</v>
      </c>
      <c r="F824" t="s">
        <v>281</v>
      </c>
      <c r="G824" t="s">
        <v>3</v>
      </c>
      <c r="H824">
        <v>1.2390000000000001</v>
      </c>
      <c r="I824" t="s">
        <v>461</v>
      </c>
      <c r="K824">
        <v>104950868</v>
      </c>
      <c r="L824" s="2">
        <v>42720</v>
      </c>
      <c r="M824">
        <v>17</v>
      </c>
      <c r="N824">
        <v>1</v>
      </c>
      <c r="O824">
        <v>0</v>
      </c>
      <c r="P824">
        <v>1</v>
      </c>
      <c r="Q824" t="s">
        <v>21</v>
      </c>
    </row>
    <row r="825" spans="1:17" x14ac:dyDescent="0.55000000000000004">
      <c r="A825">
        <v>151</v>
      </c>
      <c r="B825" t="s">
        <v>3</v>
      </c>
      <c r="C825">
        <v>0.25</v>
      </c>
      <c r="D825" t="s">
        <v>18</v>
      </c>
      <c r="E825" t="s">
        <v>178</v>
      </c>
      <c r="F825" t="s">
        <v>282</v>
      </c>
      <c r="G825" t="s">
        <v>3</v>
      </c>
      <c r="H825">
        <v>1.903</v>
      </c>
      <c r="I825" t="s">
        <v>461</v>
      </c>
      <c r="K825">
        <v>106501224</v>
      </c>
      <c r="L825" s="2">
        <v>44252</v>
      </c>
      <c r="M825">
        <v>27</v>
      </c>
      <c r="N825">
        <v>1</v>
      </c>
      <c r="O825">
        <v>0</v>
      </c>
      <c r="P825">
        <v>5</v>
      </c>
      <c r="Q825" t="s">
        <v>45</v>
      </c>
    </row>
    <row r="826" spans="1:17" x14ac:dyDescent="0.55000000000000004">
      <c r="A826">
        <v>151</v>
      </c>
      <c r="B826" t="s">
        <v>3</v>
      </c>
      <c r="C826">
        <v>1.4E-2</v>
      </c>
      <c r="D826" t="s">
        <v>68</v>
      </c>
      <c r="E826" t="s">
        <v>284</v>
      </c>
      <c r="F826" t="s">
        <v>185</v>
      </c>
      <c r="G826" t="s">
        <v>3</v>
      </c>
      <c r="H826">
        <v>2.2989999999999999</v>
      </c>
      <c r="I826" t="s">
        <v>461</v>
      </c>
      <c r="K826">
        <v>105841337</v>
      </c>
      <c r="L826" s="2">
        <v>43574</v>
      </c>
      <c r="M826">
        <v>19</v>
      </c>
      <c r="N826">
        <v>1</v>
      </c>
      <c r="O826">
        <v>0</v>
      </c>
      <c r="P826">
        <v>4</v>
      </c>
      <c r="Q826" t="s">
        <v>21</v>
      </c>
    </row>
    <row r="827" spans="1:17" x14ac:dyDescent="0.55000000000000004">
      <c r="A827">
        <v>151</v>
      </c>
      <c r="B827" t="s">
        <v>3</v>
      </c>
      <c r="C827">
        <v>0.1</v>
      </c>
      <c r="D827" t="s">
        <v>18</v>
      </c>
      <c r="E827" t="s">
        <v>280</v>
      </c>
      <c r="F827" t="s">
        <v>285</v>
      </c>
      <c r="G827" t="s">
        <v>3</v>
      </c>
      <c r="H827">
        <v>2.3140000000000001</v>
      </c>
      <c r="I827" t="s">
        <v>461</v>
      </c>
      <c r="K827">
        <v>106051992</v>
      </c>
      <c r="L827" s="2">
        <v>43773</v>
      </c>
      <c r="M827">
        <v>19</v>
      </c>
      <c r="N827">
        <v>1</v>
      </c>
      <c r="O827">
        <v>0</v>
      </c>
      <c r="P827">
        <v>1</v>
      </c>
      <c r="Q827" t="s">
        <v>45</v>
      </c>
    </row>
    <row r="828" spans="1:17" x14ac:dyDescent="0.55000000000000004">
      <c r="A828">
        <v>151</v>
      </c>
      <c r="B828" t="s">
        <v>3</v>
      </c>
      <c r="C828">
        <v>4.0000000000000001E-3</v>
      </c>
      <c r="D828" t="s">
        <v>18</v>
      </c>
      <c r="E828" t="s">
        <v>280</v>
      </c>
      <c r="F828" t="s">
        <v>285</v>
      </c>
      <c r="G828" t="s">
        <v>3</v>
      </c>
      <c r="H828">
        <v>2.41</v>
      </c>
      <c r="I828" t="s">
        <v>461</v>
      </c>
      <c r="K828">
        <v>106679121</v>
      </c>
      <c r="L828" s="2">
        <v>44439</v>
      </c>
      <c r="M828">
        <v>19</v>
      </c>
      <c r="N828">
        <v>1</v>
      </c>
      <c r="O828">
        <v>0</v>
      </c>
      <c r="P828">
        <v>5</v>
      </c>
      <c r="Q828" t="s">
        <v>21</v>
      </c>
    </row>
    <row r="829" spans="1:17" x14ac:dyDescent="0.55000000000000004">
      <c r="A829">
        <v>0</v>
      </c>
      <c r="B829" t="s">
        <v>3</v>
      </c>
      <c r="C829">
        <v>1.3</v>
      </c>
      <c r="D829" t="s">
        <v>18</v>
      </c>
      <c r="E829" t="s">
        <v>186</v>
      </c>
      <c r="F829" t="s">
        <v>286</v>
      </c>
      <c r="G829" t="s">
        <v>3</v>
      </c>
      <c r="H829">
        <v>2.5049999999999999</v>
      </c>
      <c r="I829" t="s">
        <v>461</v>
      </c>
      <c r="K829">
        <v>106330862</v>
      </c>
      <c r="L829" s="2">
        <v>44081</v>
      </c>
      <c r="M829">
        <v>19</v>
      </c>
      <c r="N829">
        <v>1</v>
      </c>
      <c r="O829">
        <v>0</v>
      </c>
      <c r="P829">
        <v>1</v>
      </c>
    </row>
    <row r="830" spans="1:17" x14ac:dyDescent="0.55000000000000004">
      <c r="A830">
        <v>151</v>
      </c>
      <c r="B830" t="s">
        <v>3</v>
      </c>
      <c r="C830">
        <v>0.1</v>
      </c>
      <c r="D830" t="s">
        <v>18</v>
      </c>
      <c r="E830" t="s">
        <v>287</v>
      </c>
      <c r="F830" t="s">
        <v>280</v>
      </c>
      <c r="G830" t="s">
        <v>3</v>
      </c>
      <c r="H830">
        <v>2.5619999999999998</v>
      </c>
      <c r="I830" t="s">
        <v>461</v>
      </c>
      <c r="K830">
        <v>106243424</v>
      </c>
      <c r="L830" s="2">
        <v>43986</v>
      </c>
      <c r="M830">
        <v>17</v>
      </c>
      <c r="N830">
        <v>1</v>
      </c>
      <c r="O830">
        <v>0</v>
      </c>
      <c r="P830">
        <v>3</v>
      </c>
      <c r="Q830" t="s">
        <v>21</v>
      </c>
    </row>
    <row r="831" spans="1:17" x14ac:dyDescent="0.55000000000000004">
      <c r="A831">
        <v>151</v>
      </c>
      <c r="B831" t="s">
        <v>3</v>
      </c>
      <c r="C831">
        <v>0</v>
      </c>
      <c r="E831" t="s">
        <v>287</v>
      </c>
      <c r="F831" t="s">
        <v>286</v>
      </c>
      <c r="G831" t="s">
        <v>3</v>
      </c>
      <c r="H831">
        <v>2.6619999999999999</v>
      </c>
      <c r="I831" t="s">
        <v>461</v>
      </c>
      <c r="K831">
        <v>106249771</v>
      </c>
      <c r="L831" s="2">
        <v>43993</v>
      </c>
      <c r="M831">
        <v>24</v>
      </c>
      <c r="N831">
        <v>1</v>
      </c>
      <c r="O831">
        <v>8</v>
      </c>
      <c r="P831">
        <v>1</v>
      </c>
      <c r="Q831" t="s">
        <v>21</v>
      </c>
    </row>
    <row r="832" spans="1:17" x14ac:dyDescent="0.55000000000000004">
      <c r="A832">
        <v>151</v>
      </c>
      <c r="B832" t="s">
        <v>3</v>
      </c>
      <c r="C832">
        <v>0</v>
      </c>
      <c r="E832" t="s">
        <v>287</v>
      </c>
      <c r="F832" t="s">
        <v>286</v>
      </c>
      <c r="G832" t="s">
        <v>3</v>
      </c>
      <c r="H832">
        <v>2.6619999999999999</v>
      </c>
      <c r="I832" t="s">
        <v>461</v>
      </c>
      <c r="K832">
        <v>105651390</v>
      </c>
      <c r="L832" s="2">
        <v>43378</v>
      </c>
      <c r="M832">
        <v>24</v>
      </c>
      <c r="N832">
        <v>1</v>
      </c>
      <c r="O832">
        <v>8</v>
      </c>
      <c r="P832">
        <v>1</v>
      </c>
      <c r="Q832" t="s">
        <v>21</v>
      </c>
    </row>
    <row r="833" spans="1:17" x14ac:dyDescent="0.55000000000000004">
      <c r="A833">
        <v>0</v>
      </c>
      <c r="B833" t="s">
        <v>3</v>
      </c>
      <c r="C833">
        <v>1</v>
      </c>
      <c r="D833" t="s">
        <v>18</v>
      </c>
      <c r="E833" t="s">
        <v>186</v>
      </c>
      <c r="F833" t="s">
        <v>286</v>
      </c>
      <c r="G833" t="s">
        <v>3</v>
      </c>
      <c r="H833">
        <v>2.8050000000000002</v>
      </c>
      <c r="I833" t="s">
        <v>461</v>
      </c>
      <c r="K833">
        <v>106494201</v>
      </c>
      <c r="L833" s="2">
        <v>44247</v>
      </c>
      <c r="M833">
        <v>19</v>
      </c>
      <c r="N833">
        <v>1</v>
      </c>
      <c r="O833">
        <v>0</v>
      </c>
      <c r="P833">
        <v>5</v>
      </c>
    </row>
    <row r="834" spans="1:17" x14ac:dyDescent="0.55000000000000004">
      <c r="A834">
        <v>0</v>
      </c>
      <c r="B834" t="s">
        <v>3</v>
      </c>
      <c r="C834">
        <v>0.1</v>
      </c>
      <c r="D834" t="s">
        <v>68</v>
      </c>
      <c r="E834" t="s">
        <v>286</v>
      </c>
      <c r="F834" t="s">
        <v>0</v>
      </c>
      <c r="G834" t="s">
        <v>3</v>
      </c>
      <c r="H834">
        <v>2.9159999999999999</v>
      </c>
      <c r="I834" t="s">
        <v>461</v>
      </c>
      <c r="K834">
        <v>106474150</v>
      </c>
      <c r="L834" s="2">
        <v>44221</v>
      </c>
      <c r="M834">
        <v>18</v>
      </c>
      <c r="N834">
        <v>1</v>
      </c>
      <c r="O834">
        <v>0</v>
      </c>
      <c r="P834">
        <v>5</v>
      </c>
      <c r="Q834" t="s">
        <v>167</v>
      </c>
    </row>
    <row r="835" spans="1:17" x14ac:dyDescent="0.55000000000000004">
      <c r="A835">
        <v>0</v>
      </c>
      <c r="B835" t="s">
        <v>3</v>
      </c>
      <c r="C835">
        <v>0.1</v>
      </c>
      <c r="D835" t="s">
        <v>68</v>
      </c>
      <c r="E835" t="s">
        <v>286</v>
      </c>
      <c r="F835" t="s">
        <v>0</v>
      </c>
      <c r="G835" t="s">
        <v>3</v>
      </c>
      <c r="H835">
        <v>2.9159999999999999</v>
      </c>
      <c r="I835" t="s">
        <v>461</v>
      </c>
      <c r="K835">
        <v>104920190</v>
      </c>
      <c r="L835" s="2">
        <v>42693</v>
      </c>
      <c r="M835">
        <v>13</v>
      </c>
      <c r="N835">
        <v>1</v>
      </c>
      <c r="O835">
        <v>0</v>
      </c>
      <c r="P835">
        <v>1</v>
      </c>
      <c r="Q835" t="s">
        <v>15</v>
      </c>
    </row>
    <row r="836" spans="1:17" x14ac:dyDescent="0.55000000000000004">
      <c r="A836">
        <v>0</v>
      </c>
      <c r="B836" t="s">
        <v>3</v>
      </c>
      <c r="C836">
        <v>0.1</v>
      </c>
      <c r="D836" t="s">
        <v>68</v>
      </c>
      <c r="E836" t="s">
        <v>286</v>
      </c>
      <c r="F836" t="s">
        <v>0</v>
      </c>
      <c r="G836" t="s">
        <v>3</v>
      </c>
      <c r="H836">
        <v>2.9159999999999999</v>
      </c>
      <c r="I836" t="s">
        <v>461</v>
      </c>
      <c r="K836">
        <v>105141579</v>
      </c>
      <c r="L836" s="2">
        <v>42909</v>
      </c>
      <c r="M836">
        <v>17</v>
      </c>
      <c r="N836">
        <v>1</v>
      </c>
      <c r="O836">
        <v>0</v>
      </c>
      <c r="P836">
        <v>1</v>
      </c>
      <c r="Q836" t="s">
        <v>21</v>
      </c>
    </row>
    <row r="837" spans="1:17" x14ac:dyDescent="0.55000000000000004">
      <c r="A837">
        <v>0</v>
      </c>
      <c r="B837" t="s">
        <v>3</v>
      </c>
      <c r="C837">
        <v>0.1</v>
      </c>
      <c r="D837" t="s">
        <v>68</v>
      </c>
      <c r="E837" t="s">
        <v>286</v>
      </c>
      <c r="F837" t="s">
        <v>186</v>
      </c>
      <c r="G837" t="s">
        <v>3</v>
      </c>
      <c r="H837">
        <v>2.9159999999999999</v>
      </c>
      <c r="I837" t="s">
        <v>461</v>
      </c>
      <c r="K837">
        <v>105316509</v>
      </c>
      <c r="L837" s="2">
        <v>43077</v>
      </c>
      <c r="M837">
        <v>30</v>
      </c>
      <c r="N837">
        <v>5</v>
      </c>
      <c r="O837">
        <v>0</v>
      </c>
      <c r="P837">
        <v>1</v>
      </c>
      <c r="Q837" t="s">
        <v>15</v>
      </c>
    </row>
    <row r="838" spans="1:17" x14ac:dyDescent="0.55000000000000004">
      <c r="A838">
        <v>151</v>
      </c>
      <c r="B838" t="s">
        <v>3</v>
      </c>
      <c r="C838">
        <v>0.1</v>
      </c>
      <c r="D838" t="s">
        <v>68</v>
      </c>
      <c r="E838" t="s">
        <v>286</v>
      </c>
      <c r="F838" t="s">
        <v>186</v>
      </c>
      <c r="G838" t="s">
        <v>3</v>
      </c>
      <c r="H838">
        <v>2.9159999999999999</v>
      </c>
      <c r="I838" t="s">
        <v>461</v>
      </c>
      <c r="K838">
        <v>106118165</v>
      </c>
      <c r="L838" s="2">
        <v>43836</v>
      </c>
      <c r="M838">
        <v>19</v>
      </c>
      <c r="N838">
        <v>1</v>
      </c>
      <c r="O838">
        <v>0</v>
      </c>
      <c r="P838">
        <v>5</v>
      </c>
      <c r="Q838" t="s">
        <v>21</v>
      </c>
    </row>
    <row r="839" spans="1:17" x14ac:dyDescent="0.55000000000000004">
      <c r="A839">
        <v>0</v>
      </c>
      <c r="B839" t="s">
        <v>3</v>
      </c>
      <c r="C839">
        <v>0.2</v>
      </c>
      <c r="D839" t="s">
        <v>68</v>
      </c>
      <c r="E839" t="s">
        <v>286</v>
      </c>
      <c r="F839" t="s">
        <v>186</v>
      </c>
      <c r="G839" t="s">
        <v>3</v>
      </c>
      <c r="H839">
        <v>3.016</v>
      </c>
      <c r="I839" t="s">
        <v>461</v>
      </c>
      <c r="K839">
        <v>105092844</v>
      </c>
      <c r="L839" s="2">
        <v>42860</v>
      </c>
      <c r="M839">
        <v>19</v>
      </c>
      <c r="N839">
        <v>2</v>
      </c>
      <c r="O839">
        <v>0</v>
      </c>
      <c r="P839">
        <v>5</v>
      </c>
    </row>
    <row r="840" spans="1:17" x14ac:dyDescent="0.55000000000000004">
      <c r="A840">
        <v>0</v>
      </c>
      <c r="B840" t="s">
        <v>3</v>
      </c>
      <c r="C840">
        <v>0.2</v>
      </c>
      <c r="D840" t="s">
        <v>68</v>
      </c>
      <c r="E840" t="s">
        <v>286</v>
      </c>
      <c r="F840" t="s">
        <v>186</v>
      </c>
      <c r="G840" t="s">
        <v>3</v>
      </c>
      <c r="H840">
        <v>3.016</v>
      </c>
      <c r="I840" t="s">
        <v>461</v>
      </c>
      <c r="K840">
        <v>105092843</v>
      </c>
      <c r="L840" s="2">
        <v>42860</v>
      </c>
      <c r="M840">
        <v>18</v>
      </c>
      <c r="N840">
        <v>2</v>
      </c>
      <c r="O840">
        <v>0</v>
      </c>
      <c r="P840">
        <v>5</v>
      </c>
      <c r="Q840" t="s">
        <v>21</v>
      </c>
    </row>
    <row r="841" spans="1:17" x14ac:dyDescent="0.55000000000000004">
      <c r="A841">
        <v>0</v>
      </c>
      <c r="B841" t="s">
        <v>3</v>
      </c>
      <c r="C841">
        <v>0.3</v>
      </c>
      <c r="D841" t="s">
        <v>68</v>
      </c>
      <c r="E841" t="s">
        <v>286</v>
      </c>
      <c r="F841" t="s">
        <v>0</v>
      </c>
      <c r="G841" t="s">
        <v>3</v>
      </c>
      <c r="H841">
        <v>3.1160000000000001</v>
      </c>
      <c r="I841" t="s">
        <v>461</v>
      </c>
      <c r="K841">
        <v>105171442</v>
      </c>
      <c r="L841" s="2">
        <v>42941</v>
      </c>
      <c r="M841">
        <v>19</v>
      </c>
      <c r="N841">
        <v>1</v>
      </c>
      <c r="O841">
        <v>0</v>
      </c>
      <c r="P841">
        <v>5</v>
      </c>
      <c r="Q841" t="s">
        <v>21</v>
      </c>
    </row>
    <row r="842" spans="1:17" x14ac:dyDescent="0.55000000000000004">
      <c r="A842">
        <v>0</v>
      </c>
      <c r="B842" t="s">
        <v>3</v>
      </c>
      <c r="C842">
        <v>0</v>
      </c>
      <c r="E842" t="s">
        <v>288</v>
      </c>
      <c r="F842" t="s">
        <v>186</v>
      </c>
      <c r="G842" t="s">
        <v>3</v>
      </c>
      <c r="H842">
        <v>3.476</v>
      </c>
      <c r="I842" t="s">
        <v>461</v>
      </c>
      <c r="K842">
        <v>104978106</v>
      </c>
      <c r="L842" s="2">
        <v>42747</v>
      </c>
      <c r="M842">
        <v>24</v>
      </c>
      <c r="N842">
        <v>1</v>
      </c>
      <c r="O842">
        <v>8</v>
      </c>
      <c r="P842">
        <v>1</v>
      </c>
      <c r="Q842" t="s">
        <v>21</v>
      </c>
    </row>
    <row r="843" spans="1:17" x14ac:dyDescent="0.55000000000000004">
      <c r="A843">
        <v>0</v>
      </c>
      <c r="B843" t="s">
        <v>3</v>
      </c>
      <c r="C843">
        <v>4.0000000000000001E-3</v>
      </c>
      <c r="D843" t="s">
        <v>68</v>
      </c>
      <c r="E843" t="s">
        <v>288</v>
      </c>
      <c r="F843" t="s">
        <v>186</v>
      </c>
      <c r="G843" t="s">
        <v>3</v>
      </c>
      <c r="H843">
        <v>3.48</v>
      </c>
      <c r="I843" t="s">
        <v>461</v>
      </c>
      <c r="K843">
        <v>106362239</v>
      </c>
      <c r="L843" s="2">
        <v>44111</v>
      </c>
      <c r="M843">
        <v>21</v>
      </c>
      <c r="N843">
        <v>1</v>
      </c>
      <c r="O843">
        <v>0</v>
      </c>
      <c r="P843">
        <v>1</v>
      </c>
      <c r="Q843" t="s">
        <v>45</v>
      </c>
    </row>
    <row r="844" spans="1:17" x14ac:dyDescent="0.55000000000000004">
      <c r="A844">
        <v>0</v>
      </c>
      <c r="B844" t="s">
        <v>3</v>
      </c>
      <c r="C844">
        <v>0.3</v>
      </c>
      <c r="D844" t="s">
        <v>18</v>
      </c>
      <c r="E844" t="s">
        <v>186</v>
      </c>
      <c r="F844" t="s">
        <v>288</v>
      </c>
      <c r="G844" t="s">
        <v>3</v>
      </c>
      <c r="H844">
        <v>3.5049999999999999</v>
      </c>
      <c r="I844" t="s">
        <v>461</v>
      </c>
      <c r="K844">
        <v>105672024</v>
      </c>
      <c r="L844" s="2">
        <v>43416</v>
      </c>
      <c r="M844">
        <v>19</v>
      </c>
      <c r="N844">
        <v>2</v>
      </c>
      <c r="O844">
        <v>0</v>
      </c>
      <c r="P844">
        <v>5</v>
      </c>
      <c r="Q844" t="s">
        <v>15</v>
      </c>
    </row>
    <row r="845" spans="1:17" x14ac:dyDescent="0.55000000000000004">
      <c r="A845">
        <v>0</v>
      </c>
      <c r="B845" t="s">
        <v>3</v>
      </c>
      <c r="C845">
        <v>0.2</v>
      </c>
      <c r="D845" t="s">
        <v>18</v>
      </c>
      <c r="E845" t="s">
        <v>186</v>
      </c>
      <c r="F845" t="s">
        <v>286</v>
      </c>
      <c r="G845" t="s">
        <v>3</v>
      </c>
      <c r="H845">
        <v>3.605</v>
      </c>
      <c r="I845" t="s">
        <v>461</v>
      </c>
      <c r="K845">
        <v>105058666</v>
      </c>
      <c r="L845" s="2">
        <v>42826</v>
      </c>
      <c r="M845">
        <v>21</v>
      </c>
      <c r="N845">
        <v>1</v>
      </c>
      <c r="O845">
        <v>0</v>
      </c>
      <c r="P845">
        <v>1</v>
      </c>
      <c r="Q845" t="s">
        <v>167</v>
      </c>
    </row>
    <row r="846" spans="1:17" x14ac:dyDescent="0.55000000000000004">
      <c r="A846">
        <v>0</v>
      </c>
      <c r="B846" t="s">
        <v>3</v>
      </c>
      <c r="C846">
        <v>0.2</v>
      </c>
      <c r="D846" t="s">
        <v>18</v>
      </c>
      <c r="E846" t="s">
        <v>186</v>
      </c>
      <c r="F846" t="s">
        <v>286</v>
      </c>
      <c r="G846" t="s">
        <v>3</v>
      </c>
      <c r="H846">
        <v>3.605</v>
      </c>
      <c r="I846" t="s">
        <v>461</v>
      </c>
      <c r="K846">
        <v>105373484</v>
      </c>
      <c r="L846" s="2">
        <v>43136</v>
      </c>
      <c r="M846">
        <v>22</v>
      </c>
      <c r="N846">
        <v>2</v>
      </c>
      <c r="O846">
        <v>5</v>
      </c>
      <c r="P846">
        <v>1</v>
      </c>
      <c r="Q846" t="s">
        <v>15</v>
      </c>
    </row>
    <row r="847" spans="1:17" x14ac:dyDescent="0.55000000000000004">
      <c r="A847">
        <v>0</v>
      </c>
      <c r="B847" t="s">
        <v>3</v>
      </c>
      <c r="C847">
        <v>0.13</v>
      </c>
      <c r="D847" t="s">
        <v>18</v>
      </c>
      <c r="E847" t="s">
        <v>186</v>
      </c>
      <c r="F847" t="s">
        <v>288</v>
      </c>
      <c r="G847" t="s">
        <v>3</v>
      </c>
      <c r="H847">
        <v>3.6749999999999998</v>
      </c>
      <c r="I847" t="s">
        <v>461</v>
      </c>
      <c r="K847">
        <v>106519992</v>
      </c>
      <c r="L847" s="2">
        <v>44273</v>
      </c>
      <c r="M847">
        <v>23</v>
      </c>
      <c r="N847">
        <v>2</v>
      </c>
      <c r="O847">
        <v>5</v>
      </c>
      <c r="P847">
        <v>1</v>
      </c>
      <c r="Q847" t="s">
        <v>21</v>
      </c>
    </row>
    <row r="848" spans="1:17" x14ac:dyDescent="0.55000000000000004">
      <c r="A848">
        <v>0</v>
      </c>
      <c r="B848" t="s">
        <v>3</v>
      </c>
      <c r="C848">
        <v>0.1</v>
      </c>
      <c r="D848" t="s">
        <v>18</v>
      </c>
      <c r="E848" t="s">
        <v>186</v>
      </c>
      <c r="F848" t="s">
        <v>289</v>
      </c>
      <c r="G848" t="s">
        <v>3</v>
      </c>
      <c r="H848">
        <v>3.7050000000000001</v>
      </c>
      <c r="I848" t="s">
        <v>461</v>
      </c>
      <c r="K848">
        <v>105227009</v>
      </c>
      <c r="L848" s="2">
        <v>42998</v>
      </c>
      <c r="M848">
        <v>24</v>
      </c>
      <c r="N848">
        <v>1</v>
      </c>
      <c r="O848">
        <v>4</v>
      </c>
      <c r="P848">
        <v>1</v>
      </c>
      <c r="Q848" t="s">
        <v>45</v>
      </c>
    </row>
    <row r="849" spans="1:17" x14ac:dyDescent="0.55000000000000004">
      <c r="A849">
        <v>0</v>
      </c>
      <c r="B849" t="s">
        <v>3</v>
      </c>
      <c r="C849">
        <v>0.1</v>
      </c>
      <c r="D849" t="s">
        <v>18</v>
      </c>
      <c r="E849" t="s">
        <v>186</v>
      </c>
      <c r="F849" t="s">
        <v>286</v>
      </c>
      <c r="G849" t="s">
        <v>3</v>
      </c>
      <c r="H849">
        <v>3.7050000000000001</v>
      </c>
      <c r="I849" t="s">
        <v>461</v>
      </c>
      <c r="K849">
        <v>105680907</v>
      </c>
      <c r="L849" s="2">
        <v>43422</v>
      </c>
      <c r="M849">
        <v>17</v>
      </c>
      <c r="N849">
        <v>1</v>
      </c>
      <c r="O849">
        <v>0</v>
      </c>
      <c r="P849">
        <v>5</v>
      </c>
      <c r="Q849" t="s">
        <v>21</v>
      </c>
    </row>
    <row r="850" spans="1:17" x14ac:dyDescent="0.55000000000000004">
      <c r="A850">
        <v>0</v>
      </c>
      <c r="B850" t="s">
        <v>3</v>
      </c>
      <c r="C850">
        <v>3.7999999999999999E-2</v>
      </c>
      <c r="D850" t="s">
        <v>18</v>
      </c>
      <c r="E850" t="s">
        <v>186</v>
      </c>
      <c r="F850" t="s">
        <v>286</v>
      </c>
      <c r="G850" t="s">
        <v>3</v>
      </c>
      <c r="H850">
        <v>3.7669999999999999</v>
      </c>
      <c r="I850" t="s">
        <v>461</v>
      </c>
      <c r="K850">
        <v>105274497</v>
      </c>
      <c r="L850" s="2">
        <v>43041</v>
      </c>
      <c r="M850">
        <v>17</v>
      </c>
      <c r="N850">
        <v>1</v>
      </c>
      <c r="O850">
        <v>0</v>
      </c>
      <c r="P850">
        <v>5</v>
      </c>
      <c r="Q850" t="s">
        <v>21</v>
      </c>
    </row>
    <row r="851" spans="1:17" x14ac:dyDescent="0.55000000000000004">
      <c r="A851">
        <v>0</v>
      </c>
      <c r="B851" t="s">
        <v>3</v>
      </c>
      <c r="C851">
        <v>0.4</v>
      </c>
      <c r="D851" t="s">
        <v>18</v>
      </c>
      <c r="E851" t="s">
        <v>0</v>
      </c>
      <c r="F851" t="s">
        <v>186</v>
      </c>
      <c r="G851" t="s">
        <v>3</v>
      </c>
      <c r="H851">
        <v>3.8370000000000002</v>
      </c>
      <c r="I851" t="s">
        <v>461</v>
      </c>
      <c r="K851">
        <v>106397428</v>
      </c>
      <c r="L851" s="2">
        <v>44134</v>
      </c>
      <c r="M851">
        <v>19</v>
      </c>
      <c r="N851">
        <v>1</v>
      </c>
      <c r="O851">
        <v>5</v>
      </c>
      <c r="P851">
        <v>5</v>
      </c>
    </row>
    <row r="852" spans="1:17" x14ac:dyDescent="0.55000000000000004">
      <c r="A852">
        <v>0</v>
      </c>
      <c r="B852" t="s">
        <v>3</v>
      </c>
      <c r="C852">
        <v>0.1</v>
      </c>
      <c r="D852" t="s">
        <v>68</v>
      </c>
      <c r="E852" t="s">
        <v>186</v>
      </c>
      <c r="F852" t="s">
        <v>0</v>
      </c>
      <c r="G852" t="s">
        <v>3</v>
      </c>
      <c r="H852">
        <v>3.9049999999999998</v>
      </c>
      <c r="I852" t="s">
        <v>461</v>
      </c>
      <c r="K852">
        <v>104993061</v>
      </c>
      <c r="L852" s="2">
        <v>42766</v>
      </c>
      <c r="M852">
        <v>19</v>
      </c>
      <c r="N852">
        <v>1</v>
      </c>
      <c r="O852">
        <v>0</v>
      </c>
      <c r="P852">
        <v>5</v>
      </c>
    </row>
    <row r="853" spans="1:17" x14ac:dyDescent="0.55000000000000004">
      <c r="A853">
        <v>0</v>
      </c>
      <c r="B853" t="s">
        <v>3</v>
      </c>
      <c r="C853">
        <v>0.2</v>
      </c>
      <c r="D853" t="s">
        <v>18</v>
      </c>
      <c r="E853" t="s">
        <v>0</v>
      </c>
      <c r="F853" t="s">
        <v>186</v>
      </c>
      <c r="G853" t="s">
        <v>3</v>
      </c>
      <c r="H853">
        <v>4.0369999999999999</v>
      </c>
      <c r="I853" t="s">
        <v>461</v>
      </c>
      <c r="K853">
        <v>106226254</v>
      </c>
      <c r="L853" s="2">
        <v>43964</v>
      </c>
      <c r="M853">
        <v>24</v>
      </c>
      <c r="N853">
        <v>1</v>
      </c>
      <c r="O853">
        <v>4</v>
      </c>
      <c r="P853">
        <v>1</v>
      </c>
      <c r="Q853" t="s">
        <v>21</v>
      </c>
    </row>
    <row r="854" spans="1:17" x14ac:dyDescent="0.55000000000000004">
      <c r="A854">
        <v>0</v>
      </c>
      <c r="B854" t="s">
        <v>3</v>
      </c>
      <c r="C854">
        <v>0.2</v>
      </c>
      <c r="D854" t="s">
        <v>18</v>
      </c>
      <c r="E854" t="s">
        <v>0</v>
      </c>
      <c r="F854" t="s">
        <v>186</v>
      </c>
      <c r="G854" t="s">
        <v>3</v>
      </c>
      <c r="H854">
        <v>4.0369999999999999</v>
      </c>
      <c r="I854" t="s">
        <v>461</v>
      </c>
      <c r="K854">
        <v>104919659</v>
      </c>
      <c r="L854" s="2">
        <v>42691</v>
      </c>
      <c r="M854">
        <v>21</v>
      </c>
      <c r="N854">
        <v>1</v>
      </c>
      <c r="O854">
        <v>0</v>
      </c>
      <c r="P854">
        <v>5</v>
      </c>
      <c r="Q854" t="s">
        <v>21</v>
      </c>
    </row>
    <row r="855" spans="1:17" x14ac:dyDescent="0.55000000000000004">
      <c r="A855">
        <v>0</v>
      </c>
      <c r="B855" t="s">
        <v>3</v>
      </c>
      <c r="C855">
        <v>5.7000000000000002E-2</v>
      </c>
      <c r="D855" t="s">
        <v>18</v>
      </c>
      <c r="E855" t="s">
        <v>0</v>
      </c>
      <c r="F855" t="s">
        <v>186</v>
      </c>
      <c r="G855" t="s">
        <v>3</v>
      </c>
      <c r="H855">
        <v>4.18</v>
      </c>
      <c r="I855" t="s">
        <v>461</v>
      </c>
      <c r="K855">
        <v>106056067</v>
      </c>
      <c r="L855" s="2">
        <v>43779</v>
      </c>
      <c r="M855">
        <v>19</v>
      </c>
      <c r="N855">
        <v>1</v>
      </c>
      <c r="O855">
        <v>0</v>
      </c>
      <c r="P855">
        <v>5</v>
      </c>
    </row>
    <row r="856" spans="1:17" x14ac:dyDescent="0.55000000000000004">
      <c r="A856">
        <v>0</v>
      </c>
      <c r="B856" t="s">
        <v>3</v>
      </c>
      <c r="C856">
        <v>6.0000000000000001E-3</v>
      </c>
      <c r="D856" t="s">
        <v>18</v>
      </c>
      <c r="E856" t="s">
        <v>0</v>
      </c>
      <c r="F856" t="s">
        <v>186</v>
      </c>
      <c r="G856" t="s">
        <v>3</v>
      </c>
      <c r="H856">
        <v>4.2309999999999999</v>
      </c>
      <c r="I856" t="s">
        <v>461</v>
      </c>
      <c r="K856">
        <v>106547262</v>
      </c>
      <c r="L856" s="2">
        <v>44299</v>
      </c>
      <c r="M856">
        <v>21</v>
      </c>
      <c r="N856">
        <v>1</v>
      </c>
      <c r="O856">
        <v>8</v>
      </c>
      <c r="P856">
        <v>1</v>
      </c>
      <c r="Q856" t="s">
        <v>21</v>
      </c>
    </row>
    <row r="857" spans="1:17" x14ac:dyDescent="0.55000000000000004">
      <c r="A857">
        <v>414</v>
      </c>
      <c r="B857" t="s">
        <v>3</v>
      </c>
      <c r="C857">
        <v>1.7999999999999999E-2</v>
      </c>
      <c r="D857" t="s">
        <v>68</v>
      </c>
      <c r="E857" t="s">
        <v>0</v>
      </c>
      <c r="F857" t="s">
        <v>49</v>
      </c>
      <c r="G857" t="s">
        <v>3</v>
      </c>
      <c r="H857">
        <v>4.2370000000000001</v>
      </c>
      <c r="I857" t="s">
        <v>461</v>
      </c>
      <c r="K857">
        <v>105342188</v>
      </c>
      <c r="L857" s="2">
        <v>43097</v>
      </c>
      <c r="M857">
        <v>19</v>
      </c>
      <c r="N857">
        <v>1</v>
      </c>
      <c r="O857">
        <v>0</v>
      </c>
      <c r="P857">
        <v>5</v>
      </c>
      <c r="Q857" t="s">
        <v>21</v>
      </c>
    </row>
    <row r="858" spans="1:17" x14ac:dyDescent="0.55000000000000004">
      <c r="A858">
        <v>0</v>
      </c>
      <c r="B858" t="s">
        <v>3</v>
      </c>
      <c r="C858">
        <v>2.5</v>
      </c>
      <c r="D858" t="s">
        <v>68</v>
      </c>
      <c r="E858" t="s">
        <v>286</v>
      </c>
      <c r="F858" t="s">
        <v>0</v>
      </c>
      <c r="G858" t="s">
        <v>3</v>
      </c>
      <c r="H858">
        <v>4.2370000000000001</v>
      </c>
      <c r="I858" t="s">
        <v>461</v>
      </c>
      <c r="K858">
        <v>105479954</v>
      </c>
      <c r="L858" s="2">
        <v>43232</v>
      </c>
      <c r="M858">
        <v>29</v>
      </c>
      <c r="N858">
        <v>1</v>
      </c>
      <c r="O858">
        <v>0</v>
      </c>
      <c r="P858">
        <v>1</v>
      </c>
      <c r="Q858" t="s">
        <v>21</v>
      </c>
    </row>
    <row r="859" spans="1:17" x14ac:dyDescent="0.55000000000000004">
      <c r="A859">
        <v>151</v>
      </c>
      <c r="B859" t="s">
        <v>3</v>
      </c>
      <c r="C859">
        <v>1.9E-2</v>
      </c>
      <c r="D859" t="s">
        <v>68</v>
      </c>
      <c r="E859" t="s">
        <v>285</v>
      </c>
      <c r="F859" t="s">
        <v>286</v>
      </c>
      <c r="G859" t="s">
        <v>3</v>
      </c>
      <c r="H859">
        <v>999.99900000000002</v>
      </c>
      <c r="I859" t="s">
        <v>461</v>
      </c>
      <c r="K859">
        <v>106567223</v>
      </c>
      <c r="L859" s="2">
        <v>44322</v>
      </c>
      <c r="M859">
        <v>19</v>
      </c>
      <c r="N859">
        <v>1</v>
      </c>
      <c r="O859">
        <v>0</v>
      </c>
      <c r="P859">
        <v>5</v>
      </c>
      <c r="Q859" t="s">
        <v>21</v>
      </c>
    </row>
    <row r="860" spans="1:17" x14ac:dyDescent="0.55000000000000004">
      <c r="A860">
        <v>0</v>
      </c>
      <c r="B860" t="s">
        <v>3</v>
      </c>
      <c r="C860">
        <v>0.2</v>
      </c>
      <c r="D860" t="s">
        <v>18</v>
      </c>
      <c r="E860" t="s">
        <v>290</v>
      </c>
      <c r="F860" t="s">
        <v>281</v>
      </c>
      <c r="G860" t="s">
        <v>3</v>
      </c>
      <c r="H860">
        <v>999.99900000000002</v>
      </c>
      <c r="I860" t="s">
        <v>461</v>
      </c>
      <c r="K860">
        <v>105612278</v>
      </c>
      <c r="L860" s="2">
        <v>43367</v>
      </c>
      <c r="M860">
        <v>23</v>
      </c>
      <c r="N860">
        <v>1</v>
      </c>
      <c r="O860">
        <v>0</v>
      </c>
      <c r="P860">
        <v>1</v>
      </c>
      <c r="Q860" t="s">
        <v>45</v>
      </c>
    </row>
    <row r="861" spans="1:17" x14ac:dyDescent="0.55000000000000004">
      <c r="A861">
        <v>0</v>
      </c>
      <c r="B861" t="s">
        <v>3</v>
      </c>
      <c r="C861">
        <v>0.2</v>
      </c>
      <c r="D861" t="s">
        <v>18</v>
      </c>
      <c r="E861" t="s">
        <v>290</v>
      </c>
      <c r="F861" t="s">
        <v>281</v>
      </c>
      <c r="G861" t="s">
        <v>3</v>
      </c>
      <c r="H861">
        <v>999.99900000000002</v>
      </c>
      <c r="I861" t="s">
        <v>461</v>
      </c>
      <c r="K861">
        <v>104942895</v>
      </c>
      <c r="L861" s="2">
        <v>42715</v>
      </c>
      <c r="M861">
        <v>29</v>
      </c>
      <c r="N861">
        <v>1</v>
      </c>
      <c r="O861">
        <v>0</v>
      </c>
      <c r="P861">
        <v>1</v>
      </c>
      <c r="Q861" t="s">
        <v>21</v>
      </c>
    </row>
    <row r="862" spans="1:17" x14ac:dyDescent="0.55000000000000004">
      <c r="A862">
        <v>0</v>
      </c>
      <c r="B862" t="s">
        <v>3</v>
      </c>
      <c r="C862">
        <v>0</v>
      </c>
      <c r="E862" t="s">
        <v>290</v>
      </c>
      <c r="F862" t="s">
        <v>281</v>
      </c>
      <c r="G862" t="s">
        <v>3</v>
      </c>
      <c r="H862">
        <v>999.99900000000002</v>
      </c>
      <c r="I862" t="s">
        <v>461</v>
      </c>
      <c r="K862">
        <v>106107836</v>
      </c>
      <c r="L862" s="2">
        <v>43823</v>
      </c>
      <c r="M862">
        <v>23</v>
      </c>
      <c r="N862">
        <v>1</v>
      </c>
      <c r="O862">
        <v>0</v>
      </c>
      <c r="P862">
        <v>5</v>
      </c>
      <c r="Q862" t="s">
        <v>21</v>
      </c>
    </row>
    <row r="863" spans="1:17" x14ac:dyDescent="0.55000000000000004">
      <c r="A863">
        <v>0</v>
      </c>
      <c r="B863" t="s">
        <v>3</v>
      </c>
      <c r="C863">
        <v>0</v>
      </c>
      <c r="E863" t="s">
        <v>3</v>
      </c>
      <c r="F863" t="s">
        <v>291</v>
      </c>
      <c r="G863" t="s">
        <v>3</v>
      </c>
      <c r="H863">
        <v>999.99900000000002</v>
      </c>
      <c r="I863" t="s">
        <v>461</v>
      </c>
      <c r="K863">
        <v>106243386</v>
      </c>
      <c r="L863" s="2">
        <v>43984</v>
      </c>
      <c r="M863">
        <v>24</v>
      </c>
      <c r="N863">
        <v>1</v>
      </c>
      <c r="O863">
        <v>8</v>
      </c>
      <c r="P863">
        <v>1</v>
      </c>
      <c r="Q863" t="s">
        <v>21</v>
      </c>
    </row>
    <row r="864" spans="1:17" x14ac:dyDescent="0.55000000000000004">
      <c r="A864">
        <v>0</v>
      </c>
      <c r="B864" t="s">
        <v>3</v>
      </c>
      <c r="C864">
        <v>0</v>
      </c>
      <c r="E864" t="s">
        <v>292</v>
      </c>
      <c r="F864" t="s">
        <v>186</v>
      </c>
      <c r="G864" t="s">
        <v>3</v>
      </c>
      <c r="H864">
        <v>999.99900000000002</v>
      </c>
      <c r="I864" t="s">
        <v>461</v>
      </c>
      <c r="K864">
        <v>105828974</v>
      </c>
      <c r="L864" s="2">
        <v>43556</v>
      </c>
      <c r="M864">
        <v>32</v>
      </c>
      <c r="N864">
        <v>1</v>
      </c>
      <c r="O864">
        <v>8</v>
      </c>
      <c r="P864">
        <v>1</v>
      </c>
      <c r="Q864" t="s">
        <v>21</v>
      </c>
    </row>
    <row r="865" spans="1:17" x14ac:dyDescent="0.55000000000000004">
      <c r="A865">
        <v>151</v>
      </c>
      <c r="B865" t="s">
        <v>3</v>
      </c>
      <c r="C865">
        <v>1.2999999999999999E-2</v>
      </c>
      <c r="D865" t="s">
        <v>68</v>
      </c>
      <c r="E865" t="s">
        <v>293</v>
      </c>
      <c r="F865" t="s">
        <v>285</v>
      </c>
      <c r="G865" t="s">
        <v>3</v>
      </c>
      <c r="H865">
        <v>999.99900000000002</v>
      </c>
      <c r="I865" t="s">
        <v>461</v>
      </c>
      <c r="K865">
        <v>106181664</v>
      </c>
      <c r="L865" s="2">
        <v>43901</v>
      </c>
      <c r="M865">
        <v>13</v>
      </c>
      <c r="N865">
        <v>1</v>
      </c>
      <c r="O865">
        <v>8</v>
      </c>
      <c r="P865">
        <v>1</v>
      </c>
      <c r="Q865" t="s">
        <v>21</v>
      </c>
    </row>
    <row r="866" spans="1:17" x14ac:dyDescent="0.55000000000000004">
      <c r="A866">
        <v>151</v>
      </c>
      <c r="B866" t="s">
        <v>3</v>
      </c>
      <c r="C866">
        <v>0</v>
      </c>
      <c r="E866" t="s">
        <v>294</v>
      </c>
      <c r="F866" t="s">
        <v>295</v>
      </c>
      <c r="G866" t="s">
        <v>3</v>
      </c>
      <c r="H866">
        <v>999.99900000000002</v>
      </c>
      <c r="I866" t="s">
        <v>461</v>
      </c>
      <c r="K866">
        <v>106493962</v>
      </c>
      <c r="L866" s="2">
        <v>44245</v>
      </c>
      <c r="M866">
        <v>19</v>
      </c>
      <c r="N866">
        <v>2</v>
      </c>
      <c r="O866">
        <v>9</v>
      </c>
      <c r="P866">
        <v>5</v>
      </c>
      <c r="Q866" t="s">
        <v>21</v>
      </c>
    </row>
    <row r="867" spans="1:17" x14ac:dyDescent="0.55000000000000004">
      <c r="A867">
        <v>151</v>
      </c>
      <c r="B867" t="s">
        <v>3</v>
      </c>
      <c r="C867">
        <v>0.1</v>
      </c>
      <c r="D867" t="s">
        <v>18</v>
      </c>
      <c r="E867" t="s">
        <v>185</v>
      </c>
      <c r="F867" t="s">
        <v>177</v>
      </c>
      <c r="G867" t="s">
        <v>3</v>
      </c>
      <c r="H867">
        <v>999.99900000000002</v>
      </c>
      <c r="I867" t="s">
        <v>461</v>
      </c>
      <c r="K867">
        <v>105365382</v>
      </c>
      <c r="L867" s="2">
        <v>43126</v>
      </c>
      <c r="M867">
        <v>5</v>
      </c>
      <c r="N867">
        <v>1</v>
      </c>
      <c r="O867">
        <v>0</v>
      </c>
      <c r="P867">
        <v>5</v>
      </c>
      <c r="Q867" t="s">
        <v>21</v>
      </c>
    </row>
    <row r="868" spans="1:17" x14ac:dyDescent="0.55000000000000004">
      <c r="A868">
        <v>0</v>
      </c>
      <c r="B868" t="s">
        <v>3</v>
      </c>
      <c r="C868">
        <v>1.3</v>
      </c>
      <c r="D868" t="s">
        <v>18</v>
      </c>
      <c r="E868" t="s">
        <v>185</v>
      </c>
      <c r="F868" t="s">
        <v>282</v>
      </c>
      <c r="G868" t="s">
        <v>3</v>
      </c>
      <c r="H868">
        <v>999.99900000000002</v>
      </c>
      <c r="I868" t="s">
        <v>461</v>
      </c>
      <c r="K868">
        <v>106543177</v>
      </c>
      <c r="L868" s="2">
        <v>44291</v>
      </c>
      <c r="M868">
        <v>21</v>
      </c>
      <c r="N868">
        <v>1</v>
      </c>
      <c r="O868">
        <v>5</v>
      </c>
      <c r="P868">
        <v>1</v>
      </c>
      <c r="Q868" t="s">
        <v>15</v>
      </c>
    </row>
    <row r="869" spans="1:17" x14ac:dyDescent="0.55000000000000004">
      <c r="A869">
        <v>0</v>
      </c>
      <c r="B869" t="s">
        <v>3</v>
      </c>
      <c r="C869">
        <v>0.1</v>
      </c>
      <c r="D869" t="s">
        <v>18</v>
      </c>
      <c r="E869" t="s">
        <v>295</v>
      </c>
      <c r="F869" t="s">
        <v>281</v>
      </c>
      <c r="G869" t="s">
        <v>3</v>
      </c>
      <c r="H869">
        <v>999.99900000000002</v>
      </c>
      <c r="I869" t="s">
        <v>461</v>
      </c>
      <c r="K869">
        <v>105645500</v>
      </c>
      <c r="L869" s="2">
        <v>43394</v>
      </c>
      <c r="M869">
        <v>17</v>
      </c>
      <c r="N869">
        <v>1</v>
      </c>
      <c r="P869">
        <v>5</v>
      </c>
      <c r="Q869" t="s">
        <v>21</v>
      </c>
    </row>
    <row r="870" spans="1:17" x14ac:dyDescent="0.55000000000000004">
      <c r="A870">
        <v>151</v>
      </c>
      <c r="B870" t="s">
        <v>3</v>
      </c>
      <c r="C870">
        <v>0.7</v>
      </c>
      <c r="D870" t="s">
        <v>18</v>
      </c>
      <c r="E870" t="s">
        <v>295</v>
      </c>
      <c r="F870" t="s">
        <v>281</v>
      </c>
      <c r="G870" t="s">
        <v>3</v>
      </c>
      <c r="H870">
        <v>999.99900000000002</v>
      </c>
      <c r="I870" t="s">
        <v>461</v>
      </c>
      <c r="K870">
        <v>105296873</v>
      </c>
      <c r="L870" s="2">
        <v>43060</v>
      </c>
      <c r="M870">
        <v>17</v>
      </c>
      <c r="N870">
        <v>1</v>
      </c>
      <c r="O870">
        <v>0</v>
      </c>
      <c r="P870">
        <v>1</v>
      </c>
      <c r="Q870" t="s">
        <v>21</v>
      </c>
    </row>
    <row r="871" spans="1:17" x14ac:dyDescent="0.55000000000000004">
      <c r="A871">
        <v>151</v>
      </c>
      <c r="B871" t="s">
        <v>3</v>
      </c>
      <c r="C871">
        <v>0.2</v>
      </c>
      <c r="D871" t="s">
        <v>68</v>
      </c>
      <c r="E871" t="s">
        <v>295</v>
      </c>
      <c r="F871" t="s">
        <v>286</v>
      </c>
      <c r="G871" t="s">
        <v>3</v>
      </c>
      <c r="H871">
        <v>999.99900000000002</v>
      </c>
      <c r="I871" t="s">
        <v>461</v>
      </c>
      <c r="K871">
        <v>105735150</v>
      </c>
      <c r="L871" s="2">
        <v>43472</v>
      </c>
      <c r="M871">
        <v>17</v>
      </c>
      <c r="N871">
        <v>1</v>
      </c>
      <c r="O871">
        <v>0</v>
      </c>
      <c r="P871">
        <v>2</v>
      </c>
      <c r="Q871" t="s">
        <v>21</v>
      </c>
    </row>
    <row r="872" spans="1:17" x14ac:dyDescent="0.55000000000000004">
      <c r="A872">
        <v>0</v>
      </c>
      <c r="B872" t="s">
        <v>3</v>
      </c>
      <c r="C872">
        <v>0.4</v>
      </c>
      <c r="D872" t="s">
        <v>18</v>
      </c>
      <c r="E872" t="s">
        <v>295</v>
      </c>
      <c r="F872" t="s">
        <v>283</v>
      </c>
      <c r="G872" t="s">
        <v>3</v>
      </c>
      <c r="H872">
        <v>999.99900000000002</v>
      </c>
      <c r="I872" t="s">
        <v>461</v>
      </c>
      <c r="K872">
        <v>106006723</v>
      </c>
      <c r="L872" s="2">
        <v>43736</v>
      </c>
      <c r="M872">
        <v>19</v>
      </c>
      <c r="N872">
        <v>1</v>
      </c>
      <c r="O872">
        <v>0</v>
      </c>
      <c r="P872">
        <v>5</v>
      </c>
      <c r="Q872" t="s">
        <v>15</v>
      </c>
    </row>
    <row r="873" spans="1:17" x14ac:dyDescent="0.55000000000000004">
      <c r="A873">
        <v>151</v>
      </c>
      <c r="B873" t="s">
        <v>3</v>
      </c>
      <c r="C873">
        <v>9.5000000000000001E-2</v>
      </c>
      <c r="D873" t="s">
        <v>18</v>
      </c>
      <c r="E873" t="s">
        <v>295</v>
      </c>
      <c r="F873" t="s">
        <v>283</v>
      </c>
      <c r="G873" t="s">
        <v>3</v>
      </c>
      <c r="H873">
        <v>999.99900000000002</v>
      </c>
      <c r="I873" t="s">
        <v>461</v>
      </c>
      <c r="K873">
        <v>106669330</v>
      </c>
      <c r="L873" s="2">
        <v>44431</v>
      </c>
      <c r="M873">
        <v>19</v>
      </c>
      <c r="N873">
        <v>1</v>
      </c>
      <c r="O873">
        <v>0</v>
      </c>
      <c r="P873">
        <v>3</v>
      </c>
      <c r="Q873" t="s">
        <v>45</v>
      </c>
    </row>
    <row r="874" spans="1:17" x14ac:dyDescent="0.55000000000000004">
      <c r="A874">
        <v>0</v>
      </c>
      <c r="B874" t="s">
        <v>3</v>
      </c>
      <c r="C874">
        <v>2.5</v>
      </c>
      <c r="D874" t="s">
        <v>18</v>
      </c>
      <c r="E874" t="s">
        <v>296</v>
      </c>
      <c r="F874" t="s">
        <v>281</v>
      </c>
      <c r="G874" t="s">
        <v>3</v>
      </c>
      <c r="H874">
        <v>999.99900000000002</v>
      </c>
      <c r="I874" t="s">
        <v>461</v>
      </c>
      <c r="K874">
        <v>105680909</v>
      </c>
      <c r="L874" s="2">
        <v>43422</v>
      </c>
      <c r="M874">
        <v>18</v>
      </c>
      <c r="N874">
        <v>1</v>
      </c>
      <c r="O874">
        <v>0</v>
      </c>
      <c r="P874">
        <v>5</v>
      </c>
      <c r="Q874" t="s">
        <v>21</v>
      </c>
    </row>
    <row r="875" spans="1:17" x14ac:dyDescent="0.55000000000000004">
      <c r="A875">
        <v>151</v>
      </c>
      <c r="B875" t="s">
        <v>3</v>
      </c>
      <c r="C875">
        <v>0</v>
      </c>
      <c r="E875" t="s">
        <v>296</v>
      </c>
      <c r="F875" t="s">
        <v>281</v>
      </c>
      <c r="G875" t="s">
        <v>3</v>
      </c>
      <c r="H875">
        <v>999.99900000000002</v>
      </c>
      <c r="I875" t="s">
        <v>461</v>
      </c>
      <c r="K875">
        <v>105661431</v>
      </c>
      <c r="L875" s="2">
        <v>43406</v>
      </c>
      <c r="M875">
        <v>26</v>
      </c>
      <c r="N875">
        <v>2</v>
      </c>
      <c r="O875">
        <v>8</v>
      </c>
      <c r="P875">
        <v>1</v>
      </c>
      <c r="Q875" t="s">
        <v>21</v>
      </c>
    </row>
    <row r="876" spans="1:17" x14ac:dyDescent="0.55000000000000004">
      <c r="A876">
        <v>151</v>
      </c>
      <c r="B876" t="s">
        <v>3</v>
      </c>
      <c r="C876">
        <v>3.0000000000000001E-3</v>
      </c>
      <c r="D876" t="s">
        <v>18</v>
      </c>
      <c r="E876" t="s">
        <v>296</v>
      </c>
      <c r="F876" t="s">
        <v>282</v>
      </c>
      <c r="G876" t="s">
        <v>3</v>
      </c>
      <c r="H876">
        <v>999.99900000000002</v>
      </c>
      <c r="I876" t="s">
        <v>461</v>
      </c>
      <c r="K876">
        <v>106128334</v>
      </c>
      <c r="L876" s="2">
        <v>43847</v>
      </c>
      <c r="M876">
        <v>19</v>
      </c>
      <c r="N876">
        <v>1</v>
      </c>
      <c r="O876">
        <v>0</v>
      </c>
      <c r="P876">
        <v>1</v>
      </c>
      <c r="Q876" t="s">
        <v>21</v>
      </c>
    </row>
    <row r="877" spans="1:17" x14ac:dyDescent="0.55000000000000004">
      <c r="A877">
        <v>0</v>
      </c>
      <c r="B877" t="s">
        <v>3</v>
      </c>
      <c r="C877">
        <v>0</v>
      </c>
      <c r="E877" t="s">
        <v>297</v>
      </c>
      <c r="F877" t="s">
        <v>282</v>
      </c>
      <c r="G877" t="s">
        <v>3</v>
      </c>
      <c r="H877">
        <v>999.99900000000002</v>
      </c>
      <c r="I877" t="s">
        <v>461</v>
      </c>
      <c r="K877">
        <v>106277832</v>
      </c>
      <c r="L877" s="2">
        <v>44026</v>
      </c>
      <c r="M877">
        <v>19</v>
      </c>
      <c r="N877">
        <v>1</v>
      </c>
      <c r="O877">
        <v>8</v>
      </c>
      <c r="P877">
        <v>2</v>
      </c>
      <c r="Q877" t="s">
        <v>167</v>
      </c>
    </row>
    <row r="878" spans="1:17" x14ac:dyDescent="0.55000000000000004">
      <c r="A878">
        <v>0</v>
      </c>
      <c r="B878" t="s">
        <v>3</v>
      </c>
      <c r="C878">
        <v>0.1</v>
      </c>
      <c r="D878" t="s">
        <v>18</v>
      </c>
      <c r="E878" t="s">
        <v>298</v>
      </c>
      <c r="F878" t="s">
        <v>296</v>
      </c>
      <c r="G878" t="s">
        <v>3</v>
      </c>
      <c r="H878">
        <v>999.99900000000002</v>
      </c>
      <c r="I878" t="s">
        <v>461</v>
      </c>
      <c r="K878">
        <v>106345710</v>
      </c>
      <c r="L878" s="2">
        <v>44093</v>
      </c>
      <c r="M878">
        <v>19</v>
      </c>
      <c r="N878">
        <v>1</v>
      </c>
      <c r="O878">
        <v>0</v>
      </c>
      <c r="P878">
        <v>5</v>
      </c>
      <c r="Q878" t="s">
        <v>21</v>
      </c>
    </row>
    <row r="879" spans="1:17" x14ac:dyDescent="0.55000000000000004">
      <c r="A879">
        <v>224</v>
      </c>
      <c r="B879" t="s">
        <v>1</v>
      </c>
      <c r="C879">
        <v>0</v>
      </c>
      <c r="E879" t="s">
        <v>56</v>
      </c>
      <c r="F879" t="s">
        <v>281</v>
      </c>
      <c r="G879" t="s">
        <v>1</v>
      </c>
      <c r="H879">
        <v>0</v>
      </c>
      <c r="I879" t="s">
        <v>461</v>
      </c>
      <c r="K879">
        <v>105234520</v>
      </c>
      <c r="L879" s="2">
        <v>43005</v>
      </c>
      <c r="M879">
        <v>21</v>
      </c>
      <c r="N879">
        <v>1</v>
      </c>
      <c r="O879">
        <v>9</v>
      </c>
      <c r="P879">
        <v>2</v>
      </c>
      <c r="Q879" t="s">
        <v>21</v>
      </c>
    </row>
    <row r="880" spans="1:17" x14ac:dyDescent="0.55000000000000004">
      <c r="A880">
        <v>224</v>
      </c>
      <c r="B880" t="s">
        <v>1</v>
      </c>
      <c r="C880">
        <v>0</v>
      </c>
      <c r="E880" t="s">
        <v>155</v>
      </c>
      <c r="F880" t="s">
        <v>56</v>
      </c>
      <c r="G880" t="s">
        <v>1</v>
      </c>
      <c r="H880">
        <v>0.02</v>
      </c>
      <c r="I880" t="s">
        <v>461</v>
      </c>
      <c r="K880">
        <v>105662861</v>
      </c>
      <c r="L880" s="2">
        <v>43404</v>
      </c>
      <c r="M880">
        <v>19</v>
      </c>
      <c r="N880">
        <v>1</v>
      </c>
      <c r="O880">
        <v>8</v>
      </c>
      <c r="P880">
        <v>4</v>
      </c>
      <c r="Q880" t="s">
        <v>21</v>
      </c>
    </row>
    <row r="881" spans="1:17" x14ac:dyDescent="0.55000000000000004">
      <c r="A881">
        <v>224</v>
      </c>
      <c r="B881" t="s">
        <v>1</v>
      </c>
      <c r="C881">
        <v>0.1</v>
      </c>
      <c r="D881" t="s">
        <v>68</v>
      </c>
      <c r="E881" t="s">
        <v>155</v>
      </c>
      <c r="F881" t="s">
        <v>1</v>
      </c>
      <c r="G881" t="s">
        <v>1</v>
      </c>
      <c r="H881">
        <v>0.12</v>
      </c>
      <c r="I881" t="s">
        <v>461</v>
      </c>
      <c r="K881">
        <v>106273255</v>
      </c>
      <c r="L881" s="2">
        <v>44022</v>
      </c>
      <c r="M881">
        <v>29</v>
      </c>
      <c r="N881">
        <v>1</v>
      </c>
      <c r="O881">
        <v>0</v>
      </c>
      <c r="P881">
        <v>1</v>
      </c>
      <c r="Q881" t="s">
        <v>21</v>
      </c>
    </row>
    <row r="882" spans="1:17" x14ac:dyDescent="0.55000000000000004">
      <c r="A882">
        <v>224</v>
      </c>
      <c r="B882" t="s">
        <v>1</v>
      </c>
      <c r="C882">
        <v>0</v>
      </c>
      <c r="E882" t="s">
        <v>299</v>
      </c>
      <c r="F882" t="s">
        <v>300</v>
      </c>
      <c r="G882" t="s">
        <v>1</v>
      </c>
      <c r="H882">
        <v>0.161</v>
      </c>
      <c r="I882" t="s">
        <v>461</v>
      </c>
      <c r="K882">
        <v>105135658</v>
      </c>
      <c r="L882" s="2">
        <v>42899</v>
      </c>
      <c r="M882">
        <v>19</v>
      </c>
      <c r="N882">
        <v>1</v>
      </c>
      <c r="O882">
        <v>8</v>
      </c>
      <c r="P882">
        <v>4</v>
      </c>
    </row>
    <row r="883" spans="1:17" x14ac:dyDescent="0.55000000000000004">
      <c r="A883">
        <v>224</v>
      </c>
      <c r="B883" t="s">
        <v>1</v>
      </c>
      <c r="C883">
        <v>0.75</v>
      </c>
      <c r="D883" t="s">
        <v>30</v>
      </c>
      <c r="E883" t="s">
        <v>301</v>
      </c>
      <c r="F883" t="s">
        <v>302</v>
      </c>
      <c r="G883" t="s">
        <v>1</v>
      </c>
      <c r="H883">
        <v>0.16600000000000001</v>
      </c>
      <c r="I883" t="s">
        <v>461</v>
      </c>
      <c r="K883">
        <v>106166222</v>
      </c>
      <c r="L883" s="2">
        <v>43885</v>
      </c>
      <c r="M883">
        <v>19</v>
      </c>
      <c r="N883">
        <v>1</v>
      </c>
      <c r="O883">
        <v>0</v>
      </c>
      <c r="P883">
        <v>1</v>
      </c>
      <c r="Q883" t="s">
        <v>21</v>
      </c>
    </row>
    <row r="884" spans="1:17" x14ac:dyDescent="0.55000000000000004">
      <c r="A884">
        <v>224</v>
      </c>
      <c r="B884" t="s">
        <v>1</v>
      </c>
      <c r="C884">
        <v>0</v>
      </c>
      <c r="E884" t="s">
        <v>156</v>
      </c>
      <c r="F884" t="s">
        <v>301</v>
      </c>
      <c r="G884" t="s">
        <v>1</v>
      </c>
      <c r="H884">
        <v>0.21299999999999999</v>
      </c>
      <c r="I884" t="s">
        <v>461</v>
      </c>
      <c r="K884">
        <v>106131958</v>
      </c>
      <c r="L884" s="2">
        <v>43840</v>
      </c>
      <c r="M884">
        <v>30</v>
      </c>
      <c r="N884">
        <v>2</v>
      </c>
      <c r="O884">
        <v>8</v>
      </c>
      <c r="P884">
        <v>5</v>
      </c>
      <c r="Q884" t="s">
        <v>21</v>
      </c>
    </row>
    <row r="885" spans="1:17" x14ac:dyDescent="0.55000000000000004">
      <c r="A885">
        <v>224</v>
      </c>
      <c r="B885" t="s">
        <v>1</v>
      </c>
      <c r="C885">
        <v>0.2</v>
      </c>
      <c r="D885" t="s">
        <v>18</v>
      </c>
      <c r="E885" t="s">
        <v>303</v>
      </c>
      <c r="F885" t="s">
        <v>304</v>
      </c>
      <c r="G885" t="s">
        <v>1</v>
      </c>
      <c r="H885">
        <v>0.29399999999999998</v>
      </c>
      <c r="I885" t="s">
        <v>461</v>
      </c>
      <c r="K885">
        <v>105804211</v>
      </c>
      <c r="L885" s="2">
        <v>43535</v>
      </c>
      <c r="M885">
        <v>31</v>
      </c>
      <c r="N885">
        <v>1</v>
      </c>
      <c r="O885">
        <v>0</v>
      </c>
      <c r="P885">
        <v>1</v>
      </c>
      <c r="Q885" t="s">
        <v>15</v>
      </c>
    </row>
    <row r="886" spans="1:17" x14ac:dyDescent="0.55000000000000004">
      <c r="A886">
        <v>224</v>
      </c>
      <c r="B886" t="s">
        <v>1</v>
      </c>
      <c r="C886">
        <v>0.3</v>
      </c>
      <c r="D886" t="s">
        <v>68</v>
      </c>
      <c r="E886" t="s">
        <v>56</v>
      </c>
      <c r="F886" t="s">
        <v>301</v>
      </c>
      <c r="G886" t="s">
        <v>1</v>
      </c>
      <c r="H886">
        <v>0.3</v>
      </c>
      <c r="I886" t="s">
        <v>461</v>
      </c>
      <c r="K886">
        <v>106492120</v>
      </c>
      <c r="L886" s="2">
        <v>44236</v>
      </c>
      <c r="M886">
        <v>28</v>
      </c>
      <c r="N886">
        <v>1</v>
      </c>
      <c r="O886">
        <v>8</v>
      </c>
      <c r="P886">
        <v>1</v>
      </c>
      <c r="Q886" t="s">
        <v>21</v>
      </c>
    </row>
    <row r="887" spans="1:17" x14ac:dyDescent="0.55000000000000004">
      <c r="A887">
        <v>224</v>
      </c>
      <c r="B887" t="s">
        <v>1</v>
      </c>
      <c r="C887">
        <v>0</v>
      </c>
      <c r="E887" t="s">
        <v>304</v>
      </c>
      <c r="F887" t="s">
        <v>56</v>
      </c>
      <c r="G887" t="s">
        <v>1</v>
      </c>
      <c r="H887">
        <v>0.45300000000000001</v>
      </c>
      <c r="I887" t="s">
        <v>461</v>
      </c>
      <c r="K887">
        <v>105507214</v>
      </c>
      <c r="L887" s="2">
        <v>43258</v>
      </c>
      <c r="M887">
        <v>19</v>
      </c>
      <c r="N887">
        <v>1</v>
      </c>
      <c r="O887">
        <v>8</v>
      </c>
      <c r="P887">
        <v>1</v>
      </c>
      <c r="Q887" t="s">
        <v>21</v>
      </c>
    </row>
    <row r="888" spans="1:17" x14ac:dyDescent="0.55000000000000004">
      <c r="A888">
        <v>224</v>
      </c>
      <c r="B888" t="s">
        <v>1</v>
      </c>
      <c r="C888">
        <v>0</v>
      </c>
      <c r="E888" t="s">
        <v>300</v>
      </c>
      <c r="F888" t="s">
        <v>301</v>
      </c>
      <c r="G888" t="s">
        <v>1</v>
      </c>
      <c r="H888">
        <v>0.49399999999999999</v>
      </c>
      <c r="I888" t="s">
        <v>461</v>
      </c>
      <c r="K888">
        <v>106574927</v>
      </c>
      <c r="L888" s="2">
        <v>44331</v>
      </c>
      <c r="M888">
        <v>29</v>
      </c>
      <c r="N888">
        <v>1</v>
      </c>
      <c r="O888">
        <v>8</v>
      </c>
      <c r="P888">
        <v>1</v>
      </c>
      <c r="Q888" t="s">
        <v>21</v>
      </c>
    </row>
    <row r="889" spans="1:17" x14ac:dyDescent="0.55000000000000004">
      <c r="A889">
        <v>224</v>
      </c>
      <c r="B889" t="s">
        <v>1</v>
      </c>
      <c r="C889">
        <v>8.0000000000000002E-3</v>
      </c>
      <c r="D889" t="s">
        <v>68</v>
      </c>
      <c r="E889" t="s">
        <v>300</v>
      </c>
      <c r="F889" t="s">
        <v>301</v>
      </c>
      <c r="G889" t="s">
        <v>1</v>
      </c>
      <c r="H889">
        <v>0.502</v>
      </c>
      <c r="I889" t="s">
        <v>461</v>
      </c>
      <c r="K889">
        <v>105272976</v>
      </c>
      <c r="L889" s="2">
        <v>43037</v>
      </c>
      <c r="M889">
        <v>19</v>
      </c>
      <c r="N889">
        <v>2</v>
      </c>
      <c r="O889">
        <v>9</v>
      </c>
      <c r="P889">
        <v>4</v>
      </c>
      <c r="Q889" t="s">
        <v>167</v>
      </c>
    </row>
    <row r="890" spans="1:17" x14ac:dyDescent="0.55000000000000004">
      <c r="A890">
        <v>224</v>
      </c>
      <c r="B890" t="s">
        <v>1</v>
      </c>
      <c r="C890">
        <v>8.9999999999999993E-3</v>
      </c>
      <c r="D890" t="s">
        <v>68</v>
      </c>
      <c r="E890" t="s">
        <v>303</v>
      </c>
      <c r="F890" t="s">
        <v>301</v>
      </c>
      <c r="G890" t="s">
        <v>1</v>
      </c>
      <c r="H890">
        <v>0.503</v>
      </c>
      <c r="I890" t="s">
        <v>461</v>
      </c>
      <c r="K890">
        <v>105365380</v>
      </c>
      <c r="L890" s="2">
        <v>43129</v>
      </c>
      <c r="M890">
        <v>21</v>
      </c>
      <c r="N890">
        <v>2</v>
      </c>
      <c r="O890">
        <v>0</v>
      </c>
      <c r="P890">
        <v>5</v>
      </c>
      <c r="Q890" t="s">
        <v>21</v>
      </c>
    </row>
    <row r="891" spans="1:17" x14ac:dyDescent="0.55000000000000004">
      <c r="A891">
        <v>224</v>
      </c>
      <c r="B891" t="s">
        <v>1</v>
      </c>
      <c r="C891">
        <v>4.7E-2</v>
      </c>
      <c r="D891" t="s">
        <v>68</v>
      </c>
      <c r="E891" t="s">
        <v>300</v>
      </c>
      <c r="F891" t="s">
        <v>305</v>
      </c>
      <c r="G891" t="s">
        <v>1</v>
      </c>
      <c r="H891">
        <v>0.54100000000000004</v>
      </c>
      <c r="I891" t="s">
        <v>461</v>
      </c>
      <c r="K891">
        <v>105149511</v>
      </c>
      <c r="L891" s="2">
        <v>42918</v>
      </c>
      <c r="M891">
        <v>19</v>
      </c>
      <c r="N891">
        <v>1</v>
      </c>
      <c r="O891">
        <v>0</v>
      </c>
      <c r="P891">
        <v>4</v>
      </c>
      <c r="Q891" t="s">
        <v>21</v>
      </c>
    </row>
    <row r="892" spans="1:17" x14ac:dyDescent="0.55000000000000004">
      <c r="A892">
        <v>224</v>
      </c>
      <c r="B892" t="s">
        <v>1</v>
      </c>
      <c r="C892">
        <v>0</v>
      </c>
      <c r="E892" t="s">
        <v>301</v>
      </c>
      <c r="F892" t="s">
        <v>303</v>
      </c>
      <c r="G892" t="s">
        <v>1</v>
      </c>
      <c r="H892">
        <v>0.91600000000000004</v>
      </c>
      <c r="I892" t="s">
        <v>461</v>
      </c>
      <c r="K892">
        <v>105191888</v>
      </c>
      <c r="L892" s="2">
        <v>42961</v>
      </c>
      <c r="M892">
        <v>13</v>
      </c>
      <c r="N892">
        <v>2</v>
      </c>
      <c r="O892">
        <v>7</v>
      </c>
      <c r="P892">
        <v>5</v>
      </c>
      <c r="Q892" t="s">
        <v>15</v>
      </c>
    </row>
    <row r="893" spans="1:17" x14ac:dyDescent="0.55000000000000004">
      <c r="A893">
        <v>224</v>
      </c>
      <c r="B893" t="s">
        <v>1</v>
      </c>
      <c r="C893">
        <v>0</v>
      </c>
      <c r="E893" t="s">
        <v>301</v>
      </c>
      <c r="F893" t="s">
        <v>277</v>
      </c>
      <c r="G893" t="s">
        <v>1</v>
      </c>
      <c r="H893">
        <v>0.91600000000000004</v>
      </c>
      <c r="I893" t="s">
        <v>461</v>
      </c>
      <c r="K893">
        <v>105615894</v>
      </c>
      <c r="L893" s="2">
        <v>43364</v>
      </c>
      <c r="M893">
        <v>30</v>
      </c>
      <c r="N893">
        <v>1</v>
      </c>
      <c r="O893">
        <v>7</v>
      </c>
      <c r="P893">
        <v>1</v>
      </c>
      <c r="Q893" t="s">
        <v>15</v>
      </c>
    </row>
    <row r="894" spans="1:17" x14ac:dyDescent="0.55000000000000004">
      <c r="A894">
        <v>224</v>
      </c>
      <c r="B894" t="s">
        <v>1</v>
      </c>
      <c r="C894">
        <v>0</v>
      </c>
      <c r="E894" t="s">
        <v>301</v>
      </c>
      <c r="F894" t="s">
        <v>306</v>
      </c>
      <c r="G894" t="s">
        <v>1</v>
      </c>
      <c r="H894">
        <v>0.91600000000000004</v>
      </c>
      <c r="I894" t="s">
        <v>461</v>
      </c>
      <c r="K894">
        <v>105179338</v>
      </c>
      <c r="L894" s="2">
        <v>42941</v>
      </c>
      <c r="M894">
        <v>30</v>
      </c>
      <c r="N894">
        <v>1</v>
      </c>
      <c r="O894">
        <v>7</v>
      </c>
      <c r="P894">
        <v>5</v>
      </c>
      <c r="Q894" t="s">
        <v>15</v>
      </c>
    </row>
    <row r="895" spans="1:17" x14ac:dyDescent="0.55000000000000004">
      <c r="A895">
        <v>224</v>
      </c>
      <c r="B895" t="s">
        <v>1</v>
      </c>
      <c r="C895">
        <v>0</v>
      </c>
      <c r="E895" t="s">
        <v>301</v>
      </c>
      <c r="F895" t="s">
        <v>56</v>
      </c>
      <c r="G895" t="s">
        <v>1</v>
      </c>
      <c r="H895">
        <v>0.91600000000000004</v>
      </c>
      <c r="I895" t="s">
        <v>461</v>
      </c>
      <c r="K895">
        <v>105144627</v>
      </c>
      <c r="L895" s="2">
        <v>42911</v>
      </c>
      <c r="M895">
        <v>21</v>
      </c>
      <c r="N895">
        <v>1</v>
      </c>
      <c r="O895">
        <v>8</v>
      </c>
      <c r="P895">
        <v>1</v>
      </c>
      <c r="Q895" t="s">
        <v>21</v>
      </c>
    </row>
    <row r="896" spans="1:17" x14ac:dyDescent="0.55000000000000004">
      <c r="A896">
        <v>224</v>
      </c>
      <c r="B896" t="s">
        <v>1</v>
      </c>
      <c r="C896">
        <v>0</v>
      </c>
      <c r="E896" t="s">
        <v>301</v>
      </c>
      <c r="F896" t="s">
        <v>56</v>
      </c>
      <c r="G896" t="s">
        <v>1</v>
      </c>
      <c r="H896">
        <v>0.91600000000000004</v>
      </c>
      <c r="I896" t="s">
        <v>461</v>
      </c>
      <c r="K896">
        <v>105062871</v>
      </c>
      <c r="L896" s="2">
        <v>42831</v>
      </c>
      <c r="M896">
        <v>21</v>
      </c>
      <c r="N896">
        <v>1</v>
      </c>
      <c r="O896">
        <v>0</v>
      </c>
      <c r="P896">
        <v>1</v>
      </c>
      <c r="Q896" t="s">
        <v>21</v>
      </c>
    </row>
    <row r="897" spans="1:17" x14ac:dyDescent="0.55000000000000004">
      <c r="A897">
        <v>224</v>
      </c>
      <c r="B897" t="s">
        <v>1</v>
      </c>
      <c r="C897">
        <v>0.3</v>
      </c>
      <c r="D897" t="s">
        <v>18</v>
      </c>
      <c r="E897" t="s">
        <v>277</v>
      </c>
      <c r="F897" t="s">
        <v>56</v>
      </c>
      <c r="G897" t="s">
        <v>1</v>
      </c>
      <c r="H897">
        <v>0.92800000000000005</v>
      </c>
      <c r="I897" t="s">
        <v>461</v>
      </c>
      <c r="K897">
        <v>106585662</v>
      </c>
      <c r="L897" s="2">
        <v>44342</v>
      </c>
      <c r="M897">
        <v>17</v>
      </c>
      <c r="N897">
        <v>1</v>
      </c>
      <c r="O897">
        <v>0</v>
      </c>
      <c r="P897">
        <v>5</v>
      </c>
      <c r="Q897" t="s">
        <v>21</v>
      </c>
    </row>
    <row r="898" spans="1:17" x14ac:dyDescent="0.55000000000000004">
      <c r="A898">
        <v>224</v>
      </c>
      <c r="B898" t="s">
        <v>1</v>
      </c>
      <c r="C898">
        <v>0.1</v>
      </c>
      <c r="D898" t="s">
        <v>68</v>
      </c>
      <c r="E898" t="s">
        <v>301</v>
      </c>
      <c r="F898" t="s">
        <v>307</v>
      </c>
      <c r="G898" t="s">
        <v>1</v>
      </c>
      <c r="H898">
        <v>1.016</v>
      </c>
      <c r="I898" t="s">
        <v>461</v>
      </c>
      <c r="K898">
        <v>106279561</v>
      </c>
      <c r="L898" s="2">
        <v>44025</v>
      </c>
      <c r="M898">
        <v>29</v>
      </c>
      <c r="N898">
        <v>1</v>
      </c>
      <c r="O898">
        <v>0</v>
      </c>
      <c r="P898">
        <v>1</v>
      </c>
      <c r="Q898" t="s">
        <v>21</v>
      </c>
    </row>
    <row r="899" spans="1:17" x14ac:dyDescent="0.55000000000000004">
      <c r="A899">
        <v>224</v>
      </c>
      <c r="B899" t="s">
        <v>1</v>
      </c>
      <c r="C899">
        <v>0</v>
      </c>
      <c r="E899" t="s">
        <v>308</v>
      </c>
      <c r="F899" t="s">
        <v>277</v>
      </c>
      <c r="G899" t="s">
        <v>1</v>
      </c>
      <c r="H899">
        <v>1.103</v>
      </c>
      <c r="I899" t="s">
        <v>461</v>
      </c>
      <c r="J899" t="s">
        <v>174</v>
      </c>
      <c r="K899">
        <v>106273066</v>
      </c>
      <c r="L899" s="2">
        <v>44020</v>
      </c>
      <c r="M899">
        <v>30</v>
      </c>
      <c r="N899">
        <v>1</v>
      </c>
      <c r="O899">
        <v>7</v>
      </c>
      <c r="P899">
        <v>5</v>
      </c>
      <c r="Q899" t="s">
        <v>21</v>
      </c>
    </row>
    <row r="900" spans="1:17" x14ac:dyDescent="0.55000000000000004">
      <c r="A900">
        <v>224</v>
      </c>
      <c r="B900" t="s">
        <v>1</v>
      </c>
      <c r="C900">
        <v>0</v>
      </c>
      <c r="E900" t="s">
        <v>308</v>
      </c>
      <c r="F900" t="s">
        <v>277</v>
      </c>
      <c r="G900" t="s">
        <v>1</v>
      </c>
      <c r="H900">
        <v>1.103</v>
      </c>
      <c r="I900" t="s">
        <v>461</v>
      </c>
      <c r="J900" t="s">
        <v>174</v>
      </c>
      <c r="K900">
        <v>106301554</v>
      </c>
      <c r="L900" s="2">
        <v>44052</v>
      </c>
      <c r="M900">
        <v>30</v>
      </c>
      <c r="N900">
        <v>1</v>
      </c>
      <c r="O900">
        <v>7</v>
      </c>
      <c r="P900">
        <v>1</v>
      </c>
      <c r="Q900" t="s">
        <v>15</v>
      </c>
    </row>
    <row r="901" spans="1:17" x14ac:dyDescent="0.55000000000000004">
      <c r="A901">
        <v>0</v>
      </c>
      <c r="B901" t="s">
        <v>1</v>
      </c>
      <c r="C901">
        <v>0</v>
      </c>
      <c r="E901" t="s">
        <v>277</v>
      </c>
      <c r="F901" t="s">
        <v>309</v>
      </c>
      <c r="G901" t="s">
        <v>1</v>
      </c>
      <c r="H901">
        <v>1.228</v>
      </c>
      <c r="I901" t="s">
        <v>461</v>
      </c>
      <c r="K901">
        <v>106539366</v>
      </c>
      <c r="L901" s="2">
        <v>44290</v>
      </c>
      <c r="M901">
        <v>13</v>
      </c>
      <c r="N901">
        <v>1</v>
      </c>
      <c r="O901">
        <v>8</v>
      </c>
      <c r="P901">
        <v>1</v>
      </c>
      <c r="Q901" t="s">
        <v>21</v>
      </c>
    </row>
    <row r="902" spans="1:17" x14ac:dyDescent="0.55000000000000004">
      <c r="A902">
        <v>0</v>
      </c>
      <c r="B902" t="s">
        <v>1</v>
      </c>
      <c r="C902">
        <v>0.1</v>
      </c>
      <c r="D902" t="s">
        <v>68</v>
      </c>
      <c r="E902" t="s">
        <v>277</v>
      </c>
      <c r="F902" t="s">
        <v>309</v>
      </c>
      <c r="G902" t="s">
        <v>1</v>
      </c>
      <c r="H902">
        <v>1.3280000000000001</v>
      </c>
      <c r="I902" t="s">
        <v>461</v>
      </c>
      <c r="K902">
        <v>106255805</v>
      </c>
      <c r="L902" s="2">
        <v>43999</v>
      </c>
      <c r="M902">
        <v>17</v>
      </c>
      <c r="N902">
        <v>1</v>
      </c>
      <c r="O902">
        <v>0</v>
      </c>
      <c r="P902">
        <v>5</v>
      </c>
      <c r="Q902" t="s">
        <v>21</v>
      </c>
    </row>
    <row r="903" spans="1:17" x14ac:dyDescent="0.55000000000000004">
      <c r="A903">
        <v>224</v>
      </c>
      <c r="B903" t="s">
        <v>1</v>
      </c>
      <c r="C903">
        <v>0.1</v>
      </c>
      <c r="D903" t="s">
        <v>102</v>
      </c>
      <c r="E903" t="s">
        <v>277</v>
      </c>
      <c r="F903" t="s">
        <v>309</v>
      </c>
      <c r="G903" t="s">
        <v>1</v>
      </c>
      <c r="H903">
        <v>1.3280000000000001</v>
      </c>
      <c r="I903" t="s">
        <v>461</v>
      </c>
      <c r="K903">
        <v>106169202</v>
      </c>
      <c r="L903" s="2">
        <v>43888</v>
      </c>
      <c r="M903">
        <v>26</v>
      </c>
      <c r="N903">
        <v>1</v>
      </c>
      <c r="O903">
        <v>5</v>
      </c>
      <c r="P903">
        <v>1</v>
      </c>
      <c r="Q903" t="s">
        <v>21</v>
      </c>
    </row>
    <row r="904" spans="1:17" x14ac:dyDescent="0.55000000000000004">
      <c r="A904">
        <v>0</v>
      </c>
      <c r="B904" t="s">
        <v>1</v>
      </c>
      <c r="C904">
        <v>0.5</v>
      </c>
      <c r="D904" t="s">
        <v>18</v>
      </c>
      <c r="E904" t="s">
        <v>286</v>
      </c>
      <c r="F904" t="s">
        <v>301</v>
      </c>
      <c r="G904" t="s">
        <v>1</v>
      </c>
      <c r="H904">
        <v>1.417</v>
      </c>
      <c r="I904" t="s">
        <v>461</v>
      </c>
      <c r="K904">
        <v>106590702</v>
      </c>
      <c r="L904" s="2">
        <v>44344</v>
      </c>
      <c r="M904">
        <v>17</v>
      </c>
      <c r="N904">
        <v>1</v>
      </c>
      <c r="O904">
        <v>0</v>
      </c>
      <c r="P904">
        <v>3</v>
      </c>
      <c r="Q904" t="s">
        <v>21</v>
      </c>
    </row>
    <row r="905" spans="1:17" x14ac:dyDescent="0.55000000000000004">
      <c r="A905">
        <v>0</v>
      </c>
      <c r="B905" t="s">
        <v>1</v>
      </c>
      <c r="C905">
        <v>0</v>
      </c>
      <c r="E905" t="s">
        <v>309</v>
      </c>
      <c r="F905" t="s">
        <v>286</v>
      </c>
      <c r="G905" t="s">
        <v>1</v>
      </c>
      <c r="H905">
        <v>1.4319999999999999</v>
      </c>
      <c r="I905" t="s">
        <v>461</v>
      </c>
      <c r="K905">
        <v>104890096</v>
      </c>
      <c r="L905" s="2">
        <v>42660</v>
      </c>
      <c r="M905">
        <v>21</v>
      </c>
      <c r="N905">
        <v>1</v>
      </c>
      <c r="O905">
        <v>8</v>
      </c>
      <c r="P905">
        <v>1</v>
      </c>
      <c r="Q905" t="s">
        <v>21</v>
      </c>
    </row>
    <row r="906" spans="1:17" x14ac:dyDescent="0.55000000000000004">
      <c r="A906">
        <v>0</v>
      </c>
      <c r="B906" t="s">
        <v>1</v>
      </c>
      <c r="C906">
        <v>0.1</v>
      </c>
      <c r="D906" t="s">
        <v>68</v>
      </c>
      <c r="E906" t="s">
        <v>309</v>
      </c>
      <c r="F906" t="s">
        <v>286</v>
      </c>
      <c r="G906" t="s">
        <v>1</v>
      </c>
      <c r="H906">
        <v>1.532</v>
      </c>
      <c r="I906" t="s">
        <v>461</v>
      </c>
      <c r="K906">
        <v>106448357</v>
      </c>
      <c r="L906" s="2">
        <v>44191</v>
      </c>
      <c r="M906">
        <v>18</v>
      </c>
      <c r="N906">
        <v>1</v>
      </c>
      <c r="O906">
        <v>5</v>
      </c>
      <c r="P906">
        <v>5</v>
      </c>
      <c r="Q906" t="s">
        <v>15</v>
      </c>
    </row>
    <row r="907" spans="1:17" x14ac:dyDescent="0.55000000000000004">
      <c r="A907">
        <v>0</v>
      </c>
      <c r="B907" t="s">
        <v>1</v>
      </c>
      <c r="C907">
        <v>0.3</v>
      </c>
      <c r="D907" t="s">
        <v>18</v>
      </c>
      <c r="E907" t="s">
        <v>286</v>
      </c>
      <c r="F907" t="s">
        <v>301</v>
      </c>
      <c r="G907" t="s">
        <v>1</v>
      </c>
      <c r="H907">
        <v>1.617</v>
      </c>
      <c r="I907" t="s">
        <v>461</v>
      </c>
      <c r="K907">
        <v>105474147</v>
      </c>
      <c r="L907" s="2">
        <v>43230</v>
      </c>
      <c r="M907">
        <v>17</v>
      </c>
      <c r="N907">
        <v>1</v>
      </c>
      <c r="O907">
        <v>0</v>
      </c>
      <c r="P907">
        <v>3</v>
      </c>
      <c r="Q907" t="s">
        <v>21</v>
      </c>
    </row>
    <row r="908" spans="1:17" x14ac:dyDescent="0.55000000000000004">
      <c r="A908">
        <v>0</v>
      </c>
      <c r="B908" t="s">
        <v>1</v>
      </c>
      <c r="C908">
        <v>0.4</v>
      </c>
      <c r="D908" t="s">
        <v>102</v>
      </c>
      <c r="E908" t="s">
        <v>277</v>
      </c>
      <c r="F908" t="s">
        <v>309</v>
      </c>
      <c r="G908" t="s">
        <v>1</v>
      </c>
      <c r="H908">
        <v>1.6279999999999999</v>
      </c>
      <c r="I908" t="s">
        <v>461</v>
      </c>
      <c r="K908">
        <v>106143451</v>
      </c>
      <c r="L908" s="2">
        <v>43862</v>
      </c>
      <c r="M908">
        <v>19</v>
      </c>
      <c r="N908">
        <v>1</v>
      </c>
      <c r="O908">
        <v>0</v>
      </c>
      <c r="P908">
        <v>1</v>
      </c>
      <c r="Q908" t="s">
        <v>45</v>
      </c>
    </row>
    <row r="909" spans="1:17" x14ac:dyDescent="0.55000000000000004">
      <c r="A909">
        <v>0</v>
      </c>
      <c r="B909" t="s">
        <v>1</v>
      </c>
      <c r="C909">
        <v>0.2</v>
      </c>
      <c r="D909" t="s">
        <v>68</v>
      </c>
      <c r="E909" t="s">
        <v>309</v>
      </c>
      <c r="F909" t="s">
        <v>310</v>
      </c>
      <c r="G909" t="s">
        <v>1</v>
      </c>
      <c r="H909">
        <v>1.6319999999999999</v>
      </c>
      <c r="I909" t="s">
        <v>461</v>
      </c>
      <c r="K909">
        <v>106675517</v>
      </c>
      <c r="L909" s="2">
        <v>44400</v>
      </c>
      <c r="M909">
        <v>14</v>
      </c>
      <c r="N909">
        <v>1</v>
      </c>
      <c r="O909">
        <v>0</v>
      </c>
      <c r="P909">
        <v>1</v>
      </c>
      <c r="Q909" t="s">
        <v>21</v>
      </c>
    </row>
    <row r="910" spans="1:17" x14ac:dyDescent="0.55000000000000004">
      <c r="A910">
        <v>0</v>
      </c>
      <c r="B910" t="s">
        <v>1</v>
      </c>
      <c r="C910">
        <v>0.2</v>
      </c>
      <c r="D910" t="s">
        <v>68</v>
      </c>
      <c r="E910" t="s">
        <v>309</v>
      </c>
      <c r="F910" t="s">
        <v>310</v>
      </c>
      <c r="G910" t="s">
        <v>1</v>
      </c>
      <c r="H910">
        <v>1.6319999999999999</v>
      </c>
      <c r="I910" t="s">
        <v>461</v>
      </c>
      <c r="K910">
        <v>106674973</v>
      </c>
      <c r="L910" s="2">
        <v>44400</v>
      </c>
      <c r="M910">
        <v>17</v>
      </c>
      <c r="N910">
        <v>1</v>
      </c>
      <c r="O910">
        <v>0</v>
      </c>
      <c r="P910">
        <v>1</v>
      </c>
      <c r="Q910" t="s">
        <v>21</v>
      </c>
    </row>
    <row r="911" spans="1:17" x14ac:dyDescent="0.55000000000000004">
      <c r="A911">
        <v>0</v>
      </c>
      <c r="B911" t="s">
        <v>1</v>
      </c>
      <c r="C911">
        <v>0.2</v>
      </c>
      <c r="D911" t="s">
        <v>30</v>
      </c>
      <c r="E911" t="s">
        <v>286</v>
      </c>
      <c r="F911" t="s">
        <v>277</v>
      </c>
      <c r="G911" t="s">
        <v>1</v>
      </c>
      <c r="H911">
        <v>1.7170000000000001</v>
      </c>
      <c r="I911" t="s">
        <v>461</v>
      </c>
      <c r="K911">
        <v>106166221</v>
      </c>
      <c r="L911" s="2">
        <v>43885</v>
      </c>
      <c r="M911">
        <v>19</v>
      </c>
      <c r="N911">
        <v>1</v>
      </c>
      <c r="O911">
        <v>0</v>
      </c>
      <c r="P911">
        <v>1</v>
      </c>
      <c r="Q911" t="s">
        <v>21</v>
      </c>
    </row>
    <row r="912" spans="1:17" x14ac:dyDescent="0.55000000000000004">
      <c r="A912">
        <v>0</v>
      </c>
      <c r="B912" t="s">
        <v>1</v>
      </c>
      <c r="C912">
        <v>1.9E-2</v>
      </c>
      <c r="D912" t="s">
        <v>68</v>
      </c>
      <c r="E912" t="s">
        <v>311</v>
      </c>
      <c r="F912" t="s">
        <v>286</v>
      </c>
      <c r="G912" t="s">
        <v>1</v>
      </c>
      <c r="H912">
        <v>1.8480000000000001</v>
      </c>
      <c r="I912" t="s">
        <v>461</v>
      </c>
      <c r="K912">
        <v>104970239</v>
      </c>
      <c r="L912" s="2">
        <v>42743</v>
      </c>
      <c r="M912">
        <v>17</v>
      </c>
      <c r="N912">
        <v>1</v>
      </c>
      <c r="O912">
        <v>0</v>
      </c>
      <c r="P912">
        <v>5</v>
      </c>
      <c r="Q912" t="s">
        <v>21</v>
      </c>
    </row>
    <row r="913" spans="1:17" x14ac:dyDescent="0.55000000000000004">
      <c r="A913">
        <v>0</v>
      </c>
      <c r="B913" t="s">
        <v>1</v>
      </c>
      <c r="C913">
        <v>0</v>
      </c>
      <c r="E913" t="s">
        <v>286</v>
      </c>
      <c r="F913" t="s">
        <v>309</v>
      </c>
      <c r="G913" t="s">
        <v>1</v>
      </c>
      <c r="H913">
        <v>1.917</v>
      </c>
      <c r="I913" t="s">
        <v>461</v>
      </c>
      <c r="K913">
        <v>105178578</v>
      </c>
      <c r="L913" s="2">
        <v>42947</v>
      </c>
      <c r="M913">
        <v>19</v>
      </c>
      <c r="N913">
        <v>1</v>
      </c>
      <c r="O913">
        <v>0</v>
      </c>
      <c r="P913">
        <v>1</v>
      </c>
      <c r="Q913" t="s">
        <v>45</v>
      </c>
    </row>
    <row r="914" spans="1:17" x14ac:dyDescent="0.55000000000000004">
      <c r="A914">
        <v>0</v>
      </c>
      <c r="B914" t="s">
        <v>1</v>
      </c>
      <c r="C914">
        <v>0.1</v>
      </c>
      <c r="D914" t="s">
        <v>68</v>
      </c>
      <c r="E914" t="s">
        <v>286</v>
      </c>
      <c r="F914" t="s">
        <v>312</v>
      </c>
      <c r="G914" t="s">
        <v>1</v>
      </c>
      <c r="H914">
        <v>2.0169999999999999</v>
      </c>
      <c r="I914" t="s">
        <v>461</v>
      </c>
      <c r="K914">
        <v>105285262</v>
      </c>
      <c r="L914" s="2">
        <v>43050</v>
      </c>
      <c r="M914">
        <v>21</v>
      </c>
      <c r="N914">
        <v>1</v>
      </c>
      <c r="O914">
        <v>0</v>
      </c>
      <c r="P914">
        <v>1</v>
      </c>
      <c r="Q914" t="s">
        <v>15</v>
      </c>
    </row>
    <row r="915" spans="1:17" x14ac:dyDescent="0.55000000000000004">
      <c r="A915">
        <v>0</v>
      </c>
      <c r="B915" t="s">
        <v>1</v>
      </c>
      <c r="C915">
        <v>0.1</v>
      </c>
      <c r="D915" t="s">
        <v>68</v>
      </c>
      <c r="E915" t="s">
        <v>286</v>
      </c>
      <c r="F915" t="s">
        <v>312</v>
      </c>
      <c r="G915" t="s">
        <v>1</v>
      </c>
      <c r="H915">
        <v>2.0169999999999999</v>
      </c>
      <c r="I915" t="s">
        <v>461</v>
      </c>
      <c r="K915">
        <v>105598482</v>
      </c>
      <c r="L915" s="2">
        <v>43353</v>
      </c>
      <c r="M915">
        <v>29</v>
      </c>
      <c r="N915">
        <v>1</v>
      </c>
      <c r="O915">
        <v>0</v>
      </c>
      <c r="P915">
        <v>5</v>
      </c>
      <c r="Q915" t="s">
        <v>21</v>
      </c>
    </row>
    <row r="916" spans="1:17" x14ac:dyDescent="0.55000000000000004">
      <c r="A916">
        <v>0</v>
      </c>
      <c r="B916" t="s">
        <v>1</v>
      </c>
      <c r="C916">
        <v>0.1</v>
      </c>
      <c r="D916" t="s">
        <v>68</v>
      </c>
      <c r="E916" t="s">
        <v>286</v>
      </c>
      <c r="F916" t="s">
        <v>312</v>
      </c>
      <c r="G916" t="s">
        <v>1</v>
      </c>
      <c r="H916">
        <v>2.0169999999999999</v>
      </c>
      <c r="I916" t="s">
        <v>461</v>
      </c>
      <c r="K916">
        <v>105920126</v>
      </c>
      <c r="L916" s="2">
        <v>43652</v>
      </c>
      <c r="M916">
        <v>27</v>
      </c>
      <c r="N916">
        <v>1</v>
      </c>
      <c r="O916">
        <v>0</v>
      </c>
      <c r="P916">
        <v>1</v>
      </c>
      <c r="Q916" t="s">
        <v>190</v>
      </c>
    </row>
    <row r="917" spans="1:17" x14ac:dyDescent="0.55000000000000004">
      <c r="A917">
        <v>0</v>
      </c>
      <c r="B917" t="s">
        <v>1</v>
      </c>
      <c r="C917">
        <v>2.5000000000000001E-2</v>
      </c>
      <c r="D917" t="s">
        <v>102</v>
      </c>
      <c r="E917" t="s">
        <v>313</v>
      </c>
      <c r="F917" t="s">
        <v>312</v>
      </c>
      <c r="G917" t="s">
        <v>1</v>
      </c>
      <c r="H917">
        <v>2.0920000000000001</v>
      </c>
      <c r="I917" t="s">
        <v>461</v>
      </c>
      <c r="K917">
        <v>106672242</v>
      </c>
      <c r="L917" s="2">
        <v>44436</v>
      </c>
      <c r="M917">
        <v>5</v>
      </c>
      <c r="N917">
        <v>1</v>
      </c>
      <c r="O917">
        <v>0</v>
      </c>
      <c r="P917">
        <v>1</v>
      </c>
      <c r="Q917" t="s">
        <v>45</v>
      </c>
    </row>
    <row r="918" spans="1:17" x14ac:dyDescent="0.55000000000000004">
      <c r="A918">
        <v>0</v>
      </c>
      <c r="B918" t="s">
        <v>1</v>
      </c>
      <c r="C918">
        <v>0.2</v>
      </c>
      <c r="D918" t="s">
        <v>68</v>
      </c>
      <c r="E918" t="s">
        <v>286</v>
      </c>
      <c r="F918" t="s">
        <v>312</v>
      </c>
      <c r="G918" t="s">
        <v>1</v>
      </c>
      <c r="H918">
        <v>2.117</v>
      </c>
      <c r="I918" t="s">
        <v>461</v>
      </c>
      <c r="K918">
        <v>105252938</v>
      </c>
      <c r="L918" s="2">
        <v>43020</v>
      </c>
      <c r="M918">
        <v>17</v>
      </c>
      <c r="N918">
        <v>1</v>
      </c>
      <c r="O918">
        <v>0</v>
      </c>
      <c r="P918">
        <v>5</v>
      </c>
      <c r="Q918" t="s">
        <v>21</v>
      </c>
    </row>
    <row r="919" spans="1:17" x14ac:dyDescent="0.55000000000000004">
      <c r="A919">
        <v>0</v>
      </c>
      <c r="B919" t="s">
        <v>1</v>
      </c>
      <c r="C919">
        <v>0.3</v>
      </c>
      <c r="D919" t="s">
        <v>18</v>
      </c>
      <c r="E919" t="s">
        <v>312</v>
      </c>
      <c r="F919" t="s">
        <v>286</v>
      </c>
      <c r="G919" t="s">
        <v>1</v>
      </c>
      <c r="H919">
        <v>2.3420000000000001</v>
      </c>
      <c r="I919" t="s">
        <v>461</v>
      </c>
      <c r="K919">
        <v>106239302</v>
      </c>
      <c r="L919" s="2">
        <v>43980</v>
      </c>
      <c r="M919">
        <v>17</v>
      </c>
      <c r="N919">
        <v>2</v>
      </c>
      <c r="O919">
        <v>0</v>
      </c>
      <c r="P919">
        <v>5</v>
      </c>
      <c r="Q919" t="s">
        <v>21</v>
      </c>
    </row>
    <row r="920" spans="1:17" x14ac:dyDescent="0.55000000000000004">
      <c r="A920">
        <v>0</v>
      </c>
      <c r="B920" t="s">
        <v>1</v>
      </c>
      <c r="C920">
        <v>0</v>
      </c>
      <c r="E920" t="s">
        <v>314</v>
      </c>
      <c r="F920" t="s">
        <v>312</v>
      </c>
      <c r="G920" t="s">
        <v>1</v>
      </c>
      <c r="H920">
        <v>2.3439999999999999</v>
      </c>
      <c r="I920" t="s">
        <v>461</v>
      </c>
      <c r="K920">
        <v>104865940</v>
      </c>
      <c r="L920" s="2">
        <v>42642</v>
      </c>
      <c r="M920">
        <v>21</v>
      </c>
      <c r="N920">
        <v>1</v>
      </c>
      <c r="O920">
        <v>5</v>
      </c>
      <c r="P920">
        <v>1</v>
      </c>
      <c r="Q920" t="s">
        <v>15</v>
      </c>
    </row>
    <row r="921" spans="1:17" x14ac:dyDescent="0.55000000000000004">
      <c r="A921">
        <v>0</v>
      </c>
      <c r="B921" t="s">
        <v>1</v>
      </c>
      <c r="C921">
        <v>2.8000000000000001E-2</v>
      </c>
      <c r="D921" t="s">
        <v>18</v>
      </c>
      <c r="E921" t="s">
        <v>312</v>
      </c>
      <c r="F921" t="s">
        <v>286</v>
      </c>
      <c r="G921" t="s">
        <v>1</v>
      </c>
      <c r="H921">
        <v>2.6139999999999999</v>
      </c>
      <c r="I921" t="s">
        <v>461</v>
      </c>
      <c r="K921">
        <v>106440773</v>
      </c>
      <c r="L921" s="2">
        <v>44183</v>
      </c>
      <c r="M921">
        <v>17</v>
      </c>
      <c r="N921">
        <v>1</v>
      </c>
      <c r="O921">
        <v>0</v>
      </c>
      <c r="P921">
        <v>5</v>
      </c>
      <c r="Q921" t="s">
        <v>15</v>
      </c>
    </row>
    <row r="922" spans="1:17" x14ac:dyDescent="0.55000000000000004">
      <c r="A922">
        <v>0</v>
      </c>
      <c r="B922" t="s">
        <v>1</v>
      </c>
      <c r="C922">
        <v>8.0000000000000002E-3</v>
      </c>
      <c r="D922" t="s">
        <v>18</v>
      </c>
      <c r="E922" t="s">
        <v>312</v>
      </c>
      <c r="F922" t="s">
        <v>286</v>
      </c>
      <c r="G922" t="s">
        <v>1</v>
      </c>
      <c r="H922">
        <v>2.6339999999999999</v>
      </c>
      <c r="I922" t="s">
        <v>461</v>
      </c>
      <c r="K922">
        <v>106465312</v>
      </c>
      <c r="L922" s="2">
        <v>44211</v>
      </c>
      <c r="M922">
        <v>18</v>
      </c>
      <c r="N922">
        <v>1</v>
      </c>
      <c r="O922">
        <v>0</v>
      </c>
      <c r="P922">
        <v>5</v>
      </c>
    </row>
    <row r="923" spans="1:17" x14ac:dyDescent="0.55000000000000004">
      <c r="A923">
        <v>0</v>
      </c>
      <c r="B923" t="s">
        <v>1</v>
      </c>
      <c r="C923">
        <v>0</v>
      </c>
      <c r="E923" t="s">
        <v>312</v>
      </c>
      <c r="F923" t="s">
        <v>286</v>
      </c>
      <c r="G923" t="s">
        <v>1</v>
      </c>
      <c r="H923">
        <v>2.6419999999999999</v>
      </c>
      <c r="I923" t="s">
        <v>461</v>
      </c>
      <c r="K923">
        <v>104882398</v>
      </c>
      <c r="L923" s="2">
        <v>42657</v>
      </c>
      <c r="M923">
        <v>19</v>
      </c>
      <c r="N923">
        <v>1</v>
      </c>
      <c r="O923">
        <v>0</v>
      </c>
      <c r="P923">
        <v>5</v>
      </c>
      <c r="Q923" t="s">
        <v>45</v>
      </c>
    </row>
    <row r="924" spans="1:17" x14ac:dyDescent="0.55000000000000004">
      <c r="A924">
        <v>0</v>
      </c>
      <c r="B924" t="s">
        <v>1</v>
      </c>
      <c r="C924">
        <v>2</v>
      </c>
      <c r="D924" t="s">
        <v>27</v>
      </c>
      <c r="E924" t="s">
        <v>54</v>
      </c>
      <c r="F924" t="s">
        <v>286</v>
      </c>
      <c r="G924" t="s">
        <v>1</v>
      </c>
      <c r="H924">
        <v>2.6539999999999999</v>
      </c>
      <c r="I924" t="s">
        <v>461</v>
      </c>
      <c r="K924">
        <v>106284870</v>
      </c>
      <c r="L924" s="2">
        <v>44033</v>
      </c>
      <c r="M924">
        <v>19</v>
      </c>
      <c r="N924">
        <v>1</v>
      </c>
      <c r="O924">
        <v>0</v>
      </c>
      <c r="P924">
        <v>1</v>
      </c>
      <c r="Q924" t="s">
        <v>45</v>
      </c>
    </row>
    <row r="925" spans="1:17" x14ac:dyDescent="0.55000000000000004">
      <c r="A925">
        <v>0</v>
      </c>
      <c r="B925" t="s">
        <v>1</v>
      </c>
      <c r="C925">
        <v>9.5000000000000001E-2</v>
      </c>
      <c r="D925" t="s">
        <v>68</v>
      </c>
      <c r="E925" t="s">
        <v>312</v>
      </c>
      <c r="F925" t="s">
        <v>54</v>
      </c>
      <c r="G925" t="s">
        <v>1</v>
      </c>
      <c r="H925">
        <v>2.7370000000000001</v>
      </c>
      <c r="I925" t="s">
        <v>461</v>
      </c>
      <c r="K925">
        <v>106527829</v>
      </c>
      <c r="L925" s="2">
        <v>44280</v>
      </c>
      <c r="M925">
        <v>29</v>
      </c>
      <c r="N925">
        <v>1</v>
      </c>
      <c r="O925">
        <v>0</v>
      </c>
      <c r="P925">
        <v>5</v>
      </c>
      <c r="Q925" t="s">
        <v>21</v>
      </c>
    </row>
    <row r="926" spans="1:17" x14ac:dyDescent="0.55000000000000004">
      <c r="A926">
        <v>0</v>
      </c>
      <c r="B926" t="s">
        <v>1</v>
      </c>
      <c r="C926">
        <v>1.5</v>
      </c>
      <c r="D926" t="s">
        <v>18</v>
      </c>
      <c r="E926" t="s">
        <v>315</v>
      </c>
      <c r="F926" t="s">
        <v>312</v>
      </c>
      <c r="G926" t="s">
        <v>1</v>
      </c>
      <c r="H926">
        <v>2.8250000000000002</v>
      </c>
      <c r="I926" t="s">
        <v>461</v>
      </c>
      <c r="K926">
        <v>106498082</v>
      </c>
      <c r="L926" s="2">
        <v>44250</v>
      </c>
      <c r="M926">
        <v>19</v>
      </c>
      <c r="N926">
        <v>1</v>
      </c>
      <c r="O926">
        <v>0</v>
      </c>
      <c r="P926">
        <v>1</v>
      </c>
      <c r="Q926" t="s">
        <v>15</v>
      </c>
    </row>
    <row r="927" spans="1:17" x14ac:dyDescent="0.55000000000000004">
      <c r="A927">
        <v>0</v>
      </c>
      <c r="B927" t="s">
        <v>1</v>
      </c>
      <c r="C927">
        <v>0.2</v>
      </c>
      <c r="D927" t="s">
        <v>68</v>
      </c>
      <c r="E927" t="s">
        <v>312</v>
      </c>
      <c r="F927" t="s">
        <v>54</v>
      </c>
      <c r="G927" t="s">
        <v>1</v>
      </c>
      <c r="H927">
        <v>2.8420000000000001</v>
      </c>
      <c r="I927" t="s">
        <v>461</v>
      </c>
      <c r="K927">
        <v>106016592</v>
      </c>
      <c r="L927" s="2">
        <v>43746</v>
      </c>
      <c r="M927">
        <v>19</v>
      </c>
      <c r="N927">
        <v>1</v>
      </c>
      <c r="O927">
        <v>0</v>
      </c>
      <c r="P927">
        <v>3</v>
      </c>
      <c r="Q927" t="s">
        <v>21</v>
      </c>
    </row>
    <row r="928" spans="1:17" x14ac:dyDescent="0.55000000000000004">
      <c r="A928">
        <v>0</v>
      </c>
      <c r="B928" t="s">
        <v>1</v>
      </c>
      <c r="C928">
        <v>0.3</v>
      </c>
      <c r="D928" t="s">
        <v>68</v>
      </c>
      <c r="E928" t="s">
        <v>312</v>
      </c>
      <c r="F928" t="s">
        <v>54</v>
      </c>
      <c r="G928" t="s">
        <v>1</v>
      </c>
      <c r="H928">
        <v>2.9420000000000002</v>
      </c>
      <c r="I928" t="s">
        <v>461</v>
      </c>
      <c r="K928">
        <v>105545930</v>
      </c>
      <c r="L928" s="2">
        <v>43299</v>
      </c>
      <c r="M928">
        <v>22</v>
      </c>
      <c r="N928">
        <v>1</v>
      </c>
      <c r="O928">
        <v>5</v>
      </c>
      <c r="P928">
        <v>1</v>
      </c>
      <c r="Q928" t="s">
        <v>21</v>
      </c>
    </row>
    <row r="929" spans="1:17" x14ac:dyDescent="0.55000000000000004">
      <c r="A929">
        <v>0</v>
      </c>
      <c r="B929" t="s">
        <v>1</v>
      </c>
      <c r="C929">
        <v>0.3</v>
      </c>
      <c r="D929" t="s">
        <v>68</v>
      </c>
      <c r="E929" t="s">
        <v>312</v>
      </c>
      <c r="F929" t="s">
        <v>54</v>
      </c>
      <c r="G929" t="s">
        <v>1</v>
      </c>
      <c r="H929">
        <v>2.9420000000000002</v>
      </c>
      <c r="I929" t="s">
        <v>461</v>
      </c>
      <c r="K929">
        <v>105859968</v>
      </c>
      <c r="L929" s="2">
        <v>43593</v>
      </c>
      <c r="M929">
        <v>19</v>
      </c>
      <c r="N929">
        <v>1</v>
      </c>
      <c r="O929">
        <v>0</v>
      </c>
      <c r="P929">
        <v>1</v>
      </c>
      <c r="Q929" t="s">
        <v>21</v>
      </c>
    </row>
    <row r="930" spans="1:17" x14ac:dyDescent="0.55000000000000004">
      <c r="A930">
        <v>0</v>
      </c>
      <c r="B930" t="s">
        <v>1</v>
      </c>
      <c r="C930">
        <v>0.3</v>
      </c>
      <c r="D930" t="s">
        <v>68</v>
      </c>
      <c r="E930" t="s">
        <v>312</v>
      </c>
      <c r="F930" t="s">
        <v>315</v>
      </c>
      <c r="G930" t="s">
        <v>1</v>
      </c>
      <c r="H930">
        <v>2.9420000000000002</v>
      </c>
      <c r="I930" t="s">
        <v>461</v>
      </c>
      <c r="K930">
        <v>105095870</v>
      </c>
      <c r="L930" s="2">
        <v>42859</v>
      </c>
      <c r="M930">
        <v>17</v>
      </c>
      <c r="N930">
        <v>1</v>
      </c>
      <c r="O930">
        <v>0</v>
      </c>
      <c r="P930">
        <v>1</v>
      </c>
      <c r="Q930" t="s">
        <v>21</v>
      </c>
    </row>
    <row r="931" spans="1:17" x14ac:dyDescent="0.55000000000000004">
      <c r="A931">
        <v>0</v>
      </c>
      <c r="B931" t="s">
        <v>1</v>
      </c>
      <c r="C931">
        <v>0.5</v>
      </c>
      <c r="D931" t="s">
        <v>68</v>
      </c>
      <c r="E931" t="s">
        <v>312</v>
      </c>
      <c r="F931" t="s">
        <v>315</v>
      </c>
      <c r="G931" t="s">
        <v>1</v>
      </c>
      <c r="H931">
        <v>3.1419999999999999</v>
      </c>
      <c r="I931" t="s">
        <v>461</v>
      </c>
      <c r="K931">
        <v>104857793</v>
      </c>
      <c r="L931" s="2">
        <v>42632</v>
      </c>
      <c r="M931">
        <v>29</v>
      </c>
      <c r="N931">
        <v>1</v>
      </c>
      <c r="O931">
        <v>0</v>
      </c>
      <c r="P931">
        <v>1</v>
      </c>
      <c r="Q931" t="s">
        <v>21</v>
      </c>
    </row>
    <row r="932" spans="1:17" x14ac:dyDescent="0.55000000000000004">
      <c r="A932">
        <v>0</v>
      </c>
      <c r="B932" t="s">
        <v>1</v>
      </c>
      <c r="C932">
        <v>1.3</v>
      </c>
      <c r="D932" t="s">
        <v>18</v>
      </c>
      <c r="E932" t="s">
        <v>54</v>
      </c>
      <c r="F932" t="s">
        <v>312</v>
      </c>
      <c r="G932" t="s">
        <v>1</v>
      </c>
      <c r="H932">
        <v>3.3540000000000001</v>
      </c>
      <c r="I932" t="s">
        <v>461</v>
      </c>
      <c r="K932">
        <v>106427928</v>
      </c>
      <c r="L932" s="2">
        <v>44169</v>
      </c>
      <c r="M932">
        <v>19</v>
      </c>
      <c r="N932">
        <v>1</v>
      </c>
      <c r="O932">
        <v>1</v>
      </c>
      <c r="P932">
        <v>2</v>
      </c>
      <c r="Q932" t="s">
        <v>167</v>
      </c>
    </row>
    <row r="933" spans="1:17" x14ac:dyDescent="0.55000000000000004">
      <c r="A933">
        <v>0</v>
      </c>
      <c r="B933" t="s">
        <v>1</v>
      </c>
      <c r="C933">
        <v>0.9</v>
      </c>
      <c r="D933" t="s">
        <v>18</v>
      </c>
      <c r="E933" t="s">
        <v>315</v>
      </c>
      <c r="F933" t="s">
        <v>312</v>
      </c>
      <c r="G933" t="s">
        <v>1</v>
      </c>
      <c r="H933">
        <v>3.4249999999999998</v>
      </c>
      <c r="I933" t="s">
        <v>461</v>
      </c>
      <c r="K933">
        <v>106241798</v>
      </c>
      <c r="L933" s="2">
        <v>43983</v>
      </c>
      <c r="M933">
        <v>18</v>
      </c>
      <c r="N933">
        <v>1</v>
      </c>
      <c r="O933">
        <v>2</v>
      </c>
      <c r="P933">
        <v>1</v>
      </c>
      <c r="Q933" t="s">
        <v>21</v>
      </c>
    </row>
    <row r="934" spans="1:17" x14ac:dyDescent="0.55000000000000004">
      <c r="A934">
        <v>0</v>
      </c>
      <c r="B934" t="s">
        <v>1</v>
      </c>
      <c r="C934">
        <v>0.8</v>
      </c>
      <c r="D934" t="s">
        <v>68</v>
      </c>
      <c r="E934" t="s">
        <v>312</v>
      </c>
      <c r="F934" t="s">
        <v>54</v>
      </c>
      <c r="G934" t="s">
        <v>1</v>
      </c>
      <c r="H934">
        <v>3.4420000000000002</v>
      </c>
      <c r="I934" t="s">
        <v>461</v>
      </c>
      <c r="K934">
        <v>105014817</v>
      </c>
      <c r="L934" s="2">
        <v>42786</v>
      </c>
      <c r="M934">
        <v>19</v>
      </c>
      <c r="N934">
        <v>1</v>
      </c>
      <c r="O934">
        <v>0</v>
      </c>
      <c r="P934">
        <v>1</v>
      </c>
      <c r="Q934" t="s">
        <v>21</v>
      </c>
    </row>
    <row r="935" spans="1:17" x14ac:dyDescent="0.55000000000000004">
      <c r="A935">
        <v>0</v>
      </c>
      <c r="B935" t="s">
        <v>1</v>
      </c>
      <c r="C935">
        <v>0.86</v>
      </c>
      <c r="D935" t="s">
        <v>18</v>
      </c>
      <c r="E935" t="s">
        <v>315</v>
      </c>
      <c r="F935" t="s">
        <v>312</v>
      </c>
      <c r="G935" t="s">
        <v>1</v>
      </c>
      <c r="H935">
        <v>3.4649999999999999</v>
      </c>
      <c r="I935" t="s">
        <v>461</v>
      </c>
      <c r="K935">
        <v>105561252</v>
      </c>
      <c r="L935" s="2">
        <v>43311</v>
      </c>
      <c r="M935">
        <v>19</v>
      </c>
      <c r="N935">
        <v>1</v>
      </c>
      <c r="O935">
        <v>0</v>
      </c>
      <c r="P935">
        <v>1</v>
      </c>
      <c r="Q935" t="s">
        <v>15</v>
      </c>
    </row>
    <row r="936" spans="1:17" x14ac:dyDescent="0.55000000000000004">
      <c r="A936">
        <v>0</v>
      </c>
      <c r="B936" t="s">
        <v>1</v>
      </c>
      <c r="C936">
        <v>0.8</v>
      </c>
      <c r="D936" t="s">
        <v>18</v>
      </c>
      <c r="E936" t="s">
        <v>315</v>
      </c>
      <c r="F936" t="s">
        <v>312</v>
      </c>
      <c r="G936" t="s">
        <v>1</v>
      </c>
      <c r="H936">
        <v>3.5249999999999999</v>
      </c>
      <c r="I936" t="s">
        <v>461</v>
      </c>
      <c r="K936">
        <v>106203708</v>
      </c>
      <c r="L936" s="2">
        <v>43935</v>
      </c>
      <c r="M936">
        <v>19</v>
      </c>
      <c r="N936">
        <v>1</v>
      </c>
      <c r="O936">
        <v>5</v>
      </c>
      <c r="P936">
        <v>5</v>
      </c>
      <c r="Q936" t="s">
        <v>21</v>
      </c>
    </row>
    <row r="937" spans="1:17" x14ac:dyDescent="0.55000000000000004">
      <c r="A937">
        <v>0</v>
      </c>
      <c r="B937" t="s">
        <v>1</v>
      </c>
      <c r="C937">
        <v>0</v>
      </c>
      <c r="E937" t="s">
        <v>316</v>
      </c>
      <c r="F937" t="s">
        <v>286</v>
      </c>
      <c r="G937" t="s">
        <v>1</v>
      </c>
      <c r="H937">
        <v>3.637</v>
      </c>
      <c r="I937" t="s">
        <v>461</v>
      </c>
      <c r="K937">
        <v>105012439</v>
      </c>
      <c r="L937" s="2">
        <v>42779</v>
      </c>
      <c r="M937">
        <v>21</v>
      </c>
      <c r="N937">
        <v>1</v>
      </c>
      <c r="O937">
        <v>0</v>
      </c>
      <c r="P937">
        <v>1</v>
      </c>
      <c r="Q937" t="s">
        <v>21</v>
      </c>
    </row>
    <row r="938" spans="1:17" x14ac:dyDescent="0.55000000000000004">
      <c r="A938">
        <v>0</v>
      </c>
      <c r="B938" t="s">
        <v>1</v>
      </c>
      <c r="C938">
        <v>0.5</v>
      </c>
      <c r="D938" t="s">
        <v>18</v>
      </c>
      <c r="E938" t="s">
        <v>315</v>
      </c>
      <c r="F938" t="s">
        <v>286</v>
      </c>
      <c r="G938" t="s">
        <v>1</v>
      </c>
      <c r="H938">
        <v>3.8250000000000002</v>
      </c>
      <c r="I938" t="s">
        <v>461</v>
      </c>
      <c r="K938">
        <v>105492198</v>
      </c>
      <c r="L938" s="2">
        <v>43244</v>
      </c>
      <c r="M938">
        <v>5</v>
      </c>
      <c r="N938">
        <v>1</v>
      </c>
      <c r="O938">
        <v>0</v>
      </c>
      <c r="P938">
        <v>5</v>
      </c>
      <c r="Q938" t="s">
        <v>21</v>
      </c>
    </row>
    <row r="939" spans="1:17" x14ac:dyDescent="0.55000000000000004">
      <c r="A939">
        <v>0</v>
      </c>
      <c r="B939" t="s">
        <v>1</v>
      </c>
      <c r="C939">
        <v>0.1</v>
      </c>
      <c r="D939" t="s">
        <v>18</v>
      </c>
      <c r="E939" t="s">
        <v>317</v>
      </c>
      <c r="F939" t="s">
        <v>318</v>
      </c>
      <c r="G939" t="s">
        <v>1</v>
      </c>
      <c r="H939">
        <v>3.8260000000000001</v>
      </c>
      <c r="I939" t="s">
        <v>461</v>
      </c>
      <c r="K939">
        <v>105326689</v>
      </c>
      <c r="L939" s="2">
        <v>43087</v>
      </c>
      <c r="M939">
        <v>17</v>
      </c>
      <c r="N939">
        <v>1</v>
      </c>
      <c r="O939">
        <v>0</v>
      </c>
      <c r="P939">
        <v>5</v>
      </c>
      <c r="Q939" t="s">
        <v>21</v>
      </c>
    </row>
    <row r="940" spans="1:17" x14ac:dyDescent="0.55000000000000004">
      <c r="A940">
        <v>0</v>
      </c>
      <c r="B940" t="s">
        <v>1</v>
      </c>
      <c r="C940">
        <v>0.4</v>
      </c>
      <c r="D940" t="s">
        <v>27</v>
      </c>
      <c r="E940" t="s">
        <v>315</v>
      </c>
      <c r="F940" t="s">
        <v>312</v>
      </c>
      <c r="G940" t="s">
        <v>1</v>
      </c>
      <c r="H940">
        <v>3.9249999999999998</v>
      </c>
      <c r="I940" t="s">
        <v>461</v>
      </c>
      <c r="K940">
        <v>106217832</v>
      </c>
      <c r="L940" s="2">
        <v>43952</v>
      </c>
      <c r="M940">
        <v>28</v>
      </c>
      <c r="N940">
        <v>1</v>
      </c>
      <c r="O940">
        <v>0</v>
      </c>
      <c r="P940">
        <v>1</v>
      </c>
      <c r="Q940" t="s">
        <v>21</v>
      </c>
    </row>
    <row r="941" spans="1:17" x14ac:dyDescent="0.55000000000000004">
      <c r="A941">
        <v>0</v>
      </c>
      <c r="B941" t="s">
        <v>1</v>
      </c>
      <c r="C941">
        <v>0.2</v>
      </c>
      <c r="D941" t="s">
        <v>27</v>
      </c>
      <c r="E941" t="s">
        <v>315</v>
      </c>
      <c r="F941" t="s">
        <v>312</v>
      </c>
      <c r="G941" t="s">
        <v>1</v>
      </c>
      <c r="H941">
        <v>4.125</v>
      </c>
      <c r="I941" t="s">
        <v>461</v>
      </c>
      <c r="K941">
        <v>105507274</v>
      </c>
      <c r="L941" s="2">
        <v>43259</v>
      </c>
      <c r="M941">
        <v>27</v>
      </c>
      <c r="N941">
        <v>1</v>
      </c>
      <c r="O941">
        <v>0</v>
      </c>
      <c r="P941">
        <v>1</v>
      </c>
      <c r="Q941" t="s">
        <v>190</v>
      </c>
    </row>
    <row r="942" spans="1:17" x14ac:dyDescent="0.55000000000000004">
      <c r="A942">
        <v>0</v>
      </c>
      <c r="B942" t="s">
        <v>1</v>
      </c>
      <c r="C942">
        <v>0.1</v>
      </c>
      <c r="D942" t="s">
        <v>18</v>
      </c>
      <c r="E942" t="s">
        <v>315</v>
      </c>
      <c r="F942" t="s">
        <v>312</v>
      </c>
      <c r="G942" t="s">
        <v>1</v>
      </c>
      <c r="H942">
        <v>4.2249999999999996</v>
      </c>
      <c r="I942" t="s">
        <v>461</v>
      </c>
      <c r="K942">
        <v>106174767</v>
      </c>
      <c r="L942" s="2">
        <v>43889</v>
      </c>
      <c r="M942">
        <v>17</v>
      </c>
      <c r="N942">
        <v>1</v>
      </c>
      <c r="O942">
        <v>0</v>
      </c>
      <c r="P942">
        <v>5</v>
      </c>
      <c r="Q942" t="s">
        <v>21</v>
      </c>
    </row>
    <row r="943" spans="1:17" x14ac:dyDescent="0.55000000000000004">
      <c r="A943">
        <v>0</v>
      </c>
      <c r="B943" t="s">
        <v>1</v>
      </c>
      <c r="C943">
        <v>0.3</v>
      </c>
      <c r="D943" t="s">
        <v>18</v>
      </c>
      <c r="E943" t="s">
        <v>54</v>
      </c>
      <c r="F943" t="s">
        <v>286</v>
      </c>
      <c r="G943" t="s">
        <v>1</v>
      </c>
      <c r="H943">
        <v>4.3540000000000001</v>
      </c>
      <c r="I943" t="s">
        <v>461</v>
      </c>
      <c r="K943">
        <v>105670894</v>
      </c>
      <c r="L943" s="2">
        <v>43413</v>
      </c>
      <c r="M943">
        <v>21</v>
      </c>
      <c r="N943">
        <v>2</v>
      </c>
      <c r="O943">
        <v>0</v>
      </c>
      <c r="P943">
        <v>1</v>
      </c>
      <c r="Q943" t="s">
        <v>21</v>
      </c>
    </row>
    <row r="944" spans="1:17" x14ac:dyDescent="0.55000000000000004">
      <c r="A944">
        <v>0</v>
      </c>
      <c r="B944" t="s">
        <v>1</v>
      </c>
      <c r="C944">
        <v>0.3</v>
      </c>
      <c r="D944" t="s">
        <v>18</v>
      </c>
      <c r="E944" t="s">
        <v>54</v>
      </c>
      <c r="F944" t="s">
        <v>315</v>
      </c>
      <c r="G944" t="s">
        <v>1</v>
      </c>
      <c r="H944">
        <v>4.3540000000000001</v>
      </c>
      <c r="I944" t="s">
        <v>461</v>
      </c>
      <c r="K944">
        <v>105315958</v>
      </c>
      <c r="L944" s="2">
        <v>43076</v>
      </c>
      <c r="M944">
        <v>17</v>
      </c>
      <c r="N944">
        <v>1</v>
      </c>
      <c r="O944">
        <v>0</v>
      </c>
      <c r="P944">
        <v>5</v>
      </c>
      <c r="Q944" t="s">
        <v>21</v>
      </c>
    </row>
    <row r="945" spans="1:17" x14ac:dyDescent="0.55000000000000004">
      <c r="A945">
        <v>0</v>
      </c>
      <c r="B945" t="s">
        <v>1</v>
      </c>
      <c r="C945">
        <v>0.1</v>
      </c>
      <c r="D945" t="s">
        <v>18</v>
      </c>
      <c r="E945" t="s">
        <v>54</v>
      </c>
      <c r="F945" t="s">
        <v>312</v>
      </c>
      <c r="G945" t="s">
        <v>1</v>
      </c>
      <c r="H945">
        <v>4.5540000000000003</v>
      </c>
      <c r="I945" t="s">
        <v>461</v>
      </c>
      <c r="K945">
        <v>105924467</v>
      </c>
      <c r="L945" s="2">
        <v>43657</v>
      </c>
      <c r="M945">
        <v>17</v>
      </c>
      <c r="N945">
        <v>1</v>
      </c>
      <c r="O945">
        <v>0</v>
      </c>
      <c r="P945">
        <v>5</v>
      </c>
      <c r="Q945" t="s">
        <v>21</v>
      </c>
    </row>
    <row r="946" spans="1:17" x14ac:dyDescent="0.55000000000000004">
      <c r="A946">
        <v>0</v>
      </c>
      <c r="B946" t="s">
        <v>1</v>
      </c>
      <c r="C946">
        <v>5.7000000000000002E-2</v>
      </c>
      <c r="D946" t="s">
        <v>18</v>
      </c>
      <c r="E946" t="s">
        <v>54</v>
      </c>
      <c r="F946" t="s">
        <v>315</v>
      </c>
      <c r="G946" t="s">
        <v>1</v>
      </c>
      <c r="H946">
        <v>4.5970000000000004</v>
      </c>
      <c r="I946" t="s">
        <v>461</v>
      </c>
      <c r="K946">
        <v>105950377</v>
      </c>
      <c r="L946" s="2">
        <v>43683</v>
      </c>
      <c r="M946">
        <v>21</v>
      </c>
      <c r="N946">
        <v>1</v>
      </c>
      <c r="O946">
        <v>0</v>
      </c>
      <c r="P946">
        <v>1</v>
      </c>
      <c r="Q946" t="s">
        <v>15</v>
      </c>
    </row>
    <row r="947" spans="1:17" x14ac:dyDescent="0.55000000000000004">
      <c r="A947">
        <v>0</v>
      </c>
      <c r="B947" t="s">
        <v>1</v>
      </c>
      <c r="C947">
        <v>0.7</v>
      </c>
      <c r="D947" t="s">
        <v>18</v>
      </c>
      <c r="E947" t="s">
        <v>201</v>
      </c>
      <c r="F947" t="s">
        <v>54</v>
      </c>
      <c r="G947" t="s">
        <v>1</v>
      </c>
      <c r="H947">
        <v>4.6379999999999999</v>
      </c>
      <c r="I947" t="s">
        <v>461</v>
      </c>
      <c r="K947">
        <v>104920352</v>
      </c>
      <c r="L947" s="2">
        <v>42693</v>
      </c>
      <c r="M947">
        <v>19</v>
      </c>
      <c r="N947">
        <v>1</v>
      </c>
      <c r="O947">
        <v>0</v>
      </c>
      <c r="P947">
        <v>5</v>
      </c>
      <c r="Q947" t="s">
        <v>21</v>
      </c>
    </row>
    <row r="948" spans="1:17" x14ac:dyDescent="0.55000000000000004">
      <c r="A948">
        <v>0</v>
      </c>
      <c r="B948" t="s">
        <v>1</v>
      </c>
      <c r="C948">
        <v>0.2</v>
      </c>
      <c r="D948" t="s">
        <v>18</v>
      </c>
      <c r="E948" t="s">
        <v>319</v>
      </c>
      <c r="F948" t="s">
        <v>54</v>
      </c>
      <c r="G948" t="s">
        <v>1</v>
      </c>
      <c r="H948">
        <v>4.641</v>
      </c>
      <c r="I948" t="s">
        <v>461</v>
      </c>
      <c r="K948">
        <v>105244249</v>
      </c>
      <c r="L948" s="2">
        <v>43012</v>
      </c>
      <c r="M948">
        <v>19</v>
      </c>
      <c r="N948">
        <v>1</v>
      </c>
      <c r="O948">
        <v>8</v>
      </c>
      <c r="P948">
        <v>5</v>
      </c>
      <c r="Q948" t="s">
        <v>21</v>
      </c>
    </row>
    <row r="949" spans="1:17" x14ac:dyDescent="0.55000000000000004">
      <c r="A949">
        <v>0</v>
      </c>
      <c r="B949" t="s">
        <v>1</v>
      </c>
      <c r="C949">
        <v>1.4E-2</v>
      </c>
      <c r="D949" t="s">
        <v>68</v>
      </c>
      <c r="E949" t="s">
        <v>54</v>
      </c>
      <c r="F949" t="s">
        <v>201</v>
      </c>
      <c r="G949" t="s">
        <v>1</v>
      </c>
      <c r="H949">
        <v>4.6680000000000001</v>
      </c>
      <c r="I949" t="s">
        <v>461</v>
      </c>
      <c r="K949">
        <v>105092841</v>
      </c>
      <c r="L949" s="2">
        <v>42856</v>
      </c>
      <c r="M949">
        <v>19</v>
      </c>
      <c r="N949">
        <v>2</v>
      </c>
      <c r="O949">
        <v>0</v>
      </c>
      <c r="P949">
        <v>1</v>
      </c>
      <c r="Q949" t="s">
        <v>15</v>
      </c>
    </row>
    <row r="950" spans="1:17" x14ac:dyDescent="0.55000000000000004">
      <c r="A950">
        <v>0</v>
      </c>
      <c r="B950" t="s">
        <v>1</v>
      </c>
      <c r="C950">
        <v>0.1</v>
      </c>
      <c r="D950" t="s">
        <v>18</v>
      </c>
      <c r="E950" t="s">
        <v>319</v>
      </c>
      <c r="F950" t="s">
        <v>315</v>
      </c>
      <c r="G950" t="s">
        <v>1</v>
      </c>
      <c r="H950">
        <v>4.7409999999999997</v>
      </c>
      <c r="I950" t="s">
        <v>461</v>
      </c>
      <c r="K950">
        <v>106545948</v>
      </c>
      <c r="L950" s="2">
        <v>44296</v>
      </c>
      <c r="M950">
        <v>19</v>
      </c>
      <c r="N950">
        <v>2</v>
      </c>
      <c r="O950">
        <v>0</v>
      </c>
      <c r="P950">
        <v>5</v>
      </c>
      <c r="Q950" t="s">
        <v>21</v>
      </c>
    </row>
    <row r="951" spans="1:17" x14ac:dyDescent="0.55000000000000004">
      <c r="A951">
        <v>0</v>
      </c>
      <c r="B951" t="s">
        <v>1</v>
      </c>
      <c r="C951">
        <v>9.5000000000000001E-2</v>
      </c>
      <c r="D951" t="s">
        <v>102</v>
      </c>
      <c r="E951" t="s">
        <v>54</v>
      </c>
      <c r="F951" t="s">
        <v>319</v>
      </c>
      <c r="G951" t="s">
        <v>1</v>
      </c>
      <c r="H951">
        <v>4.7489999999999997</v>
      </c>
      <c r="I951" t="s">
        <v>461</v>
      </c>
      <c r="K951">
        <v>106467743</v>
      </c>
      <c r="L951" s="2">
        <v>44215</v>
      </c>
      <c r="M951">
        <v>17</v>
      </c>
      <c r="N951">
        <v>1</v>
      </c>
      <c r="O951">
        <v>0</v>
      </c>
      <c r="P951">
        <v>3</v>
      </c>
      <c r="Q951" t="s">
        <v>21</v>
      </c>
    </row>
    <row r="952" spans="1:17" x14ac:dyDescent="0.55000000000000004">
      <c r="A952">
        <v>0</v>
      </c>
      <c r="B952" t="s">
        <v>1</v>
      </c>
      <c r="C952">
        <v>0.1</v>
      </c>
      <c r="D952" t="s">
        <v>68</v>
      </c>
      <c r="E952" t="s">
        <v>54</v>
      </c>
      <c r="F952" t="s">
        <v>319</v>
      </c>
      <c r="G952" t="s">
        <v>1</v>
      </c>
      <c r="H952">
        <v>4.7539999999999996</v>
      </c>
      <c r="I952" t="s">
        <v>461</v>
      </c>
      <c r="K952">
        <v>106122495</v>
      </c>
      <c r="L952" s="2">
        <v>43841</v>
      </c>
      <c r="M952">
        <v>17</v>
      </c>
      <c r="N952">
        <v>2</v>
      </c>
      <c r="O952">
        <v>0</v>
      </c>
      <c r="P952">
        <v>5</v>
      </c>
      <c r="Q952" t="s">
        <v>21</v>
      </c>
    </row>
    <row r="953" spans="1:17" x14ac:dyDescent="0.55000000000000004">
      <c r="A953">
        <v>0</v>
      </c>
      <c r="B953" t="s">
        <v>1</v>
      </c>
      <c r="C953">
        <v>0</v>
      </c>
      <c r="E953" t="s">
        <v>319</v>
      </c>
      <c r="F953" t="s">
        <v>54</v>
      </c>
      <c r="G953" t="s">
        <v>1</v>
      </c>
      <c r="H953">
        <v>4.8410000000000002</v>
      </c>
      <c r="I953" t="s">
        <v>461</v>
      </c>
      <c r="K953">
        <v>105012449</v>
      </c>
      <c r="L953" s="2">
        <v>42780</v>
      </c>
      <c r="M953">
        <v>24</v>
      </c>
      <c r="N953">
        <v>1</v>
      </c>
      <c r="O953">
        <v>8</v>
      </c>
      <c r="P953">
        <v>1</v>
      </c>
      <c r="Q953" t="s">
        <v>15</v>
      </c>
    </row>
    <row r="954" spans="1:17" x14ac:dyDescent="0.55000000000000004">
      <c r="A954">
        <v>0</v>
      </c>
      <c r="B954" t="s">
        <v>1</v>
      </c>
      <c r="C954">
        <v>0.56999999999999995</v>
      </c>
      <c r="D954" t="s">
        <v>68</v>
      </c>
      <c r="E954" t="s">
        <v>315</v>
      </c>
      <c r="F954" t="s">
        <v>312</v>
      </c>
      <c r="G954" t="s">
        <v>1</v>
      </c>
      <c r="H954">
        <v>4.8949999999999996</v>
      </c>
      <c r="I954" t="s">
        <v>461</v>
      </c>
      <c r="K954">
        <v>106486478</v>
      </c>
      <c r="L954" s="2">
        <v>44237</v>
      </c>
      <c r="M954">
        <v>18</v>
      </c>
      <c r="N954">
        <v>1</v>
      </c>
      <c r="O954">
        <v>0</v>
      </c>
      <c r="P954">
        <v>1</v>
      </c>
      <c r="Q954" t="s">
        <v>21</v>
      </c>
    </row>
    <row r="955" spans="1:17" x14ac:dyDescent="0.55000000000000004">
      <c r="A955">
        <v>0</v>
      </c>
      <c r="B955" t="s">
        <v>1</v>
      </c>
      <c r="C955">
        <v>0.25</v>
      </c>
      <c r="D955" t="s">
        <v>68</v>
      </c>
      <c r="E955" t="s">
        <v>54</v>
      </c>
      <c r="F955" t="s">
        <v>201</v>
      </c>
      <c r="G955" t="s">
        <v>1</v>
      </c>
      <c r="H955">
        <v>4.9039999999999999</v>
      </c>
      <c r="I955" t="s">
        <v>461</v>
      </c>
      <c r="K955">
        <v>105763064</v>
      </c>
      <c r="L955" s="2">
        <v>43498</v>
      </c>
      <c r="M955">
        <v>17</v>
      </c>
      <c r="N955">
        <v>1</v>
      </c>
      <c r="O955">
        <v>0</v>
      </c>
      <c r="P955">
        <v>5</v>
      </c>
      <c r="Q955" t="s">
        <v>21</v>
      </c>
    </row>
    <row r="956" spans="1:17" x14ac:dyDescent="0.55000000000000004">
      <c r="A956">
        <v>0</v>
      </c>
      <c r="B956" t="s">
        <v>1</v>
      </c>
      <c r="C956">
        <v>0.1</v>
      </c>
      <c r="D956" t="s">
        <v>68</v>
      </c>
      <c r="E956" t="s">
        <v>319</v>
      </c>
      <c r="F956" t="s">
        <v>201</v>
      </c>
      <c r="G956" t="s">
        <v>1</v>
      </c>
      <c r="H956">
        <v>4.9409999999999998</v>
      </c>
      <c r="I956" t="s">
        <v>461</v>
      </c>
      <c r="K956">
        <v>105549146</v>
      </c>
      <c r="L956" s="2">
        <v>43303</v>
      </c>
      <c r="M956">
        <v>19</v>
      </c>
      <c r="N956">
        <v>2</v>
      </c>
      <c r="O956">
        <v>0</v>
      </c>
      <c r="P956">
        <v>1</v>
      </c>
      <c r="Q956" t="s">
        <v>21</v>
      </c>
    </row>
    <row r="957" spans="1:17" x14ac:dyDescent="0.55000000000000004">
      <c r="A957">
        <v>0</v>
      </c>
      <c r="B957" t="s">
        <v>1</v>
      </c>
      <c r="C957">
        <v>4.2999999999999997E-2</v>
      </c>
      <c r="D957" t="s">
        <v>27</v>
      </c>
      <c r="E957" t="s">
        <v>320</v>
      </c>
      <c r="F957" t="s">
        <v>319</v>
      </c>
      <c r="G957" t="s">
        <v>1</v>
      </c>
      <c r="H957">
        <v>5.0229999999999997</v>
      </c>
      <c r="I957" t="s">
        <v>461</v>
      </c>
      <c r="K957">
        <v>106401405</v>
      </c>
      <c r="L957" s="2">
        <v>44146</v>
      </c>
      <c r="M957">
        <v>19</v>
      </c>
      <c r="N957">
        <v>3</v>
      </c>
      <c r="O957">
        <v>0</v>
      </c>
      <c r="P957">
        <v>1</v>
      </c>
      <c r="Q957" t="s">
        <v>21</v>
      </c>
    </row>
    <row r="958" spans="1:17" x14ac:dyDescent="0.55000000000000004">
      <c r="A958">
        <v>0</v>
      </c>
      <c r="B958" t="s">
        <v>1</v>
      </c>
      <c r="C958">
        <v>0.2</v>
      </c>
      <c r="D958" t="s">
        <v>68</v>
      </c>
      <c r="E958" t="s">
        <v>319</v>
      </c>
      <c r="F958" t="s">
        <v>320</v>
      </c>
      <c r="G958" t="s">
        <v>1</v>
      </c>
      <c r="H958">
        <v>5.0410000000000004</v>
      </c>
      <c r="I958" t="s">
        <v>461</v>
      </c>
      <c r="K958">
        <v>105288239</v>
      </c>
      <c r="L958" s="2">
        <v>43053</v>
      </c>
      <c r="M958">
        <v>21</v>
      </c>
      <c r="N958">
        <v>1</v>
      </c>
      <c r="O958">
        <v>0</v>
      </c>
      <c r="P958">
        <v>1</v>
      </c>
      <c r="Q958" t="s">
        <v>15</v>
      </c>
    </row>
    <row r="959" spans="1:17" x14ac:dyDescent="0.55000000000000004">
      <c r="A959">
        <v>0</v>
      </c>
      <c r="B959" t="s">
        <v>1</v>
      </c>
      <c r="C959">
        <v>8.9999999999999993E-3</v>
      </c>
      <c r="D959" t="s">
        <v>68</v>
      </c>
      <c r="E959" t="s">
        <v>321</v>
      </c>
      <c r="F959" t="s">
        <v>201</v>
      </c>
      <c r="G959" t="s">
        <v>1</v>
      </c>
      <c r="H959">
        <v>5.0750000000000002</v>
      </c>
      <c r="I959" t="s">
        <v>461</v>
      </c>
      <c r="K959">
        <v>105067208</v>
      </c>
      <c r="L959" s="2">
        <v>42836</v>
      </c>
      <c r="M959">
        <v>21</v>
      </c>
      <c r="N959">
        <v>1</v>
      </c>
      <c r="O959">
        <v>0</v>
      </c>
      <c r="P959">
        <v>1</v>
      </c>
      <c r="Q959" t="s">
        <v>21</v>
      </c>
    </row>
    <row r="960" spans="1:17" x14ac:dyDescent="0.55000000000000004">
      <c r="A960">
        <v>0</v>
      </c>
      <c r="B960" t="s">
        <v>1</v>
      </c>
      <c r="C960">
        <v>0.1</v>
      </c>
      <c r="D960" t="s">
        <v>18</v>
      </c>
      <c r="E960" t="s">
        <v>201</v>
      </c>
      <c r="F960" t="s">
        <v>319</v>
      </c>
      <c r="G960" t="s">
        <v>1</v>
      </c>
      <c r="H960">
        <v>5.2380000000000004</v>
      </c>
      <c r="I960" t="s">
        <v>461</v>
      </c>
      <c r="K960">
        <v>106096010</v>
      </c>
      <c r="L960" s="2">
        <v>43812</v>
      </c>
      <c r="M960">
        <v>19</v>
      </c>
      <c r="N960">
        <v>3</v>
      </c>
      <c r="O960">
        <v>5</v>
      </c>
      <c r="P960">
        <v>1</v>
      </c>
      <c r="Q960" t="s">
        <v>21</v>
      </c>
    </row>
    <row r="961" spans="1:17" x14ac:dyDescent="0.55000000000000004">
      <c r="A961">
        <v>0</v>
      </c>
      <c r="B961" t="s">
        <v>1</v>
      </c>
      <c r="C961">
        <v>0.1</v>
      </c>
      <c r="D961" t="s">
        <v>18</v>
      </c>
      <c r="E961" t="s">
        <v>201</v>
      </c>
      <c r="F961" t="s">
        <v>315</v>
      </c>
      <c r="G961" t="s">
        <v>1</v>
      </c>
      <c r="H961">
        <v>5.2380000000000004</v>
      </c>
      <c r="I961" t="s">
        <v>461</v>
      </c>
      <c r="K961">
        <v>104865579</v>
      </c>
      <c r="L961" s="2">
        <v>42627</v>
      </c>
      <c r="M961">
        <v>21</v>
      </c>
      <c r="N961">
        <v>1</v>
      </c>
      <c r="O961">
        <v>0</v>
      </c>
      <c r="P961">
        <v>5</v>
      </c>
      <c r="Q961" t="s">
        <v>45</v>
      </c>
    </row>
    <row r="962" spans="1:17" x14ac:dyDescent="0.55000000000000004">
      <c r="A962">
        <v>0</v>
      </c>
      <c r="B962" t="s">
        <v>1</v>
      </c>
      <c r="C962">
        <v>5.7000000000000002E-2</v>
      </c>
      <c r="D962" t="s">
        <v>18</v>
      </c>
      <c r="E962" t="s">
        <v>201</v>
      </c>
      <c r="F962" t="s">
        <v>312</v>
      </c>
      <c r="G962" t="s">
        <v>1</v>
      </c>
      <c r="H962">
        <v>5.2809999999999997</v>
      </c>
      <c r="I962" t="s">
        <v>461</v>
      </c>
      <c r="K962">
        <v>105912749</v>
      </c>
      <c r="L962" s="2">
        <v>43644</v>
      </c>
      <c r="M962">
        <v>5</v>
      </c>
      <c r="N962">
        <v>1</v>
      </c>
      <c r="O962">
        <v>0</v>
      </c>
      <c r="P962">
        <v>1</v>
      </c>
      <c r="Q962" t="s">
        <v>21</v>
      </c>
    </row>
    <row r="963" spans="1:17" x14ac:dyDescent="0.55000000000000004">
      <c r="A963">
        <v>0</v>
      </c>
      <c r="B963" t="s">
        <v>1</v>
      </c>
      <c r="C963">
        <v>2E-3</v>
      </c>
      <c r="D963" t="s">
        <v>18</v>
      </c>
      <c r="E963" t="s">
        <v>201</v>
      </c>
      <c r="F963" t="s">
        <v>319</v>
      </c>
      <c r="G963" t="s">
        <v>1</v>
      </c>
      <c r="H963">
        <v>5.3360000000000003</v>
      </c>
      <c r="I963" t="s">
        <v>461</v>
      </c>
      <c r="K963">
        <v>106011488</v>
      </c>
      <c r="L963" s="2">
        <v>43734</v>
      </c>
      <c r="M963">
        <v>23</v>
      </c>
      <c r="N963">
        <v>1</v>
      </c>
      <c r="O963">
        <v>0</v>
      </c>
      <c r="P963">
        <v>1</v>
      </c>
      <c r="Q963" t="s">
        <v>21</v>
      </c>
    </row>
    <row r="964" spans="1:17" x14ac:dyDescent="0.55000000000000004">
      <c r="A964">
        <v>0</v>
      </c>
      <c r="B964" t="s">
        <v>1</v>
      </c>
      <c r="C964">
        <v>0</v>
      </c>
      <c r="E964" t="s">
        <v>201</v>
      </c>
      <c r="F964" t="s">
        <v>319</v>
      </c>
      <c r="G964" t="s">
        <v>1</v>
      </c>
      <c r="H964">
        <v>5.3380000000000001</v>
      </c>
      <c r="I964" t="s">
        <v>461</v>
      </c>
      <c r="K964">
        <v>105406790</v>
      </c>
      <c r="L964" s="2">
        <v>43168</v>
      </c>
      <c r="M964">
        <v>19</v>
      </c>
      <c r="N964">
        <v>1</v>
      </c>
      <c r="O964">
        <v>8</v>
      </c>
      <c r="P964">
        <v>1</v>
      </c>
      <c r="Q964" t="s">
        <v>15</v>
      </c>
    </row>
    <row r="965" spans="1:17" x14ac:dyDescent="0.55000000000000004">
      <c r="A965">
        <v>0</v>
      </c>
      <c r="B965" t="s">
        <v>1</v>
      </c>
      <c r="C965">
        <v>0</v>
      </c>
      <c r="E965" t="s">
        <v>201</v>
      </c>
      <c r="F965" t="s">
        <v>54</v>
      </c>
      <c r="G965" t="s">
        <v>1</v>
      </c>
      <c r="H965">
        <v>5.3380000000000001</v>
      </c>
      <c r="I965" t="s">
        <v>461</v>
      </c>
      <c r="K965">
        <v>105604944</v>
      </c>
      <c r="L965" s="2">
        <v>43360</v>
      </c>
      <c r="M965">
        <v>24</v>
      </c>
      <c r="N965">
        <v>1</v>
      </c>
      <c r="O965">
        <v>9</v>
      </c>
      <c r="P965">
        <v>1</v>
      </c>
      <c r="Q965" t="s">
        <v>21</v>
      </c>
    </row>
    <row r="966" spans="1:17" x14ac:dyDescent="0.55000000000000004">
      <c r="A966">
        <v>0</v>
      </c>
      <c r="B966" t="s">
        <v>1</v>
      </c>
      <c r="C966">
        <v>0.1</v>
      </c>
      <c r="D966" t="s">
        <v>68</v>
      </c>
      <c r="E966" t="s">
        <v>201</v>
      </c>
      <c r="F966" t="s">
        <v>0</v>
      </c>
      <c r="G966" t="s">
        <v>1</v>
      </c>
      <c r="H966">
        <v>5.4379999999999997</v>
      </c>
      <c r="I966" t="s">
        <v>461</v>
      </c>
      <c r="K966">
        <v>104890099</v>
      </c>
      <c r="L966" s="2">
        <v>42662</v>
      </c>
      <c r="M966">
        <v>17</v>
      </c>
      <c r="N966">
        <v>1</v>
      </c>
      <c r="O966">
        <v>0</v>
      </c>
      <c r="P966">
        <v>5</v>
      </c>
      <c r="Q966" t="s">
        <v>21</v>
      </c>
    </row>
    <row r="967" spans="1:17" x14ac:dyDescent="0.55000000000000004">
      <c r="A967">
        <v>0</v>
      </c>
      <c r="B967" t="s">
        <v>1</v>
      </c>
      <c r="C967">
        <v>0.1</v>
      </c>
      <c r="D967" t="s">
        <v>23</v>
      </c>
      <c r="E967" t="s">
        <v>201</v>
      </c>
      <c r="F967" t="s">
        <v>322</v>
      </c>
      <c r="G967" t="s">
        <v>1</v>
      </c>
      <c r="H967">
        <v>5.4379999999999997</v>
      </c>
      <c r="I967" t="s">
        <v>461</v>
      </c>
      <c r="K967">
        <v>105277104</v>
      </c>
      <c r="L967" s="2">
        <v>43043</v>
      </c>
      <c r="M967">
        <v>17</v>
      </c>
      <c r="N967">
        <v>1</v>
      </c>
      <c r="O967">
        <v>0</v>
      </c>
      <c r="P967">
        <v>5</v>
      </c>
      <c r="Q967" t="s">
        <v>21</v>
      </c>
    </row>
    <row r="968" spans="1:17" x14ac:dyDescent="0.55000000000000004">
      <c r="A968">
        <v>0</v>
      </c>
      <c r="B968" t="s">
        <v>1</v>
      </c>
      <c r="C968">
        <v>0.2</v>
      </c>
      <c r="D968" t="s">
        <v>68</v>
      </c>
      <c r="E968" t="s">
        <v>201</v>
      </c>
      <c r="F968" t="s">
        <v>0</v>
      </c>
      <c r="G968" t="s">
        <v>1</v>
      </c>
      <c r="H968">
        <v>5.5380000000000003</v>
      </c>
      <c r="I968" t="s">
        <v>461</v>
      </c>
      <c r="K968">
        <v>105266728</v>
      </c>
      <c r="L968" s="2">
        <v>43033</v>
      </c>
      <c r="M968">
        <v>17</v>
      </c>
      <c r="N968">
        <v>1</v>
      </c>
      <c r="O968">
        <v>0</v>
      </c>
      <c r="P968">
        <v>1</v>
      </c>
      <c r="Q968" t="s">
        <v>21</v>
      </c>
    </row>
    <row r="969" spans="1:17" x14ac:dyDescent="0.55000000000000004">
      <c r="A969">
        <v>0</v>
      </c>
      <c r="B969" t="s">
        <v>1</v>
      </c>
      <c r="C969">
        <v>0.2</v>
      </c>
      <c r="D969" t="s">
        <v>18</v>
      </c>
      <c r="E969" t="s">
        <v>323</v>
      </c>
      <c r="F969" t="s">
        <v>201</v>
      </c>
      <c r="G969" t="s">
        <v>1</v>
      </c>
      <c r="H969">
        <v>5.577</v>
      </c>
      <c r="I969" t="s">
        <v>461</v>
      </c>
      <c r="K969">
        <v>105402222</v>
      </c>
      <c r="L969" s="2">
        <v>43150</v>
      </c>
      <c r="M969">
        <v>21</v>
      </c>
      <c r="N969">
        <v>2</v>
      </c>
      <c r="O969">
        <v>0</v>
      </c>
      <c r="P969">
        <v>1</v>
      </c>
      <c r="Q969" t="s">
        <v>21</v>
      </c>
    </row>
    <row r="970" spans="1:17" x14ac:dyDescent="0.55000000000000004">
      <c r="A970">
        <v>414</v>
      </c>
      <c r="B970" t="s">
        <v>1</v>
      </c>
      <c r="C970">
        <v>0.2</v>
      </c>
      <c r="D970" t="s">
        <v>18</v>
      </c>
      <c r="E970" t="s">
        <v>323</v>
      </c>
      <c r="F970" t="s">
        <v>201</v>
      </c>
      <c r="G970" t="s">
        <v>1</v>
      </c>
      <c r="H970">
        <v>5.577</v>
      </c>
      <c r="I970" t="s">
        <v>461</v>
      </c>
      <c r="K970">
        <v>104919535</v>
      </c>
      <c r="L970" s="2">
        <v>42691</v>
      </c>
      <c r="M970">
        <v>17</v>
      </c>
      <c r="N970">
        <v>1</v>
      </c>
      <c r="O970">
        <v>0</v>
      </c>
      <c r="P970">
        <v>1</v>
      </c>
      <c r="Q970" t="s">
        <v>21</v>
      </c>
    </row>
    <row r="971" spans="1:17" x14ac:dyDescent="0.55000000000000004">
      <c r="A971">
        <v>0</v>
      </c>
      <c r="B971" t="s">
        <v>1</v>
      </c>
      <c r="C971">
        <v>0.5</v>
      </c>
      <c r="D971" t="s">
        <v>18</v>
      </c>
      <c r="E971" t="s">
        <v>0</v>
      </c>
      <c r="F971" t="s">
        <v>54</v>
      </c>
      <c r="G971" t="s">
        <v>1</v>
      </c>
      <c r="H971">
        <v>5.633</v>
      </c>
      <c r="I971" t="s">
        <v>461</v>
      </c>
      <c r="J971" t="s">
        <v>174</v>
      </c>
      <c r="K971">
        <v>105708807</v>
      </c>
      <c r="L971" s="2">
        <v>43444</v>
      </c>
      <c r="M971">
        <v>19</v>
      </c>
      <c r="N971">
        <v>2</v>
      </c>
      <c r="O971">
        <v>0</v>
      </c>
      <c r="P971">
        <v>1</v>
      </c>
      <c r="Q971" t="s">
        <v>21</v>
      </c>
    </row>
    <row r="972" spans="1:17" x14ac:dyDescent="0.55000000000000004">
      <c r="A972">
        <v>414</v>
      </c>
      <c r="B972" t="s">
        <v>1</v>
      </c>
      <c r="C972">
        <v>0.5</v>
      </c>
      <c r="D972" t="s">
        <v>18</v>
      </c>
      <c r="E972" t="s">
        <v>0</v>
      </c>
      <c r="F972" t="s">
        <v>323</v>
      </c>
      <c r="G972" t="s">
        <v>1</v>
      </c>
      <c r="H972">
        <v>5.633</v>
      </c>
      <c r="I972" t="s">
        <v>461</v>
      </c>
      <c r="J972" t="s">
        <v>174</v>
      </c>
      <c r="K972">
        <v>106324191</v>
      </c>
      <c r="L972" s="2">
        <v>44073</v>
      </c>
      <c r="M972">
        <v>19</v>
      </c>
      <c r="N972">
        <v>1</v>
      </c>
      <c r="O972">
        <v>0</v>
      </c>
      <c r="P972">
        <v>1</v>
      </c>
      <c r="Q972" t="s">
        <v>21</v>
      </c>
    </row>
    <row r="973" spans="1:17" x14ac:dyDescent="0.55000000000000004">
      <c r="A973">
        <v>0</v>
      </c>
      <c r="B973" t="s">
        <v>1</v>
      </c>
      <c r="C973">
        <v>1</v>
      </c>
      <c r="D973" t="s">
        <v>23</v>
      </c>
      <c r="E973" t="s">
        <v>54</v>
      </c>
      <c r="F973" t="s">
        <v>286</v>
      </c>
      <c r="G973" t="s">
        <v>1</v>
      </c>
      <c r="H973">
        <v>5.6539999999999999</v>
      </c>
      <c r="I973" t="s">
        <v>461</v>
      </c>
      <c r="K973">
        <v>105095085</v>
      </c>
      <c r="L973" s="2">
        <v>42863</v>
      </c>
      <c r="M973">
        <v>21</v>
      </c>
      <c r="N973">
        <v>1</v>
      </c>
      <c r="O973">
        <v>0</v>
      </c>
      <c r="P973">
        <v>1</v>
      </c>
      <c r="Q973" t="s">
        <v>21</v>
      </c>
    </row>
    <row r="974" spans="1:17" x14ac:dyDescent="0.55000000000000004">
      <c r="A974">
        <v>0</v>
      </c>
      <c r="B974" t="s">
        <v>1</v>
      </c>
      <c r="C974">
        <v>0.1</v>
      </c>
      <c r="D974" t="s">
        <v>18</v>
      </c>
      <c r="E974" t="s">
        <v>323</v>
      </c>
      <c r="F974" t="s">
        <v>201</v>
      </c>
      <c r="G974" t="s">
        <v>1</v>
      </c>
      <c r="H974">
        <v>5.6769999999999996</v>
      </c>
      <c r="I974" t="s">
        <v>461</v>
      </c>
      <c r="K974">
        <v>106390771</v>
      </c>
      <c r="L974" s="2">
        <v>44136</v>
      </c>
      <c r="M974">
        <v>23</v>
      </c>
      <c r="N974">
        <v>1</v>
      </c>
      <c r="O974">
        <v>0</v>
      </c>
      <c r="P974">
        <v>1</v>
      </c>
      <c r="Q974" t="s">
        <v>45</v>
      </c>
    </row>
    <row r="975" spans="1:17" x14ac:dyDescent="0.55000000000000004">
      <c r="A975">
        <v>414</v>
      </c>
      <c r="B975" t="s">
        <v>1</v>
      </c>
      <c r="C975">
        <v>3.7999999999999999E-2</v>
      </c>
      <c r="D975" t="s">
        <v>30</v>
      </c>
      <c r="E975" t="s">
        <v>324</v>
      </c>
      <c r="F975" t="s">
        <v>0</v>
      </c>
      <c r="G975" t="s">
        <v>1</v>
      </c>
      <c r="H975">
        <v>5.7389999999999999</v>
      </c>
      <c r="I975" t="s">
        <v>461</v>
      </c>
      <c r="K975">
        <v>105224017</v>
      </c>
      <c r="L975" s="2">
        <v>42995</v>
      </c>
      <c r="M975">
        <v>17</v>
      </c>
      <c r="N975">
        <v>1</v>
      </c>
      <c r="O975">
        <v>0</v>
      </c>
      <c r="P975">
        <v>1</v>
      </c>
      <c r="Q975" t="s">
        <v>21</v>
      </c>
    </row>
    <row r="976" spans="1:17" x14ac:dyDescent="0.55000000000000004">
      <c r="A976">
        <v>0</v>
      </c>
      <c r="B976" t="s">
        <v>1</v>
      </c>
      <c r="C976">
        <v>5.7000000000000002E-2</v>
      </c>
      <c r="D976" t="s">
        <v>68</v>
      </c>
      <c r="E976" t="s">
        <v>323</v>
      </c>
      <c r="F976" t="s">
        <v>0</v>
      </c>
      <c r="G976" t="s">
        <v>1</v>
      </c>
      <c r="H976">
        <v>5.8339999999999996</v>
      </c>
      <c r="I976" t="s">
        <v>461</v>
      </c>
      <c r="K976">
        <v>106098316</v>
      </c>
      <c r="L976" s="2">
        <v>43812</v>
      </c>
      <c r="M976">
        <v>19</v>
      </c>
      <c r="N976">
        <v>1</v>
      </c>
      <c r="O976">
        <v>0</v>
      </c>
      <c r="P976">
        <v>5</v>
      </c>
    </row>
    <row r="977" spans="1:17" x14ac:dyDescent="0.55000000000000004">
      <c r="A977">
        <v>0</v>
      </c>
      <c r="B977" t="s">
        <v>1</v>
      </c>
      <c r="C977">
        <v>0.5</v>
      </c>
      <c r="D977" t="s">
        <v>68</v>
      </c>
      <c r="E977" t="s">
        <v>201</v>
      </c>
      <c r="F977" t="s">
        <v>0</v>
      </c>
      <c r="G977" t="s">
        <v>1</v>
      </c>
      <c r="H977">
        <v>5.8380000000000001</v>
      </c>
      <c r="I977" t="s">
        <v>461</v>
      </c>
      <c r="K977">
        <v>105844880</v>
      </c>
      <c r="L977" s="2">
        <v>43581</v>
      </c>
      <c r="M977">
        <v>18</v>
      </c>
      <c r="N977">
        <v>1</v>
      </c>
      <c r="O977">
        <v>4</v>
      </c>
      <c r="P977">
        <v>1</v>
      </c>
      <c r="Q977" t="s">
        <v>21</v>
      </c>
    </row>
    <row r="978" spans="1:17" x14ac:dyDescent="0.55000000000000004">
      <c r="A978">
        <v>0</v>
      </c>
      <c r="B978" t="s">
        <v>1</v>
      </c>
      <c r="C978">
        <v>0.5</v>
      </c>
      <c r="D978" t="s">
        <v>68</v>
      </c>
      <c r="E978" t="s">
        <v>201</v>
      </c>
      <c r="F978" t="s">
        <v>1</v>
      </c>
      <c r="G978" t="s">
        <v>1</v>
      </c>
      <c r="H978">
        <v>5.8380000000000001</v>
      </c>
      <c r="I978" t="s">
        <v>461</v>
      </c>
      <c r="K978">
        <v>105844879</v>
      </c>
      <c r="L978" s="2">
        <v>43581</v>
      </c>
      <c r="M978">
        <v>19</v>
      </c>
      <c r="N978">
        <v>1</v>
      </c>
      <c r="O978">
        <v>5</v>
      </c>
      <c r="P978">
        <v>1</v>
      </c>
      <c r="Q978" t="s">
        <v>21</v>
      </c>
    </row>
    <row r="979" spans="1:17" x14ac:dyDescent="0.55000000000000004">
      <c r="A979">
        <v>414</v>
      </c>
      <c r="B979" t="s">
        <v>1</v>
      </c>
      <c r="C979">
        <v>0.1</v>
      </c>
      <c r="D979" t="s">
        <v>18</v>
      </c>
      <c r="E979" t="s">
        <v>0</v>
      </c>
      <c r="F979" t="s">
        <v>325</v>
      </c>
      <c r="G979" t="s">
        <v>1</v>
      </c>
      <c r="H979">
        <v>6.0330000000000004</v>
      </c>
      <c r="I979" t="s">
        <v>461</v>
      </c>
      <c r="J979" t="s">
        <v>174</v>
      </c>
      <c r="K979">
        <v>106162589</v>
      </c>
      <c r="L979" s="2">
        <v>43881</v>
      </c>
      <c r="M979">
        <v>19</v>
      </c>
      <c r="N979">
        <v>2</v>
      </c>
      <c r="O979">
        <v>0</v>
      </c>
      <c r="P979">
        <v>1</v>
      </c>
      <c r="Q979" t="s">
        <v>21</v>
      </c>
    </row>
    <row r="980" spans="1:17" x14ac:dyDescent="0.55000000000000004">
      <c r="A980">
        <v>414</v>
      </c>
      <c r="B980" t="s">
        <v>1</v>
      </c>
      <c r="C980">
        <v>0.1</v>
      </c>
      <c r="D980" t="s">
        <v>18</v>
      </c>
      <c r="E980" t="s">
        <v>0</v>
      </c>
      <c r="F980" t="s">
        <v>323</v>
      </c>
      <c r="G980" t="s">
        <v>1</v>
      </c>
      <c r="H980">
        <v>6.0330000000000004</v>
      </c>
      <c r="I980" t="s">
        <v>461</v>
      </c>
      <c r="J980" t="s">
        <v>174</v>
      </c>
      <c r="K980">
        <v>106408534</v>
      </c>
      <c r="L980" s="2">
        <v>44152</v>
      </c>
      <c r="M980">
        <v>17</v>
      </c>
      <c r="N980">
        <v>1</v>
      </c>
      <c r="O980">
        <v>0</v>
      </c>
      <c r="P980">
        <v>5</v>
      </c>
      <c r="Q980" t="s">
        <v>21</v>
      </c>
    </row>
    <row r="981" spans="1:17" x14ac:dyDescent="0.55000000000000004">
      <c r="A981">
        <v>414</v>
      </c>
      <c r="B981" t="s">
        <v>1</v>
      </c>
      <c r="C981">
        <v>3.7999999999999999E-2</v>
      </c>
      <c r="D981" t="s">
        <v>18</v>
      </c>
      <c r="E981" t="s">
        <v>0</v>
      </c>
      <c r="F981" t="s">
        <v>201</v>
      </c>
      <c r="G981" t="s">
        <v>1</v>
      </c>
      <c r="H981">
        <v>6.0949999999999998</v>
      </c>
      <c r="I981" t="s">
        <v>461</v>
      </c>
      <c r="J981" t="s">
        <v>174</v>
      </c>
      <c r="K981">
        <v>105924740</v>
      </c>
      <c r="L981" s="2">
        <v>43659</v>
      </c>
      <c r="M981">
        <v>26</v>
      </c>
      <c r="N981">
        <v>2</v>
      </c>
      <c r="O981">
        <v>0</v>
      </c>
      <c r="P981">
        <v>5</v>
      </c>
      <c r="Q981" t="s">
        <v>21</v>
      </c>
    </row>
    <row r="982" spans="1:17" x14ac:dyDescent="0.55000000000000004">
      <c r="A982">
        <v>414</v>
      </c>
      <c r="B982" t="s">
        <v>1</v>
      </c>
      <c r="C982">
        <v>1.4E-2</v>
      </c>
      <c r="D982" t="s">
        <v>18</v>
      </c>
      <c r="E982" t="s">
        <v>0</v>
      </c>
      <c r="F982" t="s">
        <v>324</v>
      </c>
      <c r="G982" t="s">
        <v>1</v>
      </c>
      <c r="H982">
        <v>6.1189999999999998</v>
      </c>
      <c r="I982" t="s">
        <v>461</v>
      </c>
      <c r="J982" t="s">
        <v>174</v>
      </c>
      <c r="K982">
        <v>106376995</v>
      </c>
      <c r="L982" s="2">
        <v>44126</v>
      </c>
      <c r="M982">
        <v>21</v>
      </c>
      <c r="N982">
        <v>1</v>
      </c>
      <c r="O982">
        <v>0</v>
      </c>
      <c r="P982">
        <v>1</v>
      </c>
      <c r="Q982" t="s">
        <v>21</v>
      </c>
    </row>
    <row r="983" spans="1:17" x14ac:dyDescent="0.55000000000000004">
      <c r="A983">
        <v>414</v>
      </c>
      <c r="B983" t="s">
        <v>1</v>
      </c>
      <c r="C983">
        <v>2E-3</v>
      </c>
      <c r="D983" t="s">
        <v>30</v>
      </c>
      <c r="E983" t="s">
        <v>0</v>
      </c>
      <c r="F983" t="s">
        <v>325</v>
      </c>
      <c r="G983" t="s">
        <v>1</v>
      </c>
      <c r="H983">
        <v>6.1310000000000002</v>
      </c>
      <c r="I983" t="s">
        <v>461</v>
      </c>
      <c r="J983" t="s">
        <v>174</v>
      </c>
      <c r="K983">
        <v>106092309</v>
      </c>
      <c r="L983" s="2">
        <v>43810</v>
      </c>
      <c r="M983">
        <v>21</v>
      </c>
      <c r="N983">
        <v>1</v>
      </c>
      <c r="O983">
        <v>8</v>
      </c>
      <c r="P983">
        <v>1</v>
      </c>
      <c r="Q983" t="s">
        <v>21</v>
      </c>
    </row>
    <row r="984" spans="1:17" x14ac:dyDescent="0.55000000000000004">
      <c r="A984">
        <v>0</v>
      </c>
      <c r="B984" t="s">
        <v>1</v>
      </c>
      <c r="C984">
        <v>0.1</v>
      </c>
      <c r="D984" t="s">
        <v>18</v>
      </c>
      <c r="E984" t="s">
        <v>39</v>
      </c>
      <c r="F984" t="s">
        <v>0</v>
      </c>
      <c r="G984" t="s">
        <v>1</v>
      </c>
      <c r="H984">
        <v>7.7679999999999998</v>
      </c>
      <c r="I984" t="s">
        <v>461</v>
      </c>
      <c r="K984">
        <v>105740217</v>
      </c>
      <c r="L984" s="2">
        <v>43466</v>
      </c>
      <c r="M984">
        <v>19</v>
      </c>
      <c r="N984">
        <v>2</v>
      </c>
      <c r="O984">
        <v>0</v>
      </c>
      <c r="P984">
        <v>5</v>
      </c>
      <c r="Q984" t="s">
        <v>21</v>
      </c>
    </row>
    <row r="985" spans="1:17" x14ac:dyDescent="0.55000000000000004">
      <c r="A985">
        <v>0</v>
      </c>
      <c r="B985" t="s">
        <v>1</v>
      </c>
      <c r="C985">
        <v>2.8000000000000001E-2</v>
      </c>
      <c r="D985" t="s">
        <v>18</v>
      </c>
      <c r="E985" t="s">
        <v>39</v>
      </c>
      <c r="F985" t="s">
        <v>0</v>
      </c>
      <c r="G985" t="s">
        <v>1</v>
      </c>
      <c r="H985">
        <v>7.84</v>
      </c>
      <c r="I985" t="s">
        <v>461</v>
      </c>
      <c r="K985">
        <v>105638945</v>
      </c>
      <c r="L985" s="2">
        <v>43389</v>
      </c>
      <c r="M985">
        <v>29</v>
      </c>
      <c r="N985">
        <v>1</v>
      </c>
      <c r="O985">
        <v>0</v>
      </c>
      <c r="P985">
        <v>1</v>
      </c>
      <c r="Q985" t="s">
        <v>21</v>
      </c>
    </row>
    <row r="986" spans="1:17" x14ac:dyDescent="0.55000000000000004">
      <c r="A986">
        <v>0</v>
      </c>
      <c r="B986" t="s">
        <v>1</v>
      </c>
      <c r="C986">
        <v>1.9E-2</v>
      </c>
      <c r="D986" t="s">
        <v>18</v>
      </c>
      <c r="E986" t="s">
        <v>39</v>
      </c>
      <c r="F986" t="s">
        <v>0</v>
      </c>
      <c r="G986" t="s">
        <v>1</v>
      </c>
      <c r="H986">
        <v>7.8490000000000002</v>
      </c>
      <c r="I986" t="s">
        <v>461</v>
      </c>
      <c r="K986">
        <v>106430514</v>
      </c>
      <c r="L986" s="2">
        <v>44173</v>
      </c>
      <c r="M986">
        <v>29</v>
      </c>
      <c r="N986">
        <v>1</v>
      </c>
      <c r="O986">
        <v>0</v>
      </c>
      <c r="P986">
        <v>5</v>
      </c>
      <c r="Q986" t="s">
        <v>21</v>
      </c>
    </row>
    <row r="987" spans="1:17" x14ac:dyDescent="0.55000000000000004">
      <c r="A987">
        <v>0</v>
      </c>
      <c r="B987" t="s">
        <v>1</v>
      </c>
      <c r="C987">
        <v>0</v>
      </c>
      <c r="E987" t="s">
        <v>39</v>
      </c>
      <c r="F987" t="s">
        <v>0</v>
      </c>
      <c r="G987" t="s">
        <v>1</v>
      </c>
      <c r="H987">
        <v>7.8680000000000003</v>
      </c>
      <c r="I987" t="s">
        <v>461</v>
      </c>
      <c r="K987">
        <v>106634573</v>
      </c>
      <c r="L987" s="2">
        <v>44387</v>
      </c>
      <c r="M987">
        <v>24</v>
      </c>
      <c r="N987">
        <v>1</v>
      </c>
      <c r="O987">
        <v>9</v>
      </c>
      <c r="P987">
        <v>1</v>
      </c>
      <c r="Q987" t="s">
        <v>21</v>
      </c>
    </row>
    <row r="988" spans="1:17" x14ac:dyDescent="0.55000000000000004">
      <c r="A988">
        <v>0</v>
      </c>
      <c r="B988" t="s">
        <v>1</v>
      </c>
      <c r="C988">
        <v>0</v>
      </c>
      <c r="E988" t="s">
        <v>39</v>
      </c>
      <c r="F988" t="s">
        <v>326</v>
      </c>
      <c r="G988" t="s">
        <v>1</v>
      </c>
      <c r="H988">
        <v>7.8680000000000003</v>
      </c>
      <c r="I988" t="s">
        <v>461</v>
      </c>
      <c r="K988">
        <v>106632725</v>
      </c>
      <c r="L988" s="2">
        <v>44379</v>
      </c>
      <c r="M988">
        <v>26</v>
      </c>
      <c r="N988">
        <v>1</v>
      </c>
      <c r="O988">
        <v>9</v>
      </c>
      <c r="P988">
        <v>1</v>
      </c>
      <c r="Q988" t="s">
        <v>45</v>
      </c>
    </row>
    <row r="989" spans="1:17" x14ac:dyDescent="0.55000000000000004">
      <c r="A989">
        <v>0</v>
      </c>
      <c r="B989" t="s">
        <v>1</v>
      </c>
      <c r="C989">
        <v>0</v>
      </c>
      <c r="E989" t="s">
        <v>39</v>
      </c>
      <c r="F989" t="s">
        <v>210</v>
      </c>
      <c r="G989" t="s">
        <v>1</v>
      </c>
      <c r="H989">
        <v>7.8680000000000003</v>
      </c>
      <c r="I989" t="s">
        <v>461</v>
      </c>
      <c r="K989">
        <v>106533141</v>
      </c>
      <c r="L989" s="2">
        <v>44287</v>
      </c>
      <c r="M989">
        <v>23</v>
      </c>
      <c r="N989">
        <v>1</v>
      </c>
      <c r="O989">
        <v>9</v>
      </c>
      <c r="P989">
        <v>1</v>
      </c>
      <c r="Q989" t="s">
        <v>15</v>
      </c>
    </row>
    <row r="990" spans="1:17" x14ac:dyDescent="0.55000000000000004">
      <c r="A990">
        <v>0</v>
      </c>
      <c r="B990" t="s">
        <v>1</v>
      </c>
      <c r="C990">
        <v>0.2</v>
      </c>
      <c r="D990" t="s">
        <v>68</v>
      </c>
      <c r="E990" t="s">
        <v>0</v>
      </c>
      <c r="F990" t="s">
        <v>49</v>
      </c>
      <c r="G990" t="s">
        <v>1</v>
      </c>
      <c r="H990">
        <v>7.9050000000000002</v>
      </c>
      <c r="I990" t="s">
        <v>461</v>
      </c>
      <c r="J990" t="s">
        <v>174</v>
      </c>
      <c r="K990">
        <v>106684636</v>
      </c>
      <c r="L990" s="2">
        <v>44434</v>
      </c>
      <c r="M990">
        <v>17</v>
      </c>
      <c r="N990">
        <v>1</v>
      </c>
      <c r="O990">
        <v>0</v>
      </c>
      <c r="P990">
        <v>5</v>
      </c>
      <c r="Q990" t="s">
        <v>21</v>
      </c>
    </row>
    <row r="991" spans="1:17" x14ac:dyDescent="0.55000000000000004">
      <c r="A991">
        <v>0</v>
      </c>
      <c r="B991" t="s">
        <v>1</v>
      </c>
      <c r="C991">
        <v>9.5000000000000001E-2</v>
      </c>
      <c r="D991" t="s">
        <v>23</v>
      </c>
      <c r="E991" t="s">
        <v>39</v>
      </c>
      <c r="F991" t="s">
        <v>327</v>
      </c>
      <c r="G991" t="s">
        <v>1</v>
      </c>
      <c r="H991">
        <v>7.9630000000000001</v>
      </c>
      <c r="I991" t="s">
        <v>461</v>
      </c>
      <c r="K991">
        <v>106429850</v>
      </c>
      <c r="L991" s="2">
        <v>44173</v>
      </c>
      <c r="M991">
        <v>18</v>
      </c>
      <c r="N991">
        <v>1</v>
      </c>
      <c r="O991">
        <v>0</v>
      </c>
      <c r="P991">
        <v>1</v>
      </c>
      <c r="Q991" t="s">
        <v>21</v>
      </c>
    </row>
    <row r="992" spans="1:17" x14ac:dyDescent="0.55000000000000004">
      <c r="A992">
        <v>0</v>
      </c>
      <c r="B992" t="s">
        <v>1</v>
      </c>
      <c r="C992">
        <v>0.5</v>
      </c>
      <c r="D992" t="s">
        <v>68</v>
      </c>
      <c r="E992" t="s">
        <v>0</v>
      </c>
      <c r="F992" t="s">
        <v>212</v>
      </c>
      <c r="G992" t="s">
        <v>1</v>
      </c>
      <c r="H992">
        <v>8.2050000000000001</v>
      </c>
      <c r="I992" t="s">
        <v>461</v>
      </c>
      <c r="J992" t="s">
        <v>174</v>
      </c>
      <c r="K992">
        <v>105205510</v>
      </c>
      <c r="L992" s="2">
        <v>42976</v>
      </c>
      <c r="M992">
        <v>20</v>
      </c>
      <c r="N992">
        <v>1</v>
      </c>
      <c r="O992">
        <v>0</v>
      </c>
      <c r="P992">
        <v>5</v>
      </c>
    </row>
    <row r="993" spans="1:17" x14ac:dyDescent="0.55000000000000004">
      <c r="A993">
        <v>0</v>
      </c>
      <c r="B993" t="s">
        <v>1</v>
      </c>
      <c r="C993">
        <v>0.5</v>
      </c>
      <c r="D993" t="s">
        <v>68</v>
      </c>
      <c r="E993" t="s">
        <v>0</v>
      </c>
      <c r="F993" t="s">
        <v>212</v>
      </c>
      <c r="G993" t="s">
        <v>1</v>
      </c>
      <c r="H993">
        <v>8.2050000000000001</v>
      </c>
      <c r="I993" t="s">
        <v>461</v>
      </c>
      <c r="J993" t="s">
        <v>174</v>
      </c>
      <c r="K993">
        <v>105205509</v>
      </c>
      <c r="L993" s="2">
        <v>42976</v>
      </c>
      <c r="M993">
        <v>28</v>
      </c>
      <c r="N993">
        <v>1</v>
      </c>
      <c r="O993">
        <v>0</v>
      </c>
      <c r="P993">
        <v>5</v>
      </c>
    </row>
    <row r="994" spans="1:17" x14ac:dyDescent="0.55000000000000004">
      <c r="A994">
        <v>0</v>
      </c>
      <c r="B994" t="s">
        <v>1</v>
      </c>
      <c r="C994">
        <v>0.5</v>
      </c>
      <c r="D994" t="s">
        <v>68</v>
      </c>
      <c r="E994" t="s">
        <v>39</v>
      </c>
      <c r="F994" t="s">
        <v>327</v>
      </c>
      <c r="G994" t="s">
        <v>1</v>
      </c>
      <c r="H994">
        <v>8.3680000000000003</v>
      </c>
      <c r="I994" t="s">
        <v>461</v>
      </c>
      <c r="K994">
        <v>106429685</v>
      </c>
      <c r="L994" s="2">
        <v>44171</v>
      </c>
      <c r="M994">
        <v>27</v>
      </c>
      <c r="N994">
        <v>1</v>
      </c>
      <c r="O994">
        <v>0</v>
      </c>
      <c r="P994">
        <v>6</v>
      </c>
      <c r="Q994" t="s">
        <v>45</v>
      </c>
    </row>
    <row r="995" spans="1:17" x14ac:dyDescent="0.55000000000000004">
      <c r="A995">
        <v>0</v>
      </c>
      <c r="B995" t="s">
        <v>1</v>
      </c>
      <c r="C995">
        <v>0</v>
      </c>
      <c r="E995" t="s">
        <v>327</v>
      </c>
      <c r="F995" t="s">
        <v>39</v>
      </c>
      <c r="G995" t="s">
        <v>1</v>
      </c>
      <c r="H995">
        <v>8.3770000000000007</v>
      </c>
      <c r="I995" t="s">
        <v>461</v>
      </c>
      <c r="K995">
        <v>105859965</v>
      </c>
      <c r="L995" s="2">
        <v>43594</v>
      </c>
      <c r="M995">
        <v>24</v>
      </c>
      <c r="N995">
        <v>1</v>
      </c>
      <c r="O995">
        <v>7</v>
      </c>
      <c r="P995">
        <v>1</v>
      </c>
      <c r="Q995" t="s">
        <v>15</v>
      </c>
    </row>
    <row r="996" spans="1:17" x14ac:dyDescent="0.55000000000000004">
      <c r="A996">
        <v>0</v>
      </c>
      <c r="B996" t="s">
        <v>1</v>
      </c>
      <c r="C996">
        <v>0.1</v>
      </c>
      <c r="D996" t="s">
        <v>18</v>
      </c>
      <c r="E996" t="s">
        <v>326</v>
      </c>
      <c r="F996" t="s">
        <v>39</v>
      </c>
      <c r="G996" t="s">
        <v>1</v>
      </c>
      <c r="H996">
        <v>8.4779999999999998</v>
      </c>
      <c r="I996" t="s">
        <v>461</v>
      </c>
      <c r="K996">
        <v>106094280</v>
      </c>
      <c r="L996" s="2">
        <v>43811</v>
      </c>
      <c r="M996">
        <v>17</v>
      </c>
      <c r="N996">
        <v>1</v>
      </c>
      <c r="O996">
        <v>0</v>
      </c>
      <c r="P996">
        <v>2</v>
      </c>
      <c r="Q996" t="s">
        <v>21</v>
      </c>
    </row>
    <row r="997" spans="1:17" x14ac:dyDescent="0.55000000000000004">
      <c r="A997">
        <v>0</v>
      </c>
      <c r="B997" t="s">
        <v>1</v>
      </c>
      <c r="C997">
        <v>3.7999999999999999E-2</v>
      </c>
      <c r="D997" t="s">
        <v>18</v>
      </c>
      <c r="E997" t="s">
        <v>326</v>
      </c>
      <c r="F997" t="s">
        <v>39</v>
      </c>
      <c r="G997" t="s">
        <v>1</v>
      </c>
      <c r="H997">
        <v>8.5399999999999991</v>
      </c>
      <c r="I997" t="s">
        <v>461</v>
      </c>
      <c r="K997">
        <v>105970342</v>
      </c>
      <c r="L997" s="2">
        <v>43702</v>
      </c>
      <c r="M997">
        <v>17</v>
      </c>
      <c r="N997">
        <v>1</v>
      </c>
      <c r="O997">
        <v>0</v>
      </c>
      <c r="P997">
        <v>5</v>
      </c>
      <c r="Q997" t="s">
        <v>21</v>
      </c>
    </row>
    <row r="998" spans="1:17" x14ac:dyDescent="0.55000000000000004">
      <c r="A998">
        <v>0</v>
      </c>
      <c r="B998" t="s">
        <v>1</v>
      </c>
      <c r="C998">
        <v>0.5</v>
      </c>
      <c r="D998" t="s">
        <v>30</v>
      </c>
      <c r="E998" t="s">
        <v>49</v>
      </c>
      <c r="F998" t="s">
        <v>326</v>
      </c>
      <c r="G998" t="s">
        <v>1</v>
      </c>
      <c r="H998">
        <v>8.5500000000000007</v>
      </c>
      <c r="I998" t="s">
        <v>461</v>
      </c>
      <c r="K998">
        <v>104842203</v>
      </c>
      <c r="L998" s="2">
        <v>42620</v>
      </c>
      <c r="M998">
        <v>17</v>
      </c>
      <c r="N998">
        <v>1</v>
      </c>
      <c r="O998">
        <v>0</v>
      </c>
      <c r="P998">
        <v>5</v>
      </c>
      <c r="Q998" t="s">
        <v>21</v>
      </c>
    </row>
    <row r="999" spans="1:17" x14ac:dyDescent="0.55000000000000004">
      <c r="A999">
        <v>0</v>
      </c>
      <c r="B999" t="s">
        <v>1</v>
      </c>
      <c r="C999">
        <v>0.9</v>
      </c>
      <c r="D999" t="s">
        <v>68</v>
      </c>
      <c r="E999" t="s">
        <v>0</v>
      </c>
      <c r="F999" t="s">
        <v>328</v>
      </c>
      <c r="G999" t="s">
        <v>1</v>
      </c>
      <c r="H999">
        <v>8.6050000000000004</v>
      </c>
      <c r="I999" t="s">
        <v>461</v>
      </c>
      <c r="J999" t="s">
        <v>174</v>
      </c>
      <c r="K999">
        <v>106265378</v>
      </c>
      <c r="L999" s="2">
        <v>44010</v>
      </c>
      <c r="M999">
        <v>19</v>
      </c>
      <c r="N999">
        <v>1</v>
      </c>
      <c r="O999">
        <v>0</v>
      </c>
      <c r="P999">
        <v>4</v>
      </c>
      <c r="Q999" t="s">
        <v>21</v>
      </c>
    </row>
    <row r="1000" spans="1:17" x14ac:dyDescent="0.55000000000000004">
      <c r="A1000">
        <v>0</v>
      </c>
      <c r="B1000" t="s">
        <v>1</v>
      </c>
      <c r="C1000">
        <v>0.1</v>
      </c>
      <c r="D1000" t="s">
        <v>68</v>
      </c>
      <c r="E1000" t="s">
        <v>326</v>
      </c>
      <c r="F1000" t="s">
        <v>49</v>
      </c>
      <c r="G1000" t="s">
        <v>1</v>
      </c>
      <c r="H1000">
        <v>8.6780000000000008</v>
      </c>
      <c r="I1000" t="s">
        <v>461</v>
      </c>
      <c r="K1000">
        <v>106343068</v>
      </c>
      <c r="L1000" s="2">
        <v>44089</v>
      </c>
      <c r="M1000">
        <v>21</v>
      </c>
      <c r="N1000">
        <v>1</v>
      </c>
      <c r="O1000">
        <v>0</v>
      </c>
      <c r="P1000">
        <v>4</v>
      </c>
      <c r="Q1000" t="s">
        <v>45</v>
      </c>
    </row>
    <row r="1001" spans="1:17" x14ac:dyDescent="0.55000000000000004">
      <c r="A1001">
        <v>0</v>
      </c>
      <c r="B1001" t="s">
        <v>1</v>
      </c>
      <c r="C1001">
        <v>0.3</v>
      </c>
      <c r="D1001" t="s">
        <v>30</v>
      </c>
      <c r="E1001" t="s">
        <v>49</v>
      </c>
      <c r="F1001" t="s">
        <v>210</v>
      </c>
      <c r="G1001" t="s">
        <v>1</v>
      </c>
      <c r="H1001">
        <v>8.75</v>
      </c>
      <c r="I1001" t="s">
        <v>461</v>
      </c>
      <c r="K1001">
        <v>105790197</v>
      </c>
      <c r="L1001" s="2">
        <v>43524</v>
      </c>
      <c r="M1001">
        <v>21</v>
      </c>
      <c r="N1001">
        <v>2</v>
      </c>
      <c r="O1001">
        <v>0</v>
      </c>
      <c r="P1001">
        <v>1</v>
      </c>
      <c r="Q1001" t="s">
        <v>45</v>
      </c>
    </row>
    <row r="1002" spans="1:17" x14ac:dyDescent="0.55000000000000004">
      <c r="A1002">
        <v>0</v>
      </c>
      <c r="B1002" t="s">
        <v>1</v>
      </c>
      <c r="C1002">
        <v>0.1</v>
      </c>
      <c r="D1002" t="s">
        <v>18</v>
      </c>
      <c r="E1002" t="s">
        <v>49</v>
      </c>
      <c r="F1002" t="s">
        <v>0</v>
      </c>
      <c r="G1002" t="s">
        <v>1</v>
      </c>
      <c r="H1002">
        <v>8.9499999999999993</v>
      </c>
      <c r="I1002" t="s">
        <v>461</v>
      </c>
      <c r="K1002">
        <v>105931443</v>
      </c>
      <c r="L1002" s="2">
        <v>43667</v>
      </c>
      <c r="M1002">
        <v>19</v>
      </c>
      <c r="N1002">
        <v>1</v>
      </c>
      <c r="O1002">
        <v>0</v>
      </c>
      <c r="P1002">
        <v>1</v>
      </c>
      <c r="Q1002" t="s">
        <v>21</v>
      </c>
    </row>
    <row r="1003" spans="1:17" x14ac:dyDescent="0.55000000000000004">
      <c r="A1003">
        <v>0</v>
      </c>
      <c r="B1003" t="s">
        <v>1</v>
      </c>
      <c r="C1003">
        <v>0.1</v>
      </c>
      <c r="D1003" t="s">
        <v>18</v>
      </c>
      <c r="E1003" t="s">
        <v>49</v>
      </c>
      <c r="F1003" t="s">
        <v>0</v>
      </c>
      <c r="G1003" t="s">
        <v>1</v>
      </c>
      <c r="H1003">
        <v>8.9499999999999993</v>
      </c>
      <c r="I1003" t="s">
        <v>461</v>
      </c>
      <c r="K1003">
        <v>105128761</v>
      </c>
      <c r="L1003" s="2">
        <v>42896</v>
      </c>
      <c r="M1003">
        <v>17</v>
      </c>
      <c r="N1003">
        <v>1</v>
      </c>
      <c r="O1003">
        <v>0</v>
      </c>
      <c r="P1003">
        <v>5</v>
      </c>
      <c r="Q1003" t="s">
        <v>15</v>
      </c>
    </row>
    <row r="1004" spans="1:17" x14ac:dyDescent="0.55000000000000004">
      <c r="A1004">
        <v>0</v>
      </c>
      <c r="B1004" t="s">
        <v>1</v>
      </c>
      <c r="C1004">
        <v>0.1</v>
      </c>
      <c r="D1004" t="s">
        <v>18</v>
      </c>
      <c r="E1004" t="s">
        <v>49</v>
      </c>
      <c r="F1004" t="s">
        <v>0</v>
      </c>
      <c r="G1004" t="s">
        <v>1</v>
      </c>
      <c r="H1004">
        <v>8.9499999999999993</v>
      </c>
      <c r="I1004" t="s">
        <v>461</v>
      </c>
      <c r="K1004">
        <v>105128760</v>
      </c>
      <c r="L1004" s="2">
        <v>42896</v>
      </c>
      <c r="M1004">
        <v>17</v>
      </c>
      <c r="N1004">
        <v>1</v>
      </c>
      <c r="O1004">
        <v>0</v>
      </c>
      <c r="P1004">
        <v>5</v>
      </c>
      <c r="Q1004" t="s">
        <v>21</v>
      </c>
    </row>
    <row r="1005" spans="1:17" x14ac:dyDescent="0.55000000000000004">
      <c r="A1005">
        <v>0</v>
      </c>
      <c r="B1005" t="s">
        <v>1</v>
      </c>
      <c r="C1005">
        <v>0.1</v>
      </c>
      <c r="D1005" t="s">
        <v>18</v>
      </c>
      <c r="E1005" t="s">
        <v>328</v>
      </c>
      <c r="F1005" t="s">
        <v>329</v>
      </c>
      <c r="G1005" t="s">
        <v>1</v>
      </c>
      <c r="H1005">
        <v>8.9499999999999993</v>
      </c>
      <c r="I1005" t="s">
        <v>461</v>
      </c>
      <c r="K1005">
        <v>105484160</v>
      </c>
      <c r="L1005" s="2">
        <v>43227</v>
      </c>
      <c r="M1005">
        <v>17</v>
      </c>
      <c r="N1005">
        <v>1</v>
      </c>
      <c r="O1005">
        <v>0</v>
      </c>
      <c r="P1005">
        <v>1</v>
      </c>
      <c r="Q1005" t="s">
        <v>21</v>
      </c>
    </row>
    <row r="1006" spans="1:17" x14ac:dyDescent="0.55000000000000004">
      <c r="A1006">
        <v>0</v>
      </c>
      <c r="B1006" t="s">
        <v>1</v>
      </c>
      <c r="C1006">
        <v>0.5</v>
      </c>
      <c r="D1006" t="s">
        <v>23</v>
      </c>
      <c r="E1006" t="s">
        <v>326</v>
      </c>
      <c r="F1006" t="s">
        <v>49</v>
      </c>
      <c r="G1006" t="s">
        <v>1</v>
      </c>
      <c r="H1006">
        <v>9.0779999999999994</v>
      </c>
      <c r="I1006" t="s">
        <v>461</v>
      </c>
      <c r="K1006">
        <v>106397100</v>
      </c>
      <c r="L1006" s="2">
        <v>44141</v>
      </c>
      <c r="M1006">
        <v>17</v>
      </c>
      <c r="N1006">
        <v>1</v>
      </c>
      <c r="O1006">
        <v>0</v>
      </c>
      <c r="P1006">
        <v>1</v>
      </c>
      <c r="Q1006" t="s">
        <v>21</v>
      </c>
    </row>
    <row r="1007" spans="1:17" x14ac:dyDescent="0.55000000000000004">
      <c r="A1007">
        <v>498</v>
      </c>
      <c r="B1007" t="s">
        <v>1</v>
      </c>
      <c r="C1007">
        <v>0.1</v>
      </c>
      <c r="D1007" t="s">
        <v>23</v>
      </c>
      <c r="E1007" t="s">
        <v>330</v>
      </c>
      <c r="F1007" t="s">
        <v>329</v>
      </c>
      <c r="G1007" t="s">
        <v>1</v>
      </c>
      <c r="H1007">
        <v>9.15</v>
      </c>
      <c r="I1007" t="s">
        <v>461</v>
      </c>
      <c r="K1007">
        <v>105435196</v>
      </c>
      <c r="L1007" s="2">
        <v>43170</v>
      </c>
      <c r="M1007">
        <v>21</v>
      </c>
      <c r="N1007">
        <v>2</v>
      </c>
      <c r="O1007">
        <v>0</v>
      </c>
      <c r="P1007">
        <v>1</v>
      </c>
      <c r="Q1007" t="s">
        <v>15</v>
      </c>
    </row>
    <row r="1008" spans="1:17" x14ac:dyDescent="0.55000000000000004">
      <c r="A1008">
        <v>498</v>
      </c>
      <c r="B1008" t="s">
        <v>1</v>
      </c>
      <c r="C1008">
        <v>3.7999999999999999E-2</v>
      </c>
      <c r="D1008" t="s">
        <v>30</v>
      </c>
      <c r="E1008" t="s">
        <v>329</v>
      </c>
      <c r="F1008" t="s">
        <v>49</v>
      </c>
      <c r="G1008" t="s">
        <v>1</v>
      </c>
      <c r="H1008">
        <v>9.2669999999999995</v>
      </c>
      <c r="I1008" t="s">
        <v>461</v>
      </c>
      <c r="K1008">
        <v>105304189</v>
      </c>
      <c r="L1008" s="2">
        <v>43056</v>
      </c>
      <c r="M1008">
        <v>19</v>
      </c>
      <c r="N1008">
        <v>1</v>
      </c>
      <c r="O1008">
        <v>0</v>
      </c>
      <c r="P1008">
        <v>4</v>
      </c>
      <c r="Q1008" t="s">
        <v>15</v>
      </c>
    </row>
    <row r="1009" spans="1:17" x14ac:dyDescent="0.55000000000000004">
      <c r="A1009">
        <v>498</v>
      </c>
      <c r="B1009" t="s">
        <v>1</v>
      </c>
      <c r="C1009">
        <v>2.1999999999999999E-2</v>
      </c>
      <c r="D1009" t="s">
        <v>30</v>
      </c>
      <c r="E1009" t="s">
        <v>331</v>
      </c>
      <c r="F1009" t="s">
        <v>332</v>
      </c>
      <c r="G1009" t="s">
        <v>1</v>
      </c>
      <c r="H1009">
        <v>9.4779999999999998</v>
      </c>
      <c r="I1009" t="s">
        <v>461</v>
      </c>
      <c r="K1009">
        <v>105304206</v>
      </c>
      <c r="L1009" s="2">
        <v>43056</v>
      </c>
      <c r="M1009">
        <v>29</v>
      </c>
      <c r="N1009">
        <v>1</v>
      </c>
      <c r="O1009">
        <v>0</v>
      </c>
      <c r="P1009">
        <v>2</v>
      </c>
      <c r="Q1009" t="s">
        <v>15</v>
      </c>
    </row>
    <row r="1010" spans="1:17" x14ac:dyDescent="0.55000000000000004">
      <c r="A1010">
        <v>0</v>
      </c>
      <c r="B1010" t="s">
        <v>1</v>
      </c>
      <c r="C1010">
        <v>0.5</v>
      </c>
      <c r="D1010" t="s">
        <v>23</v>
      </c>
      <c r="E1010" t="s">
        <v>49</v>
      </c>
      <c r="F1010" t="s">
        <v>0</v>
      </c>
      <c r="G1010" t="s">
        <v>1</v>
      </c>
      <c r="H1010">
        <v>9.5500000000000007</v>
      </c>
      <c r="I1010" t="s">
        <v>461</v>
      </c>
      <c r="K1010">
        <v>105118373</v>
      </c>
      <c r="L1010" s="2">
        <v>42887</v>
      </c>
      <c r="M1010">
        <v>21</v>
      </c>
      <c r="N1010">
        <v>1</v>
      </c>
      <c r="O1010">
        <v>0</v>
      </c>
      <c r="P1010">
        <v>1</v>
      </c>
      <c r="Q1010" t="s">
        <v>15</v>
      </c>
    </row>
    <row r="1011" spans="1:17" x14ac:dyDescent="0.55000000000000004">
      <c r="A1011">
        <v>498</v>
      </c>
      <c r="B1011" t="s">
        <v>1</v>
      </c>
      <c r="C1011">
        <v>1.9E-2</v>
      </c>
      <c r="D1011" t="s">
        <v>68</v>
      </c>
      <c r="E1011" t="s">
        <v>43</v>
      </c>
      <c r="F1011" t="s">
        <v>333</v>
      </c>
      <c r="G1011" t="s">
        <v>1</v>
      </c>
      <c r="H1011">
        <v>12.733000000000001</v>
      </c>
      <c r="I1011" t="s">
        <v>461</v>
      </c>
      <c r="J1011" t="s">
        <v>174</v>
      </c>
      <c r="K1011">
        <v>105007807</v>
      </c>
      <c r="L1011" s="2">
        <v>42746</v>
      </c>
      <c r="M1011">
        <v>30</v>
      </c>
      <c r="N1011">
        <v>1</v>
      </c>
      <c r="O1011">
        <v>8</v>
      </c>
      <c r="P1011">
        <v>1</v>
      </c>
      <c r="Q1011" t="s">
        <v>21</v>
      </c>
    </row>
    <row r="1012" spans="1:17" x14ac:dyDescent="0.55000000000000004">
      <c r="A1012">
        <v>498</v>
      </c>
      <c r="B1012" t="s">
        <v>1</v>
      </c>
      <c r="C1012">
        <v>0.39</v>
      </c>
      <c r="D1012" t="s">
        <v>18</v>
      </c>
      <c r="E1012" t="s">
        <v>334</v>
      </c>
      <c r="F1012" t="s">
        <v>43</v>
      </c>
      <c r="G1012" t="s">
        <v>1</v>
      </c>
      <c r="H1012">
        <v>12.747999999999999</v>
      </c>
      <c r="I1012" t="s">
        <v>461</v>
      </c>
      <c r="K1012">
        <v>105918391</v>
      </c>
      <c r="L1012" s="2">
        <v>43627</v>
      </c>
      <c r="M1012">
        <v>21</v>
      </c>
      <c r="N1012">
        <v>1</v>
      </c>
      <c r="O1012">
        <v>8</v>
      </c>
      <c r="P1012">
        <v>1</v>
      </c>
      <c r="Q1012" t="s">
        <v>21</v>
      </c>
    </row>
    <row r="1013" spans="1:17" x14ac:dyDescent="0.55000000000000004">
      <c r="A1013">
        <v>498</v>
      </c>
      <c r="B1013" t="s">
        <v>1</v>
      </c>
      <c r="C1013">
        <v>3.7999999999999999E-2</v>
      </c>
      <c r="D1013" t="s">
        <v>68</v>
      </c>
      <c r="E1013" t="s">
        <v>43</v>
      </c>
      <c r="F1013" t="s">
        <v>333</v>
      </c>
      <c r="G1013" t="s">
        <v>1</v>
      </c>
      <c r="H1013">
        <v>12.752000000000001</v>
      </c>
      <c r="I1013" t="s">
        <v>461</v>
      </c>
      <c r="J1013" t="s">
        <v>174</v>
      </c>
      <c r="K1013">
        <v>104999199</v>
      </c>
      <c r="L1013" s="2">
        <v>42752</v>
      </c>
      <c r="M1013">
        <v>30</v>
      </c>
      <c r="N1013">
        <v>1</v>
      </c>
      <c r="O1013">
        <v>0</v>
      </c>
      <c r="P1013">
        <v>2</v>
      </c>
      <c r="Q1013" t="s">
        <v>15</v>
      </c>
    </row>
    <row r="1014" spans="1:17" x14ac:dyDescent="0.55000000000000004">
      <c r="A1014">
        <v>498</v>
      </c>
      <c r="B1014" t="s">
        <v>1</v>
      </c>
      <c r="C1014">
        <v>4.3999999999999997E-2</v>
      </c>
      <c r="D1014" t="s">
        <v>68</v>
      </c>
      <c r="E1014" t="s">
        <v>43</v>
      </c>
      <c r="F1014" t="s">
        <v>334</v>
      </c>
      <c r="G1014" t="s">
        <v>1</v>
      </c>
      <c r="H1014">
        <v>12.757999999999999</v>
      </c>
      <c r="I1014" t="s">
        <v>461</v>
      </c>
      <c r="J1014" t="s">
        <v>174</v>
      </c>
      <c r="K1014">
        <v>106056761</v>
      </c>
      <c r="L1014" s="2">
        <v>43760</v>
      </c>
      <c r="M1014">
        <v>30</v>
      </c>
      <c r="N1014">
        <v>1</v>
      </c>
      <c r="O1014">
        <v>0</v>
      </c>
      <c r="P1014">
        <v>1</v>
      </c>
      <c r="Q1014" t="s">
        <v>15</v>
      </c>
    </row>
    <row r="1015" spans="1:17" x14ac:dyDescent="0.55000000000000004">
      <c r="A1015">
        <v>498</v>
      </c>
      <c r="B1015" t="s">
        <v>1</v>
      </c>
      <c r="C1015">
        <v>0.37</v>
      </c>
      <c r="D1015" t="s">
        <v>18</v>
      </c>
      <c r="E1015" t="s">
        <v>334</v>
      </c>
      <c r="F1015" t="s">
        <v>70</v>
      </c>
      <c r="G1015" t="s">
        <v>1</v>
      </c>
      <c r="H1015">
        <v>12.768000000000001</v>
      </c>
      <c r="I1015" t="s">
        <v>461</v>
      </c>
      <c r="K1015">
        <v>106667190</v>
      </c>
      <c r="L1015" s="2">
        <v>44379</v>
      </c>
      <c r="M1015">
        <v>30</v>
      </c>
      <c r="N1015">
        <v>2</v>
      </c>
      <c r="O1015">
        <v>4</v>
      </c>
      <c r="P1015">
        <v>1</v>
      </c>
      <c r="Q1015" t="s">
        <v>21</v>
      </c>
    </row>
    <row r="1016" spans="1:17" x14ac:dyDescent="0.55000000000000004">
      <c r="A1016">
        <v>498</v>
      </c>
      <c r="B1016" t="s">
        <v>1</v>
      </c>
      <c r="C1016">
        <v>0.37</v>
      </c>
      <c r="D1016" t="s">
        <v>18</v>
      </c>
      <c r="E1016" t="s">
        <v>334</v>
      </c>
      <c r="F1016" t="s">
        <v>43</v>
      </c>
      <c r="G1016" t="s">
        <v>1</v>
      </c>
      <c r="H1016">
        <v>12.768000000000001</v>
      </c>
      <c r="I1016" t="s">
        <v>461</v>
      </c>
      <c r="K1016">
        <v>106187663</v>
      </c>
      <c r="L1016" s="2">
        <v>43862</v>
      </c>
      <c r="M1016">
        <v>28</v>
      </c>
      <c r="N1016">
        <v>1</v>
      </c>
      <c r="O1016">
        <v>0</v>
      </c>
      <c r="P1016">
        <v>1</v>
      </c>
      <c r="Q1016" t="s">
        <v>21</v>
      </c>
    </row>
    <row r="1017" spans="1:17" x14ac:dyDescent="0.55000000000000004">
      <c r="A1017">
        <v>498</v>
      </c>
      <c r="B1017" t="s">
        <v>1</v>
      </c>
      <c r="C1017">
        <v>0.15</v>
      </c>
      <c r="D1017" t="s">
        <v>68</v>
      </c>
      <c r="E1017" t="s">
        <v>43</v>
      </c>
      <c r="F1017" t="s">
        <v>335</v>
      </c>
      <c r="G1017" t="s">
        <v>1</v>
      </c>
      <c r="H1017">
        <v>12.864000000000001</v>
      </c>
      <c r="I1017" t="s">
        <v>461</v>
      </c>
      <c r="J1017" t="s">
        <v>174</v>
      </c>
      <c r="K1017">
        <v>105040354</v>
      </c>
      <c r="L1017" s="2">
        <v>42801</v>
      </c>
      <c r="M1017">
        <v>1</v>
      </c>
      <c r="N1017">
        <v>2</v>
      </c>
      <c r="O1017">
        <v>0</v>
      </c>
      <c r="P1017">
        <v>4</v>
      </c>
      <c r="Q1017" t="s">
        <v>21</v>
      </c>
    </row>
    <row r="1018" spans="1:17" x14ac:dyDescent="0.55000000000000004">
      <c r="A1018">
        <v>0</v>
      </c>
      <c r="B1018" t="s">
        <v>1</v>
      </c>
      <c r="C1018">
        <v>0.15</v>
      </c>
      <c r="D1018" t="s">
        <v>18</v>
      </c>
      <c r="E1018" t="s">
        <v>333</v>
      </c>
      <c r="F1018" t="s">
        <v>43</v>
      </c>
      <c r="G1018" t="s">
        <v>1</v>
      </c>
      <c r="H1018">
        <v>13.041</v>
      </c>
      <c r="I1018" t="s">
        <v>461</v>
      </c>
      <c r="K1018">
        <v>104893150</v>
      </c>
      <c r="L1018" s="2">
        <v>42649</v>
      </c>
      <c r="M1018">
        <v>17</v>
      </c>
      <c r="N1018">
        <v>1</v>
      </c>
      <c r="O1018">
        <v>0</v>
      </c>
      <c r="P1018">
        <v>4</v>
      </c>
      <c r="Q1018" t="s">
        <v>45</v>
      </c>
    </row>
    <row r="1019" spans="1:17" x14ac:dyDescent="0.55000000000000004">
      <c r="A1019">
        <v>498</v>
      </c>
      <c r="B1019" t="s">
        <v>1</v>
      </c>
      <c r="C1019">
        <v>8.9999999999999993E-3</v>
      </c>
      <c r="D1019" t="s">
        <v>18</v>
      </c>
      <c r="E1019" t="s">
        <v>334</v>
      </c>
      <c r="F1019" t="s">
        <v>43</v>
      </c>
      <c r="G1019" t="s">
        <v>1</v>
      </c>
      <c r="H1019">
        <v>13.129</v>
      </c>
      <c r="I1019" t="s">
        <v>461</v>
      </c>
      <c r="K1019">
        <v>105493614</v>
      </c>
      <c r="L1019" s="2">
        <v>43239</v>
      </c>
      <c r="M1019">
        <v>23</v>
      </c>
      <c r="N1019">
        <v>2</v>
      </c>
      <c r="O1019">
        <v>0</v>
      </c>
      <c r="P1019">
        <v>1</v>
      </c>
      <c r="Q1019" t="s">
        <v>21</v>
      </c>
    </row>
    <row r="1020" spans="1:17" x14ac:dyDescent="0.55000000000000004">
      <c r="A1020">
        <v>498</v>
      </c>
      <c r="B1020" t="s">
        <v>1</v>
      </c>
      <c r="C1020">
        <v>0</v>
      </c>
      <c r="E1020" t="s">
        <v>334</v>
      </c>
      <c r="F1020" t="s">
        <v>333</v>
      </c>
      <c r="G1020" t="s">
        <v>1</v>
      </c>
      <c r="H1020">
        <v>13.138</v>
      </c>
      <c r="I1020" t="s">
        <v>461</v>
      </c>
      <c r="K1020">
        <v>105576330</v>
      </c>
      <c r="L1020" s="2">
        <v>43319</v>
      </c>
      <c r="M1020">
        <v>21</v>
      </c>
      <c r="N1020">
        <v>1</v>
      </c>
      <c r="O1020">
        <v>12</v>
      </c>
      <c r="P1020">
        <v>1</v>
      </c>
      <c r="Q1020" t="s">
        <v>21</v>
      </c>
    </row>
    <row r="1021" spans="1:17" x14ac:dyDescent="0.55000000000000004">
      <c r="A1021">
        <v>498</v>
      </c>
      <c r="B1021" t="s">
        <v>1</v>
      </c>
      <c r="C1021">
        <v>0.2</v>
      </c>
      <c r="D1021" t="s">
        <v>18</v>
      </c>
      <c r="E1021" t="s">
        <v>336</v>
      </c>
      <c r="F1021" t="s">
        <v>335</v>
      </c>
      <c r="G1021" t="s">
        <v>1</v>
      </c>
      <c r="H1021">
        <v>13.254</v>
      </c>
      <c r="I1021" t="s">
        <v>461</v>
      </c>
      <c r="K1021">
        <v>106726061</v>
      </c>
      <c r="L1021" s="2">
        <v>44429</v>
      </c>
      <c r="M1021">
        <v>21</v>
      </c>
      <c r="N1021">
        <v>1</v>
      </c>
      <c r="P1021">
        <v>4</v>
      </c>
      <c r="Q1021" t="s">
        <v>15</v>
      </c>
    </row>
    <row r="1022" spans="1:17" x14ac:dyDescent="0.55000000000000004">
      <c r="A1022">
        <v>498</v>
      </c>
      <c r="B1022" t="s">
        <v>1</v>
      </c>
      <c r="C1022">
        <v>0.22</v>
      </c>
      <c r="D1022" t="s">
        <v>68</v>
      </c>
      <c r="E1022" t="s">
        <v>335</v>
      </c>
      <c r="F1022" t="s">
        <v>337</v>
      </c>
      <c r="G1022" t="s">
        <v>1</v>
      </c>
      <c r="H1022">
        <v>13.452</v>
      </c>
      <c r="I1022" t="s">
        <v>461</v>
      </c>
      <c r="K1022">
        <v>106182769</v>
      </c>
      <c r="L1022" s="2">
        <v>43853</v>
      </c>
      <c r="M1022">
        <v>21</v>
      </c>
      <c r="N1022">
        <v>1</v>
      </c>
      <c r="O1022">
        <v>7</v>
      </c>
      <c r="P1022">
        <v>4</v>
      </c>
      <c r="Q1022" t="s">
        <v>21</v>
      </c>
    </row>
    <row r="1023" spans="1:17" x14ac:dyDescent="0.55000000000000004">
      <c r="A1023">
        <v>498</v>
      </c>
      <c r="B1023" t="s">
        <v>1</v>
      </c>
      <c r="C1023">
        <v>3.3000000000000002E-2</v>
      </c>
      <c r="D1023" t="s">
        <v>68</v>
      </c>
      <c r="E1023" t="s">
        <v>338</v>
      </c>
      <c r="F1023" t="s">
        <v>339</v>
      </c>
      <c r="G1023" t="s">
        <v>1</v>
      </c>
      <c r="H1023">
        <v>13.487</v>
      </c>
      <c r="I1023" t="s">
        <v>461</v>
      </c>
      <c r="K1023">
        <v>105727737</v>
      </c>
      <c r="L1023" s="2">
        <v>43464</v>
      </c>
      <c r="M1023">
        <v>18</v>
      </c>
      <c r="N1023">
        <v>1</v>
      </c>
      <c r="O1023">
        <v>0</v>
      </c>
      <c r="P1023">
        <v>5</v>
      </c>
      <c r="Q1023" t="s">
        <v>167</v>
      </c>
    </row>
    <row r="1024" spans="1:17" x14ac:dyDescent="0.55000000000000004">
      <c r="A1024">
        <v>498</v>
      </c>
      <c r="B1024" t="s">
        <v>1</v>
      </c>
      <c r="C1024">
        <v>6.6000000000000003E-2</v>
      </c>
      <c r="D1024" t="s">
        <v>68</v>
      </c>
      <c r="E1024" t="s">
        <v>337</v>
      </c>
      <c r="F1024" t="s">
        <v>340</v>
      </c>
      <c r="G1024" t="s">
        <v>1</v>
      </c>
      <c r="H1024">
        <v>13.52</v>
      </c>
      <c r="I1024" t="s">
        <v>461</v>
      </c>
      <c r="K1024">
        <v>105815035</v>
      </c>
      <c r="L1024" s="2">
        <v>43550</v>
      </c>
      <c r="M1024">
        <v>19</v>
      </c>
      <c r="N1024">
        <v>2</v>
      </c>
      <c r="O1024">
        <v>0</v>
      </c>
      <c r="P1024">
        <v>1</v>
      </c>
      <c r="Q1024" t="s">
        <v>21</v>
      </c>
    </row>
    <row r="1025" spans="1:17" x14ac:dyDescent="0.55000000000000004">
      <c r="A1025">
        <v>0</v>
      </c>
      <c r="B1025" t="s">
        <v>1</v>
      </c>
      <c r="C1025">
        <v>0.1</v>
      </c>
      <c r="D1025" t="s">
        <v>68</v>
      </c>
      <c r="E1025" t="s">
        <v>338</v>
      </c>
      <c r="F1025" t="s">
        <v>340</v>
      </c>
      <c r="G1025" t="s">
        <v>1</v>
      </c>
      <c r="H1025">
        <v>13.554</v>
      </c>
      <c r="I1025" t="s">
        <v>461</v>
      </c>
      <c r="K1025">
        <v>105528508</v>
      </c>
      <c r="L1025" s="2">
        <v>43281</v>
      </c>
      <c r="M1025">
        <v>19</v>
      </c>
      <c r="N1025">
        <v>1</v>
      </c>
      <c r="O1025">
        <v>5</v>
      </c>
      <c r="P1025">
        <v>5</v>
      </c>
    </row>
    <row r="1026" spans="1:17" x14ac:dyDescent="0.55000000000000004">
      <c r="A1026">
        <v>0</v>
      </c>
      <c r="B1026" t="s">
        <v>1</v>
      </c>
      <c r="C1026">
        <v>0.1</v>
      </c>
      <c r="D1026" t="s">
        <v>68</v>
      </c>
      <c r="E1026" t="s">
        <v>338</v>
      </c>
      <c r="F1026" t="s">
        <v>340</v>
      </c>
      <c r="G1026" t="s">
        <v>1</v>
      </c>
      <c r="H1026">
        <v>13.554</v>
      </c>
      <c r="I1026" t="s">
        <v>461</v>
      </c>
      <c r="K1026">
        <v>105257535</v>
      </c>
      <c r="L1026" s="2">
        <v>43024</v>
      </c>
      <c r="M1026">
        <v>17</v>
      </c>
      <c r="N1026">
        <v>1</v>
      </c>
      <c r="O1026">
        <v>0</v>
      </c>
      <c r="P1026">
        <v>5</v>
      </c>
      <c r="Q1026" t="s">
        <v>21</v>
      </c>
    </row>
    <row r="1027" spans="1:17" x14ac:dyDescent="0.55000000000000004">
      <c r="A1027">
        <v>0</v>
      </c>
      <c r="B1027" t="s">
        <v>1</v>
      </c>
      <c r="C1027">
        <v>0.1</v>
      </c>
      <c r="D1027" t="s">
        <v>68</v>
      </c>
      <c r="E1027" t="s">
        <v>338</v>
      </c>
      <c r="F1027" t="s">
        <v>340</v>
      </c>
      <c r="G1027" t="s">
        <v>1</v>
      </c>
      <c r="H1027">
        <v>13.554</v>
      </c>
      <c r="I1027" t="s">
        <v>461</v>
      </c>
      <c r="K1027">
        <v>106007886</v>
      </c>
      <c r="L1027" s="2">
        <v>43738</v>
      </c>
      <c r="M1027">
        <v>17</v>
      </c>
      <c r="N1027">
        <v>1</v>
      </c>
      <c r="O1027">
        <v>0</v>
      </c>
      <c r="P1027">
        <v>1</v>
      </c>
      <c r="Q1027" t="s">
        <v>21</v>
      </c>
    </row>
    <row r="1028" spans="1:17" x14ac:dyDescent="0.55000000000000004">
      <c r="A1028">
        <v>0</v>
      </c>
      <c r="B1028" t="s">
        <v>1</v>
      </c>
      <c r="C1028">
        <v>0.1</v>
      </c>
      <c r="D1028" t="s">
        <v>68</v>
      </c>
      <c r="E1028" t="s">
        <v>338</v>
      </c>
      <c r="F1028" t="s">
        <v>340</v>
      </c>
      <c r="G1028" t="s">
        <v>1</v>
      </c>
      <c r="H1028">
        <v>13.554</v>
      </c>
      <c r="I1028" t="s">
        <v>461</v>
      </c>
      <c r="K1028">
        <v>105173295</v>
      </c>
      <c r="L1028" s="2">
        <v>42943</v>
      </c>
      <c r="M1028">
        <v>17</v>
      </c>
      <c r="N1028">
        <v>1</v>
      </c>
      <c r="O1028">
        <v>0</v>
      </c>
      <c r="P1028">
        <v>5</v>
      </c>
      <c r="Q1028" t="s">
        <v>21</v>
      </c>
    </row>
    <row r="1029" spans="1:17" x14ac:dyDescent="0.55000000000000004">
      <c r="A1029">
        <v>0</v>
      </c>
      <c r="B1029" t="s">
        <v>1</v>
      </c>
      <c r="C1029">
        <v>0.9</v>
      </c>
      <c r="D1029" t="s">
        <v>68</v>
      </c>
      <c r="E1029" t="s">
        <v>43</v>
      </c>
      <c r="F1029" t="s">
        <v>51</v>
      </c>
      <c r="G1029" t="s">
        <v>1</v>
      </c>
      <c r="H1029">
        <v>13.614000000000001</v>
      </c>
      <c r="I1029" t="s">
        <v>461</v>
      </c>
      <c r="J1029" t="s">
        <v>174</v>
      </c>
      <c r="K1029">
        <v>106405643</v>
      </c>
      <c r="L1029" s="2">
        <v>44145</v>
      </c>
      <c r="M1029">
        <v>20</v>
      </c>
      <c r="N1029">
        <v>1</v>
      </c>
      <c r="O1029">
        <v>5</v>
      </c>
      <c r="P1029">
        <v>1</v>
      </c>
      <c r="Q1029" t="s">
        <v>21</v>
      </c>
    </row>
    <row r="1030" spans="1:17" x14ac:dyDescent="0.55000000000000004">
      <c r="A1030">
        <v>0</v>
      </c>
      <c r="B1030" t="s">
        <v>1</v>
      </c>
      <c r="C1030">
        <v>0.2</v>
      </c>
      <c r="D1030" t="s">
        <v>68</v>
      </c>
      <c r="E1030" t="s">
        <v>338</v>
      </c>
      <c r="F1030" t="s">
        <v>340</v>
      </c>
      <c r="G1030" t="s">
        <v>1</v>
      </c>
      <c r="H1030">
        <v>13.654</v>
      </c>
      <c r="I1030" t="s">
        <v>461</v>
      </c>
      <c r="K1030">
        <v>106517117</v>
      </c>
      <c r="L1030" s="2">
        <v>44271</v>
      </c>
      <c r="M1030">
        <v>25</v>
      </c>
      <c r="N1030">
        <v>2</v>
      </c>
      <c r="O1030">
        <v>0</v>
      </c>
      <c r="P1030">
        <v>1</v>
      </c>
      <c r="Q1030" t="s">
        <v>21</v>
      </c>
    </row>
    <row r="1031" spans="1:17" x14ac:dyDescent="0.55000000000000004">
      <c r="A1031">
        <v>0</v>
      </c>
      <c r="B1031" t="s">
        <v>1</v>
      </c>
      <c r="C1031">
        <v>0.2</v>
      </c>
      <c r="D1031" t="s">
        <v>68</v>
      </c>
      <c r="E1031" t="s">
        <v>338</v>
      </c>
      <c r="F1031" t="s">
        <v>340</v>
      </c>
      <c r="G1031" t="s">
        <v>1</v>
      </c>
      <c r="H1031">
        <v>13.654</v>
      </c>
      <c r="I1031" t="s">
        <v>461</v>
      </c>
      <c r="K1031">
        <v>106622265</v>
      </c>
      <c r="L1031" s="2">
        <v>44376</v>
      </c>
      <c r="M1031">
        <v>17</v>
      </c>
      <c r="N1031">
        <v>1</v>
      </c>
      <c r="O1031">
        <v>0</v>
      </c>
      <c r="P1031">
        <v>1</v>
      </c>
      <c r="Q1031" t="s">
        <v>21</v>
      </c>
    </row>
    <row r="1032" spans="1:17" x14ac:dyDescent="0.55000000000000004">
      <c r="A1032">
        <v>0</v>
      </c>
      <c r="B1032" t="s">
        <v>1</v>
      </c>
      <c r="C1032">
        <v>0.25</v>
      </c>
      <c r="D1032" t="s">
        <v>68</v>
      </c>
      <c r="E1032" t="s">
        <v>338</v>
      </c>
      <c r="F1032" t="s">
        <v>340</v>
      </c>
      <c r="G1032" t="s">
        <v>1</v>
      </c>
      <c r="H1032">
        <v>13.704000000000001</v>
      </c>
      <c r="I1032" t="s">
        <v>461</v>
      </c>
      <c r="K1032">
        <v>105811765</v>
      </c>
      <c r="L1032" s="2">
        <v>43547</v>
      </c>
      <c r="M1032">
        <v>17</v>
      </c>
      <c r="N1032">
        <v>1</v>
      </c>
      <c r="O1032">
        <v>0</v>
      </c>
      <c r="P1032">
        <v>1</v>
      </c>
      <c r="Q1032" t="s">
        <v>21</v>
      </c>
    </row>
    <row r="1033" spans="1:17" x14ac:dyDescent="0.55000000000000004">
      <c r="A1033">
        <v>0</v>
      </c>
      <c r="B1033" t="s">
        <v>1</v>
      </c>
      <c r="C1033">
        <v>0.3</v>
      </c>
      <c r="D1033" t="s">
        <v>68</v>
      </c>
      <c r="E1033" t="s">
        <v>338</v>
      </c>
      <c r="F1033" t="s">
        <v>43</v>
      </c>
      <c r="G1033" t="s">
        <v>1</v>
      </c>
      <c r="H1033">
        <v>13.754</v>
      </c>
      <c r="I1033" t="s">
        <v>461</v>
      </c>
      <c r="K1033">
        <v>106600416</v>
      </c>
      <c r="L1033" s="2">
        <v>44357</v>
      </c>
      <c r="M1033">
        <v>27</v>
      </c>
      <c r="N1033">
        <v>1</v>
      </c>
      <c r="O1033">
        <v>0</v>
      </c>
      <c r="P1033">
        <v>3</v>
      </c>
      <c r="Q1033" t="s">
        <v>21</v>
      </c>
    </row>
    <row r="1034" spans="1:17" x14ac:dyDescent="0.55000000000000004">
      <c r="A1034">
        <v>0</v>
      </c>
      <c r="B1034" t="s">
        <v>1</v>
      </c>
      <c r="C1034">
        <v>0.5</v>
      </c>
      <c r="D1034" t="s">
        <v>68</v>
      </c>
      <c r="E1034" t="s">
        <v>338</v>
      </c>
      <c r="F1034" t="s">
        <v>340</v>
      </c>
      <c r="G1034" t="s">
        <v>1</v>
      </c>
      <c r="H1034">
        <v>13.954000000000001</v>
      </c>
      <c r="I1034" t="s">
        <v>461</v>
      </c>
      <c r="K1034">
        <v>105401422</v>
      </c>
      <c r="L1034" s="2">
        <v>43163</v>
      </c>
      <c r="M1034">
        <v>17</v>
      </c>
      <c r="N1034">
        <v>1</v>
      </c>
      <c r="O1034">
        <v>0</v>
      </c>
      <c r="P1034">
        <v>5</v>
      </c>
      <c r="Q1034" t="s">
        <v>21</v>
      </c>
    </row>
    <row r="1035" spans="1:17" x14ac:dyDescent="0.55000000000000004">
      <c r="A1035">
        <v>0</v>
      </c>
      <c r="B1035" t="s">
        <v>1</v>
      </c>
      <c r="C1035">
        <v>0.5</v>
      </c>
      <c r="D1035" t="s">
        <v>68</v>
      </c>
      <c r="E1035" t="s">
        <v>338</v>
      </c>
      <c r="F1035" t="s">
        <v>43</v>
      </c>
      <c r="G1035" t="s">
        <v>1</v>
      </c>
      <c r="H1035">
        <v>13.954000000000001</v>
      </c>
      <c r="I1035" t="s">
        <v>461</v>
      </c>
      <c r="K1035">
        <v>106616039</v>
      </c>
      <c r="L1035" s="2">
        <v>44361</v>
      </c>
      <c r="M1035">
        <v>17</v>
      </c>
      <c r="N1035">
        <v>1</v>
      </c>
      <c r="O1035">
        <v>0</v>
      </c>
      <c r="P1035">
        <v>1</v>
      </c>
      <c r="Q1035" t="s">
        <v>21</v>
      </c>
    </row>
    <row r="1036" spans="1:17" x14ac:dyDescent="0.55000000000000004">
      <c r="A1036">
        <v>0</v>
      </c>
      <c r="B1036" t="s">
        <v>1</v>
      </c>
      <c r="C1036">
        <v>0.7</v>
      </c>
      <c r="D1036" t="s">
        <v>68</v>
      </c>
      <c r="E1036" t="s">
        <v>338</v>
      </c>
      <c r="F1036" t="s">
        <v>340</v>
      </c>
      <c r="G1036" t="s">
        <v>1</v>
      </c>
      <c r="H1036">
        <v>14.154</v>
      </c>
      <c r="I1036" t="s">
        <v>461</v>
      </c>
      <c r="K1036">
        <v>105002003</v>
      </c>
      <c r="L1036" s="2">
        <v>42773</v>
      </c>
      <c r="M1036">
        <v>17</v>
      </c>
      <c r="N1036">
        <v>1</v>
      </c>
      <c r="O1036">
        <v>0</v>
      </c>
      <c r="P1036">
        <v>5</v>
      </c>
      <c r="Q1036" t="s">
        <v>21</v>
      </c>
    </row>
    <row r="1037" spans="1:17" x14ac:dyDescent="0.55000000000000004">
      <c r="A1037">
        <v>0</v>
      </c>
      <c r="B1037" t="s">
        <v>1</v>
      </c>
      <c r="C1037">
        <v>0.7</v>
      </c>
      <c r="D1037" t="s">
        <v>68</v>
      </c>
      <c r="E1037" t="s">
        <v>338</v>
      </c>
      <c r="F1037" t="s">
        <v>340</v>
      </c>
      <c r="G1037" t="s">
        <v>1</v>
      </c>
      <c r="H1037">
        <v>14.154</v>
      </c>
      <c r="I1037" t="s">
        <v>461</v>
      </c>
      <c r="K1037">
        <v>105299240</v>
      </c>
      <c r="L1037" s="2">
        <v>43061</v>
      </c>
      <c r="M1037">
        <v>13</v>
      </c>
      <c r="N1037">
        <v>1</v>
      </c>
      <c r="O1037">
        <v>0</v>
      </c>
      <c r="P1037">
        <v>1</v>
      </c>
      <c r="Q1037" t="s">
        <v>21</v>
      </c>
    </row>
    <row r="1038" spans="1:17" x14ac:dyDescent="0.55000000000000004">
      <c r="A1038">
        <v>0</v>
      </c>
      <c r="B1038" t="s">
        <v>1</v>
      </c>
      <c r="C1038">
        <v>0.4</v>
      </c>
      <c r="D1038" t="s">
        <v>18</v>
      </c>
      <c r="E1038" t="s">
        <v>340</v>
      </c>
      <c r="F1038" t="s">
        <v>338</v>
      </c>
      <c r="G1038" t="s">
        <v>1</v>
      </c>
      <c r="H1038">
        <v>14.189</v>
      </c>
      <c r="I1038" t="s">
        <v>461</v>
      </c>
      <c r="J1038" t="s">
        <v>174</v>
      </c>
      <c r="K1038">
        <v>105667282</v>
      </c>
      <c r="L1038" s="2">
        <v>43411</v>
      </c>
      <c r="M1038">
        <v>21</v>
      </c>
      <c r="N1038">
        <v>1</v>
      </c>
      <c r="O1038">
        <v>0</v>
      </c>
      <c r="P1038">
        <v>1</v>
      </c>
      <c r="Q1038" t="s">
        <v>15</v>
      </c>
    </row>
    <row r="1039" spans="1:17" x14ac:dyDescent="0.55000000000000004">
      <c r="A1039">
        <v>0</v>
      </c>
      <c r="B1039" t="s">
        <v>1</v>
      </c>
      <c r="C1039">
        <v>0.4</v>
      </c>
      <c r="D1039" t="s">
        <v>18</v>
      </c>
      <c r="E1039" t="s">
        <v>340</v>
      </c>
      <c r="F1039" t="s">
        <v>338</v>
      </c>
      <c r="G1039" t="s">
        <v>1</v>
      </c>
      <c r="H1039">
        <v>14.189</v>
      </c>
      <c r="I1039" t="s">
        <v>461</v>
      </c>
      <c r="J1039" t="s">
        <v>174</v>
      </c>
      <c r="K1039">
        <v>105667281</v>
      </c>
      <c r="L1039" s="2">
        <v>43411</v>
      </c>
      <c r="M1039">
        <v>21</v>
      </c>
      <c r="N1039">
        <v>1</v>
      </c>
      <c r="O1039">
        <v>0</v>
      </c>
      <c r="P1039">
        <v>1</v>
      </c>
      <c r="Q1039" t="s">
        <v>15</v>
      </c>
    </row>
    <row r="1040" spans="1:17" x14ac:dyDescent="0.55000000000000004">
      <c r="A1040">
        <v>0</v>
      </c>
      <c r="B1040" t="s">
        <v>1</v>
      </c>
      <c r="C1040">
        <v>0.3</v>
      </c>
      <c r="D1040" t="s">
        <v>18</v>
      </c>
      <c r="E1040" t="s">
        <v>340</v>
      </c>
      <c r="F1040" t="s">
        <v>338</v>
      </c>
      <c r="G1040" t="s">
        <v>1</v>
      </c>
      <c r="H1040">
        <v>14.289</v>
      </c>
      <c r="I1040" t="s">
        <v>461</v>
      </c>
      <c r="J1040" t="s">
        <v>174</v>
      </c>
      <c r="K1040">
        <v>106052043</v>
      </c>
      <c r="L1040" s="2">
        <v>43774</v>
      </c>
      <c r="M1040">
        <v>17</v>
      </c>
      <c r="N1040">
        <v>1</v>
      </c>
      <c r="O1040">
        <v>0</v>
      </c>
      <c r="P1040">
        <v>5</v>
      </c>
      <c r="Q1040" t="s">
        <v>21</v>
      </c>
    </row>
    <row r="1041" spans="1:17" x14ac:dyDescent="0.55000000000000004">
      <c r="A1041">
        <v>0</v>
      </c>
      <c r="B1041" t="s">
        <v>1</v>
      </c>
      <c r="C1041">
        <v>0.2</v>
      </c>
      <c r="D1041" t="s">
        <v>18</v>
      </c>
      <c r="E1041" t="s">
        <v>340</v>
      </c>
      <c r="F1041" t="s">
        <v>338</v>
      </c>
      <c r="G1041" t="s">
        <v>1</v>
      </c>
      <c r="H1041">
        <v>14.388999999999999</v>
      </c>
      <c r="I1041" t="s">
        <v>461</v>
      </c>
      <c r="J1041" t="s">
        <v>174</v>
      </c>
      <c r="K1041">
        <v>106398874</v>
      </c>
      <c r="L1041" s="2">
        <v>44143</v>
      </c>
      <c r="M1041">
        <v>19</v>
      </c>
      <c r="N1041">
        <v>1</v>
      </c>
      <c r="O1041">
        <v>2</v>
      </c>
      <c r="P1041">
        <v>1</v>
      </c>
      <c r="Q1041" t="s">
        <v>21</v>
      </c>
    </row>
    <row r="1042" spans="1:17" x14ac:dyDescent="0.55000000000000004">
      <c r="A1042">
        <v>0</v>
      </c>
      <c r="B1042" t="s">
        <v>1</v>
      </c>
      <c r="C1042">
        <v>1</v>
      </c>
      <c r="D1042" t="s">
        <v>68</v>
      </c>
      <c r="E1042" t="s">
        <v>338</v>
      </c>
      <c r="F1042" t="s">
        <v>340</v>
      </c>
      <c r="G1042" t="s">
        <v>1</v>
      </c>
      <c r="H1042">
        <v>14.454000000000001</v>
      </c>
      <c r="I1042" t="s">
        <v>461</v>
      </c>
      <c r="K1042">
        <v>106071887</v>
      </c>
      <c r="L1042" s="2">
        <v>43791</v>
      </c>
      <c r="M1042">
        <v>17</v>
      </c>
      <c r="N1042">
        <v>1</v>
      </c>
      <c r="O1042">
        <v>0</v>
      </c>
      <c r="P1042">
        <v>5</v>
      </c>
      <c r="Q1042" t="s">
        <v>21</v>
      </c>
    </row>
    <row r="1043" spans="1:17" x14ac:dyDescent="0.55000000000000004">
      <c r="A1043">
        <v>0</v>
      </c>
      <c r="B1043" t="s">
        <v>1</v>
      </c>
      <c r="C1043">
        <v>0.1</v>
      </c>
      <c r="D1043" t="s">
        <v>18</v>
      </c>
      <c r="E1043" t="s">
        <v>340</v>
      </c>
      <c r="F1043" t="s">
        <v>338</v>
      </c>
      <c r="G1043" t="s">
        <v>1</v>
      </c>
      <c r="H1043">
        <v>14.489000000000001</v>
      </c>
      <c r="I1043" t="s">
        <v>461</v>
      </c>
      <c r="J1043" t="s">
        <v>174</v>
      </c>
      <c r="K1043">
        <v>105285053</v>
      </c>
      <c r="L1043" s="2">
        <v>43050</v>
      </c>
      <c r="M1043">
        <v>17</v>
      </c>
      <c r="N1043">
        <v>1</v>
      </c>
      <c r="O1043">
        <v>0</v>
      </c>
      <c r="P1043">
        <v>5</v>
      </c>
      <c r="Q1043" t="s">
        <v>21</v>
      </c>
    </row>
    <row r="1044" spans="1:17" x14ac:dyDescent="0.55000000000000004">
      <c r="A1044">
        <v>0</v>
      </c>
      <c r="B1044" t="s">
        <v>1</v>
      </c>
      <c r="C1044">
        <v>0.1</v>
      </c>
      <c r="D1044" t="s">
        <v>18</v>
      </c>
      <c r="E1044" t="s">
        <v>340</v>
      </c>
      <c r="F1044" t="s">
        <v>338</v>
      </c>
      <c r="G1044" t="s">
        <v>1</v>
      </c>
      <c r="H1044">
        <v>14.489000000000001</v>
      </c>
      <c r="I1044" t="s">
        <v>461</v>
      </c>
      <c r="J1044" t="s">
        <v>174</v>
      </c>
      <c r="K1044">
        <v>106146336</v>
      </c>
      <c r="L1044" s="2">
        <v>43860</v>
      </c>
      <c r="M1044">
        <v>17</v>
      </c>
      <c r="N1044">
        <v>1</v>
      </c>
      <c r="O1044">
        <v>0</v>
      </c>
      <c r="P1044">
        <v>5</v>
      </c>
      <c r="Q1044" t="s">
        <v>21</v>
      </c>
    </row>
    <row r="1045" spans="1:17" x14ac:dyDescent="0.55000000000000004">
      <c r="A1045">
        <v>0</v>
      </c>
      <c r="B1045" t="s">
        <v>1</v>
      </c>
      <c r="C1045">
        <v>1.1000000000000001</v>
      </c>
      <c r="D1045" t="s">
        <v>68</v>
      </c>
      <c r="E1045" t="s">
        <v>338</v>
      </c>
      <c r="F1045" t="s">
        <v>340</v>
      </c>
      <c r="G1045" t="s">
        <v>1</v>
      </c>
      <c r="H1045">
        <v>14.554</v>
      </c>
      <c r="I1045" t="s">
        <v>461</v>
      </c>
      <c r="K1045">
        <v>105312642</v>
      </c>
      <c r="L1045" s="2">
        <v>43075</v>
      </c>
      <c r="M1045">
        <v>17</v>
      </c>
      <c r="N1045">
        <v>2</v>
      </c>
      <c r="O1045">
        <v>0</v>
      </c>
      <c r="P1045">
        <v>5</v>
      </c>
      <c r="Q1045" t="s">
        <v>21</v>
      </c>
    </row>
    <row r="1046" spans="1:17" x14ac:dyDescent="0.55000000000000004">
      <c r="A1046">
        <v>0</v>
      </c>
      <c r="B1046" t="s">
        <v>1</v>
      </c>
      <c r="C1046">
        <v>0</v>
      </c>
      <c r="E1046" t="s">
        <v>340</v>
      </c>
      <c r="F1046" t="s">
        <v>135</v>
      </c>
      <c r="G1046" t="s">
        <v>1</v>
      </c>
      <c r="H1046">
        <v>14.589</v>
      </c>
      <c r="I1046" t="s">
        <v>461</v>
      </c>
      <c r="J1046" t="s">
        <v>174</v>
      </c>
      <c r="K1046">
        <v>106412519</v>
      </c>
      <c r="L1046" s="2">
        <v>44156</v>
      </c>
      <c r="M1046">
        <v>21</v>
      </c>
      <c r="N1046">
        <v>1</v>
      </c>
      <c r="O1046">
        <v>8</v>
      </c>
      <c r="P1046">
        <v>1</v>
      </c>
      <c r="Q1046" t="s">
        <v>15</v>
      </c>
    </row>
    <row r="1047" spans="1:17" x14ac:dyDescent="0.55000000000000004">
      <c r="A1047">
        <v>0</v>
      </c>
      <c r="B1047" t="s">
        <v>1</v>
      </c>
      <c r="C1047">
        <v>0.1</v>
      </c>
      <c r="D1047" t="s">
        <v>18</v>
      </c>
      <c r="E1047" t="s">
        <v>341</v>
      </c>
      <c r="F1047" t="s">
        <v>340</v>
      </c>
      <c r="G1047" t="s">
        <v>1</v>
      </c>
      <c r="H1047">
        <v>14.944000000000001</v>
      </c>
      <c r="I1047" t="s">
        <v>461</v>
      </c>
      <c r="K1047">
        <v>105188086</v>
      </c>
      <c r="L1047" s="2">
        <v>42957</v>
      </c>
      <c r="M1047">
        <v>19</v>
      </c>
      <c r="N1047">
        <v>1</v>
      </c>
      <c r="O1047">
        <v>0</v>
      </c>
      <c r="P1047">
        <v>1</v>
      </c>
      <c r="Q1047" t="s">
        <v>21</v>
      </c>
    </row>
    <row r="1048" spans="1:17" x14ac:dyDescent="0.55000000000000004">
      <c r="A1048">
        <v>0</v>
      </c>
      <c r="B1048" t="s">
        <v>1</v>
      </c>
      <c r="C1048">
        <v>2.1000000000000001E-2</v>
      </c>
      <c r="D1048" t="s">
        <v>18</v>
      </c>
      <c r="E1048" t="s">
        <v>341</v>
      </c>
      <c r="F1048" t="s">
        <v>340</v>
      </c>
      <c r="G1048" t="s">
        <v>1</v>
      </c>
      <c r="H1048">
        <v>15.023</v>
      </c>
      <c r="I1048" t="s">
        <v>461</v>
      </c>
      <c r="K1048">
        <v>105706224</v>
      </c>
      <c r="L1048" s="2">
        <v>43439</v>
      </c>
      <c r="M1048">
        <v>19</v>
      </c>
      <c r="N1048">
        <v>1</v>
      </c>
      <c r="O1048">
        <v>0</v>
      </c>
      <c r="P1048">
        <v>5</v>
      </c>
      <c r="Q1048" t="s">
        <v>190</v>
      </c>
    </row>
    <row r="1049" spans="1:17" x14ac:dyDescent="0.55000000000000004">
      <c r="A1049">
        <v>0</v>
      </c>
      <c r="B1049" t="s">
        <v>1</v>
      </c>
      <c r="C1049">
        <v>0</v>
      </c>
      <c r="E1049" t="s">
        <v>342</v>
      </c>
      <c r="F1049" t="s">
        <v>51</v>
      </c>
      <c r="G1049" t="s">
        <v>1</v>
      </c>
      <c r="H1049">
        <v>15.212</v>
      </c>
      <c r="I1049" t="s">
        <v>461</v>
      </c>
      <c r="K1049">
        <v>105796987</v>
      </c>
      <c r="L1049" s="2">
        <v>43532</v>
      </c>
      <c r="M1049">
        <v>19</v>
      </c>
      <c r="N1049">
        <v>1</v>
      </c>
      <c r="O1049">
        <v>8</v>
      </c>
      <c r="P1049">
        <v>1</v>
      </c>
      <c r="Q1049" t="s">
        <v>21</v>
      </c>
    </row>
    <row r="1050" spans="1:17" x14ac:dyDescent="0.55000000000000004">
      <c r="A1050">
        <v>0</v>
      </c>
      <c r="B1050" t="s">
        <v>1</v>
      </c>
      <c r="C1050">
        <v>0</v>
      </c>
      <c r="E1050" t="s">
        <v>51</v>
      </c>
      <c r="F1050" t="s">
        <v>58</v>
      </c>
      <c r="G1050" t="s">
        <v>1</v>
      </c>
      <c r="H1050">
        <v>15.356999999999999</v>
      </c>
      <c r="I1050" t="s">
        <v>461</v>
      </c>
      <c r="J1050" t="s">
        <v>174</v>
      </c>
      <c r="K1050">
        <v>105365276</v>
      </c>
      <c r="L1050" s="2">
        <v>43128</v>
      </c>
      <c r="M1050">
        <v>19</v>
      </c>
      <c r="N1050">
        <v>2</v>
      </c>
      <c r="O1050">
        <v>7</v>
      </c>
      <c r="P1050">
        <v>5</v>
      </c>
      <c r="Q1050" t="s">
        <v>15</v>
      </c>
    </row>
    <row r="1051" spans="1:17" x14ac:dyDescent="0.55000000000000004">
      <c r="A1051">
        <v>0</v>
      </c>
      <c r="B1051" t="s">
        <v>1</v>
      </c>
      <c r="C1051">
        <v>0.1</v>
      </c>
      <c r="D1051" t="s">
        <v>68</v>
      </c>
      <c r="E1051" t="s">
        <v>51</v>
      </c>
      <c r="F1051" t="s">
        <v>135</v>
      </c>
      <c r="G1051" t="s">
        <v>1</v>
      </c>
      <c r="H1051">
        <v>15.457000000000001</v>
      </c>
      <c r="I1051" t="s">
        <v>461</v>
      </c>
      <c r="J1051" t="s">
        <v>174</v>
      </c>
      <c r="K1051">
        <v>105051652</v>
      </c>
      <c r="L1051" s="2">
        <v>42822</v>
      </c>
      <c r="M1051">
        <v>17</v>
      </c>
      <c r="N1051">
        <v>1</v>
      </c>
      <c r="O1051">
        <v>0</v>
      </c>
      <c r="P1051">
        <v>5</v>
      </c>
      <c r="Q1051" t="s">
        <v>21</v>
      </c>
    </row>
    <row r="1052" spans="1:17" x14ac:dyDescent="0.55000000000000004">
      <c r="A1052">
        <v>0</v>
      </c>
      <c r="B1052" t="s">
        <v>1</v>
      </c>
      <c r="C1052">
        <v>0.1</v>
      </c>
      <c r="D1052" t="s">
        <v>68</v>
      </c>
      <c r="E1052" t="s">
        <v>51</v>
      </c>
      <c r="F1052" t="s">
        <v>135</v>
      </c>
      <c r="G1052" t="s">
        <v>1</v>
      </c>
      <c r="H1052">
        <v>15.457000000000001</v>
      </c>
      <c r="I1052" t="s">
        <v>461</v>
      </c>
      <c r="J1052" t="s">
        <v>174</v>
      </c>
      <c r="K1052">
        <v>106266844</v>
      </c>
      <c r="L1052" s="2">
        <v>44012</v>
      </c>
      <c r="M1052">
        <v>21</v>
      </c>
      <c r="N1052">
        <v>1</v>
      </c>
      <c r="P1052">
        <v>1</v>
      </c>
      <c r="Q1052" t="s">
        <v>21</v>
      </c>
    </row>
    <row r="1053" spans="1:17" x14ac:dyDescent="0.55000000000000004">
      <c r="A1053">
        <v>0</v>
      </c>
      <c r="B1053" t="s">
        <v>1</v>
      </c>
      <c r="C1053">
        <v>0.1</v>
      </c>
      <c r="D1053" t="s">
        <v>68</v>
      </c>
      <c r="E1053" t="s">
        <v>51</v>
      </c>
      <c r="F1053" t="s">
        <v>58</v>
      </c>
      <c r="G1053" t="s">
        <v>1</v>
      </c>
      <c r="H1053">
        <v>15.457000000000001</v>
      </c>
      <c r="I1053" t="s">
        <v>461</v>
      </c>
      <c r="J1053" t="s">
        <v>174</v>
      </c>
      <c r="K1053">
        <v>105455844</v>
      </c>
      <c r="L1053" s="2">
        <v>43209</v>
      </c>
      <c r="M1053">
        <v>23</v>
      </c>
      <c r="N1053">
        <v>1</v>
      </c>
      <c r="O1053">
        <v>0</v>
      </c>
      <c r="P1053">
        <v>1</v>
      </c>
      <c r="Q1053" t="s">
        <v>21</v>
      </c>
    </row>
    <row r="1054" spans="1:17" x14ac:dyDescent="0.55000000000000004">
      <c r="A1054">
        <v>0</v>
      </c>
      <c r="B1054" t="s">
        <v>1</v>
      </c>
      <c r="C1054">
        <v>0.1</v>
      </c>
      <c r="D1054" t="s">
        <v>68</v>
      </c>
      <c r="E1054" t="s">
        <v>51</v>
      </c>
      <c r="F1054" t="s">
        <v>58</v>
      </c>
      <c r="G1054" t="s">
        <v>1</v>
      </c>
      <c r="H1054">
        <v>15.457000000000001</v>
      </c>
      <c r="I1054" t="s">
        <v>461</v>
      </c>
      <c r="J1054" t="s">
        <v>174</v>
      </c>
      <c r="K1054">
        <v>105062837</v>
      </c>
      <c r="L1054" s="2">
        <v>42831</v>
      </c>
      <c r="M1054">
        <v>19</v>
      </c>
      <c r="N1054">
        <v>1</v>
      </c>
      <c r="O1054">
        <v>0</v>
      </c>
      <c r="P1054">
        <v>1</v>
      </c>
      <c r="Q1054" t="s">
        <v>21</v>
      </c>
    </row>
    <row r="1055" spans="1:17" x14ac:dyDescent="0.55000000000000004">
      <c r="A1055">
        <v>0</v>
      </c>
      <c r="B1055" t="s">
        <v>1</v>
      </c>
      <c r="C1055">
        <v>0.2</v>
      </c>
      <c r="D1055" t="s">
        <v>68</v>
      </c>
      <c r="E1055" t="s">
        <v>51</v>
      </c>
      <c r="F1055" t="s">
        <v>58</v>
      </c>
      <c r="G1055" t="s">
        <v>1</v>
      </c>
      <c r="H1055">
        <v>15.557</v>
      </c>
      <c r="I1055" t="s">
        <v>461</v>
      </c>
      <c r="J1055" t="s">
        <v>174</v>
      </c>
      <c r="K1055">
        <v>105334471</v>
      </c>
      <c r="L1055" s="2">
        <v>43096</v>
      </c>
      <c r="M1055">
        <v>17</v>
      </c>
      <c r="N1055">
        <v>1</v>
      </c>
      <c r="O1055">
        <v>0</v>
      </c>
      <c r="P1055">
        <v>1</v>
      </c>
      <c r="Q1055" t="s">
        <v>21</v>
      </c>
    </row>
    <row r="1056" spans="1:17" x14ac:dyDescent="0.55000000000000004">
      <c r="A1056">
        <v>0</v>
      </c>
      <c r="B1056" t="s">
        <v>1</v>
      </c>
      <c r="C1056">
        <v>0.2</v>
      </c>
      <c r="D1056" t="s">
        <v>18</v>
      </c>
      <c r="E1056" t="s">
        <v>58</v>
      </c>
      <c r="F1056" t="s">
        <v>340</v>
      </c>
      <c r="G1056" t="s">
        <v>1</v>
      </c>
      <c r="H1056">
        <v>15.823</v>
      </c>
      <c r="I1056" t="s">
        <v>461</v>
      </c>
      <c r="K1056">
        <v>104901016</v>
      </c>
      <c r="L1056" s="2">
        <v>42674</v>
      </c>
      <c r="M1056">
        <v>17</v>
      </c>
      <c r="N1056">
        <v>1</v>
      </c>
      <c r="O1056">
        <v>0</v>
      </c>
      <c r="P1056">
        <v>5</v>
      </c>
      <c r="Q1056" t="s">
        <v>21</v>
      </c>
    </row>
    <row r="1057" spans="1:17" x14ac:dyDescent="0.55000000000000004">
      <c r="A1057">
        <v>0</v>
      </c>
      <c r="B1057" t="s">
        <v>1</v>
      </c>
      <c r="C1057">
        <v>0.2</v>
      </c>
      <c r="D1057" t="s">
        <v>18</v>
      </c>
      <c r="E1057" t="s">
        <v>58</v>
      </c>
      <c r="F1057" t="s">
        <v>51</v>
      </c>
      <c r="G1057" t="s">
        <v>1</v>
      </c>
      <c r="H1057">
        <v>15.823</v>
      </c>
      <c r="I1057" t="s">
        <v>461</v>
      </c>
      <c r="K1057">
        <v>106371554</v>
      </c>
      <c r="L1057" s="2">
        <v>44121</v>
      </c>
      <c r="M1057">
        <v>19</v>
      </c>
      <c r="N1057">
        <v>1</v>
      </c>
      <c r="O1057">
        <v>0</v>
      </c>
      <c r="P1057">
        <v>1</v>
      </c>
      <c r="Q1057" t="s">
        <v>15</v>
      </c>
    </row>
    <row r="1058" spans="1:17" x14ac:dyDescent="0.55000000000000004">
      <c r="A1058">
        <v>0</v>
      </c>
      <c r="B1058" t="s">
        <v>1</v>
      </c>
      <c r="C1058">
        <v>0.2</v>
      </c>
      <c r="D1058" t="s">
        <v>18</v>
      </c>
      <c r="E1058" t="s">
        <v>58</v>
      </c>
      <c r="F1058" t="s">
        <v>51</v>
      </c>
      <c r="G1058" t="s">
        <v>1</v>
      </c>
      <c r="H1058">
        <v>15.823</v>
      </c>
      <c r="I1058" t="s">
        <v>461</v>
      </c>
      <c r="K1058">
        <v>104852314</v>
      </c>
      <c r="L1058" s="2">
        <v>42626</v>
      </c>
      <c r="M1058">
        <v>17</v>
      </c>
      <c r="N1058">
        <v>1</v>
      </c>
      <c r="O1058">
        <v>0</v>
      </c>
      <c r="P1058">
        <v>5</v>
      </c>
      <c r="Q1058" t="s">
        <v>21</v>
      </c>
    </row>
    <row r="1059" spans="1:17" x14ac:dyDescent="0.55000000000000004">
      <c r="A1059">
        <v>0</v>
      </c>
      <c r="B1059" t="s">
        <v>1</v>
      </c>
      <c r="C1059">
        <v>0.5</v>
      </c>
      <c r="D1059" t="s">
        <v>68</v>
      </c>
      <c r="E1059" t="s">
        <v>51</v>
      </c>
      <c r="F1059" t="s">
        <v>135</v>
      </c>
      <c r="G1059" t="s">
        <v>1</v>
      </c>
      <c r="H1059">
        <v>15.856999999999999</v>
      </c>
      <c r="I1059" t="s">
        <v>461</v>
      </c>
      <c r="J1059" t="s">
        <v>174</v>
      </c>
      <c r="K1059">
        <v>106338263</v>
      </c>
      <c r="L1059" s="2">
        <v>44089</v>
      </c>
      <c r="M1059">
        <v>17</v>
      </c>
      <c r="N1059">
        <v>1</v>
      </c>
      <c r="O1059">
        <v>0</v>
      </c>
      <c r="P1059">
        <v>5</v>
      </c>
      <c r="Q1059" t="s">
        <v>21</v>
      </c>
    </row>
    <row r="1060" spans="1:17" x14ac:dyDescent="0.55000000000000004">
      <c r="A1060">
        <v>0</v>
      </c>
      <c r="B1060" t="s">
        <v>1</v>
      </c>
      <c r="C1060">
        <v>0.5</v>
      </c>
      <c r="D1060" t="s">
        <v>68</v>
      </c>
      <c r="E1060" t="s">
        <v>51</v>
      </c>
      <c r="F1060" t="s">
        <v>58</v>
      </c>
      <c r="G1060" t="s">
        <v>1</v>
      </c>
      <c r="H1060">
        <v>15.856999999999999</v>
      </c>
      <c r="I1060" t="s">
        <v>461</v>
      </c>
      <c r="J1060" t="s">
        <v>174</v>
      </c>
      <c r="K1060">
        <v>105694348</v>
      </c>
      <c r="L1060" s="2">
        <v>43431</v>
      </c>
      <c r="M1060">
        <v>21</v>
      </c>
      <c r="N1060">
        <v>1</v>
      </c>
      <c r="O1060">
        <v>0</v>
      </c>
      <c r="P1060">
        <v>5</v>
      </c>
      <c r="Q1060" t="s">
        <v>167</v>
      </c>
    </row>
    <row r="1061" spans="1:17" x14ac:dyDescent="0.55000000000000004">
      <c r="A1061">
        <v>0</v>
      </c>
      <c r="B1061" t="s">
        <v>1</v>
      </c>
      <c r="C1061">
        <v>0.5</v>
      </c>
      <c r="D1061" t="s">
        <v>68</v>
      </c>
      <c r="E1061" t="s">
        <v>51</v>
      </c>
      <c r="F1061" t="s">
        <v>58</v>
      </c>
      <c r="G1061" t="s">
        <v>1</v>
      </c>
      <c r="H1061">
        <v>15.856999999999999</v>
      </c>
      <c r="I1061" t="s">
        <v>461</v>
      </c>
      <c r="J1061" t="s">
        <v>174</v>
      </c>
      <c r="K1061">
        <v>106559649</v>
      </c>
      <c r="L1061" s="2">
        <v>44313</v>
      </c>
      <c r="M1061">
        <v>21</v>
      </c>
      <c r="N1061">
        <v>1</v>
      </c>
      <c r="O1061">
        <v>0</v>
      </c>
      <c r="P1061">
        <v>1</v>
      </c>
      <c r="Q1061" t="s">
        <v>21</v>
      </c>
    </row>
    <row r="1062" spans="1:17" x14ac:dyDescent="0.55000000000000004">
      <c r="A1062">
        <v>0</v>
      </c>
      <c r="B1062" t="s">
        <v>1</v>
      </c>
      <c r="C1062">
        <v>0</v>
      </c>
      <c r="E1062" t="s">
        <v>58</v>
      </c>
      <c r="F1062" t="s">
        <v>135</v>
      </c>
      <c r="G1062" t="s">
        <v>1</v>
      </c>
      <c r="H1062">
        <v>16.023</v>
      </c>
      <c r="I1062" t="s">
        <v>461</v>
      </c>
      <c r="K1062">
        <v>106006732</v>
      </c>
      <c r="L1062" s="2">
        <v>43731</v>
      </c>
      <c r="M1062">
        <v>21</v>
      </c>
      <c r="N1062">
        <v>1</v>
      </c>
      <c r="O1062">
        <v>8</v>
      </c>
      <c r="P1062">
        <v>1</v>
      </c>
      <c r="Q1062" t="s">
        <v>21</v>
      </c>
    </row>
    <row r="1063" spans="1:17" x14ac:dyDescent="0.55000000000000004">
      <c r="A1063">
        <v>0</v>
      </c>
      <c r="B1063" t="s">
        <v>1</v>
      </c>
      <c r="C1063">
        <v>0</v>
      </c>
      <c r="E1063" t="s">
        <v>58</v>
      </c>
      <c r="F1063" t="s">
        <v>51</v>
      </c>
      <c r="G1063" t="s">
        <v>1</v>
      </c>
      <c r="H1063">
        <v>16.023</v>
      </c>
      <c r="I1063" t="s">
        <v>461</v>
      </c>
      <c r="K1063">
        <v>106486933</v>
      </c>
      <c r="L1063" s="2">
        <v>44238</v>
      </c>
      <c r="M1063">
        <v>23</v>
      </c>
      <c r="N1063">
        <v>2</v>
      </c>
      <c r="O1063">
        <v>8</v>
      </c>
      <c r="P1063">
        <v>1</v>
      </c>
      <c r="Q1063" t="s">
        <v>21</v>
      </c>
    </row>
    <row r="1064" spans="1:17" x14ac:dyDescent="0.55000000000000004">
      <c r="A1064">
        <v>0</v>
      </c>
      <c r="B1064" t="s">
        <v>1</v>
      </c>
      <c r="C1064">
        <v>5.7000000000000002E-2</v>
      </c>
      <c r="D1064" t="s">
        <v>68</v>
      </c>
      <c r="E1064" t="s">
        <v>58</v>
      </c>
      <c r="F1064" t="s">
        <v>135</v>
      </c>
      <c r="G1064" t="s">
        <v>1</v>
      </c>
      <c r="H1064">
        <v>16.079999999999998</v>
      </c>
      <c r="I1064" t="s">
        <v>461</v>
      </c>
      <c r="K1064">
        <v>105910577</v>
      </c>
      <c r="L1064" s="2">
        <v>43642</v>
      </c>
      <c r="M1064">
        <v>14</v>
      </c>
      <c r="N1064">
        <v>1</v>
      </c>
      <c r="O1064">
        <v>0</v>
      </c>
      <c r="P1064">
        <v>5</v>
      </c>
      <c r="Q1064" t="s">
        <v>45</v>
      </c>
    </row>
    <row r="1065" spans="1:17" x14ac:dyDescent="0.55000000000000004">
      <c r="A1065">
        <v>0</v>
      </c>
      <c r="B1065" t="s">
        <v>1</v>
      </c>
      <c r="C1065">
        <v>0.1</v>
      </c>
      <c r="D1065" t="s">
        <v>68</v>
      </c>
      <c r="E1065" t="s">
        <v>58</v>
      </c>
      <c r="F1065" t="s">
        <v>135</v>
      </c>
      <c r="G1065" t="s">
        <v>1</v>
      </c>
      <c r="H1065">
        <v>16.123000000000001</v>
      </c>
      <c r="I1065" t="s">
        <v>461</v>
      </c>
      <c r="K1065">
        <v>105523581</v>
      </c>
      <c r="L1065" s="2">
        <v>43277</v>
      </c>
      <c r="M1065">
        <v>19</v>
      </c>
      <c r="N1065">
        <v>1</v>
      </c>
      <c r="O1065">
        <v>0</v>
      </c>
      <c r="P1065">
        <v>1</v>
      </c>
      <c r="Q1065" t="s">
        <v>21</v>
      </c>
    </row>
    <row r="1066" spans="1:17" x14ac:dyDescent="0.55000000000000004">
      <c r="A1066">
        <v>0</v>
      </c>
      <c r="B1066" t="s">
        <v>1</v>
      </c>
      <c r="C1066">
        <v>0.1</v>
      </c>
      <c r="D1066" t="s">
        <v>68</v>
      </c>
      <c r="E1066" t="s">
        <v>58</v>
      </c>
      <c r="F1066" t="s">
        <v>135</v>
      </c>
      <c r="G1066" t="s">
        <v>1</v>
      </c>
      <c r="H1066">
        <v>16.123000000000001</v>
      </c>
      <c r="I1066" t="s">
        <v>461</v>
      </c>
      <c r="K1066">
        <v>104978505</v>
      </c>
      <c r="L1066" s="2">
        <v>42750</v>
      </c>
      <c r="M1066">
        <v>17</v>
      </c>
      <c r="N1066">
        <v>1</v>
      </c>
      <c r="O1066">
        <v>0</v>
      </c>
      <c r="P1066">
        <v>5</v>
      </c>
      <c r="Q1066" t="s">
        <v>21</v>
      </c>
    </row>
    <row r="1067" spans="1:17" x14ac:dyDescent="0.55000000000000004">
      <c r="A1067">
        <v>0</v>
      </c>
      <c r="B1067" t="s">
        <v>1</v>
      </c>
      <c r="C1067">
        <v>0.2</v>
      </c>
      <c r="D1067" t="s">
        <v>18</v>
      </c>
      <c r="E1067" t="s">
        <v>135</v>
      </c>
      <c r="F1067" t="s">
        <v>58</v>
      </c>
      <c r="G1067" t="s">
        <v>1</v>
      </c>
      <c r="H1067">
        <v>16.3</v>
      </c>
      <c r="I1067" t="s">
        <v>461</v>
      </c>
      <c r="K1067">
        <v>105667277</v>
      </c>
      <c r="L1067" s="2">
        <v>43412</v>
      </c>
      <c r="M1067">
        <v>17</v>
      </c>
      <c r="N1067">
        <v>1</v>
      </c>
      <c r="O1067">
        <v>0</v>
      </c>
      <c r="P1067">
        <v>3</v>
      </c>
      <c r="Q1067" t="s">
        <v>21</v>
      </c>
    </row>
    <row r="1068" spans="1:17" x14ac:dyDescent="0.55000000000000004">
      <c r="A1068">
        <v>0</v>
      </c>
      <c r="B1068" t="s">
        <v>1</v>
      </c>
      <c r="C1068">
        <v>1</v>
      </c>
      <c r="D1068" t="s">
        <v>68</v>
      </c>
      <c r="E1068" t="s">
        <v>51</v>
      </c>
      <c r="F1068" t="s">
        <v>58</v>
      </c>
      <c r="G1068" t="s">
        <v>1</v>
      </c>
      <c r="H1068">
        <v>16.356999999999999</v>
      </c>
      <c r="I1068" t="s">
        <v>461</v>
      </c>
      <c r="J1068" t="s">
        <v>174</v>
      </c>
      <c r="K1068">
        <v>106281931</v>
      </c>
      <c r="L1068" s="2">
        <v>44020</v>
      </c>
      <c r="M1068">
        <v>19</v>
      </c>
      <c r="N1068">
        <v>1</v>
      </c>
      <c r="O1068">
        <v>0</v>
      </c>
      <c r="P1068">
        <v>1</v>
      </c>
      <c r="Q1068" t="s">
        <v>21</v>
      </c>
    </row>
    <row r="1069" spans="1:17" x14ac:dyDescent="0.55000000000000004">
      <c r="A1069">
        <v>0</v>
      </c>
      <c r="B1069" t="s">
        <v>1</v>
      </c>
      <c r="C1069">
        <v>0.1</v>
      </c>
      <c r="D1069" t="s">
        <v>18</v>
      </c>
      <c r="E1069" t="s">
        <v>135</v>
      </c>
      <c r="F1069" t="s">
        <v>58</v>
      </c>
      <c r="G1069" t="s">
        <v>1</v>
      </c>
      <c r="H1069">
        <v>16.399999999999999</v>
      </c>
      <c r="I1069" t="s">
        <v>461</v>
      </c>
      <c r="K1069">
        <v>105051577</v>
      </c>
      <c r="L1069" s="2">
        <v>42822</v>
      </c>
      <c r="M1069">
        <v>21</v>
      </c>
      <c r="N1069">
        <v>2</v>
      </c>
      <c r="O1069">
        <v>0</v>
      </c>
      <c r="P1069">
        <v>3</v>
      </c>
      <c r="Q1069" t="s">
        <v>21</v>
      </c>
    </row>
    <row r="1070" spans="1:17" x14ac:dyDescent="0.55000000000000004">
      <c r="A1070">
        <v>0</v>
      </c>
      <c r="B1070" t="s">
        <v>1</v>
      </c>
      <c r="C1070">
        <v>0.1</v>
      </c>
      <c r="D1070" t="s">
        <v>18</v>
      </c>
      <c r="E1070" t="s">
        <v>135</v>
      </c>
      <c r="F1070" t="s">
        <v>58</v>
      </c>
      <c r="G1070" t="s">
        <v>1</v>
      </c>
      <c r="H1070">
        <v>16.399999999999999</v>
      </c>
      <c r="I1070" t="s">
        <v>461</v>
      </c>
      <c r="K1070">
        <v>104891897</v>
      </c>
      <c r="L1070" s="2">
        <v>42665</v>
      </c>
      <c r="M1070">
        <v>22</v>
      </c>
      <c r="N1070">
        <v>1</v>
      </c>
      <c r="O1070">
        <v>0</v>
      </c>
      <c r="P1070">
        <v>1</v>
      </c>
      <c r="Q1070" t="s">
        <v>21</v>
      </c>
    </row>
    <row r="1071" spans="1:17" x14ac:dyDescent="0.55000000000000004">
      <c r="A1071">
        <v>0</v>
      </c>
      <c r="B1071" t="s">
        <v>1</v>
      </c>
      <c r="C1071">
        <v>3.7999999999999999E-2</v>
      </c>
      <c r="D1071" t="s">
        <v>18</v>
      </c>
      <c r="E1071" t="s">
        <v>135</v>
      </c>
      <c r="F1071" t="s">
        <v>58</v>
      </c>
      <c r="G1071" t="s">
        <v>1</v>
      </c>
      <c r="H1071">
        <v>16.462</v>
      </c>
      <c r="I1071" t="s">
        <v>461</v>
      </c>
      <c r="K1071">
        <v>104908761</v>
      </c>
      <c r="L1071" s="2">
        <v>42676</v>
      </c>
      <c r="M1071">
        <v>24</v>
      </c>
      <c r="N1071">
        <v>1</v>
      </c>
      <c r="O1071">
        <v>0</v>
      </c>
      <c r="P1071">
        <v>1</v>
      </c>
      <c r="Q1071" t="s">
        <v>21</v>
      </c>
    </row>
    <row r="1072" spans="1:17" x14ac:dyDescent="0.55000000000000004">
      <c r="A1072">
        <v>0</v>
      </c>
      <c r="B1072" t="s">
        <v>1</v>
      </c>
      <c r="C1072">
        <v>0</v>
      </c>
      <c r="E1072" t="s">
        <v>135</v>
      </c>
      <c r="F1072" t="s">
        <v>51</v>
      </c>
      <c r="G1072" t="s">
        <v>1</v>
      </c>
      <c r="H1072">
        <v>16.5</v>
      </c>
      <c r="I1072" t="s">
        <v>461</v>
      </c>
      <c r="K1072">
        <v>105910681</v>
      </c>
      <c r="L1072" s="2">
        <v>43636</v>
      </c>
      <c r="M1072">
        <v>30</v>
      </c>
      <c r="N1072">
        <v>2</v>
      </c>
      <c r="O1072">
        <v>7</v>
      </c>
      <c r="P1072">
        <v>1</v>
      </c>
      <c r="Q1072" t="s">
        <v>21</v>
      </c>
    </row>
    <row r="1073" spans="1:17" x14ac:dyDescent="0.55000000000000004">
      <c r="A1073">
        <v>0</v>
      </c>
      <c r="B1073" t="s">
        <v>1</v>
      </c>
      <c r="C1073">
        <v>0</v>
      </c>
      <c r="E1073" t="s">
        <v>135</v>
      </c>
      <c r="F1073" t="s">
        <v>51</v>
      </c>
      <c r="G1073" t="s">
        <v>1</v>
      </c>
      <c r="H1073">
        <v>16.5</v>
      </c>
      <c r="I1073" t="s">
        <v>461</v>
      </c>
      <c r="K1073">
        <v>104925483</v>
      </c>
      <c r="L1073" s="2">
        <v>42697</v>
      </c>
      <c r="M1073">
        <v>23</v>
      </c>
      <c r="N1073">
        <v>1</v>
      </c>
      <c r="O1073">
        <v>7</v>
      </c>
      <c r="P1073">
        <v>3</v>
      </c>
      <c r="Q1073" t="s">
        <v>21</v>
      </c>
    </row>
    <row r="1074" spans="1:17" x14ac:dyDescent="0.55000000000000004">
      <c r="A1074">
        <v>0</v>
      </c>
      <c r="B1074" t="s">
        <v>1</v>
      </c>
      <c r="C1074">
        <v>0</v>
      </c>
      <c r="E1074" t="s">
        <v>135</v>
      </c>
      <c r="F1074" t="s">
        <v>51</v>
      </c>
      <c r="G1074" t="s">
        <v>1</v>
      </c>
      <c r="H1074">
        <v>16.5</v>
      </c>
      <c r="I1074" t="s">
        <v>461</v>
      </c>
      <c r="K1074">
        <v>105279583</v>
      </c>
      <c r="L1074" s="2">
        <v>43038</v>
      </c>
      <c r="M1074">
        <v>30</v>
      </c>
      <c r="N1074">
        <v>1</v>
      </c>
      <c r="O1074">
        <v>7</v>
      </c>
      <c r="P1074">
        <v>1</v>
      </c>
      <c r="Q1074" t="s">
        <v>15</v>
      </c>
    </row>
    <row r="1075" spans="1:17" x14ac:dyDescent="0.55000000000000004">
      <c r="A1075">
        <v>0</v>
      </c>
      <c r="B1075" t="s">
        <v>1</v>
      </c>
      <c r="C1075">
        <v>0</v>
      </c>
      <c r="E1075" t="s">
        <v>135</v>
      </c>
      <c r="F1075" t="s">
        <v>107</v>
      </c>
      <c r="G1075" t="s">
        <v>1</v>
      </c>
      <c r="H1075">
        <v>16.5</v>
      </c>
      <c r="I1075" t="s">
        <v>461</v>
      </c>
      <c r="K1075">
        <v>105643675</v>
      </c>
      <c r="L1075" s="2">
        <v>43391</v>
      </c>
      <c r="M1075">
        <v>30</v>
      </c>
      <c r="N1075">
        <v>1</v>
      </c>
      <c r="O1075">
        <v>7</v>
      </c>
      <c r="P1075">
        <v>1</v>
      </c>
      <c r="Q1075" t="s">
        <v>15</v>
      </c>
    </row>
    <row r="1076" spans="1:17" x14ac:dyDescent="0.55000000000000004">
      <c r="A1076">
        <v>0</v>
      </c>
      <c r="B1076" t="s">
        <v>1</v>
      </c>
      <c r="C1076">
        <v>0</v>
      </c>
      <c r="E1076" t="s">
        <v>135</v>
      </c>
      <c r="F1076" t="s">
        <v>343</v>
      </c>
      <c r="G1076" t="s">
        <v>1</v>
      </c>
      <c r="H1076">
        <v>16.5</v>
      </c>
      <c r="I1076" t="s">
        <v>461</v>
      </c>
      <c r="K1076">
        <v>106366967</v>
      </c>
      <c r="L1076" s="2">
        <v>44111</v>
      </c>
      <c r="M1076">
        <v>30</v>
      </c>
      <c r="N1076">
        <v>1</v>
      </c>
      <c r="O1076">
        <v>7</v>
      </c>
      <c r="P1076">
        <v>1</v>
      </c>
      <c r="Q1076" t="s">
        <v>21</v>
      </c>
    </row>
    <row r="1077" spans="1:17" x14ac:dyDescent="0.55000000000000004">
      <c r="A1077">
        <v>0</v>
      </c>
      <c r="B1077" t="s">
        <v>1</v>
      </c>
      <c r="C1077">
        <v>0</v>
      </c>
      <c r="E1077" t="s">
        <v>135</v>
      </c>
      <c r="F1077" t="s">
        <v>343</v>
      </c>
      <c r="G1077" t="s">
        <v>1</v>
      </c>
      <c r="H1077">
        <v>16.5</v>
      </c>
      <c r="I1077" t="s">
        <v>461</v>
      </c>
      <c r="K1077">
        <v>105941203</v>
      </c>
      <c r="L1077" s="2">
        <v>43675</v>
      </c>
      <c r="M1077">
        <v>26</v>
      </c>
      <c r="N1077">
        <v>1</v>
      </c>
      <c r="O1077">
        <v>7</v>
      </c>
      <c r="P1077">
        <v>1</v>
      </c>
      <c r="Q1077" t="s">
        <v>15</v>
      </c>
    </row>
    <row r="1078" spans="1:17" x14ac:dyDescent="0.55000000000000004">
      <c r="A1078">
        <v>0</v>
      </c>
      <c r="B1078" t="s">
        <v>1</v>
      </c>
      <c r="C1078">
        <v>0</v>
      </c>
      <c r="E1078" t="s">
        <v>135</v>
      </c>
      <c r="F1078" t="s">
        <v>343</v>
      </c>
      <c r="G1078" t="s">
        <v>1</v>
      </c>
      <c r="H1078">
        <v>16.5</v>
      </c>
      <c r="I1078" t="s">
        <v>461</v>
      </c>
      <c r="K1078">
        <v>105679017</v>
      </c>
      <c r="L1078" s="2">
        <v>43420</v>
      </c>
      <c r="M1078">
        <v>24</v>
      </c>
      <c r="N1078">
        <v>1</v>
      </c>
      <c r="O1078">
        <v>7</v>
      </c>
      <c r="P1078">
        <v>5</v>
      </c>
      <c r="Q1078" t="s">
        <v>45</v>
      </c>
    </row>
    <row r="1079" spans="1:17" x14ac:dyDescent="0.55000000000000004">
      <c r="A1079">
        <v>0</v>
      </c>
      <c r="B1079" t="s">
        <v>1</v>
      </c>
      <c r="C1079">
        <v>0</v>
      </c>
      <c r="E1079" t="s">
        <v>135</v>
      </c>
      <c r="F1079" t="s">
        <v>343</v>
      </c>
      <c r="G1079" t="s">
        <v>1</v>
      </c>
      <c r="H1079">
        <v>16.5</v>
      </c>
      <c r="I1079" t="s">
        <v>461</v>
      </c>
      <c r="K1079">
        <v>105279718</v>
      </c>
      <c r="L1079" s="2">
        <v>43041</v>
      </c>
      <c r="M1079">
        <v>30</v>
      </c>
      <c r="N1079">
        <v>1</v>
      </c>
      <c r="O1079">
        <v>7</v>
      </c>
      <c r="P1079">
        <v>1</v>
      </c>
      <c r="Q1079" t="s">
        <v>15</v>
      </c>
    </row>
    <row r="1080" spans="1:17" x14ac:dyDescent="0.55000000000000004">
      <c r="A1080">
        <v>0</v>
      </c>
      <c r="B1080" t="s">
        <v>1</v>
      </c>
      <c r="C1080">
        <v>0</v>
      </c>
      <c r="E1080" t="s">
        <v>135</v>
      </c>
      <c r="F1080" t="s">
        <v>343</v>
      </c>
      <c r="G1080" t="s">
        <v>1</v>
      </c>
      <c r="H1080">
        <v>16.5</v>
      </c>
      <c r="I1080" t="s">
        <v>461</v>
      </c>
      <c r="K1080">
        <v>106170049</v>
      </c>
      <c r="L1080" s="2">
        <v>43887</v>
      </c>
      <c r="M1080">
        <v>24</v>
      </c>
      <c r="N1080">
        <v>1</v>
      </c>
      <c r="O1080">
        <v>7</v>
      </c>
      <c r="P1080">
        <v>1</v>
      </c>
      <c r="Q1080" t="s">
        <v>15</v>
      </c>
    </row>
    <row r="1081" spans="1:17" x14ac:dyDescent="0.55000000000000004">
      <c r="A1081">
        <v>0</v>
      </c>
      <c r="B1081" t="s">
        <v>1</v>
      </c>
      <c r="C1081">
        <v>0</v>
      </c>
      <c r="E1081" t="s">
        <v>135</v>
      </c>
      <c r="F1081" t="s">
        <v>343</v>
      </c>
      <c r="G1081" t="s">
        <v>1</v>
      </c>
      <c r="H1081">
        <v>16.5</v>
      </c>
      <c r="I1081" t="s">
        <v>461</v>
      </c>
      <c r="K1081">
        <v>106622713</v>
      </c>
      <c r="L1081" s="2">
        <v>44377</v>
      </c>
      <c r="M1081">
        <v>24</v>
      </c>
      <c r="N1081">
        <v>1</v>
      </c>
      <c r="O1081">
        <v>7</v>
      </c>
      <c r="P1081">
        <v>1</v>
      </c>
      <c r="Q1081" t="s">
        <v>15</v>
      </c>
    </row>
    <row r="1082" spans="1:17" x14ac:dyDescent="0.55000000000000004">
      <c r="A1082">
        <v>0</v>
      </c>
      <c r="B1082" t="s">
        <v>1</v>
      </c>
      <c r="C1082">
        <v>0</v>
      </c>
      <c r="E1082" t="s">
        <v>135</v>
      </c>
      <c r="F1082" t="s">
        <v>344</v>
      </c>
      <c r="G1082" t="s">
        <v>1</v>
      </c>
      <c r="H1082">
        <v>16.5</v>
      </c>
      <c r="I1082" t="s">
        <v>461</v>
      </c>
      <c r="K1082">
        <v>106186654</v>
      </c>
      <c r="L1082" s="2">
        <v>43906</v>
      </c>
      <c r="M1082">
        <v>30</v>
      </c>
      <c r="N1082">
        <v>1</v>
      </c>
      <c r="O1082">
        <v>7</v>
      </c>
      <c r="P1082">
        <v>1</v>
      </c>
      <c r="Q1082" t="s">
        <v>15</v>
      </c>
    </row>
    <row r="1083" spans="1:17" x14ac:dyDescent="0.55000000000000004">
      <c r="A1083">
        <v>0</v>
      </c>
      <c r="B1083" t="s">
        <v>1</v>
      </c>
      <c r="C1083">
        <v>0</v>
      </c>
      <c r="E1083" t="s">
        <v>135</v>
      </c>
      <c r="F1083" t="s">
        <v>58</v>
      </c>
      <c r="G1083" t="s">
        <v>1</v>
      </c>
      <c r="H1083">
        <v>16.5</v>
      </c>
      <c r="I1083" t="s">
        <v>461</v>
      </c>
      <c r="K1083">
        <v>104860552</v>
      </c>
      <c r="L1083" s="2">
        <v>42636</v>
      </c>
      <c r="M1083">
        <v>30</v>
      </c>
      <c r="N1083">
        <v>1</v>
      </c>
      <c r="O1083">
        <v>7</v>
      </c>
      <c r="P1083">
        <v>1</v>
      </c>
      <c r="Q1083" t="s">
        <v>21</v>
      </c>
    </row>
    <row r="1084" spans="1:17" x14ac:dyDescent="0.55000000000000004">
      <c r="A1084">
        <v>0</v>
      </c>
      <c r="B1084" t="s">
        <v>1</v>
      </c>
      <c r="C1084">
        <v>6.0000000000000001E-3</v>
      </c>
      <c r="D1084" t="s">
        <v>68</v>
      </c>
      <c r="E1084" t="s">
        <v>135</v>
      </c>
      <c r="F1084" t="s">
        <v>60</v>
      </c>
      <c r="G1084" t="s">
        <v>1</v>
      </c>
      <c r="H1084">
        <v>16.506</v>
      </c>
      <c r="I1084" t="s">
        <v>461</v>
      </c>
      <c r="K1084">
        <v>106231562</v>
      </c>
      <c r="L1084" s="2">
        <v>43967</v>
      </c>
      <c r="M1084">
        <v>21</v>
      </c>
      <c r="N1084">
        <v>1</v>
      </c>
      <c r="O1084">
        <v>0</v>
      </c>
      <c r="P1084">
        <v>1</v>
      </c>
      <c r="Q1084" t="s">
        <v>21</v>
      </c>
    </row>
    <row r="1085" spans="1:17" x14ac:dyDescent="0.55000000000000004">
      <c r="A1085">
        <v>0</v>
      </c>
      <c r="B1085" t="s">
        <v>1</v>
      </c>
      <c r="C1085">
        <v>0.1</v>
      </c>
      <c r="D1085" t="s">
        <v>18</v>
      </c>
      <c r="E1085" t="s">
        <v>343</v>
      </c>
      <c r="F1085" t="s">
        <v>135</v>
      </c>
      <c r="G1085" t="s">
        <v>1</v>
      </c>
      <c r="H1085">
        <v>16.637</v>
      </c>
      <c r="I1085" t="s">
        <v>461</v>
      </c>
      <c r="K1085">
        <v>106090534</v>
      </c>
      <c r="L1085" s="2">
        <v>43807</v>
      </c>
      <c r="M1085">
        <v>17</v>
      </c>
      <c r="N1085">
        <v>1</v>
      </c>
      <c r="O1085">
        <v>0</v>
      </c>
      <c r="P1085">
        <v>5</v>
      </c>
      <c r="Q1085" t="s">
        <v>21</v>
      </c>
    </row>
    <row r="1086" spans="1:17" x14ac:dyDescent="0.55000000000000004">
      <c r="A1086">
        <v>0</v>
      </c>
      <c r="B1086" t="s">
        <v>1</v>
      </c>
      <c r="C1086">
        <v>4.0000000000000001E-3</v>
      </c>
      <c r="D1086" t="s">
        <v>18</v>
      </c>
      <c r="E1086" t="s">
        <v>343</v>
      </c>
      <c r="F1086" t="s">
        <v>135</v>
      </c>
      <c r="G1086" t="s">
        <v>1</v>
      </c>
      <c r="H1086">
        <v>16.733000000000001</v>
      </c>
      <c r="I1086" t="s">
        <v>461</v>
      </c>
      <c r="K1086">
        <v>105584059</v>
      </c>
      <c r="L1086" s="2">
        <v>43337</v>
      </c>
      <c r="M1086">
        <v>22</v>
      </c>
      <c r="N1086">
        <v>1</v>
      </c>
      <c r="O1086">
        <v>8</v>
      </c>
      <c r="P1086">
        <v>1</v>
      </c>
      <c r="Q1086" t="s">
        <v>21</v>
      </c>
    </row>
    <row r="1087" spans="1:17" x14ac:dyDescent="0.55000000000000004">
      <c r="A1087">
        <v>0</v>
      </c>
      <c r="B1087" t="s">
        <v>1</v>
      </c>
      <c r="C1087">
        <v>0</v>
      </c>
      <c r="E1087" t="s">
        <v>343</v>
      </c>
      <c r="F1087" t="s">
        <v>135</v>
      </c>
      <c r="G1087" t="s">
        <v>1</v>
      </c>
      <c r="H1087">
        <v>16.736999999999998</v>
      </c>
      <c r="I1087" t="s">
        <v>461</v>
      </c>
      <c r="K1087">
        <v>106169194</v>
      </c>
      <c r="L1087" s="2">
        <v>43887</v>
      </c>
      <c r="M1087">
        <v>21</v>
      </c>
      <c r="N1087">
        <v>1</v>
      </c>
      <c r="O1087">
        <v>8</v>
      </c>
      <c r="P1087">
        <v>1</v>
      </c>
      <c r="Q1087" t="s">
        <v>21</v>
      </c>
    </row>
    <row r="1088" spans="1:17" x14ac:dyDescent="0.55000000000000004">
      <c r="A1088">
        <v>0</v>
      </c>
      <c r="B1088" t="s">
        <v>1</v>
      </c>
      <c r="C1088">
        <v>0</v>
      </c>
      <c r="E1088" t="s">
        <v>343</v>
      </c>
      <c r="F1088" t="s">
        <v>135</v>
      </c>
      <c r="G1088" t="s">
        <v>1</v>
      </c>
      <c r="H1088">
        <v>16.736999999999998</v>
      </c>
      <c r="I1088" t="s">
        <v>461</v>
      </c>
      <c r="K1088">
        <v>106477641</v>
      </c>
      <c r="L1088" s="2">
        <v>44226</v>
      </c>
      <c r="M1088">
        <v>21</v>
      </c>
      <c r="N1088">
        <v>1</v>
      </c>
      <c r="O1088">
        <v>8</v>
      </c>
      <c r="P1088">
        <v>1</v>
      </c>
      <c r="Q1088" t="s">
        <v>45</v>
      </c>
    </row>
    <row r="1089" spans="1:17" x14ac:dyDescent="0.55000000000000004">
      <c r="A1089">
        <v>0</v>
      </c>
      <c r="B1089" t="s">
        <v>1</v>
      </c>
      <c r="C1089">
        <v>0</v>
      </c>
      <c r="E1089" t="s">
        <v>343</v>
      </c>
      <c r="F1089" t="s">
        <v>135</v>
      </c>
      <c r="G1089" t="s">
        <v>1</v>
      </c>
      <c r="H1089">
        <v>16.736999999999998</v>
      </c>
      <c r="I1089" t="s">
        <v>461</v>
      </c>
      <c r="K1089">
        <v>106510561</v>
      </c>
      <c r="L1089" s="2">
        <v>44263</v>
      </c>
      <c r="M1089">
        <v>21</v>
      </c>
      <c r="N1089">
        <v>1</v>
      </c>
      <c r="O1089">
        <v>8</v>
      </c>
      <c r="P1089">
        <v>1</v>
      </c>
      <c r="Q1089" t="s">
        <v>21</v>
      </c>
    </row>
    <row r="1090" spans="1:17" x14ac:dyDescent="0.55000000000000004">
      <c r="A1090">
        <v>0</v>
      </c>
      <c r="B1090" t="s">
        <v>1</v>
      </c>
      <c r="C1090">
        <v>0</v>
      </c>
      <c r="E1090" t="s">
        <v>343</v>
      </c>
      <c r="F1090" t="s">
        <v>107</v>
      </c>
      <c r="G1090" t="s">
        <v>1</v>
      </c>
      <c r="H1090">
        <v>16.736999999999998</v>
      </c>
      <c r="I1090" t="s">
        <v>461</v>
      </c>
      <c r="K1090">
        <v>105437814</v>
      </c>
      <c r="L1090" s="2">
        <v>43194</v>
      </c>
      <c r="M1090">
        <v>26</v>
      </c>
      <c r="N1090">
        <v>1</v>
      </c>
      <c r="O1090">
        <v>8</v>
      </c>
      <c r="P1090">
        <v>1</v>
      </c>
      <c r="Q1090" t="s">
        <v>190</v>
      </c>
    </row>
    <row r="1091" spans="1:17" x14ac:dyDescent="0.55000000000000004">
      <c r="A1091">
        <v>0</v>
      </c>
      <c r="B1091" t="s">
        <v>1</v>
      </c>
      <c r="C1091">
        <v>4.0000000000000001E-3</v>
      </c>
      <c r="D1091" t="s">
        <v>68</v>
      </c>
      <c r="E1091" t="s">
        <v>343</v>
      </c>
      <c r="F1091" t="s">
        <v>135</v>
      </c>
      <c r="G1091" t="s">
        <v>1</v>
      </c>
      <c r="H1091">
        <v>16.741</v>
      </c>
      <c r="I1091" t="s">
        <v>461</v>
      </c>
      <c r="K1091">
        <v>105941162</v>
      </c>
      <c r="L1091" s="2">
        <v>43675</v>
      </c>
      <c r="M1091">
        <v>19</v>
      </c>
      <c r="N1091">
        <v>1</v>
      </c>
      <c r="O1091">
        <v>8</v>
      </c>
      <c r="P1091">
        <v>1</v>
      </c>
      <c r="Q1091" t="s">
        <v>15</v>
      </c>
    </row>
    <row r="1092" spans="1:17" x14ac:dyDescent="0.55000000000000004">
      <c r="A1092">
        <v>0</v>
      </c>
      <c r="B1092" t="s">
        <v>1</v>
      </c>
      <c r="C1092">
        <v>0.5</v>
      </c>
      <c r="D1092" t="s">
        <v>18</v>
      </c>
      <c r="E1092" t="s">
        <v>60</v>
      </c>
      <c r="F1092" t="s">
        <v>345</v>
      </c>
      <c r="G1092" t="s">
        <v>1</v>
      </c>
      <c r="H1092">
        <v>16.747</v>
      </c>
      <c r="I1092" t="s">
        <v>461</v>
      </c>
      <c r="K1092">
        <v>105878908</v>
      </c>
      <c r="L1092" s="2">
        <v>43614</v>
      </c>
      <c r="M1092">
        <v>26</v>
      </c>
      <c r="N1092">
        <v>1</v>
      </c>
      <c r="O1092">
        <v>4</v>
      </c>
      <c r="P1092">
        <v>1</v>
      </c>
      <c r="Q1092" t="s">
        <v>21</v>
      </c>
    </row>
    <row r="1093" spans="1:17" x14ac:dyDescent="0.55000000000000004">
      <c r="A1093">
        <v>0</v>
      </c>
      <c r="B1093" t="s">
        <v>1</v>
      </c>
      <c r="C1093">
        <v>1.9E-2</v>
      </c>
      <c r="D1093" t="s">
        <v>68</v>
      </c>
      <c r="E1093" t="s">
        <v>343</v>
      </c>
      <c r="F1093" t="s">
        <v>107</v>
      </c>
      <c r="G1093" t="s">
        <v>1</v>
      </c>
      <c r="H1093">
        <v>16.756</v>
      </c>
      <c r="I1093" t="s">
        <v>461</v>
      </c>
      <c r="K1093">
        <v>105924997</v>
      </c>
      <c r="L1093" s="2">
        <v>43660</v>
      </c>
      <c r="M1093">
        <v>21</v>
      </c>
      <c r="N1093">
        <v>1</v>
      </c>
      <c r="O1093">
        <v>8</v>
      </c>
      <c r="P1093">
        <v>1</v>
      </c>
      <c r="Q1093" t="s">
        <v>15</v>
      </c>
    </row>
    <row r="1094" spans="1:17" x14ac:dyDescent="0.55000000000000004">
      <c r="A1094">
        <v>0</v>
      </c>
      <c r="B1094" t="s">
        <v>1</v>
      </c>
      <c r="C1094">
        <v>4.7E-2</v>
      </c>
      <c r="D1094" t="s">
        <v>68</v>
      </c>
      <c r="E1094" t="s">
        <v>343</v>
      </c>
      <c r="F1094" t="s">
        <v>107</v>
      </c>
      <c r="G1094" t="s">
        <v>1</v>
      </c>
      <c r="H1094">
        <v>16.783999999999999</v>
      </c>
      <c r="I1094" t="s">
        <v>461</v>
      </c>
      <c r="K1094">
        <v>105865187</v>
      </c>
      <c r="L1094" s="2">
        <v>43600</v>
      </c>
      <c r="M1094">
        <v>19</v>
      </c>
      <c r="N1094">
        <v>1</v>
      </c>
      <c r="O1094">
        <v>0</v>
      </c>
      <c r="P1094">
        <v>1</v>
      </c>
      <c r="Q1094" t="s">
        <v>45</v>
      </c>
    </row>
    <row r="1095" spans="1:17" x14ac:dyDescent="0.55000000000000004">
      <c r="A1095">
        <v>0</v>
      </c>
      <c r="B1095" t="s">
        <v>1</v>
      </c>
      <c r="C1095">
        <v>0.3</v>
      </c>
      <c r="D1095" t="s">
        <v>68</v>
      </c>
      <c r="E1095" t="s">
        <v>135</v>
      </c>
      <c r="F1095" t="s">
        <v>343</v>
      </c>
      <c r="G1095" t="s">
        <v>1</v>
      </c>
      <c r="H1095">
        <v>16.8</v>
      </c>
      <c r="I1095" t="s">
        <v>461</v>
      </c>
      <c r="K1095">
        <v>104904487</v>
      </c>
      <c r="L1095" s="2">
        <v>42678</v>
      </c>
      <c r="M1095">
        <v>17</v>
      </c>
      <c r="N1095">
        <v>1</v>
      </c>
      <c r="O1095">
        <v>0</v>
      </c>
      <c r="P1095">
        <v>5</v>
      </c>
      <c r="Q1095" t="s">
        <v>21</v>
      </c>
    </row>
    <row r="1096" spans="1:17" x14ac:dyDescent="0.55000000000000004">
      <c r="A1096">
        <v>0</v>
      </c>
      <c r="B1096" t="s">
        <v>1</v>
      </c>
      <c r="C1096">
        <v>0.1</v>
      </c>
      <c r="D1096" t="s">
        <v>68</v>
      </c>
      <c r="E1096" t="s">
        <v>343</v>
      </c>
      <c r="F1096" t="s">
        <v>107</v>
      </c>
      <c r="G1096" t="s">
        <v>1</v>
      </c>
      <c r="H1096">
        <v>16.837</v>
      </c>
      <c r="I1096" t="s">
        <v>461</v>
      </c>
      <c r="K1096">
        <v>106390759</v>
      </c>
      <c r="L1096" s="2">
        <v>44136</v>
      </c>
      <c r="M1096">
        <v>17</v>
      </c>
      <c r="N1096">
        <v>1</v>
      </c>
      <c r="O1096">
        <v>0</v>
      </c>
      <c r="P1096">
        <v>5</v>
      </c>
      <c r="Q1096" t="s">
        <v>21</v>
      </c>
    </row>
    <row r="1097" spans="1:17" x14ac:dyDescent="0.55000000000000004">
      <c r="A1097">
        <v>0</v>
      </c>
      <c r="B1097" t="s">
        <v>1</v>
      </c>
      <c r="C1097">
        <v>0.1</v>
      </c>
      <c r="D1097" t="s">
        <v>68</v>
      </c>
      <c r="E1097" t="s">
        <v>343</v>
      </c>
      <c r="F1097" t="s">
        <v>107</v>
      </c>
      <c r="G1097" t="s">
        <v>1</v>
      </c>
      <c r="H1097">
        <v>16.837</v>
      </c>
      <c r="I1097" t="s">
        <v>461</v>
      </c>
      <c r="K1097">
        <v>106136577</v>
      </c>
      <c r="L1097" s="2">
        <v>43853</v>
      </c>
      <c r="M1097">
        <v>29</v>
      </c>
      <c r="N1097">
        <v>1</v>
      </c>
      <c r="O1097">
        <v>0</v>
      </c>
      <c r="P1097">
        <v>3</v>
      </c>
      <c r="Q1097" t="s">
        <v>21</v>
      </c>
    </row>
    <row r="1098" spans="1:17" x14ac:dyDescent="0.55000000000000004">
      <c r="A1098">
        <v>0</v>
      </c>
      <c r="B1098" t="s">
        <v>1</v>
      </c>
      <c r="C1098">
        <v>0.1</v>
      </c>
      <c r="D1098" t="s">
        <v>68</v>
      </c>
      <c r="E1098" t="s">
        <v>343</v>
      </c>
      <c r="F1098" t="s">
        <v>107</v>
      </c>
      <c r="G1098" t="s">
        <v>1</v>
      </c>
      <c r="H1098">
        <v>16.837</v>
      </c>
      <c r="I1098" t="s">
        <v>461</v>
      </c>
      <c r="K1098">
        <v>106634455</v>
      </c>
      <c r="L1098" s="2">
        <v>44386</v>
      </c>
      <c r="M1098">
        <v>17</v>
      </c>
      <c r="N1098">
        <v>1</v>
      </c>
      <c r="O1098">
        <v>0</v>
      </c>
      <c r="P1098">
        <v>1</v>
      </c>
      <c r="Q1098" t="s">
        <v>21</v>
      </c>
    </row>
    <row r="1099" spans="1:17" x14ac:dyDescent="0.55000000000000004">
      <c r="A1099">
        <v>0</v>
      </c>
      <c r="B1099" t="s">
        <v>1</v>
      </c>
      <c r="C1099">
        <v>0.12</v>
      </c>
      <c r="D1099" t="s">
        <v>68</v>
      </c>
      <c r="E1099" t="s">
        <v>343</v>
      </c>
      <c r="F1099" t="s">
        <v>107</v>
      </c>
      <c r="G1099" t="s">
        <v>1</v>
      </c>
      <c r="H1099">
        <v>16.856999999999999</v>
      </c>
      <c r="I1099" t="s">
        <v>461</v>
      </c>
      <c r="K1099">
        <v>106684346</v>
      </c>
      <c r="L1099" s="2">
        <v>44427</v>
      </c>
      <c r="M1099">
        <v>21</v>
      </c>
      <c r="N1099">
        <v>1</v>
      </c>
      <c r="O1099">
        <v>0</v>
      </c>
      <c r="P1099">
        <v>1</v>
      </c>
      <c r="Q1099" t="s">
        <v>21</v>
      </c>
    </row>
    <row r="1100" spans="1:17" x14ac:dyDescent="0.55000000000000004">
      <c r="A1100">
        <v>0</v>
      </c>
      <c r="B1100" t="s">
        <v>1</v>
      </c>
      <c r="C1100">
        <v>0.1</v>
      </c>
      <c r="D1100" t="s">
        <v>18</v>
      </c>
      <c r="E1100" t="s">
        <v>107</v>
      </c>
      <c r="F1100" t="s">
        <v>135</v>
      </c>
      <c r="G1100" t="s">
        <v>1</v>
      </c>
      <c r="H1100">
        <v>17.024000000000001</v>
      </c>
      <c r="I1100" t="s">
        <v>461</v>
      </c>
      <c r="K1100">
        <v>106071813</v>
      </c>
      <c r="L1100" s="2">
        <v>43792</v>
      </c>
      <c r="M1100">
        <v>17</v>
      </c>
      <c r="N1100">
        <v>1</v>
      </c>
      <c r="O1100">
        <v>0</v>
      </c>
      <c r="P1100">
        <v>5</v>
      </c>
      <c r="Q1100" t="s">
        <v>21</v>
      </c>
    </row>
    <row r="1101" spans="1:17" x14ac:dyDescent="0.55000000000000004">
      <c r="A1101">
        <v>0</v>
      </c>
      <c r="B1101" t="s">
        <v>1</v>
      </c>
      <c r="C1101">
        <v>0.1</v>
      </c>
      <c r="D1101" t="s">
        <v>18</v>
      </c>
      <c r="E1101" t="s">
        <v>107</v>
      </c>
      <c r="F1101" t="s">
        <v>343</v>
      </c>
      <c r="G1101" t="s">
        <v>1</v>
      </c>
      <c r="H1101">
        <v>17.024000000000001</v>
      </c>
      <c r="I1101" t="s">
        <v>461</v>
      </c>
      <c r="K1101">
        <v>105839215</v>
      </c>
      <c r="L1101" s="2">
        <v>43576</v>
      </c>
      <c r="M1101">
        <v>19</v>
      </c>
      <c r="N1101">
        <v>1</v>
      </c>
      <c r="O1101">
        <v>0</v>
      </c>
      <c r="P1101">
        <v>1</v>
      </c>
      <c r="Q1101" t="s">
        <v>21</v>
      </c>
    </row>
    <row r="1102" spans="1:17" x14ac:dyDescent="0.55000000000000004">
      <c r="A1102">
        <v>0</v>
      </c>
      <c r="B1102" t="s">
        <v>1</v>
      </c>
      <c r="C1102">
        <v>0.5</v>
      </c>
      <c r="D1102" t="s">
        <v>18</v>
      </c>
      <c r="E1102" t="s">
        <v>345</v>
      </c>
      <c r="F1102" t="s">
        <v>107</v>
      </c>
      <c r="G1102" t="s">
        <v>1</v>
      </c>
      <c r="H1102">
        <v>17.067</v>
      </c>
      <c r="I1102" t="s">
        <v>461</v>
      </c>
      <c r="K1102">
        <v>106146869</v>
      </c>
      <c r="L1102" s="2">
        <v>43866</v>
      </c>
      <c r="M1102">
        <v>17</v>
      </c>
      <c r="N1102">
        <v>1</v>
      </c>
      <c r="O1102">
        <v>0</v>
      </c>
      <c r="P1102">
        <v>5</v>
      </c>
      <c r="Q1102" t="s">
        <v>21</v>
      </c>
    </row>
    <row r="1103" spans="1:17" x14ac:dyDescent="0.55000000000000004">
      <c r="A1103">
        <v>0</v>
      </c>
      <c r="B1103" t="s">
        <v>1</v>
      </c>
      <c r="C1103">
        <v>5.7000000000000002E-2</v>
      </c>
      <c r="D1103" t="s">
        <v>18</v>
      </c>
      <c r="E1103" t="s">
        <v>107</v>
      </c>
      <c r="F1103" t="s">
        <v>135</v>
      </c>
      <c r="G1103" t="s">
        <v>1</v>
      </c>
      <c r="H1103">
        <v>17.067</v>
      </c>
      <c r="I1103" t="s">
        <v>461</v>
      </c>
      <c r="K1103">
        <v>105213106</v>
      </c>
      <c r="L1103" s="2">
        <v>42984</v>
      </c>
      <c r="M1103">
        <v>21</v>
      </c>
      <c r="N1103">
        <v>2</v>
      </c>
      <c r="O1103">
        <v>0</v>
      </c>
      <c r="P1103">
        <v>1</v>
      </c>
      <c r="Q1103" t="s">
        <v>21</v>
      </c>
    </row>
    <row r="1104" spans="1:17" x14ac:dyDescent="0.55000000000000004">
      <c r="A1104">
        <v>0</v>
      </c>
      <c r="B1104" t="s">
        <v>1</v>
      </c>
      <c r="C1104">
        <v>5.7000000000000002E-2</v>
      </c>
      <c r="D1104" t="s">
        <v>18</v>
      </c>
      <c r="E1104" t="s">
        <v>107</v>
      </c>
      <c r="F1104" t="s">
        <v>343</v>
      </c>
      <c r="G1104" t="s">
        <v>1</v>
      </c>
      <c r="H1104">
        <v>17.067</v>
      </c>
      <c r="I1104" t="s">
        <v>461</v>
      </c>
      <c r="K1104">
        <v>104862499</v>
      </c>
      <c r="L1104" s="2">
        <v>42641</v>
      </c>
      <c r="M1104">
        <v>19</v>
      </c>
      <c r="N1104">
        <v>1</v>
      </c>
      <c r="O1104">
        <v>0</v>
      </c>
      <c r="P1104">
        <v>1</v>
      </c>
      <c r="Q1104" t="s">
        <v>21</v>
      </c>
    </row>
    <row r="1105" spans="1:17" x14ac:dyDescent="0.55000000000000004">
      <c r="A1105">
        <v>0</v>
      </c>
      <c r="B1105" t="s">
        <v>1</v>
      </c>
      <c r="C1105">
        <v>1.9E-2</v>
      </c>
      <c r="D1105" t="s">
        <v>68</v>
      </c>
      <c r="E1105" t="s">
        <v>107</v>
      </c>
      <c r="F1105" t="s">
        <v>345</v>
      </c>
      <c r="G1105" t="s">
        <v>1</v>
      </c>
      <c r="H1105">
        <v>17.143000000000001</v>
      </c>
      <c r="I1105" t="s">
        <v>461</v>
      </c>
      <c r="K1105">
        <v>105340698</v>
      </c>
      <c r="L1105" s="2">
        <v>43099</v>
      </c>
      <c r="M1105">
        <v>21</v>
      </c>
      <c r="N1105">
        <v>1</v>
      </c>
      <c r="O1105">
        <v>0</v>
      </c>
      <c r="P1105">
        <v>1</v>
      </c>
      <c r="Q1105" t="s">
        <v>45</v>
      </c>
    </row>
    <row r="1106" spans="1:17" x14ac:dyDescent="0.55000000000000004">
      <c r="A1106">
        <v>0</v>
      </c>
      <c r="B1106" t="s">
        <v>1</v>
      </c>
      <c r="C1106">
        <v>3.3000000000000002E-2</v>
      </c>
      <c r="D1106" t="s">
        <v>68</v>
      </c>
      <c r="E1106" t="s">
        <v>107</v>
      </c>
      <c r="F1106" t="s">
        <v>345</v>
      </c>
      <c r="G1106" t="s">
        <v>1</v>
      </c>
      <c r="H1106">
        <v>17.157</v>
      </c>
      <c r="I1106" t="s">
        <v>461</v>
      </c>
      <c r="K1106">
        <v>105584032</v>
      </c>
      <c r="L1106" s="2">
        <v>43338</v>
      </c>
      <c r="M1106">
        <v>19</v>
      </c>
      <c r="N1106">
        <v>1</v>
      </c>
      <c r="O1106">
        <v>0</v>
      </c>
      <c r="P1106">
        <v>5</v>
      </c>
      <c r="Q1106" t="s">
        <v>21</v>
      </c>
    </row>
    <row r="1107" spans="1:17" x14ac:dyDescent="0.55000000000000004">
      <c r="A1107">
        <v>0</v>
      </c>
      <c r="B1107" t="s">
        <v>1</v>
      </c>
      <c r="C1107">
        <v>0.1</v>
      </c>
      <c r="D1107" t="s">
        <v>68</v>
      </c>
      <c r="E1107" t="s">
        <v>107</v>
      </c>
      <c r="F1107" t="s">
        <v>345</v>
      </c>
      <c r="G1107" t="s">
        <v>1</v>
      </c>
      <c r="H1107">
        <v>17.224</v>
      </c>
      <c r="I1107" t="s">
        <v>461</v>
      </c>
      <c r="K1107">
        <v>104882450</v>
      </c>
      <c r="L1107" s="2">
        <v>42659</v>
      </c>
      <c r="M1107">
        <v>19</v>
      </c>
      <c r="N1107">
        <v>1</v>
      </c>
      <c r="O1107">
        <v>0</v>
      </c>
      <c r="P1107">
        <v>5</v>
      </c>
      <c r="Q1107" t="s">
        <v>21</v>
      </c>
    </row>
    <row r="1108" spans="1:17" x14ac:dyDescent="0.55000000000000004">
      <c r="A1108">
        <v>0</v>
      </c>
      <c r="B1108" t="s">
        <v>1</v>
      </c>
      <c r="C1108">
        <v>1.9E-2</v>
      </c>
      <c r="D1108" t="s">
        <v>68</v>
      </c>
      <c r="E1108" t="s">
        <v>60</v>
      </c>
      <c r="F1108" t="s">
        <v>345</v>
      </c>
      <c r="G1108" t="s">
        <v>1</v>
      </c>
      <c r="H1108">
        <v>17.265999999999998</v>
      </c>
      <c r="I1108" t="s">
        <v>461</v>
      </c>
      <c r="K1108">
        <v>105168778</v>
      </c>
      <c r="L1108" s="2">
        <v>42937</v>
      </c>
      <c r="M1108">
        <v>22</v>
      </c>
      <c r="N1108">
        <v>1</v>
      </c>
      <c r="O1108">
        <v>4</v>
      </c>
      <c r="P1108">
        <v>1</v>
      </c>
      <c r="Q1108" t="s">
        <v>21</v>
      </c>
    </row>
    <row r="1109" spans="1:17" x14ac:dyDescent="0.55000000000000004">
      <c r="A1109">
        <v>0</v>
      </c>
      <c r="B1109" t="s">
        <v>1</v>
      </c>
      <c r="C1109">
        <v>9.5000000000000001E-2</v>
      </c>
      <c r="D1109" t="s">
        <v>68</v>
      </c>
      <c r="E1109" t="s">
        <v>60</v>
      </c>
      <c r="F1109" t="s">
        <v>346</v>
      </c>
      <c r="G1109" t="s">
        <v>1</v>
      </c>
      <c r="H1109">
        <v>17.341999999999999</v>
      </c>
      <c r="I1109" t="s">
        <v>461</v>
      </c>
      <c r="K1109">
        <v>105680904</v>
      </c>
      <c r="L1109" s="2">
        <v>43421</v>
      </c>
      <c r="M1109">
        <v>17</v>
      </c>
      <c r="N1109">
        <v>1</v>
      </c>
      <c r="O1109">
        <v>0</v>
      </c>
      <c r="P1109">
        <v>5</v>
      </c>
      <c r="Q1109" t="s">
        <v>21</v>
      </c>
    </row>
    <row r="1110" spans="1:17" x14ac:dyDescent="0.55000000000000004">
      <c r="A1110">
        <v>0</v>
      </c>
      <c r="B1110" t="s">
        <v>1</v>
      </c>
      <c r="C1110">
        <v>0.1</v>
      </c>
      <c r="D1110" t="s">
        <v>68</v>
      </c>
      <c r="E1110" t="s">
        <v>60</v>
      </c>
      <c r="F1110" t="s">
        <v>345</v>
      </c>
      <c r="G1110" t="s">
        <v>1</v>
      </c>
      <c r="H1110">
        <v>17.347000000000001</v>
      </c>
      <c r="I1110" t="s">
        <v>461</v>
      </c>
      <c r="K1110">
        <v>105663169</v>
      </c>
      <c r="L1110" s="2">
        <v>43409</v>
      </c>
      <c r="M1110">
        <v>21</v>
      </c>
      <c r="N1110">
        <v>1</v>
      </c>
      <c r="O1110">
        <v>0</v>
      </c>
      <c r="P1110">
        <v>5</v>
      </c>
      <c r="Q1110" t="s">
        <v>15</v>
      </c>
    </row>
    <row r="1111" spans="1:17" x14ac:dyDescent="0.55000000000000004">
      <c r="A1111">
        <v>0</v>
      </c>
      <c r="B1111" t="s">
        <v>1</v>
      </c>
      <c r="C1111">
        <v>0.1</v>
      </c>
      <c r="D1111" t="s">
        <v>68</v>
      </c>
      <c r="E1111" t="s">
        <v>60</v>
      </c>
      <c r="F1111" t="s">
        <v>345</v>
      </c>
      <c r="G1111" t="s">
        <v>1</v>
      </c>
      <c r="H1111">
        <v>17.347000000000001</v>
      </c>
      <c r="I1111" t="s">
        <v>461</v>
      </c>
      <c r="K1111">
        <v>104969222</v>
      </c>
      <c r="L1111" s="2">
        <v>42741</v>
      </c>
      <c r="M1111">
        <v>19</v>
      </c>
      <c r="N1111">
        <v>5</v>
      </c>
      <c r="O1111">
        <v>0</v>
      </c>
      <c r="P1111">
        <v>5</v>
      </c>
      <c r="Q1111" t="s">
        <v>15</v>
      </c>
    </row>
    <row r="1112" spans="1:17" x14ac:dyDescent="0.55000000000000004">
      <c r="A1112">
        <v>0</v>
      </c>
      <c r="B1112" t="s">
        <v>1</v>
      </c>
      <c r="C1112">
        <v>0.1</v>
      </c>
      <c r="D1112" t="s">
        <v>68</v>
      </c>
      <c r="E1112" t="s">
        <v>60</v>
      </c>
      <c r="F1112" t="s">
        <v>345</v>
      </c>
      <c r="G1112" t="s">
        <v>1</v>
      </c>
      <c r="H1112">
        <v>17.347000000000001</v>
      </c>
      <c r="I1112" t="s">
        <v>461</v>
      </c>
      <c r="K1112">
        <v>105920140</v>
      </c>
      <c r="L1112" s="2">
        <v>43654</v>
      </c>
      <c r="M1112">
        <v>21</v>
      </c>
      <c r="N1112">
        <v>1</v>
      </c>
      <c r="O1112">
        <v>4</v>
      </c>
      <c r="P1112">
        <v>1</v>
      </c>
      <c r="Q1112" t="s">
        <v>21</v>
      </c>
    </row>
    <row r="1113" spans="1:17" x14ac:dyDescent="0.55000000000000004">
      <c r="A1113">
        <v>0</v>
      </c>
      <c r="B1113" t="s">
        <v>1</v>
      </c>
      <c r="C1113">
        <v>0.1</v>
      </c>
      <c r="D1113" t="s">
        <v>68</v>
      </c>
      <c r="E1113" t="s">
        <v>60</v>
      </c>
      <c r="F1113" t="s">
        <v>345</v>
      </c>
      <c r="G1113" t="s">
        <v>1</v>
      </c>
      <c r="H1113">
        <v>17.347000000000001</v>
      </c>
      <c r="I1113" t="s">
        <v>461</v>
      </c>
      <c r="K1113">
        <v>105892302</v>
      </c>
      <c r="L1113" s="2">
        <v>43628</v>
      </c>
      <c r="M1113">
        <v>19</v>
      </c>
      <c r="N1113">
        <v>1</v>
      </c>
      <c r="O1113">
        <v>4</v>
      </c>
      <c r="P1113">
        <v>5</v>
      </c>
      <c r="Q1113" t="s">
        <v>21</v>
      </c>
    </row>
    <row r="1114" spans="1:17" x14ac:dyDescent="0.55000000000000004">
      <c r="A1114">
        <v>0</v>
      </c>
      <c r="B1114" t="s">
        <v>1</v>
      </c>
      <c r="C1114">
        <v>0</v>
      </c>
      <c r="E1114" t="s">
        <v>346</v>
      </c>
      <c r="F1114" t="s">
        <v>60</v>
      </c>
      <c r="G1114" t="s">
        <v>1</v>
      </c>
      <c r="H1114">
        <v>17.567</v>
      </c>
      <c r="I1114" t="s">
        <v>461</v>
      </c>
      <c r="K1114">
        <v>105726250</v>
      </c>
      <c r="L1114" s="2">
        <v>43464</v>
      </c>
      <c r="M1114">
        <v>24</v>
      </c>
      <c r="N1114">
        <v>1</v>
      </c>
      <c r="O1114">
        <v>9</v>
      </c>
      <c r="P1114">
        <v>5</v>
      </c>
      <c r="Q1114" t="s">
        <v>45</v>
      </c>
    </row>
    <row r="1115" spans="1:17" x14ac:dyDescent="0.55000000000000004">
      <c r="A1115">
        <v>0</v>
      </c>
      <c r="B1115" t="s">
        <v>1</v>
      </c>
      <c r="C1115">
        <v>0</v>
      </c>
      <c r="E1115" t="s">
        <v>346</v>
      </c>
      <c r="F1115" t="s">
        <v>107</v>
      </c>
      <c r="G1115" t="s">
        <v>1</v>
      </c>
      <c r="H1115">
        <v>17.567</v>
      </c>
      <c r="I1115" t="s">
        <v>461</v>
      </c>
      <c r="K1115">
        <v>105029796</v>
      </c>
      <c r="L1115" s="2">
        <v>42800</v>
      </c>
      <c r="M1115">
        <v>21</v>
      </c>
      <c r="N1115">
        <v>1</v>
      </c>
      <c r="O1115">
        <v>8</v>
      </c>
      <c r="P1115">
        <v>3</v>
      </c>
      <c r="Q1115" t="s">
        <v>21</v>
      </c>
    </row>
    <row r="1116" spans="1:17" x14ac:dyDescent="0.55000000000000004">
      <c r="A1116">
        <v>0</v>
      </c>
      <c r="B1116" t="s">
        <v>1</v>
      </c>
      <c r="C1116">
        <v>0</v>
      </c>
      <c r="E1116" t="s">
        <v>345</v>
      </c>
      <c r="F1116" t="s">
        <v>47</v>
      </c>
      <c r="G1116" t="s">
        <v>1</v>
      </c>
      <c r="H1116">
        <v>17.567</v>
      </c>
      <c r="I1116" t="s">
        <v>461</v>
      </c>
      <c r="K1116">
        <v>106330953</v>
      </c>
      <c r="L1116" s="2">
        <v>44081</v>
      </c>
      <c r="M1116">
        <v>18</v>
      </c>
      <c r="N1116">
        <v>1</v>
      </c>
      <c r="O1116">
        <v>8</v>
      </c>
      <c r="P1116">
        <v>5</v>
      </c>
      <c r="Q1116" t="s">
        <v>21</v>
      </c>
    </row>
    <row r="1117" spans="1:17" x14ac:dyDescent="0.55000000000000004">
      <c r="A1117">
        <v>0</v>
      </c>
      <c r="B1117" t="s">
        <v>1</v>
      </c>
      <c r="C1117">
        <v>4.7E-2</v>
      </c>
      <c r="D1117" t="s">
        <v>68</v>
      </c>
      <c r="E1117" t="s">
        <v>345</v>
      </c>
      <c r="F1117" t="s">
        <v>51</v>
      </c>
      <c r="G1117" t="s">
        <v>1</v>
      </c>
      <c r="H1117">
        <v>17.614000000000001</v>
      </c>
      <c r="I1117" t="s">
        <v>461</v>
      </c>
      <c r="K1117">
        <v>105029795</v>
      </c>
      <c r="L1117" s="2">
        <v>42800</v>
      </c>
      <c r="M1117">
        <v>20</v>
      </c>
      <c r="N1117">
        <v>1</v>
      </c>
      <c r="O1117">
        <v>4</v>
      </c>
      <c r="P1117">
        <v>3</v>
      </c>
      <c r="Q1117" t="s">
        <v>21</v>
      </c>
    </row>
    <row r="1118" spans="1:17" x14ac:dyDescent="0.55000000000000004">
      <c r="A1118">
        <v>0</v>
      </c>
      <c r="B1118" t="s">
        <v>1</v>
      </c>
      <c r="C1118">
        <v>0.1</v>
      </c>
      <c r="D1118" t="s">
        <v>68</v>
      </c>
      <c r="E1118" t="s">
        <v>346</v>
      </c>
      <c r="F1118" t="s">
        <v>51</v>
      </c>
      <c r="G1118" t="s">
        <v>1</v>
      </c>
      <c r="H1118">
        <v>17.667000000000002</v>
      </c>
      <c r="I1118" t="s">
        <v>461</v>
      </c>
      <c r="K1118">
        <v>105029280</v>
      </c>
      <c r="L1118" s="2">
        <v>42800</v>
      </c>
      <c r="M1118">
        <v>21</v>
      </c>
      <c r="N1118">
        <v>1</v>
      </c>
      <c r="O1118">
        <v>0</v>
      </c>
      <c r="P1118">
        <v>1</v>
      </c>
      <c r="Q1118" t="s">
        <v>21</v>
      </c>
    </row>
    <row r="1119" spans="1:17" x14ac:dyDescent="0.55000000000000004">
      <c r="A1119">
        <v>0</v>
      </c>
      <c r="B1119" t="s">
        <v>1</v>
      </c>
      <c r="C1119">
        <v>0.1</v>
      </c>
      <c r="D1119" t="s">
        <v>68</v>
      </c>
      <c r="E1119" t="s">
        <v>345</v>
      </c>
      <c r="F1119" t="s">
        <v>51</v>
      </c>
      <c r="G1119" t="s">
        <v>1</v>
      </c>
      <c r="H1119">
        <v>17.667000000000002</v>
      </c>
      <c r="I1119" t="s">
        <v>461</v>
      </c>
      <c r="K1119">
        <v>105401420</v>
      </c>
      <c r="L1119" s="2">
        <v>43163</v>
      </c>
      <c r="M1119">
        <v>17</v>
      </c>
      <c r="N1119">
        <v>1</v>
      </c>
      <c r="O1119">
        <v>0</v>
      </c>
      <c r="P1119">
        <v>5</v>
      </c>
      <c r="Q1119" t="s">
        <v>21</v>
      </c>
    </row>
    <row r="1120" spans="1:17" x14ac:dyDescent="0.55000000000000004">
      <c r="A1120">
        <v>0</v>
      </c>
      <c r="B1120" t="s">
        <v>1</v>
      </c>
      <c r="C1120">
        <v>0.1</v>
      </c>
      <c r="D1120" t="s">
        <v>68</v>
      </c>
      <c r="E1120" t="s">
        <v>345</v>
      </c>
      <c r="F1120" t="s">
        <v>47</v>
      </c>
      <c r="G1120" t="s">
        <v>1</v>
      </c>
      <c r="H1120">
        <v>17.667000000000002</v>
      </c>
      <c r="I1120" t="s">
        <v>461</v>
      </c>
      <c r="K1120">
        <v>104908143</v>
      </c>
      <c r="L1120" s="2">
        <v>42682</v>
      </c>
      <c r="M1120">
        <v>17</v>
      </c>
      <c r="N1120">
        <v>1</v>
      </c>
      <c r="O1120">
        <v>0</v>
      </c>
      <c r="P1120">
        <v>5</v>
      </c>
      <c r="Q1120" t="s">
        <v>21</v>
      </c>
    </row>
    <row r="1121" spans="1:17" x14ac:dyDescent="0.55000000000000004">
      <c r="A1121">
        <v>0</v>
      </c>
      <c r="B1121" t="s">
        <v>1</v>
      </c>
      <c r="C1121">
        <v>0.2</v>
      </c>
      <c r="D1121" t="s">
        <v>68</v>
      </c>
      <c r="E1121" t="s">
        <v>346</v>
      </c>
      <c r="F1121" t="s">
        <v>340</v>
      </c>
      <c r="G1121" t="s">
        <v>1</v>
      </c>
      <c r="H1121">
        <v>17.766999999999999</v>
      </c>
      <c r="I1121" t="s">
        <v>461</v>
      </c>
      <c r="K1121">
        <v>106258980</v>
      </c>
      <c r="L1121" s="2">
        <v>44005</v>
      </c>
      <c r="M1121">
        <v>17</v>
      </c>
      <c r="N1121">
        <v>1</v>
      </c>
      <c r="O1121">
        <v>0</v>
      </c>
      <c r="P1121">
        <v>5</v>
      </c>
      <c r="Q1121" t="s">
        <v>21</v>
      </c>
    </row>
    <row r="1122" spans="1:17" x14ac:dyDescent="0.55000000000000004">
      <c r="A1122">
        <v>0</v>
      </c>
      <c r="B1122" t="s">
        <v>1</v>
      </c>
      <c r="C1122">
        <v>0.2</v>
      </c>
      <c r="D1122" t="s">
        <v>68</v>
      </c>
      <c r="E1122" t="s">
        <v>346</v>
      </c>
      <c r="F1122" t="s">
        <v>51</v>
      </c>
      <c r="G1122" t="s">
        <v>1</v>
      </c>
      <c r="H1122">
        <v>17.766999999999999</v>
      </c>
      <c r="I1122" t="s">
        <v>461</v>
      </c>
      <c r="K1122">
        <v>106248766</v>
      </c>
      <c r="L1122" s="2">
        <v>43987</v>
      </c>
      <c r="M1122">
        <v>29</v>
      </c>
      <c r="N1122">
        <v>1</v>
      </c>
      <c r="O1122">
        <v>0</v>
      </c>
      <c r="P1122">
        <v>1</v>
      </c>
      <c r="Q1122" t="s">
        <v>15</v>
      </c>
    </row>
    <row r="1123" spans="1:17" x14ac:dyDescent="0.55000000000000004">
      <c r="A1123">
        <v>0</v>
      </c>
      <c r="B1123" t="s">
        <v>1</v>
      </c>
      <c r="C1123">
        <v>0.2</v>
      </c>
      <c r="D1123" t="s">
        <v>68</v>
      </c>
      <c r="E1123" t="s">
        <v>345</v>
      </c>
      <c r="F1123" t="s">
        <v>51</v>
      </c>
      <c r="G1123" t="s">
        <v>1</v>
      </c>
      <c r="H1123">
        <v>17.766999999999999</v>
      </c>
      <c r="I1123" t="s">
        <v>461</v>
      </c>
      <c r="K1123">
        <v>106205525</v>
      </c>
      <c r="L1123" s="2">
        <v>43927</v>
      </c>
      <c r="M1123">
        <v>29</v>
      </c>
      <c r="N1123">
        <v>1</v>
      </c>
      <c r="O1123">
        <v>0</v>
      </c>
      <c r="P1123">
        <v>5</v>
      </c>
      <c r="Q1123" t="s">
        <v>21</v>
      </c>
    </row>
    <row r="1124" spans="1:17" x14ac:dyDescent="0.55000000000000004">
      <c r="A1124">
        <v>0</v>
      </c>
      <c r="B1124" t="s">
        <v>1</v>
      </c>
      <c r="C1124">
        <v>0.2</v>
      </c>
      <c r="D1124" t="s">
        <v>68</v>
      </c>
      <c r="E1124" t="s">
        <v>345</v>
      </c>
      <c r="F1124" t="s">
        <v>47</v>
      </c>
      <c r="G1124" t="s">
        <v>1</v>
      </c>
      <c r="H1124">
        <v>17.766999999999999</v>
      </c>
      <c r="I1124" t="s">
        <v>461</v>
      </c>
      <c r="K1124">
        <v>105316526</v>
      </c>
      <c r="L1124" s="2">
        <v>43077</v>
      </c>
      <c r="M1124">
        <v>19</v>
      </c>
      <c r="N1124">
        <v>5</v>
      </c>
      <c r="O1124">
        <v>0</v>
      </c>
      <c r="P1124">
        <v>5</v>
      </c>
      <c r="Q1124" t="s">
        <v>21</v>
      </c>
    </row>
    <row r="1125" spans="1:17" x14ac:dyDescent="0.55000000000000004">
      <c r="A1125">
        <v>0</v>
      </c>
      <c r="B1125" t="s">
        <v>1</v>
      </c>
      <c r="C1125">
        <v>1</v>
      </c>
      <c r="D1125" t="s">
        <v>18</v>
      </c>
      <c r="E1125" t="s">
        <v>47</v>
      </c>
      <c r="F1125" t="s">
        <v>347</v>
      </c>
      <c r="G1125" t="s">
        <v>1</v>
      </c>
      <c r="H1125">
        <v>18.013000000000002</v>
      </c>
      <c r="I1125" t="s">
        <v>461</v>
      </c>
      <c r="K1125">
        <v>105263923</v>
      </c>
      <c r="L1125" s="2">
        <v>43031</v>
      </c>
      <c r="M1125">
        <v>19</v>
      </c>
      <c r="N1125">
        <v>2</v>
      </c>
      <c r="O1125">
        <v>0</v>
      </c>
      <c r="P1125">
        <v>1</v>
      </c>
      <c r="Q1125" t="s">
        <v>45</v>
      </c>
    </row>
    <row r="1126" spans="1:17" x14ac:dyDescent="0.55000000000000004">
      <c r="A1126">
        <v>0</v>
      </c>
      <c r="B1126" t="s">
        <v>1</v>
      </c>
      <c r="C1126">
        <v>0.1</v>
      </c>
      <c r="D1126" t="s">
        <v>18</v>
      </c>
      <c r="E1126" t="s">
        <v>51</v>
      </c>
      <c r="F1126" t="s">
        <v>60</v>
      </c>
      <c r="G1126" t="s">
        <v>1</v>
      </c>
      <c r="H1126">
        <v>18.103999999999999</v>
      </c>
      <c r="I1126" t="s">
        <v>461</v>
      </c>
      <c r="J1126" t="s">
        <v>174</v>
      </c>
      <c r="K1126">
        <v>106433610</v>
      </c>
      <c r="L1126" s="2">
        <v>44169</v>
      </c>
      <c r="M1126">
        <v>14</v>
      </c>
      <c r="N1126">
        <v>1</v>
      </c>
      <c r="O1126">
        <v>0</v>
      </c>
      <c r="P1126">
        <v>5</v>
      </c>
      <c r="Q1126" t="s">
        <v>167</v>
      </c>
    </row>
    <row r="1127" spans="1:17" x14ac:dyDescent="0.55000000000000004">
      <c r="A1127">
        <v>0</v>
      </c>
      <c r="B1127" t="s">
        <v>1</v>
      </c>
      <c r="C1127">
        <v>7.5999999999999998E-2</v>
      </c>
      <c r="D1127" t="s">
        <v>18</v>
      </c>
      <c r="E1127" t="s">
        <v>51</v>
      </c>
      <c r="F1127" t="s">
        <v>345</v>
      </c>
      <c r="G1127" t="s">
        <v>1</v>
      </c>
      <c r="H1127">
        <v>18.128</v>
      </c>
      <c r="I1127" t="s">
        <v>461</v>
      </c>
      <c r="J1127" t="s">
        <v>174</v>
      </c>
      <c r="K1127">
        <v>105384871</v>
      </c>
      <c r="L1127" s="2">
        <v>43146</v>
      </c>
      <c r="M1127">
        <v>19</v>
      </c>
      <c r="N1127">
        <v>1</v>
      </c>
      <c r="O1127">
        <v>0</v>
      </c>
      <c r="P1127">
        <v>5</v>
      </c>
      <c r="Q1127" t="s">
        <v>21</v>
      </c>
    </row>
    <row r="1128" spans="1:17" x14ac:dyDescent="0.55000000000000004">
      <c r="A1128">
        <v>0</v>
      </c>
      <c r="B1128" t="s">
        <v>1</v>
      </c>
      <c r="C1128">
        <v>0.4</v>
      </c>
      <c r="D1128" t="s">
        <v>18</v>
      </c>
      <c r="E1128" t="s">
        <v>47</v>
      </c>
      <c r="F1128" t="s">
        <v>348</v>
      </c>
      <c r="G1128" t="s">
        <v>1</v>
      </c>
      <c r="H1128">
        <v>18.613</v>
      </c>
      <c r="I1128" t="s">
        <v>461</v>
      </c>
      <c r="K1128">
        <v>106447027</v>
      </c>
      <c r="L1128" s="2">
        <v>44187</v>
      </c>
      <c r="M1128">
        <v>17</v>
      </c>
      <c r="N1128">
        <v>1</v>
      </c>
      <c r="O1128">
        <v>0</v>
      </c>
      <c r="P1128">
        <v>5</v>
      </c>
      <c r="Q1128" t="s">
        <v>21</v>
      </c>
    </row>
    <row r="1129" spans="1:17" x14ac:dyDescent="0.55000000000000004">
      <c r="A1129">
        <v>0</v>
      </c>
      <c r="B1129" t="s">
        <v>1</v>
      </c>
      <c r="C1129">
        <v>0.1</v>
      </c>
      <c r="D1129" t="s">
        <v>18</v>
      </c>
      <c r="E1129" t="s">
        <v>340</v>
      </c>
      <c r="F1129" t="s">
        <v>346</v>
      </c>
      <c r="G1129" t="s">
        <v>1</v>
      </c>
      <c r="H1129">
        <v>18.645</v>
      </c>
      <c r="I1129" t="s">
        <v>461</v>
      </c>
      <c r="J1129" t="s">
        <v>174</v>
      </c>
      <c r="K1129">
        <v>105692200</v>
      </c>
      <c r="L1129" s="2">
        <v>43432</v>
      </c>
      <c r="M1129">
        <v>21</v>
      </c>
      <c r="N1129">
        <v>1</v>
      </c>
      <c r="O1129">
        <v>0</v>
      </c>
      <c r="P1129">
        <v>1</v>
      </c>
      <c r="Q1129" t="s">
        <v>21</v>
      </c>
    </row>
    <row r="1130" spans="1:17" x14ac:dyDescent="0.55000000000000004">
      <c r="A1130">
        <v>0</v>
      </c>
      <c r="B1130" t="s">
        <v>1</v>
      </c>
      <c r="C1130">
        <v>2E-3</v>
      </c>
      <c r="D1130" t="s">
        <v>68</v>
      </c>
      <c r="E1130" t="s">
        <v>340</v>
      </c>
      <c r="F1130" t="s">
        <v>47</v>
      </c>
      <c r="G1130" t="s">
        <v>1</v>
      </c>
      <c r="H1130">
        <v>18.747</v>
      </c>
      <c r="I1130" t="s">
        <v>461</v>
      </c>
      <c r="J1130" t="s">
        <v>174</v>
      </c>
      <c r="K1130">
        <v>106411962</v>
      </c>
      <c r="L1130" s="2">
        <v>44154</v>
      </c>
      <c r="M1130">
        <v>28</v>
      </c>
      <c r="N1130">
        <v>1</v>
      </c>
      <c r="O1130">
        <v>8</v>
      </c>
      <c r="P1130">
        <v>5</v>
      </c>
      <c r="Q1130" t="s">
        <v>21</v>
      </c>
    </row>
    <row r="1131" spans="1:17" x14ac:dyDescent="0.55000000000000004">
      <c r="A1131">
        <v>0</v>
      </c>
      <c r="B1131" t="s">
        <v>1</v>
      </c>
      <c r="C1131">
        <v>0.1</v>
      </c>
      <c r="D1131" t="s">
        <v>68</v>
      </c>
      <c r="E1131" t="s">
        <v>340</v>
      </c>
      <c r="F1131" t="s">
        <v>347</v>
      </c>
      <c r="G1131" t="s">
        <v>1</v>
      </c>
      <c r="H1131">
        <v>18.844999999999999</v>
      </c>
      <c r="I1131" t="s">
        <v>461</v>
      </c>
      <c r="J1131" t="s">
        <v>174</v>
      </c>
      <c r="K1131">
        <v>106053629</v>
      </c>
      <c r="L1131" s="2">
        <v>43777</v>
      </c>
      <c r="M1131">
        <v>17</v>
      </c>
      <c r="N1131">
        <v>1</v>
      </c>
      <c r="O1131">
        <v>0</v>
      </c>
      <c r="P1131">
        <v>3</v>
      </c>
      <c r="Q1131" t="s">
        <v>21</v>
      </c>
    </row>
    <row r="1132" spans="1:17" x14ac:dyDescent="0.55000000000000004">
      <c r="A1132">
        <v>0</v>
      </c>
      <c r="B1132" t="s">
        <v>1</v>
      </c>
      <c r="C1132">
        <v>0.1</v>
      </c>
      <c r="D1132" t="s">
        <v>68</v>
      </c>
      <c r="E1132" t="s">
        <v>340</v>
      </c>
      <c r="F1132" t="s">
        <v>349</v>
      </c>
      <c r="G1132" t="s">
        <v>1</v>
      </c>
      <c r="H1132">
        <v>18.844999999999999</v>
      </c>
      <c r="I1132" t="s">
        <v>461</v>
      </c>
      <c r="J1132" t="s">
        <v>174</v>
      </c>
      <c r="K1132">
        <v>105794057</v>
      </c>
      <c r="L1132" s="2">
        <v>43528</v>
      </c>
      <c r="M1132">
        <v>21</v>
      </c>
      <c r="N1132">
        <v>1</v>
      </c>
      <c r="O1132">
        <v>5</v>
      </c>
      <c r="P1132">
        <v>5</v>
      </c>
      <c r="Q1132" t="s">
        <v>21</v>
      </c>
    </row>
    <row r="1133" spans="1:17" x14ac:dyDescent="0.55000000000000004">
      <c r="A1133">
        <v>0</v>
      </c>
      <c r="B1133" t="s">
        <v>1</v>
      </c>
      <c r="C1133">
        <v>0.13</v>
      </c>
      <c r="D1133" t="s">
        <v>18</v>
      </c>
      <c r="E1133" t="s">
        <v>47</v>
      </c>
      <c r="F1133" t="s">
        <v>340</v>
      </c>
      <c r="G1133" t="s">
        <v>1</v>
      </c>
      <c r="H1133">
        <v>18.882999999999999</v>
      </c>
      <c r="I1133" t="s">
        <v>461</v>
      </c>
      <c r="K1133">
        <v>105630602</v>
      </c>
      <c r="L1133" s="2">
        <v>43382</v>
      </c>
      <c r="M1133">
        <v>17</v>
      </c>
      <c r="N1133">
        <v>1</v>
      </c>
      <c r="O1133">
        <v>0</v>
      </c>
      <c r="P1133">
        <v>5</v>
      </c>
      <c r="Q1133" t="s">
        <v>21</v>
      </c>
    </row>
    <row r="1134" spans="1:17" x14ac:dyDescent="0.55000000000000004">
      <c r="A1134">
        <v>0</v>
      </c>
      <c r="B1134" t="s">
        <v>1</v>
      </c>
      <c r="C1134">
        <v>0.1</v>
      </c>
      <c r="D1134" t="s">
        <v>18</v>
      </c>
      <c r="E1134" t="s">
        <v>47</v>
      </c>
      <c r="F1134" t="s">
        <v>340</v>
      </c>
      <c r="G1134" t="s">
        <v>1</v>
      </c>
      <c r="H1134">
        <v>18.913</v>
      </c>
      <c r="I1134" t="s">
        <v>461</v>
      </c>
      <c r="K1134">
        <v>105342923</v>
      </c>
      <c r="L1134" s="2">
        <v>43106</v>
      </c>
      <c r="M1134">
        <v>19</v>
      </c>
      <c r="N1134">
        <v>1</v>
      </c>
      <c r="O1134">
        <v>0</v>
      </c>
      <c r="P1134">
        <v>1</v>
      </c>
      <c r="Q1134" t="s">
        <v>167</v>
      </c>
    </row>
    <row r="1135" spans="1:17" x14ac:dyDescent="0.55000000000000004">
      <c r="A1135">
        <v>0</v>
      </c>
      <c r="B1135" t="s">
        <v>1</v>
      </c>
      <c r="C1135">
        <v>0.1</v>
      </c>
      <c r="D1135" t="s">
        <v>18</v>
      </c>
      <c r="E1135" t="s">
        <v>47</v>
      </c>
      <c r="F1135" t="s">
        <v>340</v>
      </c>
      <c r="G1135" t="s">
        <v>1</v>
      </c>
      <c r="H1135">
        <v>18.913</v>
      </c>
      <c r="I1135" t="s">
        <v>461</v>
      </c>
      <c r="K1135">
        <v>106094242</v>
      </c>
      <c r="L1135" s="2">
        <v>43810</v>
      </c>
      <c r="M1135">
        <v>17</v>
      </c>
      <c r="N1135">
        <v>1</v>
      </c>
      <c r="O1135">
        <v>0</v>
      </c>
      <c r="P1135">
        <v>5</v>
      </c>
      <c r="Q1135" t="s">
        <v>21</v>
      </c>
    </row>
    <row r="1136" spans="1:17" x14ac:dyDescent="0.55000000000000004">
      <c r="A1136">
        <v>0</v>
      </c>
      <c r="B1136" t="s">
        <v>1</v>
      </c>
      <c r="C1136">
        <v>1.4E-2</v>
      </c>
      <c r="D1136" t="s">
        <v>18</v>
      </c>
      <c r="E1136" t="s">
        <v>47</v>
      </c>
      <c r="F1136" t="s">
        <v>340</v>
      </c>
      <c r="G1136" t="s">
        <v>1</v>
      </c>
      <c r="H1136">
        <v>18.998999999999999</v>
      </c>
      <c r="I1136" t="s">
        <v>461</v>
      </c>
      <c r="K1136">
        <v>106343268</v>
      </c>
      <c r="L1136" s="2">
        <v>44094</v>
      </c>
      <c r="M1136">
        <v>19</v>
      </c>
      <c r="N1136">
        <v>1</v>
      </c>
      <c r="O1136">
        <v>9</v>
      </c>
      <c r="P1136">
        <v>1</v>
      </c>
      <c r="Q1136" t="s">
        <v>15</v>
      </c>
    </row>
    <row r="1137" spans="1:17" x14ac:dyDescent="0.55000000000000004">
      <c r="A1137">
        <v>0</v>
      </c>
      <c r="B1137" t="s">
        <v>1</v>
      </c>
      <c r="C1137">
        <v>5.7000000000000002E-2</v>
      </c>
      <c r="D1137" t="s">
        <v>68</v>
      </c>
      <c r="E1137" t="s">
        <v>47</v>
      </c>
      <c r="F1137" t="s">
        <v>60</v>
      </c>
      <c r="G1137" t="s">
        <v>1</v>
      </c>
      <c r="H1137">
        <v>19.07</v>
      </c>
      <c r="I1137" t="s">
        <v>461</v>
      </c>
      <c r="K1137">
        <v>105411529</v>
      </c>
      <c r="L1137" s="2">
        <v>43173</v>
      </c>
      <c r="M1137">
        <v>21</v>
      </c>
      <c r="N1137">
        <v>1</v>
      </c>
      <c r="O1137">
        <v>0</v>
      </c>
      <c r="P1137">
        <v>1</v>
      </c>
      <c r="Q1137" t="s">
        <v>21</v>
      </c>
    </row>
    <row r="1138" spans="1:17" x14ac:dyDescent="0.55000000000000004">
      <c r="A1138">
        <v>0</v>
      </c>
      <c r="B1138" t="s">
        <v>1</v>
      </c>
      <c r="C1138">
        <v>0.2</v>
      </c>
      <c r="D1138" t="s">
        <v>68</v>
      </c>
      <c r="E1138" t="s">
        <v>47</v>
      </c>
      <c r="F1138" t="s">
        <v>347</v>
      </c>
      <c r="G1138" t="s">
        <v>1</v>
      </c>
      <c r="H1138">
        <v>19.213000000000001</v>
      </c>
      <c r="I1138" t="s">
        <v>461</v>
      </c>
      <c r="K1138">
        <v>105371025</v>
      </c>
      <c r="L1138" s="2">
        <v>43131</v>
      </c>
      <c r="M1138">
        <v>17</v>
      </c>
      <c r="N1138">
        <v>1</v>
      </c>
      <c r="O1138">
        <v>0</v>
      </c>
      <c r="P1138">
        <v>1</v>
      </c>
      <c r="Q1138" t="s">
        <v>21</v>
      </c>
    </row>
    <row r="1139" spans="1:17" x14ac:dyDescent="0.55000000000000004">
      <c r="A1139">
        <v>0</v>
      </c>
      <c r="B1139" t="s">
        <v>1</v>
      </c>
      <c r="C1139">
        <v>0.2</v>
      </c>
      <c r="D1139" t="s">
        <v>68</v>
      </c>
      <c r="E1139" t="s">
        <v>47</v>
      </c>
      <c r="F1139" t="s">
        <v>347</v>
      </c>
      <c r="G1139" t="s">
        <v>1</v>
      </c>
      <c r="H1139">
        <v>19.213000000000001</v>
      </c>
      <c r="I1139" t="s">
        <v>461</v>
      </c>
      <c r="K1139">
        <v>106504808</v>
      </c>
      <c r="L1139" s="2">
        <v>44257</v>
      </c>
      <c r="M1139">
        <v>5</v>
      </c>
      <c r="N1139">
        <v>1</v>
      </c>
      <c r="O1139">
        <v>0</v>
      </c>
      <c r="P1139">
        <v>1</v>
      </c>
      <c r="Q1139" t="s">
        <v>21</v>
      </c>
    </row>
    <row r="1140" spans="1:17" x14ac:dyDescent="0.55000000000000004">
      <c r="A1140">
        <v>0</v>
      </c>
      <c r="B1140" t="s">
        <v>1</v>
      </c>
      <c r="C1140">
        <v>0.1</v>
      </c>
      <c r="D1140" t="s">
        <v>18</v>
      </c>
      <c r="E1140" t="s">
        <v>350</v>
      </c>
      <c r="F1140" t="s">
        <v>47</v>
      </c>
      <c r="G1140" t="s">
        <v>1</v>
      </c>
      <c r="H1140">
        <v>19.46</v>
      </c>
      <c r="I1140" t="s">
        <v>461</v>
      </c>
      <c r="K1140">
        <v>106355558</v>
      </c>
      <c r="L1140" s="2">
        <v>44105</v>
      </c>
      <c r="M1140">
        <v>17</v>
      </c>
      <c r="N1140">
        <v>1</v>
      </c>
      <c r="O1140">
        <v>0</v>
      </c>
      <c r="P1140">
        <v>1</v>
      </c>
      <c r="Q1140" t="s">
        <v>21</v>
      </c>
    </row>
    <row r="1141" spans="1:17" x14ac:dyDescent="0.55000000000000004">
      <c r="A1141">
        <v>0</v>
      </c>
      <c r="B1141" t="s">
        <v>1</v>
      </c>
      <c r="C1141">
        <v>3.7999999999999999E-2</v>
      </c>
      <c r="D1141" t="s">
        <v>18</v>
      </c>
      <c r="E1141" t="s">
        <v>349</v>
      </c>
      <c r="F1141" t="s">
        <v>351</v>
      </c>
      <c r="G1141" t="s">
        <v>1</v>
      </c>
      <c r="H1141">
        <v>19.715</v>
      </c>
      <c r="I1141" t="s">
        <v>461</v>
      </c>
      <c r="K1141">
        <v>106071360</v>
      </c>
      <c r="L1141" s="2">
        <v>43790</v>
      </c>
      <c r="M1141">
        <v>17</v>
      </c>
      <c r="N1141">
        <v>1</v>
      </c>
      <c r="O1141">
        <v>0</v>
      </c>
      <c r="P1141">
        <v>5</v>
      </c>
      <c r="Q1141" t="s">
        <v>21</v>
      </c>
    </row>
    <row r="1142" spans="1:17" x14ac:dyDescent="0.55000000000000004">
      <c r="A1142">
        <v>0</v>
      </c>
      <c r="B1142" t="s">
        <v>1</v>
      </c>
      <c r="C1142">
        <v>0.7</v>
      </c>
      <c r="D1142" t="s">
        <v>18</v>
      </c>
      <c r="E1142" t="s">
        <v>347</v>
      </c>
      <c r="F1142" t="s">
        <v>350</v>
      </c>
      <c r="G1142" t="s">
        <v>1</v>
      </c>
      <c r="H1142">
        <v>19.744</v>
      </c>
      <c r="I1142" t="s">
        <v>461</v>
      </c>
      <c r="K1142">
        <v>105175418</v>
      </c>
      <c r="L1142" s="2">
        <v>42946</v>
      </c>
      <c r="M1142">
        <v>19</v>
      </c>
      <c r="N1142">
        <v>1</v>
      </c>
      <c r="O1142">
        <v>0</v>
      </c>
      <c r="P1142">
        <v>5</v>
      </c>
    </row>
    <row r="1143" spans="1:17" x14ac:dyDescent="0.55000000000000004">
      <c r="A1143">
        <v>0</v>
      </c>
      <c r="B1143" t="s">
        <v>1</v>
      </c>
      <c r="C1143">
        <v>0.1</v>
      </c>
      <c r="D1143" t="s">
        <v>68</v>
      </c>
      <c r="E1143" t="s">
        <v>349</v>
      </c>
      <c r="F1143" t="s">
        <v>352</v>
      </c>
      <c r="G1143" t="s">
        <v>1</v>
      </c>
      <c r="H1143">
        <v>19.853000000000002</v>
      </c>
      <c r="I1143" t="s">
        <v>461</v>
      </c>
      <c r="K1143">
        <v>106426180</v>
      </c>
      <c r="L1143" s="2">
        <v>44167</v>
      </c>
      <c r="M1143">
        <v>17</v>
      </c>
      <c r="N1143">
        <v>1</v>
      </c>
      <c r="O1143">
        <v>0</v>
      </c>
      <c r="P1143">
        <v>5</v>
      </c>
      <c r="Q1143" t="s">
        <v>21</v>
      </c>
    </row>
    <row r="1144" spans="1:17" x14ac:dyDescent="0.55000000000000004">
      <c r="A1144">
        <v>0</v>
      </c>
      <c r="B1144" t="s">
        <v>1</v>
      </c>
      <c r="C1144">
        <v>0.5</v>
      </c>
      <c r="D1144" t="s">
        <v>18</v>
      </c>
      <c r="E1144" t="s">
        <v>347</v>
      </c>
      <c r="F1144" t="s">
        <v>47</v>
      </c>
      <c r="G1144" t="s">
        <v>1</v>
      </c>
      <c r="H1144">
        <v>19.943999999999999</v>
      </c>
      <c r="I1144" t="s">
        <v>461</v>
      </c>
      <c r="K1144">
        <v>105245637</v>
      </c>
      <c r="L1144" s="2">
        <v>43014</v>
      </c>
      <c r="M1144">
        <v>19</v>
      </c>
      <c r="N1144">
        <v>1</v>
      </c>
      <c r="O1144">
        <v>0</v>
      </c>
      <c r="P1144">
        <v>5</v>
      </c>
      <c r="Q1144" t="s">
        <v>15</v>
      </c>
    </row>
    <row r="1145" spans="1:17" x14ac:dyDescent="0.55000000000000004">
      <c r="A1145">
        <v>0</v>
      </c>
      <c r="B1145" t="s">
        <v>1</v>
      </c>
      <c r="C1145">
        <v>0.2</v>
      </c>
      <c r="D1145" t="s">
        <v>68</v>
      </c>
      <c r="E1145" t="s">
        <v>349</v>
      </c>
      <c r="F1145" t="s">
        <v>347</v>
      </c>
      <c r="G1145" t="s">
        <v>1</v>
      </c>
      <c r="H1145">
        <v>19.952999999999999</v>
      </c>
      <c r="I1145" t="s">
        <v>461</v>
      </c>
      <c r="K1145">
        <v>104868754</v>
      </c>
      <c r="L1145" s="2">
        <v>42645</v>
      </c>
      <c r="M1145">
        <v>28</v>
      </c>
      <c r="N1145">
        <v>1</v>
      </c>
      <c r="O1145">
        <v>0</v>
      </c>
      <c r="P1145">
        <v>5</v>
      </c>
      <c r="Q1145" t="s">
        <v>21</v>
      </c>
    </row>
    <row r="1146" spans="1:17" x14ac:dyDescent="0.55000000000000004">
      <c r="A1146">
        <v>0</v>
      </c>
      <c r="B1146" t="s">
        <v>1</v>
      </c>
      <c r="C1146">
        <v>0.2</v>
      </c>
      <c r="D1146" t="s">
        <v>18</v>
      </c>
      <c r="E1146" t="s">
        <v>347</v>
      </c>
      <c r="F1146" t="s">
        <v>349</v>
      </c>
      <c r="G1146" t="s">
        <v>1</v>
      </c>
      <c r="H1146">
        <v>20.244</v>
      </c>
      <c r="I1146" t="s">
        <v>461</v>
      </c>
      <c r="K1146">
        <v>106391070</v>
      </c>
      <c r="L1146" s="2">
        <v>44137</v>
      </c>
      <c r="M1146">
        <v>17</v>
      </c>
      <c r="N1146">
        <v>1</v>
      </c>
      <c r="O1146">
        <v>0</v>
      </c>
      <c r="P1146">
        <v>5</v>
      </c>
      <c r="Q1146" t="s">
        <v>21</v>
      </c>
    </row>
    <row r="1147" spans="1:17" x14ac:dyDescent="0.55000000000000004">
      <c r="A1147">
        <v>0</v>
      </c>
      <c r="B1147" t="s">
        <v>1</v>
      </c>
      <c r="C1147">
        <v>0.1</v>
      </c>
      <c r="D1147" t="s">
        <v>18</v>
      </c>
      <c r="E1147" t="s">
        <v>347</v>
      </c>
      <c r="F1147" t="s">
        <v>47</v>
      </c>
      <c r="G1147" t="s">
        <v>1</v>
      </c>
      <c r="H1147">
        <v>20.344000000000001</v>
      </c>
      <c r="I1147" t="s">
        <v>461</v>
      </c>
      <c r="K1147">
        <v>106375535</v>
      </c>
      <c r="L1147" s="2">
        <v>44125</v>
      </c>
      <c r="M1147">
        <v>17</v>
      </c>
      <c r="N1147">
        <v>2</v>
      </c>
      <c r="O1147">
        <v>0</v>
      </c>
      <c r="P1147">
        <v>3</v>
      </c>
      <c r="Q1147" t="s">
        <v>21</v>
      </c>
    </row>
    <row r="1148" spans="1:17" x14ac:dyDescent="0.55000000000000004">
      <c r="A1148">
        <v>0</v>
      </c>
      <c r="B1148" t="s">
        <v>1</v>
      </c>
      <c r="C1148">
        <v>9.5000000000000001E-2</v>
      </c>
      <c r="D1148" t="s">
        <v>18</v>
      </c>
      <c r="E1148" t="s">
        <v>347</v>
      </c>
      <c r="F1148" t="s">
        <v>353</v>
      </c>
      <c r="G1148" t="s">
        <v>1</v>
      </c>
      <c r="H1148">
        <v>20.349</v>
      </c>
      <c r="I1148" t="s">
        <v>461</v>
      </c>
      <c r="K1148">
        <v>105945682</v>
      </c>
      <c r="L1148" s="2">
        <v>43680</v>
      </c>
      <c r="M1148">
        <v>19</v>
      </c>
      <c r="N1148">
        <v>1</v>
      </c>
      <c r="O1148">
        <v>0</v>
      </c>
      <c r="P1148">
        <v>1</v>
      </c>
      <c r="Q1148" t="s">
        <v>21</v>
      </c>
    </row>
    <row r="1149" spans="1:17" x14ac:dyDescent="0.55000000000000004">
      <c r="A1149">
        <v>0</v>
      </c>
      <c r="B1149" t="s">
        <v>1</v>
      </c>
      <c r="C1149">
        <v>0</v>
      </c>
      <c r="E1149" t="s">
        <v>347</v>
      </c>
      <c r="F1149" t="s">
        <v>354</v>
      </c>
      <c r="G1149" t="s">
        <v>1</v>
      </c>
      <c r="H1149">
        <v>20.443999999999999</v>
      </c>
      <c r="I1149" t="s">
        <v>461</v>
      </c>
      <c r="K1149">
        <v>105188628</v>
      </c>
      <c r="L1149" s="2">
        <v>42959</v>
      </c>
      <c r="M1149">
        <v>23</v>
      </c>
      <c r="N1149">
        <v>1</v>
      </c>
      <c r="O1149">
        <v>8</v>
      </c>
      <c r="P1149">
        <v>1</v>
      </c>
      <c r="Q1149" t="s">
        <v>15</v>
      </c>
    </row>
    <row r="1150" spans="1:17" x14ac:dyDescent="0.55000000000000004">
      <c r="A1150">
        <v>0</v>
      </c>
      <c r="B1150" t="s">
        <v>1</v>
      </c>
      <c r="C1150">
        <v>0.3</v>
      </c>
      <c r="D1150" t="s">
        <v>18</v>
      </c>
      <c r="E1150" t="s">
        <v>354</v>
      </c>
      <c r="F1150" t="s">
        <v>347</v>
      </c>
      <c r="G1150" t="s">
        <v>1</v>
      </c>
      <c r="H1150">
        <v>20.509</v>
      </c>
      <c r="I1150" t="s">
        <v>461</v>
      </c>
      <c r="K1150">
        <v>104955629</v>
      </c>
      <c r="L1150" s="2">
        <v>42723</v>
      </c>
      <c r="M1150">
        <v>19</v>
      </c>
      <c r="N1150">
        <v>1</v>
      </c>
      <c r="O1150">
        <v>0</v>
      </c>
      <c r="P1150">
        <v>5</v>
      </c>
      <c r="Q1150" t="s">
        <v>21</v>
      </c>
    </row>
    <row r="1151" spans="1:17" x14ac:dyDescent="0.55000000000000004">
      <c r="A1151">
        <v>0</v>
      </c>
      <c r="B1151" t="s">
        <v>1</v>
      </c>
      <c r="C1151">
        <v>1.5</v>
      </c>
      <c r="D1151" t="s">
        <v>68</v>
      </c>
      <c r="E1151" t="s">
        <v>47</v>
      </c>
      <c r="F1151" t="s">
        <v>144</v>
      </c>
      <c r="G1151" t="s">
        <v>1</v>
      </c>
      <c r="H1151">
        <v>20.513000000000002</v>
      </c>
      <c r="I1151" t="s">
        <v>461</v>
      </c>
      <c r="K1151">
        <v>106056372</v>
      </c>
      <c r="L1151" s="2">
        <v>43779</v>
      </c>
      <c r="M1151">
        <v>5</v>
      </c>
      <c r="N1151">
        <v>1</v>
      </c>
      <c r="O1151">
        <v>0</v>
      </c>
      <c r="P1151">
        <v>5</v>
      </c>
      <c r="Q1151" t="s">
        <v>15</v>
      </c>
    </row>
    <row r="1152" spans="1:17" x14ac:dyDescent="0.55000000000000004">
      <c r="A1152">
        <v>0</v>
      </c>
      <c r="B1152" t="s">
        <v>1</v>
      </c>
      <c r="C1152">
        <v>0.2</v>
      </c>
      <c r="D1152" t="s">
        <v>18</v>
      </c>
      <c r="E1152" t="s">
        <v>354</v>
      </c>
      <c r="F1152" t="s">
        <v>347</v>
      </c>
      <c r="G1152" t="s">
        <v>1</v>
      </c>
      <c r="H1152">
        <v>20.609000000000002</v>
      </c>
      <c r="I1152" t="s">
        <v>461</v>
      </c>
      <c r="K1152">
        <v>104978234</v>
      </c>
      <c r="L1152" s="2">
        <v>42748</v>
      </c>
      <c r="M1152">
        <v>17</v>
      </c>
      <c r="N1152">
        <v>1</v>
      </c>
      <c r="O1152">
        <v>0</v>
      </c>
      <c r="P1152">
        <v>5</v>
      </c>
      <c r="Q1152" t="s">
        <v>21</v>
      </c>
    </row>
    <row r="1153" spans="1:17" x14ac:dyDescent="0.55000000000000004">
      <c r="A1153">
        <v>0</v>
      </c>
      <c r="B1153" t="s">
        <v>1</v>
      </c>
      <c r="C1153">
        <v>0.1</v>
      </c>
      <c r="D1153" t="s">
        <v>18</v>
      </c>
      <c r="E1153" t="s">
        <v>354</v>
      </c>
      <c r="F1153" t="s">
        <v>347</v>
      </c>
      <c r="G1153" t="s">
        <v>1</v>
      </c>
      <c r="H1153">
        <v>20.709</v>
      </c>
      <c r="I1153" t="s">
        <v>461</v>
      </c>
      <c r="K1153">
        <v>104956736</v>
      </c>
      <c r="L1153" s="2">
        <v>42726</v>
      </c>
      <c r="M1153">
        <v>19</v>
      </c>
      <c r="N1153">
        <v>1</v>
      </c>
      <c r="O1153">
        <v>0</v>
      </c>
      <c r="P1153">
        <v>1</v>
      </c>
      <c r="Q1153" t="s">
        <v>21</v>
      </c>
    </row>
    <row r="1154" spans="1:17" x14ac:dyDescent="0.55000000000000004">
      <c r="A1154">
        <v>0</v>
      </c>
      <c r="B1154" t="s">
        <v>1</v>
      </c>
      <c r="C1154">
        <v>0</v>
      </c>
      <c r="E1154" t="s">
        <v>354</v>
      </c>
      <c r="F1154" t="s">
        <v>347</v>
      </c>
      <c r="G1154" t="s">
        <v>1</v>
      </c>
      <c r="H1154">
        <v>20.809000000000001</v>
      </c>
      <c r="I1154" t="s">
        <v>461</v>
      </c>
      <c r="K1154">
        <v>105682507</v>
      </c>
      <c r="L1154" s="2">
        <v>43423</v>
      </c>
      <c r="M1154">
        <v>23</v>
      </c>
      <c r="N1154">
        <v>1</v>
      </c>
      <c r="O1154">
        <v>7</v>
      </c>
      <c r="P1154">
        <v>1</v>
      </c>
      <c r="Q1154" t="s">
        <v>21</v>
      </c>
    </row>
    <row r="1155" spans="1:17" x14ac:dyDescent="0.55000000000000004">
      <c r="A1155">
        <v>0</v>
      </c>
      <c r="B1155" t="s">
        <v>1</v>
      </c>
      <c r="C1155">
        <v>0</v>
      </c>
      <c r="E1155" t="s">
        <v>354</v>
      </c>
      <c r="F1155" t="s">
        <v>144</v>
      </c>
      <c r="G1155" t="s">
        <v>1</v>
      </c>
      <c r="H1155">
        <v>20.809000000000001</v>
      </c>
      <c r="I1155" t="s">
        <v>461</v>
      </c>
      <c r="K1155">
        <v>104880599</v>
      </c>
      <c r="L1155" s="2">
        <v>42656</v>
      </c>
      <c r="M1155">
        <v>30</v>
      </c>
      <c r="N1155">
        <v>1</v>
      </c>
      <c r="O1155">
        <v>7</v>
      </c>
      <c r="P1155">
        <v>1</v>
      </c>
      <c r="Q1155" t="s">
        <v>21</v>
      </c>
    </row>
    <row r="1156" spans="1:17" x14ac:dyDescent="0.55000000000000004">
      <c r="A1156">
        <v>0</v>
      </c>
      <c r="B1156" t="s">
        <v>1</v>
      </c>
      <c r="C1156">
        <v>0.1</v>
      </c>
      <c r="D1156" t="s">
        <v>68</v>
      </c>
      <c r="E1156" t="s">
        <v>354</v>
      </c>
      <c r="F1156" t="s">
        <v>64</v>
      </c>
      <c r="G1156" t="s">
        <v>1</v>
      </c>
      <c r="H1156">
        <v>20.908999999999999</v>
      </c>
      <c r="I1156" t="s">
        <v>461</v>
      </c>
      <c r="K1156">
        <v>106306427</v>
      </c>
      <c r="L1156" s="2">
        <v>44053</v>
      </c>
      <c r="M1156">
        <v>21</v>
      </c>
      <c r="N1156">
        <v>1</v>
      </c>
      <c r="O1156">
        <v>0</v>
      </c>
      <c r="P1156">
        <v>1</v>
      </c>
      <c r="Q1156" t="s">
        <v>21</v>
      </c>
    </row>
    <row r="1157" spans="1:17" x14ac:dyDescent="0.55000000000000004">
      <c r="A1157">
        <v>0</v>
      </c>
      <c r="B1157" t="s">
        <v>1</v>
      </c>
      <c r="C1157">
        <v>0.2</v>
      </c>
      <c r="D1157" t="s">
        <v>68</v>
      </c>
      <c r="E1157" t="s">
        <v>354</v>
      </c>
      <c r="F1157" t="s">
        <v>64</v>
      </c>
      <c r="G1157" t="s">
        <v>1</v>
      </c>
      <c r="H1157">
        <v>21.009</v>
      </c>
      <c r="I1157" t="s">
        <v>461</v>
      </c>
      <c r="K1157">
        <v>104920128</v>
      </c>
      <c r="L1157" s="2">
        <v>42693</v>
      </c>
      <c r="M1157">
        <v>22</v>
      </c>
      <c r="N1157">
        <v>1</v>
      </c>
      <c r="O1157">
        <v>8</v>
      </c>
      <c r="P1157">
        <v>1</v>
      </c>
      <c r="Q1157" t="s">
        <v>15</v>
      </c>
    </row>
    <row r="1158" spans="1:17" x14ac:dyDescent="0.55000000000000004">
      <c r="A1158">
        <v>430</v>
      </c>
      <c r="B1158" t="s">
        <v>1</v>
      </c>
      <c r="C1158">
        <v>0.5</v>
      </c>
      <c r="D1158" t="s">
        <v>18</v>
      </c>
      <c r="E1158" t="s">
        <v>64</v>
      </c>
      <c r="F1158" t="s">
        <v>354</v>
      </c>
      <c r="G1158" t="s">
        <v>1</v>
      </c>
      <c r="H1158">
        <v>21.145</v>
      </c>
      <c r="I1158" t="s">
        <v>461</v>
      </c>
      <c r="K1158">
        <v>105215220</v>
      </c>
      <c r="L1158" s="2">
        <v>42986</v>
      </c>
      <c r="M1158">
        <v>19</v>
      </c>
      <c r="N1158">
        <v>1</v>
      </c>
      <c r="O1158">
        <v>0</v>
      </c>
      <c r="P1158">
        <v>1</v>
      </c>
      <c r="Q1158" t="s">
        <v>15</v>
      </c>
    </row>
    <row r="1159" spans="1:17" x14ac:dyDescent="0.55000000000000004">
      <c r="A1159">
        <v>0</v>
      </c>
      <c r="B1159" t="s">
        <v>1</v>
      </c>
      <c r="C1159">
        <v>0.41</v>
      </c>
      <c r="D1159" t="s">
        <v>18</v>
      </c>
      <c r="E1159" t="s">
        <v>64</v>
      </c>
      <c r="F1159" t="s">
        <v>354</v>
      </c>
      <c r="G1159" t="s">
        <v>1</v>
      </c>
      <c r="H1159">
        <v>21.234999999999999</v>
      </c>
      <c r="I1159" t="s">
        <v>461</v>
      </c>
      <c r="K1159">
        <v>106615660</v>
      </c>
      <c r="L1159" s="2">
        <v>44360</v>
      </c>
      <c r="M1159">
        <v>17</v>
      </c>
      <c r="N1159">
        <v>1</v>
      </c>
      <c r="O1159">
        <v>0</v>
      </c>
      <c r="P1159">
        <v>5</v>
      </c>
      <c r="Q1159" t="s">
        <v>21</v>
      </c>
    </row>
    <row r="1160" spans="1:17" x14ac:dyDescent="0.55000000000000004">
      <c r="A1160">
        <v>0</v>
      </c>
      <c r="B1160" t="s">
        <v>1</v>
      </c>
      <c r="C1160">
        <v>0.5</v>
      </c>
      <c r="D1160" t="s">
        <v>68</v>
      </c>
      <c r="E1160" t="s">
        <v>354</v>
      </c>
      <c r="F1160" t="s">
        <v>144</v>
      </c>
      <c r="G1160" t="s">
        <v>1</v>
      </c>
      <c r="H1160">
        <v>21.309000000000001</v>
      </c>
      <c r="I1160" t="s">
        <v>461</v>
      </c>
      <c r="K1160">
        <v>105635959</v>
      </c>
      <c r="L1160" s="2">
        <v>43387</v>
      </c>
      <c r="M1160">
        <v>19</v>
      </c>
      <c r="N1160">
        <v>1</v>
      </c>
      <c r="O1160">
        <v>0</v>
      </c>
      <c r="P1160">
        <v>5</v>
      </c>
      <c r="Q1160" t="s">
        <v>21</v>
      </c>
    </row>
    <row r="1161" spans="1:17" x14ac:dyDescent="0.55000000000000004">
      <c r="A1161">
        <v>0</v>
      </c>
      <c r="B1161" t="s">
        <v>1</v>
      </c>
      <c r="C1161">
        <v>0.5</v>
      </c>
      <c r="D1161" t="s">
        <v>68</v>
      </c>
      <c r="E1161" t="s">
        <v>354</v>
      </c>
      <c r="F1161" t="s">
        <v>144</v>
      </c>
      <c r="G1161" t="s">
        <v>1</v>
      </c>
      <c r="H1161">
        <v>21.309000000000001</v>
      </c>
      <c r="I1161" t="s">
        <v>461</v>
      </c>
      <c r="K1161">
        <v>106077226</v>
      </c>
      <c r="L1161" s="2">
        <v>43797</v>
      </c>
      <c r="M1161">
        <v>17</v>
      </c>
      <c r="N1161">
        <v>1</v>
      </c>
      <c r="O1161">
        <v>0</v>
      </c>
      <c r="P1161">
        <v>5</v>
      </c>
      <c r="Q1161" t="s">
        <v>21</v>
      </c>
    </row>
    <row r="1162" spans="1:17" x14ac:dyDescent="0.55000000000000004">
      <c r="A1162">
        <v>0</v>
      </c>
      <c r="B1162" t="s">
        <v>1</v>
      </c>
      <c r="C1162">
        <v>0.2</v>
      </c>
      <c r="D1162" t="s">
        <v>18</v>
      </c>
      <c r="E1162" t="s">
        <v>64</v>
      </c>
      <c r="F1162" t="s">
        <v>354</v>
      </c>
      <c r="G1162" t="s">
        <v>1</v>
      </c>
      <c r="H1162">
        <v>21.445</v>
      </c>
      <c r="I1162" t="s">
        <v>461</v>
      </c>
      <c r="K1162">
        <v>106304991</v>
      </c>
      <c r="L1162" s="2">
        <v>44055</v>
      </c>
      <c r="M1162">
        <v>19</v>
      </c>
      <c r="N1162">
        <v>2</v>
      </c>
      <c r="O1162">
        <v>0</v>
      </c>
      <c r="P1162">
        <v>5</v>
      </c>
      <c r="Q1162" t="s">
        <v>21</v>
      </c>
    </row>
    <row r="1163" spans="1:17" x14ac:dyDescent="0.55000000000000004">
      <c r="A1163">
        <v>0</v>
      </c>
      <c r="B1163" t="s">
        <v>1</v>
      </c>
      <c r="C1163">
        <v>0.2</v>
      </c>
      <c r="D1163" t="s">
        <v>18</v>
      </c>
      <c r="E1163" t="s">
        <v>64</v>
      </c>
      <c r="F1163" t="s">
        <v>354</v>
      </c>
      <c r="G1163" t="s">
        <v>1</v>
      </c>
      <c r="H1163">
        <v>21.445</v>
      </c>
      <c r="I1163" t="s">
        <v>461</v>
      </c>
      <c r="K1163">
        <v>106465418</v>
      </c>
      <c r="L1163" s="2">
        <v>44208</v>
      </c>
      <c r="M1163">
        <v>19</v>
      </c>
      <c r="N1163">
        <v>1</v>
      </c>
      <c r="O1163">
        <v>0</v>
      </c>
      <c r="P1163">
        <v>1</v>
      </c>
      <c r="Q1163" t="s">
        <v>21</v>
      </c>
    </row>
    <row r="1164" spans="1:17" x14ac:dyDescent="0.55000000000000004">
      <c r="A1164">
        <v>0</v>
      </c>
      <c r="B1164" t="s">
        <v>1</v>
      </c>
      <c r="C1164">
        <v>0.1</v>
      </c>
      <c r="D1164" t="s">
        <v>18</v>
      </c>
      <c r="E1164" t="s">
        <v>64</v>
      </c>
      <c r="F1164" t="s">
        <v>354</v>
      </c>
      <c r="G1164" t="s">
        <v>1</v>
      </c>
      <c r="H1164">
        <v>21.545000000000002</v>
      </c>
      <c r="I1164" t="s">
        <v>461</v>
      </c>
      <c r="K1164">
        <v>106034061</v>
      </c>
      <c r="L1164" s="2">
        <v>43761</v>
      </c>
      <c r="M1164">
        <v>17</v>
      </c>
      <c r="N1164">
        <v>1</v>
      </c>
      <c r="O1164">
        <v>0</v>
      </c>
      <c r="P1164">
        <v>5</v>
      </c>
      <c r="Q1164" t="s">
        <v>21</v>
      </c>
    </row>
    <row r="1165" spans="1:17" x14ac:dyDescent="0.55000000000000004">
      <c r="A1165">
        <v>0</v>
      </c>
      <c r="B1165" t="s">
        <v>1</v>
      </c>
      <c r="C1165">
        <v>0.5</v>
      </c>
      <c r="D1165" t="s">
        <v>18</v>
      </c>
      <c r="E1165" t="s">
        <v>144</v>
      </c>
      <c r="F1165" t="s">
        <v>354</v>
      </c>
      <c r="G1165" t="s">
        <v>1</v>
      </c>
      <c r="H1165">
        <v>21.635000000000002</v>
      </c>
      <c r="I1165" t="s">
        <v>461</v>
      </c>
      <c r="K1165">
        <v>106150728</v>
      </c>
      <c r="L1165" s="2">
        <v>43870</v>
      </c>
      <c r="M1165">
        <v>19</v>
      </c>
      <c r="N1165">
        <v>1</v>
      </c>
      <c r="O1165">
        <v>5</v>
      </c>
      <c r="P1165">
        <v>5</v>
      </c>
      <c r="Q1165" t="s">
        <v>21</v>
      </c>
    </row>
    <row r="1166" spans="1:17" x14ac:dyDescent="0.55000000000000004">
      <c r="A1166">
        <v>0</v>
      </c>
      <c r="B1166" t="s">
        <v>1</v>
      </c>
      <c r="C1166">
        <v>0</v>
      </c>
      <c r="E1166" t="s">
        <v>355</v>
      </c>
      <c r="F1166" t="s">
        <v>354</v>
      </c>
      <c r="G1166" t="s">
        <v>1</v>
      </c>
      <c r="H1166">
        <v>21.645</v>
      </c>
      <c r="I1166" t="s">
        <v>461</v>
      </c>
      <c r="K1166">
        <v>106524795</v>
      </c>
      <c r="L1166" s="2">
        <v>44277</v>
      </c>
      <c r="M1166">
        <v>24</v>
      </c>
      <c r="N1166">
        <v>1</v>
      </c>
      <c r="O1166">
        <v>8</v>
      </c>
      <c r="P1166">
        <v>2</v>
      </c>
      <c r="Q1166" t="s">
        <v>21</v>
      </c>
    </row>
    <row r="1167" spans="1:17" x14ac:dyDescent="0.55000000000000004">
      <c r="A1167">
        <v>0</v>
      </c>
      <c r="B1167" t="s">
        <v>1</v>
      </c>
      <c r="C1167">
        <v>0</v>
      </c>
      <c r="E1167" t="s">
        <v>64</v>
      </c>
      <c r="F1167" t="s">
        <v>144</v>
      </c>
      <c r="G1167" t="s">
        <v>1</v>
      </c>
      <c r="H1167">
        <v>21.645</v>
      </c>
      <c r="I1167" t="s">
        <v>461</v>
      </c>
      <c r="K1167">
        <v>104998226</v>
      </c>
      <c r="L1167" s="2">
        <v>42769</v>
      </c>
      <c r="M1167">
        <v>21</v>
      </c>
      <c r="N1167">
        <v>1</v>
      </c>
      <c r="O1167">
        <v>8</v>
      </c>
      <c r="P1167">
        <v>1</v>
      </c>
      <c r="Q1167" t="s">
        <v>21</v>
      </c>
    </row>
    <row r="1168" spans="1:17" x14ac:dyDescent="0.55000000000000004">
      <c r="A1168">
        <v>0</v>
      </c>
      <c r="B1168" t="s">
        <v>1</v>
      </c>
      <c r="C1168">
        <v>0.1</v>
      </c>
      <c r="D1168" t="s">
        <v>68</v>
      </c>
      <c r="E1168" t="s">
        <v>64</v>
      </c>
      <c r="F1168" t="s">
        <v>144</v>
      </c>
      <c r="G1168" t="s">
        <v>1</v>
      </c>
      <c r="H1168">
        <v>21.745000000000001</v>
      </c>
      <c r="I1168" t="s">
        <v>461</v>
      </c>
      <c r="K1168">
        <v>106109189</v>
      </c>
      <c r="L1168" s="2">
        <v>43817</v>
      </c>
      <c r="M1168">
        <v>17</v>
      </c>
      <c r="N1168">
        <v>1</v>
      </c>
      <c r="O1168">
        <v>0</v>
      </c>
      <c r="P1168">
        <v>3</v>
      </c>
      <c r="Q1168" t="s">
        <v>21</v>
      </c>
    </row>
    <row r="1169" spans="1:17" x14ac:dyDescent="0.55000000000000004">
      <c r="A1169">
        <v>0</v>
      </c>
      <c r="B1169" t="s">
        <v>1</v>
      </c>
      <c r="C1169">
        <v>0.3</v>
      </c>
      <c r="D1169" t="s">
        <v>18</v>
      </c>
      <c r="E1169" t="s">
        <v>144</v>
      </c>
      <c r="F1169" t="s">
        <v>64</v>
      </c>
      <c r="G1169" t="s">
        <v>1</v>
      </c>
      <c r="H1169">
        <v>21.835000000000001</v>
      </c>
      <c r="I1169" t="s">
        <v>461</v>
      </c>
      <c r="K1169">
        <v>105308213</v>
      </c>
      <c r="L1169" s="2">
        <v>43071</v>
      </c>
      <c r="M1169">
        <v>21</v>
      </c>
      <c r="N1169">
        <v>1</v>
      </c>
      <c r="O1169">
        <v>0</v>
      </c>
      <c r="P1169">
        <v>1</v>
      </c>
      <c r="Q1169" t="s">
        <v>15</v>
      </c>
    </row>
    <row r="1170" spans="1:17" x14ac:dyDescent="0.55000000000000004">
      <c r="A1170">
        <v>0</v>
      </c>
      <c r="B1170" t="s">
        <v>1</v>
      </c>
      <c r="C1170">
        <v>0.1</v>
      </c>
      <c r="D1170" t="s">
        <v>18</v>
      </c>
      <c r="E1170" t="s">
        <v>144</v>
      </c>
      <c r="F1170" t="s">
        <v>64</v>
      </c>
      <c r="G1170" t="s">
        <v>1</v>
      </c>
      <c r="H1170">
        <v>22.035</v>
      </c>
      <c r="I1170" t="s">
        <v>461</v>
      </c>
      <c r="K1170">
        <v>105109051</v>
      </c>
      <c r="L1170" s="2">
        <v>42879</v>
      </c>
      <c r="M1170">
        <v>19</v>
      </c>
      <c r="N1170">
        <v>1</v>
      </c>
      <c r="O1170">
        <v>0</v>
      </c>
      <c r="P1170">
        <v>5</v>
      </c>
      <c r="Q1170" t="s">
        <v>21</v>
      </c>
    </row>
    <row r="1171" spans="1:17" x14ac:dyDescent="0.55000000000000004">
      <c r="A1171">
        <v>0</v>
      </c>
      <c r="B1171" t="s">
        <v>1</v>
      </c>
      <c r="C1171">
        <v>0.3</v>
      </c>
      <c r="D1171" t="s">
        <v>18</v>
      </c>
      <c r="E1171" t="s">
        <v>356</v>
      </c>
      <c r="F1171" t="s">
        <v>144</v>
      </c>
      <c r="G1171" t="s">
        <v>1</v>
      </c>
      <c r="H1171">
        <v>22.085000000000001</v>
      </c>
      <c r="I1171" t="s">
        <v>461</v>
      </c>
      <c r="K1171">
        <v>106379525</v>
      </c>
      <c r="L1171" s="2">
        <v>44125</v>
      </c>
      <c r="M1171">
        <v>21</v>
      </c>
      <c r="N1171">
        <v>1</v>
      </c>
      <c r="O1171">
        <v>0</v>
      </c>
      <c r="P1171">
        <v>1</v>
      </c>
      <c r="Q1171" t="s">
        <v>21</v>
      </c>
    </row>
    <row r="1172" spans="1:17" x14ac:dyDescent="0.55000000000000004">
      <c r="A1172">
        <v>430</v>
      </c>
      <c r="B1172" t="s">
        <v>1</v>
      </c>
      <c r="C1172">
        <v>0.3</v>
      </c>
      <c r="D1172" t="s">
        <v>18</v>
      </c>
      <c r="E1172" t="s">
        <v>356</v>
      </c>
      <c r="F1172" t="s">
        <v>144</v>
      </c>
      <c r="G1172" t="s">
        <v>1</v>
      </c>
      <c r="H1172">
        <v>22.085000000000001</v>
      </c>
      <c r="I1172" t="s">
        <v>461</v>
      </c>
      <c r="K1172">
        <v>105378433</v>
      </c>
      <c r="L1172" s="2">
        <v>43140</v>
      </c>
      <c r="M1172">
        <v>21</v>
      </c>
      <c r="N1172">
        <v>1</v>
      </c>
      <c r="O1172">
        <v>0</v>
      </c>
      <c r="P1172">
        <v>1</v>
      </c>
      <c r="Q1172" t="s">
        <v>21</v>
      </c>
    </row>
    <row r="1173" spans="1:17" x14ac:dyDescent="0.55000000000000004">
      <c r="A1173">
        <v>0</v>
      </c>
      <c r="B1173" t="s">
        <v>1</v>
      </c>
      <c r="C1173">
        <v>8.9999999999999993E-3</v>
      </c>
      <c r="D1173" t="s">
        <v>68</v>
      </c>
      <c r="E1173" t="s">
        <v>144</v>
      </c>
      <c r="F1173" t="s">
        <v>356</v>
      </c>
      <c r="G1173" t="s">
        <v>1</v>
      </c>
      <c r="H1173">
        <v>22.143999999999998</v>
      </c>
      <c r="I1173" t="s">
        <v>461</v>
      </c>
      <c r="K1173">
        <v>105699494</v>
      </c>
      <c r="L1173" s="2">
        <v>43438</v>
      </c>
      <c r="M1173">
        <v>17</v>
      </c>
      <c r="N1173">
        <v>1</v>
      </c>
      <c r="O1173">
        <v>0</v>
      </c>
      <c r="P1173">
        <v>5</v>
      </c>
      <c r="Q1173" t="s">
        <v>21</v>
      </c>
    </row>
    <row r="1174" spans="1:17" x14ac:dyDescent="0.55000000000000004">
      <c r="A1174">
        <v>0</v>
      </c>
      <c r="B1174" t="s">
        <v>1</v>
      </c>
      <c r="C1174">
        <v>8.9999999999999993E-3</v>
      </c>
      <c r="D1174" t="s">
        <v>68</v>
      </c>
      <c r="E1174" t="s">
        <v>144</v>
      </c>
      <c r="F1174" t="s">
        <v>356</v>
      </c>
      <c r="G1174" t="s">
        <v>1</v>
      </c>
      <c r="H1174">
        <v>22.143999999999998</v>
      </c>
      <c r="I1174" t="s">
        <v>461</v>
      </c>
      <c r="K1174">
        <v>106528544</v>
      </c>
      <c r="L1174" s="2">
        <v>44278</v>
      </c>
      <c r="M1174">
        <v>30</v>
      </c>
      <c r="N1174">
        <v>1</v>
      </c>
      <c r="O1174">
        <v>0</v>
      </c>
      <c r="P1174">
        <v>1</v>
      </c>
      <c r="Q1174" t="s">
        <v>21</v>
      </c>
    </row>
    <row r="1175" spans="1:17" x14ac:dyDescent="0.55000000000000004">
      <c r="A1175">
        <v>0</v>
      </c>
      <c r="B1175" t="s">
        <v>1</v>
      </c>
      <c r="C1175">
        <v>0.01</v>
      </c>
      <c r="D1175" t="s">
        <v>68</v>
      </c>
      <c r="E1175" t="s">
        <v>144</v>
      </c>
      <c r="F1175" t="s">
        <v>354</v>
      </c>
      <c r="G1175" t="s">
        <v>1</v>
      </c>
      <c r="H1175">
        <v>22.145</v>
      </c>
      <c r="I1175" t="s">
        <v>461</v>
      </c>
      <c r="K1175">
        <v>105910639</v>
      </c>
      <c r="L1175" s="2">
        <v>43642</v>
      </c>
      <c r="M1175">
        <v>24</v>
      </c>
      <c r="N1175">
        <v>1</v>
      </c>
      <c r="O1175">
        <v>0</v>
      </c>
      <c r="P1175">
        <v>1</v>
      </c>
      <c r="Q1175" t="s">
        <v>15</v>
      </c>
    </row>
    <row r="1176" spans="1:17" x14ac:dyDescent="0.55000000000000004">
      <c r="A1176">
        <v>0</v>
      </c>
      <c r="B1176" t="s">
        <v>1</v>
      </c>
      <c r="C1176">
        <v>4.7E-2</v>
      </c>
      <c r="D1176" t="s">
        <v>68</v>
      </c>
      <c r="E1176" t="s">
        <v>144</v>
      </c>
      <c r="F1176" t="s">
        <v>356</v>
      </c>
      <c r="G1176" t="s">
        <v>1</v>
      </c>
      <c r="H1176">
        <v>22.181999999999999</v>
      </c>
      <c r="I1176" t="s">
        <v>461</v>
      </c>
      <c r="K1176">
        <v>106297023</v>
      </c>
      <c r="L1176" s="2">
        <v>44043</v>
      </c>
      <c r="M1176">
        <v>24</v>
      </c>
      <c r="N1176">
        <v>1</v>
      </c>
      <c r="O1176">
        <v>8</v>
      </c>
      <c r="P1176">
        <v>1</v>
      </c>
      <c r="Q1176" t="s">
        <v>15</v>
      </c>
    </row>
    <row r="1177" spans="1:17" x14ac:dyDescent="0.55000000000000004">
      <c r="A1177">
        <v>0</v>
      </c>
      <c r="B1177" t="s">
        <v>1</v>
      </c>
      <c r="C1177">
        <v>0.1</v>
      </c>
      <c r="D1177" t="s">
        <v>68</v>
      </c>
      <c r="E1177" t="s">
        <v>144</v>
      </c>
      <c r="F1177" t="s">
        <v>356</v>
      </c>
      <c r="G1177" t="s">
        <v>1</v>
      </c>
      <c r="H1177">
        <v>22.234999999999999</v>
      </c>
      <c r="I1177" t="s">
        <v>461</v>
      </c>
      <c r="K1177">
        <v>105274505</v>
      </c>
      <c r="L1177" s="2">
        <v>43041</v>
      </c>
      <c r="M1177">
        <v>17</v>
      </c>
      <c r="N1177">
        <v>1</v>
      </c>
      <c r="P1177">
        <v>5</v>
      </c>
      <c r="Q1177" t="s">
        <v>21</v>
      </c>
    </row>
    <row r="1178" spans="1:17" x14ac:dyDescent="0.55000000000000004">
      <c r="A1178">
        <v>430</v>
      </c>
      <c r="B1178" t="s">
        <v>1</v>
      </c>
      <c r="C1178">
        <v>0.1</v>
      </c>
      <c r="D1178" t="s">
        <v>18</v>
      </c>
      <c r="E1178" t="s">
        <v>356</v>
      </c>
      <c r="F1178" t="s">
        <v>159</v>
      </c>
      <c r="G1178" t="s">
        <v>1</v>
      </c>
      <c r="H1178">
        <v>22.285</v>
      </c>
      <c r="I1178" t="s">
        <v>461</v>
      </c>
      <c r="K1178">
        <v>105535886</v>
      </c>
      <c r="L1178" s="2">
        <v>43290</v>
      </c>
      <c r="M1178">
        <v>17</v>
      </c>
      <c r="N1178">
        <v>1</v>
      </c>
      <c r="O1178">
        <v>0</v>
      </c>
      <c r="P1178">
        <v>5</v>
      </c>
      <c r="Q1178" t="s">
        <v>21</v>
      </c>
    </row>
    <row r="1179" spans="1:17" x14ac:dyDescent="0.55000000000000004">
      <c r="A1179">
        <v>0</v>
      </c>
      <c r="B1179" t="s">
        <v>1</v>
      </c>
      <c r="C1179">
        <v>0.1</v>
      </c>
      <c r="D1179" t="s">
        <v>18</v>
      </c>
      <c r="E1179" t="s">
        <v>356</v>
      </c>
      <c r="F1179" t="s">
        <v>144</v>
      </c>
      <c r="G1179" t="s">
        <v>1</v>
      </c>
      <c r="H1179">
        <v>22.285</v>
      </c>
      <c r="I1179" t="s">
        <v>461</v>
      </c>
      <c r="K1179">
        <v>105479974</v>
      </c>
      <c r="L1179" s="2">
        <v>43232</v>
      </c>
      <c r="M1179">
        <v>17</v>
      </c>
      <c r="N1179">
        <v>1</v>
      </c>
      <c r="O1179">
        <v>0</v>
      </c>
      <c r="P1179">
        <v>5</v>
      </c>
      <c r="Q1179" t="s">
        <v>21</v>
      </c>
    </row>
    <row r="1180" spans="1:17" x14ac:dyDescent="0.55000000000000004">
      <c r="A1180">
        <v>0</v>
      </c>
      <c r="B1180" t="s">
        <v>1</v>
      </c>
      <c r="C1180">
        <v>0.1</v>
      </c>
      <c r="D1180" t="s">
        <v>18</v>
      </c>
      <c r="E1180" t="s">
        <v>356</v>
      </c>
      <c r="F1180" t="s">
        <v>144</v>
      </c>
      <c r="G1180" t="s">
        <v>1</v>
      </c>
      <c r="H1180">
        <v>22.285</v>
      </c>
      <c r="I1180" t="s">
        <v>461</v>
      </c>
      <c r="K1180">
        <v>105014793</v>
      </c>
      <c r="L1180" s="2">
        <v>42785</v>
      </c>
      <c r="M1180">
        <v>17</v>
      </c>
      <c r="N1180">
        <v>1</v>
      </c>
      <c r="O1180">
        <v>0</v>
      </c>
      <c r="P1180">
        <v>5</v>
      </c>
      <c r="Q1180" t="s">
        <v>21</v>
      </c>
    </row>
    <row r="1181" spans="1:17" x14ac:dyDescent="0.55000000000000004">
      <c r="A1181">
        <v>0</v>
      </c>
      <c r="B1181" t="s">
        <v>1</v>
      </c>
      <c r="C1181">
        <v>1.9E-2</v>
      </c>
      <c r="D1181" t="s">
        <v>18</v>
      </c>
      <c r="E1181" t="s">
        <v>356</v>
      </c>
      <c r="F1181" t="s">
        <v>144</v>
      </c>
      <c r="G1181" t="s">
        <v>1</v>
      </c>
      <c r="H1181">
        <v>22.366</v>
      </c>
      <c r="I1181" t="s">
        <v>461</v>
      </c>
      <c r="K1181">
        <v>106325149</v>
      </c>
      <c r="L1181" s="2">
        <v>44075</v>
      </c>
      <c r="M1181">
        <v>19</v>
      </c>
      <c r="N1181">
        <v>1</v>
      </c>
      <c r="O1181">
        <v>0</v>
      </c>
      <c r="P1181">
        <v>1</v>
      </c>
      <c r="Q1181" t="s">
        <v>45</v>
      </c>
    </row>
    <row r="1182" spans="1:17" x14ac:dyDescent="0.55000000000000004">
      <c r="A1182">
        <v>0</v>
      </c>
      <c r="B1182" t="s">
        <v>1</v>
      </c>
      <c r="C1182">
        <v>8.9999999999999993E-3</v>
      </c>
      <c r="D1182" t="s">
        <v>18</v>
      </c>
      <c r="E1182" t="s">
        <v>356</v>
      </c>
      <c r="F1182" t="s">
        <v>144</v>
      </c>
      <c r="G1182" t="s">
        <v>1</v>
      </c>
      <c r="H1182">
        <v>22.376000000000001</v>
      </c>
      <c r="I1182" t="s">
        <v>461</v>
      </c>
      <c r="K1182">
        <v>106680474</v>
      </c>
      <c r="L1182" s="2">
        <v>44420</v>
      </c>
      <c r="M1182">
        <v>19</v>
      </c>
      <c r="N1182">
        <v>1</v>
      </c>
      <c r="O1182">
        <v>0</v>
      </c>
      <c r="P1182">
        <v>5</v>
      </c>
      <c r="Q1182" t="s">
        <v>21</v>
      </c>
    </row>
    <row r="1183" spans="1:17" x14ac:dyDescent="0.55000000000000004">
      <c r="A1183">
        <v>0</v>
      </c>
      <c r="B1183" t="s">
        <v>1</v>
      </c>
      <c r="C1183">
        <v>0</v>
      </c>
      <c r="E1183" t="s">
        <v>356</v>
      </c>
      <c r="F1183" t="s">
        <v>144</v>
      </c>
      <c r="G1183" t="s">
        <v>1</v>
      </c>
      <c r="H1183">
        <v>22.385000000000002</v>
      </c>
      <c r="I1183" t="s">
        <v>461</v>
      </c>
      <c r="K1183">
        <v>105776135</v>
      </c>
      <c r="L1183" s="2">
        <v>43511</v>
      </c>
      <c r="M1183">
        <v>22</v>
      </c>
      <c r="N1183">
        <v>1</v>
      </c>
      <c r="O1183">
        <v>8</v>
      </c>
      <c r="P1183">
        <v>1</v>
      </c>
      <c r="Q1183" t="s">
        <v>21</v>
      </c>
    </row>
    <row r="1184" spans="1:17" x14ac:dyDescent="0.55000000000000004">
      <c r="A1184">
        <v>0</v>
      </c>
      <c r="B1184" t="s">
        <v>1</v>
      </c>
      <c r="C1184">
        <v>0</v>
      </c>
      <c r="E1184" t="s">
        <v>356</v>
      </c>
      <c r="F1184" t="s">
        <v>357</v>
      </c>
      <c r="G1184" t="s">
        <v>1</v>
      </c>
      <c r="H1184">
        <v>22.385000000000002</v>
      </c>
      <c r="I1184" t="s">
        <v>461</v>
      </c>
      <c r="K1184">
        <v>105135746</v>
      </c>
      <c r="L1184" s="2">
        <v>42902</v>
      </c>
      <c r="M1184">
        <v>21</v>
      </c>
      <c r="N1184">
        <v>1</v>
      </c>
      <c r="O1184">
        <v>9</v>
      </c>
      <c r="P1184">
        <v>5</v>
      </c>
      <c r="Q1184" t="s">
        <v>21</v>
      </c>
    </row>
    <row r="1185" spans="1:17" x14ac:dyDescent="0.55000000000000004">
      <c r="A1185">
        <v>0</v>
      </c>
      <c r="B1185" t="s">
        <v>1</v>
      </c>
      <c r="C1185">
        <v>2.4E-2</v>
      </c>
      <c r="D1185" t="s">
        <v>68</v>
      </c>
      <c r="E1185" t="s">
        <v>356</v>
      </c>
      <c r="F1185" t="s">
        <v>159</v>
      </c>
      <c r="G1185" t="s">
        <v>1</v>
      </c>
      <c r="H1185">
        <v>22.408999999999999</v>
      </c>
      <c r="I1185" t="s">
        <v>461</v>
      </c>
      <c r="K1185">
        <v>106563935</v>
      </c>
      <c r="L1185" s="2">
        <v>44319</v>
      </c>
      <c r="M1185">
        <v>19</v>
      </c>
      <c r="N1185">
        <v>2</v>
      </c>
      <c r="O1185">
        <v>0</v>
      </c>
      <c r="P1185">
        <v>1</v>
      </c>
      <c r="Q1185" t="s">
        <v>21</v>
      </c>
    </row>
    <row r="1186" spans="1:17" x14ac:dyDescent="0.55000000000000004">
      <c r="A1186">
        <v>0</v>
      </c>
      <c r="B1186" t="s">
        <v>1</v>
      </c>
      <c r="C1186">
        <v>0.1</v>
      </c>
      <c r="D1186" t="s">
        <v>68</v>
      </c>
      <c r="E1186" t="s">
        <v>356</v>
      </c>
      <c r="F1186" t="s">
        <v>357</v>
      </c>
      <c r="G1186" t="s">
        <v>1</v>
      </c>
      <c r="H1186">
        <v>22.484999999999999</v>
      </c>
      <c r="I1186" t="s">
        <v>461</v>
      </c>
      <c r="K1186">
        <v>106127598</v>
      </c>
      <c r="L1186" s="2">
        <v>43846</v>
      </c>
      <c r="M1186">
        <v>17</v>
      </c>
      <c r="N1186">
        <v>1</v>
      </c>
      <c r="O1186">
        <v>0</v>
      </c>
      <c r="P1186">
        <v>5</v>
      </c>
      <c r="Q1186" t="s">
        <v>21</v>
      </c>
    </row>
    <row r="1187" spans="1:17" x14ac:dyDescent="0.55000000000000004">
      <c r="A1187">
        <v>430</v>
      </c>
      <c r="B1187" t="s">
        <v>1</v>
      </c>
      <c r="C1187">
        <v>0.2</v>
      </c>
      <c r="D1187" t="s">
        <v>68</v>
      </c>
      <c r="E1187" t="s">
        <v>356</v>
      </c>
      <c r="F1187" t="s">
        <v>159</v>
      </c>
      <c r="G1187" t="s">
        <v>1</v>
      </c>
      <c r="H1187">
        <v>22.585000000000001</v>
      </c>
      <c r="I1187" t="s">
        <v>461</v>
      </c>
      <c r="K1187">
        <v>105055624</v>
      </c>
      <c r="L1187" s="2">
        <v>42822</v>
      </c>
      <c r="M1187">
        <v>25</v>
      </c>
      <c r="N1187">
        <v>1</v>
      </c>
      <c r="O1187">
        <v>0</v>
      </c>
      <c r="P1187">
        <v>1</v>
      </c>
      <c r="Q1187" t="s">
        <v>21</v>
      </c>
    </row>
    <row r="1188" spans="1:17" x14ac:dyDescent="0.55000000000000004">
      <c r="A1188">
        <v>430</v>
      </c>
      <c r="B1188" t="s">
        <v>1</v>
      </c>
      <c r="C1188">
        <v>0.2</v>
      </c>
      <c r="D1188" t="s">
        <v>68</v>
      </c>
      <c r="E1188" t="s">
        <v>356</v>
      </c>
      <c r="F1188" t="s">
        <v>159</v>
      </c>
      <c r="G1188" t="s">
        <v>1</v>
      </c>
      <c r="H1188">
        <v>22.585000000000001</v>
      </c>
      <c r="I1188" t="s">
        <v>461</v>
      </c>
      <c r="K1188">
        <v>106469644</v>
      </c>
      <c r="L1188" s="2">
        <v>44216</v>
      </c>
      <c r="M1188">
        <v>19</v>
      </c>
      <c r="N1188">
        <v>1</v>
      </c>
      <c r="O1188">
        <v>0</v>
      </c>
      <c r="P1188">
        <v>1</v>
      </c>
      <c r="Q1188" t="s">
        <v>167</v>
      </c>
    </row>
    <row r="1189" spans="1:17" x14ac:dyDescent="0.55000000000000004">
      <c r="A1189">
        <v>0</v>
      </c>
      <c r="B1189" t="s">
        <v>1</v>
      </c>
      <c r="C1189">
        <v>1</v>
      </c>
      <c r="D1189" t="s">
        <v>18</v>
      </c>
      <c r="E1189" t="s">
        <v>358</v>
      </c>
      <c r="F1189" t="s">
        <v>359</v>
      </c>
      <c r="G1189" t="s">
        <v>1</v>
      </c>
      <c r="H1189">
        <v>22.847999999999999</v>
      </c>
      <c r="I1189" t="s">
        <v>461</v>
      </c>
      <c r="K1189">
        <v>105085541</v>
      </c>
      <c r="L1189" s="2">
        <v>42860</v>
      </c>
      <c r="M1189">
        <v>19</v>
      </c>
      <c r="N1189">
        <v>2</v>
      </c>
      <c r="O1189">
        <v>0</v>
      </c>
      <c r="P1189">
        <v>5</v>
      </c>
      <c r="Q1189" t="s">
        <v>21</v>
      </c>
    </row>
    <row r="1190" spans="1:17" x14ac:dyDescent="0.55000000000000004">
      <c r="A1190">
        <v>430</v>
      </c>
      <c r="B1190" t="s">
        <v>1</v>
      </c>
      <c r="C1190">
        <v>0.5</v>
      </c>
      <c r="D1190" t="s">
        <v>68</v>
      </c>
      <c r="E1190" t="s">
        <v>356</v>
      </c>
      <c r="F1190" t="s">
        <v>357</v>
      </c>
      <c r="G1190" t="s">
        <v>1</v>
      </c>
      <c r="H1190">
        <v>22.885000000000002</v>
      </c>
      <c r="I1190" t="s">
        <v>461</v>
      </c>
      <c r="K1190">
        <v>105410823</v>
      </c>
      <c r="L1190" s="2">
        <v>43171</v>
      </c>
      <c r="M1190">
        <v>17</v>
      </c>
      <c r="N1190">
        <v>1</v>
      </c>
      <c r="O1190">
        <v>0</v>
      </c>
      <c r="P1190">
        <v>5</v>
      </c>
      <c r="Q1190" t="s">
        <v>21</v>
      </c>
    </row>
    <row r="1191" spans="1:17" x14ac:dyDescent="0.55000000000000004">
      <c r="A1191">
        <v>430</v>
      </c>
      <c r="B1191" t="s">
        <v>1</v>
      </c>
      <c r="C1191">
        <v>0.3</v>
      </c>
      <c r="D1191" t="s">
        <v>18</v>
      </c>
      <c r="E1191" t="s">
        <v>159</v>
      </c>
      <c r="F1191" t="s">
        <v>356</v>
      </c>
      <c r="G1191" t="s">
        <v>1</v>
      </c>
      <c r="H1191">
        <v>22.928999999999998</v>
      </c>
      <c r="I1191" t="s">
        <v>461</v>
      </c>
      <c r="K1191">
        <v>105977986</v>
      </c>
      <c r="L1191" s="2">
        <v>43705</v>
      </c>
      <c r="M1191">
        <v>22</v>
      </c>
      <c r="N1191">
        <v>1</v>
      </c>
      <c r="O1191">
        <v>0</v>
      </c>
      <c r="P1191">
        <v>1</v>
      </c>
      <c r="Q1191" t="s">
        <v>21</v>
      </c>
    </row>
    <row r="1192" spans="1:17" x14ac:dyDescent="0.55000000000000004">
      <c r="A1192">
        <v>430</v>
      </c>
      <c r="B1192" t="s">
        <v>1</v>
      </c>
      <c r="C1192">
        <v>0.1</v>
      </c>
      <c r="D1192" t="s">
        <v>18</v>
      </c>
      <c r="E1192" t="s">
        <v>159</v>
      </c>
      <c r="F1192" t="s">
        <v>356</v>
      </c>
      <c r="G1192" t="s">
        <v>1</v>
      </c>
      <c r="H1192">
        <v>23.129000000000001</v>
      </c>
      <c r="I1192" t="s">
        <v>461</v>
      </c>
      <c r="K1192">
        <v>106394746</v>
      </c>
      <c r="L1192" s="2">
        <v>44140</v>
      </c>
      <c r="M1192">
        <v>21</v>
      </c>
      <c r="N1192">
        <v>1</v>
      </c>
      <c r="O1192">
        <v>0</v>
      </c>
      <c r="P1192">
        <v>1</v>
      </c>
      <c r="Q1192" t="s">
        <v>21</v>
      </c>
    </row>
    <row r="1193" spans="1:17" x14ac:dyDescent="0.55000000000000004">
      <c r="A1193">
        <v>430</v>
      </c>
      <c r="B1193" t="s">
        <v>1</v>
      </c>
      <c r="C1193">
        <v>0.1</v>
      </c>
      <c r="D1193" t="s">
        <v>18</v>
      </c>
      <c r="E1193" t="s">
        <v>159</v>
      </c>
      <c r="F1193" t="s">
        <v>357</v>
      </c>
      <c r="G1193" t="s">
        <v>1</v>
      </c>
      <c r="H1193">
        <v>23.129000000000001</v>
      </c>
      <c r="I1193" t="s">
        <v>461</v>
      </c>
      <c r="K1193">
        <v>105766046</v>
      </c>
      <c r="L1193" s="2">
        <v>43500</v>
      </c>
      <c r="M1193">
        <v>21</v>
      </c>
      <c r="N1193">
        <v>1</v>
      </c>
      <c r="O1193">
        <v>0</v>
      </c>
      <c r="P1193">
        <v>5</v>
      </c>
      <c r="Q1193" t="s">
        <v>21</v>
      </c>
    </row>
    <row r="1194" spans="1:17" x14ac:dyDescent="0.55000000000000004">
      <c r="A1194">
        <v>430</v>
      </c>
      <c r="B1194" t="s">
        <v>1</v>
      </c>
      <c r="C1194">
        <v>5.7000000000000002E-2</v>
      </c>
      <c r="D1194" t="s">
        <v>18</v>
      </c>
      <c r="E1194" t="s">
        <v>159</v>
      </c>
      <c r="F1194" t="s">
        <v>144</v>
      </c>
      <c r="G1194" t="s">
        <v>1</v>
      </c>
      <c r="H1194">
        <v>23.172000000000001</v>
      </c>
      <c r="I1194" t="s">
        <v>461</v>
      </c>
      <c r="K1194">
        <v>105741498</v>
      </c>
      <c r="L1194" s="2">
        <v>43478</v>
      </c>
      <c r="M1194">
        <v>19</v>
      </c>
      <c r="N1194">
        <v>2</v>
      </c>
      <c r="O1194">
        <v>4</v>
      </c>
      <c r="P1194">
        <v>4</v>
      </c>
      <c r="Q1194" t="s">
        <v>21</v>
      </c>
    </row>
    <row r="1195" spans="1:17" x14ac:dyDescent="0.55000000000000004">
      <c r="A1195">
        <v>430</v>
      </c>
      <c r="B1195" t="s">
        <v>1</v>
      </c>
      <c r="C1195">
        <v>3.9E-2</v>
      </c>
      <c r="D1195" t="s">
        <v>18</v>
      </c>
      <c r="E1195" t="s">
        <v>159</v>
      </c>
      <c r="F1195" t="s">
        <v>360</v>
      </c>
      <c r="G1195" t="s">
        <v>1</v>
      </c>
      <c r="H1195">
        <v>23.19</v>
      </c>
      <c r="I1195" t="s">
        <v>461</v>
      </c>
      <c r="K1195">
        <v>105156244</v>
      </c>
      <c r="L1195" s="2">
        <v>42917</v>
      </c>
      <c r="M1195">
        <v>14</v>
      </c>
      <c r="N1195">
        <v>2</v>
      </c>
      <c r="O1195">
        <v>4</v>
      </c>
      <c r="P1195">
        <v>5</v>
      </c>
      <c r="Q1195" t="s">
        <v>190</v>
      </c>
    </row>
    <row r="1196" spans="1:17" x14ac:dyDescent="0.55000000000000004">
      <c r="A1196">
        <v>430</v>
      </c>
      <c r="B1196" t="s">
        <v>1</v>
      </c>
      <c r="C1196">
        <v>0.01</v>
      </c>
      <c r="D1196" t="s">
        <v>18</v>
      </c>
      <c r="E1196" t="s">
        <v>159</v>
      </c>
      <c r="F1196" t="s">
        <v>357</v>
      </c>
      <c r="G1196" t="s">
        <v>1</v>
      </c>
      <c r="H1196">
        <v>23.219000000000001</v>
      </c>
      <c r="I1196" t="s">
        <v>461</v>
      </c>
      <c r="K1196">
        <v>105337181</v>
      </c>
      <c r="L1196" s="2">
        <v>43097</v>
      </c>
      <c r="M1196">
        <v>17</v>
      </c>
      <c r="N1196">
        <v>1</v>
      </c>
      <c r="O1196">
        <v>0</v>
      </c>
      <c r="P1196">
        <v>5</v>
      </c>
      <c r="Q1196" t="s">
        <v>21</v>
      </c>
    </row>
    <row r="1197" spans="1:17" x14ac:dyDescent="0.55000000000000004">
      <c r="A1197">
        <v>430</v>
      </c>
      <c r="B1197" t="s">
        <v>1</v>
      </c>
      <c r="C1197">
        <v>0</v>
      </c>
      <c r="E1197" t="s">
        <v>159</v>
      </c>
      <c r="F1197" t="s">
        <v>158</v>
      </c>
      <c r="G1197" t="s">
        <v>1</v>
      </c>
      <c r="H1197">
        <v>23.228999999999999</v>
      </c>
      <c r="I1197" t="s">
        <v>461</v>
      </c>
      <c r="K1197">
        <v>105998451</v>
      </c>
      <c r="L1197" s="2">
        <v>43724</v>
      </c>
      <c r="M1197">
        <v>30</v>
      </c>
      <c r="N1197">
        <v>1</v>
      </c>
      <c r="O1197">
        <v>7</v>
      </c>
      <c r="P1197">
        <v>1</v>
      </c>
      <c r="Q1197" t="s">
        <v>21</v>
      </c>
    </row>
    <row r="1198" spans="1:17" x14ac:dyDescent="0.55000000000000004">
      <c r="A1198">
        <v>430</v>
      </c>
      <c r="B1198" t="s">
        <v>1</v>
      </c>
      <c r="C1198">
        <v>0</v>
      </c>
      <c r="E1198" t="s">
        <v>159</v>
      </c>
      <c r="F1198" t="s">
        <v>361</v>
      </c>
      <c r="G1198" t="s">
        <v>1</v>
      </c>
      <c r="H1198">
        <v>23.228999999999999</v>
      </c>
      <c r="I1198" t="s">
        <v>461</v>
      </c>
      <c r="K1198">
        <v>106447015</v>
      </c>
      <c r="L1198" s="2">
        <v>44190</v>
      </c>
      <c r="M1198">
        <v>30</v>
      </c>
      <c r="N1198">
        <v>1</v>
      </c>
      <c r="O1198">
        <v>7</v>
      </c>
      <c r="P1198">
        <v>1</v>
      </c>
      <c r="Q1198" t="s">
        <v>21</v>
      </c>
    </row>
    <row r="1199" spans="1:17" x14ac:dyDescent="0.55000000000000004">
      <c r="A1199">
        <v>430</v>
      </c>
      <c r="B1199" t="s">
        <v>1</v>
      </c>
      <c r="C1199">
        <v>4.0000000000000001E-3</v>
      </c>
      <c r="D1199" t="s">
        <v>68</v>
      </c>
      <c r="E1199" t="s">
        <v>159</v>
      </c>
      <c r="F1199" t="s">
        <v>158</v>
      </c>
      <c r="G1199" t="s">
        <v>1</v>
      </c>
      <c r="H1199">
        <v>23.233000000000001</v>
      </c>
      <c r="I1199" t="s">
        <v>461</v>
      </c>
      <c r="K1199">
        <v>106320681</v>
      </c>
      <c r="L1199" s="2">
        <v>44068</v>
      </c>
      <c r="M1199">
        <v>23</v>
      </c>
      <c r="N1199">
        <v>1</v>
      </c>
      <c r="O1199">
        <v>7</v>
      </c>
      <c r="P1199">
        <v>1</v>
      </c>
      <c r="Q1199" t="s">
        <v>15</v>
      </c>
    </row>
    <row r="1200" spans="1:17" x14ac:dyDescent="0.55000000000000004">
      <c r="A1200">
        <v>430</v>
      </c>
      <c r="B1200" t="s">
        <v>1</v>
      </c>
      <c r="C1200">
        <v>4.2999999999999997E-2</v>
      </c>
      <c r="D1200" t="s">
        <v>68</v>
      </c>
      <c r="E1200" t="s">
        <v>159</v>
      </c>
      <c r="F1200" t="s">
        <v>362</v>
      </c>
      <c r="G1200" t="s">
        <v>1</v>
      </c>
      <c r="H1200">
        <v>23.271999999999998</v>
      </c>
      <c r="I1200" t="s">
        <v>461</v>
      </c>
      <c r="K1200">
        <v>105145320</v>
      </c>
      <c r="L1200" s="2">
        <v>42912</v>
      </c>
      <c r="M1200">
        <v>13</v>
      </c>
      <c r="N1200">
        <v>1</v>
      </c>
      <c r="O1200">
        <v>4</v>
      </c>
      <c r="P1200">
        <v>1</v>
      </c>
      <c r="Q1200" t="s">
        <v>45</v>
      </c>
    </row>
    <row r="1201" spans="1:17" x14ac:dyDescent="0.55000000000000004">
      <c r="A1201">
        <v>430</v>
      </c>
      <c r="B1201" t="s">
        <v>1</v>
      </c>
      <c r="C1201">
        <v>0.1</v>
      </c>
      <c r="D1201" t="s">
        <v>68</v>
      </c>
      <c r="E1201" t="s">
        <v>159</v>
      </c>
      <c r="F1201" t="s">
        <v>158</v>
      </c>
      <c r="G1201" t="s">
        <v>1</v>
      </c>
      <c r="H1201">
        <v>23.329000000000001</v>
      </c>
      <c r="I1201" t="s">
        <v>461</v>
      </c>
      <c r="K1201">
        <v>106355432</v>
      </c>
      <c r="L1201" s="2">
        <v>44102</v>
      </c>
      <c r="M1201">
        <v>26</v>
      </c>
      <c r="N1201">
        <v>1</v>
      </c>
      <c r="O1201">
        <v>4</v>
      </c>
      <c r="P1201">
        <v>1</v>
      </c>
      <c r="Q1201" t="s">
        <v>21</v>
      </c>
    </row>
    <row r="1202" spans="1:17" x14ac:dyDescent="0.55000000000000004">
      <c r="A1202">
        <v>430</v>
      </c>
      <c r="B1202" t="s">
        <v>1</v>
      </c>
      <c r="C1202">
        <v>0</v>
      </c>
      <c r="E1202" t="s">
        <v>362</v>
      </c>
      <c r="F1202" t="s">
        <v>158</v>
      </c>
      <c r="G1202" t="s">
        <v>1</v>
      </c>
      <c r="H1202">
        <v>23.364999999999998</v>
      </c>
      <c r="I1202" t="s">
        <v>461</v>
      </c>
      <c r="K1202">
        <v>106368625</v>
      </c>
      <c r="L1202" s="2">
        <v>44117</v>
      </c>
      <c r="M1202">
        <v>25</v>
      </c>
      <c r="N1202">
        <v>1</v>
      </c>
      <c r="O1202">
        <v>8</v>
      </c>
      <c r="P1202">
        <v>1</v>
      </c>
      <c r="Q1202" t="s">
        <v>21</v>
      </c>
    </row>
    <row r="1203" spans="1:17" x14ac:dyDescent="0.55000000000000004">
      <c r="A1203">
        <v>430</v>
      </c>
      <c r="B1203" t="s">
        <v>1</v>
      </c>
      <c r="C1203">
        <v>0.02</v>
      </c>
      <c r="D1203" t="s">
        <v>68</v>
      </c>
      <c r="E1203" t="s">
        <v>158</v>
      </c>
      <c r="F1203" t="s">
        <v>358</v>
      </c>
      <c r="G1203" t="s">
        <v>1</v>
      </c>
      <c r="H1203">
        <v>23.527000000000001</v>
      </c>
      <c r="I1203" t="s">
        <v>461</v>
      </c>
      <c r="K1203">
        <v>105256256</v>
      </c>
      <c r="L1203" s="2">
        <v>43025</v>
      </c>
      <c r="M1203">
        <v>19</v>
      </c>
      <c r="N1203">
        <v>1</v>
      </c>
      <c r="O1203">
        <v>0</v>
      </c>
      <c r="P1203">
        <v>1</v>
      </c>
      <c r="Q1203" t="s">
        <v>21</v>
      </c>
    </row>
    <row r="1204" spans="1:17" x14ac:dyDescent="0.55000000000000004">
      <c r="A1204">
        <v>430</v>
      </c>
      <c r="B1204" t="s">
        <v>1</v>
      </c>
      <c r="C1204">
        <v>0.1</v>
      </c>
      <c r="D1204" t="s">
        <v>68</v>
      </c>
      <c r="E1204" t="s">
        <v>158</v>
      </c>
      <c r="F1204" t="s">
        <v>358</v>
      </c>
      <c r="G1204" t="s">
        <v>1</v>
      </c>
      <c r="H1204">
        <v>23.606999999999999</v>
      </c>
      <c r="I1204" t="s">
        <v>461</v>
      </c>
      <c r="K1204">
        <v>105442881</v>
      </c>
      <c r="L1204" s="2">
        <v>43202</v>
      </c>
      <c r="M1204">
        <v>25</v>
      </c>
      <c r="N1204">
        <v>1</v>
      </c>
      <c r="O1204">
        <v>0</v>
      </c>
      <c r="P1204">
        <v>1</v>
      </c>
      <c r="Q1204" t="s">
        <v>45</v>
      </c>
    </row>
    <row r="1205" spans="1:17" x14ac:dyDescent="0.55000000000000004">
      <c r="A1205">
        <v>0</v>
      </c>
      <c r="B1205" t="s">
        <v>1</v>
      </c>
      <c r="C1205">
        <v>0.1</v>
      </c>
      <c r="D1205" t="s">
        <v>68</v>
      </c>
      <c r="E1205" t="s">
        <v>158</v>
      </c>
      <c r="F1205" t="s">
        <v>363</v>
      </c>
      <c r="G1205" t="s">
        <v>1</v>
      </c>
      <c r="H1205">
        <v>23.606999999999999</v>
      </c>
      <c r="I1205" t="s">
        <v>461</v>
      </c>
      <c r="K1205">
        <v>105726228</v>
      </c>
      <c r="L1205" s="2">
        <v>43461</v>
      </c>
      <c r="M1205">
        <v>19</v>
      </c>
      <c r="N1205">
        <v>2</v>
      </c>
      <c r="O1205">
        <v>0</v>
      </c>
      <c r="P1205">
        <v>5</v>
      </c>
      <c r="Q1205" t="s">
        <v>21</v>
      </c>
    </row>
    <row r="1206" spans="1:17" x14ac:dyDescent="0.55000000000000004">
      <c r="A1206">
        <v>430</v>
      </c>
      <c r="B1206" t="s">
        <v>1</v>
      </c>
      <c r="C1206">
        <v>0</v>
      </c>
      <c r="E1206" t="s">
        <v>364</v>
      </c>
      <c r="F1206" t="s">
        <v>158</v>
      </c>
      <c r="G1206" t="s">
        <v>1</v>
      </c>
      <c r="H1206">
        <v>23.661000000000001</v>
      </c>
      <c r="I1206" t="s">
        <v>461</v>
      </c>
      <c r="K1206">
        <v>106030272</v>
      </c>
      <c r="L1206" s="2">
        <v>43757</v>
      </c>
      <c r="M1206">
        <v>30</v>
      </c>
      <c r="N1206">
        <v>1</v>
      </c>
      <c r="O1206">
        <v>8</v>
      </c>
      <c r="P1206">
        <v>1</v>
      </c>
      <c r="Q1206" t="s">
        <v>21</v>
      </c>
    </row>
    <row r="1207" spans="1:17" x14ac:dyDescent="0.55000000000000004">
      <c r="A1207">
        <v>0</v>
      </c>
      <c r="B1207" t="s">
        <v>1</v>
      </c>
      <c r="C1207">
        <v>0.3</v>
      </c>
      <c r="D1207" t="s">
        <v>68</v>
      </c>
      <c r="E1207" t="s">
        <v>158</v>
      </c>
      <c r="F1207" t="s">
        <v>364</v>
      </c>
      <c r="G1207" t="s">
        <v>1</v>
      </c>
      <c r="H1207">
        <v>23.806999999999999</v>
      </c>
      <c r="I1207" t="s">
        <v>461</v>
      </c>
      <c r="K1207">
        <v>106449889</v>
      </c>
      <c r="L1207" s="2">
        <v>44186</v>
      </c>
      <c r="M1207">
        <v>23</v>
      </c>
      <c r="N1207">
        <v>1</v>
      </c>
      <c r="O1207">
        <v>0</v>
      </c>
      <c r="P1207">
        <v>1</v>
      </c>
      <c r="Q1207" t="s">
        <v>21</v>
      </c>
    </row>
    <row r="1208" spans="1:17" x14ac:dyDescent="0.55000000000000004">
      <c r="A1208">
        <v>0</v>
      </c>
      <c r="B1208" t="s">
        <v>1</v>
      </c>
      <c r="C1208">
        <v>0.3</v>
      </c>
      <c r="D1208" t="s">
        <v>68</v>
      </c>
      <c r="E1208" t="s">
        <v>158</v>
      </c>
      <c r="F1208" t="s">
        <v>359</v>
      </c>
      <c r="G1208" t="s">
        <v>1</v>
      </c>
      <c r="H1208">
        <v>23.806999999999999</v>
      </c>
      <c r="I1208" t="s">
        <v>461</v>
      </c>
      <c r="K1208">
        <v>105994353</v>
      </c>
      <c r="L1208" s="2">
        <v>43725</v>
      </c>
      <c r="M1208">
        <v>19</v>
      </c>
      <c r="N1208">
        <v>2</v>
      </c>
      <c r="O1208">
        <v>0</v>
      </c>
      <c r="P1208">
        <v>1</v>
      </c>
      <c r="Q1208" t="s">
        <v>21</v>
      </c>
    </row>
    <row r="1209" spans="1:17" x14ac:dyDescent="0.55000000000000004">
      <c r="A1209">
        <v>430</v>
      </c>
      <c r="B1209" t="s">
        <v>1</v>
      </c>
      <c r="C1209">
        <v>0</v>
      </c>
      <c r="E1209" t="s">
        <v>358</v>
      </c>
      <c r="F1209" t="s">
        <v>359</v>
      </c>
      <c r="G1209" t="s">
        <v>1</v>
      </c>
      <c r="H1209">
        <v>23.847999999999999</v>
      </c>
      <c r="I1209" t="s">
        <v>461</v>
      </c>
      <c r="K1209">
        <v>106098332</v>
      </c>
      <c r="L1209" s="2">
        <v>43815</v>
      </c>
      <c r="M1209">
        <v>17</v>
      </c>
      <c r="N1209">
        <v>1</v>
      </c>
      <c r="O1209">
        <v>8</v>
      </c>
      <c r="P1209">
        <v>5</v>
      </c>
      <c r="Q1209" t="s">
        <v>21</v>
      </c>
    </row>
    <row r="1210" spans="1:17" x14ac:dyDescent="0.55000000000000004">
      <c r="A1210">
        <v>0</v>
      </c>
      <c r="B1210" t="s">
        <v>1</v>
      </c>
      <c r="C1210">
        <v>6.0000000000000001E-3</v>
      </c>
      <c r="D1210" t="s">
        <v>68</v>
      </c>
      <c r="E1210" t="s">
        <v>358</v>
      </c>
      <c r="F1210" t="s">
        <v>365</v>
      </c>
      <c r="G1210" t="s">
        <v>1</v>
      </c>
      <c r="H1210">
        <v>23.853999999999999</v>
      </c>
      <c r="I1210" t="s">
        <v>461</v>
      </c>
      <c r="K1210">
        <v>104880615</v>
      </c>
      <c r="L1210" s="2">
        <v>42656</v>
      </c>
      <c r="M1210">
        <v>17</v>
      </c>
      <c r="N1210">
        <v>1</v>
      </c>
      <c r="O1210">
        <v>0</v>
      </c>
      <c r="P1210">
        <v>5</v>
      </c>
      <c r="Q1210" t="s">
        <v>21</v>
      </c>
    </row>
    <row r="1211" spans="1:17" x14ac:dyDescent="0.55000000000000004">
      <c r="A1211">
        <v>430</v>
      </c>
      <c r="B1211" t="s">
        <v>1</v>
      </c>
      <c r="C1211">
        <v>1.9E-2</v>
      </c>
      <c r="D1211" t="s">
        <v>68</v>
      </c>
      <c r="E1211" t="s">
        <v>358</v>
      </c>
      <c r="F1211" t="s">
        <v>366</v>
      </c>
      <c r="G1211" t="s">
        <v>1</v>
      </c>
      <c r="H1211">
        <v>23.867000000000001</v>
      </c>
      <c r="I1211" t="s">
        <v>461</v>
      </c>
      <c r="K1211">
        <v>105713184</v>
      </c>
      <c r="L1211" s="2">
        <v>43450</v>
      </c>
      <c r="M1211">
        <v>17</v>
      </c>
      <c r="N1211">
        <v>1</v>
      </c>
      <c r="O1211">
        <v>0</v>
      </c>
      <c r="P1211">
        <v>5</v>
      </c>
      <c r="Q1211" t="s">
        <v>21</v>
      </c>
    </row>
    <row r="1212" spans="1:17" x14ac:dyDescent="0.55000000000000004">
      <c r="A1212">
        <v>0</v>
      </c>
      <c r="B1212" t="s">
        <v>1</v>
      </c>
      <c r="C1212">
        <v>0.1</v>
      </c>
      <c r="D1212" t="s">
        <v>68</v>
      </c>
      <c r="E1212" t="s">
        <v>358</v>
      </c>
      <c r="F1212" t="s">
        <v>359</v>
      </c>
      <c r="G1212" t="s">
        <v>1</v>
      </c>
      <c r="H1212">
        <v>23.948</v>
      </c>
      <c r="I1212" t="s">
        <v>461</v>
      </c>
      <c r="K1212">
        <v>106120906</v>
      </c>
      <c r="L1212" s="2">
        <v>43838</v>
      </c>
      <c r="M1212">
        <v>17</v>
      </c>
      <c r="N1212">
        <v>1</v>
      </c>
      <c r="O1212">
        <v>0</v>
      </c>
      <c r="P1212">
        <v>5</v>
      </c>
      <c r="Q1212" t="s">
        <v>21</v>
      </c>
    </row>
    <row r="1213" spans="1:17" x14ac:dyDescent="0.55000000000000004">
      <c r="A1213">
        <v>0</v>
      </c>
      <c r="B1213" t="s">
        <v>1</v>
      </c>
      <c r="C1213">
        <v>0.4</v>
      </c>
      <c r="D1213" t="s">
        <v>18</v>
      </c>
      <c r="E1213" t="s">
        <v>366</v>
      </c>
      <c r="F1213" t="s">
        <v>358</v>
      </c>
      <c r="G1213" t="s">
        <v>1</v>
      </c>
      <c r="H1213">
        <v>24.004999999999999</v>
      </c>
      <c r="I1213" t="s">
        <v>461</v>
      </c>
      <c r="K1213">
        <v>106448398</v>
      </c>
      <c r="L1213" s="2">
        <v>44192</v>
      </c>
      <c r="M1213">
        <v>17</v>
      </c>
      <c r="N1213">
        <v>1</v>
      </c>
      <c r="O1213">
        <v>0</v>
      </c>
      <c r="P1213">
        <v>6</v>
      </c>
      <c r="Q1213" t="s">
        <v>21</v>
      </c>
    </row>
    <row r="1214" spans="1:17" x14ac:dyDescent="0.55000000000000004">
      <c r="A1214">
        <v>0</v>
      </c>
      <c r="B1214" t="s">
        <v>1</v>
      </c>
      <c r="C1214">
        <v>0.3</v>
      </c>
      <c r="D1214" t="s">
        <v>68</v>
      </c>
      <c r="E1214" t="s">
        <v>358</v>
      </c>
      <c r="F1214" t="s">
        <v>158</v>
      </c>
      <c r="G1214" t="s">
        <v>1</v>
      </c>
      <c r="H1214">
        <v>24.148</v>
      </c>
      <c r="I1214" t="s">
        <v>461</v>
      </c>
      <c r="K1214">
        <v>104874150</v>
      </c>
      <c r="L1214" s="2">
        <v>42650</v>
      </c>
      <c r="M1214">
        <v>17</v>
      </c>
      <c r="N1214">
        <v>1</v>
      </c>
      <c r="O1214">
        <v>0</v>
      </c>
      <c r="P1214">
        <v>1</v>
      </c>
      <c r="Q1214" t="s">
        <v>21</v>
      </c>
    </row>
    <row r="1215" spans="1:17" x14ac:dyDescent="0.55000000000000004">
      <c r="A1215">
        <v>0</v>
      </c>
      <c r="B1215" t="s">
        <v>1</v>
      </c>
      <c r="C1215">
        <v>0.7</v>
      </c>
      <c r="D1215" t="s">
        <v>68</v>
      </c>
      <c r="E1215" t="s">
        <v>158</v>
      </c>
      <c r="F1215" t="s">
        <v>366</v>
      </c>
      <c r="G1215" t="s">
        <v>1</v>
      </c>
      <c r="H1215">
        <v>24.207000000000001</v>
      </c>
      <c r="I1215" t="s">
        <v>461</v>
      </c>
      <c r="K1215">
        <v>106330855</v>
      </c>
      <c r="L1215" s="2">
        <v>44080</v>
      </c>
      <c r="M1215">
        <v>19</v>
      </c>
      <c r="N1215">
        <v>1</v>
      </c>
      <c r="O1215">
        <v>0</v>
      </c>
      <c r="P1215">
        <v>5</v>
      </c>
      <c r="Q1215" t="s">
        <v>21</v>
      </c>
    </row>
    <row r="1216" spans="1:17" x14ac:dyDescent="0.55000000000000004">
      <c r="A1216">
        <v>0</v>
      </c>
      <c r="B1216" t="s">
        <v>1</v>
      </c>
      <c r="C1216">
        <v>1.2</v>
      </c>
      <c r="D1216" t="s">
        <v>68</v>
      </c>
      <c r="E1216" t="s">
        <v>361</v>
      </c>
      <c r="F1216" t="s">
        <v>340</v>
      </c>
      <c r="G1216" t="s">
        <v>1</v>
      </c>
      <c r="H1216">
        <v>24.428999999999998</v>
      </c>
      <c r="I1216" t="s">
        <v>461</v>
      </c>
      <c r="K1216">
        <v>106071812</v>
      </c>
      <c r="L1216" s="2">
        <v>43792</v>
      </c>
      <c r="M1216">
        <v>17</v>
      </c>
      <c r="N1216">
        <v>1</v>
      </c>
      <c r="O1216">
        <v>0</v>
      </c>
      <c r="P1216">
        <v>5</v>
      </c>
      <c r="Q1216" t="s">
        <v>21</v>
      </c>
    </row>
    <row r="1217" spans="1:17" x14ac:dyDescent="0.55000000000000004">
      <c r="A1217">
        <v>0</v>
      </c>
      <c r="B1217" t="s">
        <v>1</v>
      </c>
      <c r="C1217">
        <v>1.5</v>
      </c>
      <c r="D1217" t="s">
        <v>18</v>
      </c>
      <c r="E1217" t="s">
        <v>367</v>
      </c>
      <c r="F1217" t="s">
        <v>359</v>
      </c>
      <c r="G1217" t="s">
        <v>1</v>
      </c>
      <c r="H1217">
        <v>24.521000000000001</v>
      </c>
      <c r="I1217" t="s">
        <v>461</v>
      </c>
      <c r="K1217">
        <v>105998320</v>
      </c>
      <c r="L1217" s="2">
        <v>43727</v>
      </c>
      <c r="M1217">
        <v>17</v>
      </c>
      <c r="N1217">
        <v>1</v>
      </c>
      <c r="O1217">
        <v>0</v>
      </c>
      <c r="P1217">
        <v>5</v>
      </c>
      <c r="Q1217" t="s">
        <v>21</v>
      </c>
    </row>
    <row r="1218" spans="1:17" x14ac:dyDescent="0.55000000000000004">
      <c r="A1218">
        <v>0</v>
      </c>
      <c r="B1218" t="s">
        <v>1</v>
      </c>
      <c r="C1218">
        <v>0.25</v>
      </c>
      <c r="D1218" t="s">
        <v>68</v>
      </c>
      <c r="E1218" t="s">
        <v>366</v>
      </c>
      <c r="F1218" t="s">
        <v>359</v>
      </c>
      <c r="G1218" t="s">
        <v>1</v>
      </c>
      <c r="H1218">
        <v>24.655000000000001</v>
      </c>
      <c r="I1218" t="s">
        <v>461</v>
      </c>
      <c r="K1218">
        <v>105646973</v>
      </c>
      <c r="L1218" s="2">
        <v>43395</v>
      </c>
      <c r="M1218">
        <v>17</v>
      </c>
      <c r="N1218">
        <v>1</v>
      </c>
      <c r="O1218">
        <v>0</v>
      </c>
      <c r="P1218">
        <v>5</v>
      </c>
      <c r="Q1218" t="s">
        <v>21</v>
      </c>
    </row>
    <row r="1219" spans="1:17" x14ac:dyDescent="0.55000000000000004">
      <c r="A1219">
        <v>0</v>
      </c>
      <c r="B1219" t="s">
        <v>1</v>
      </c>
      <c r="C1219">
        <v>0.5</v>
      </c>
      <c r="D1219" t="s">
        <v>18</v>
      </c>
      <c r="E1219" t="s">
        <v>359</v>
      </c>
      <c r="F1219" t="s">
        <v>367</v>
      </c>
      <c r="G1219" t="s">
        <v>1</v>
      </c>
      <c r="H1219">
        <v>24.748999999999999</v>
      </c>
      <c r="I1219" t="s">
        <v>461</v>
      </c>
      <c r="K1219">
        <v>104934903</v>
      </c>
      <c r="L1219" s="2">
        <v>42705</v>
      </c>
      <c r="M1219">
        <v>17</v>
      </c>
      <c r="N1219">
        <v>2</v>
      </c>
      <c r="O1219">
        <v>0</v>
      </c>
      <c r="P1219">
        <v>5</v>
      </c>
      <c r="Q1219" t="s">
        <v>21</v>
      </c>
    </row>
    <row r="1220" spans="1:17" x14ac:dyDescent="0.55000000000000004">
      <c r="A1220">
        <v>0</v>
      </c>
      <c r="B1220" t="s">
        <v>1</v>
      </c>
      <c r="C1220">
        <v>0.1</v>
      </c>
      <c r="D1220" t="s">
        <v>18</v>
      </c>
      <c r="E1220" t="s">
        <v>359</v>
      </c>
      <c r="F1220" t="s">
        <v>159</v>
      </c>
      <c r="G1220" t="s">
        <v>1</v>
      </c>
      <c r="H1220">
        <v>25.149000000000001</v>
      </c>
      <c r="I1220" t="s">
        <v>461</v>
      </c>
      <c r="K1220">
        <v>104874176</v>
      </c>
      <c r="L1220" s="2">
        <v>42652</v>
      </c>
      <c r="M1220">
        <v>19</v>
      </c>
      <c r="N1220">
        <v>1</v>
      </c>
      <c r="O1220">
        <v>0</v>
      </c>
      <c r="P1220">
        <v>5</v>
      </c>
      <c r="Q1220" t="s">
        <v>21</v>
      </c>
    </row>
    <row r="1221" spans="1:17" x14ac:dyDescent="0.55000000000000004">
      <c r="A1221">
        <v>0</v>
      </c>
      <c r="B1221" t="s">
        <v>1</v>
      </c>
      <c r="C1221">
        <v>0.1</v>
      </c>
      <c r="D1221" t="s">
        <v>18</v>
      </c>
      <c r="E1221" t="s">
        <v>359</v>
      </c>
      <c r="F1221" t="s">
        <v>368</v>
      </c>
      <c r="G1221" t="s">
        <v>1</v>
      </c>
      <c r="H1221">
        <v>25.149000000000001</v>
      </c>
      <c r="I1221" t="s">
        <v>461</v>
      </c>
      <c r="K1221">
        <v>106242068</v>
      </c>
      <c r="L1221" s="2">
        <v>43985</v>
      </c>
      <c r="M1221">
        <v>17</v>
      </c>
      <c r="N1221">
        <v>1</v>
      </c>
      <c r="O1221">
        <v>0</v>
      </c>
      <c r="P1221">
        <v>5</v>
      </c>
      <c r="Q1221" t="s">
        <v>21</v>
      </c>
    </row>
    <row r="1222" spans="1:17" x14ac:dyDescent="0.55000000000000004">
      <c r="A1222">
        <v>0</v>
      </c>
      <c r="B1222" t="s">
        <v>1</v>
      </c>
      <c r="C1222">
        <v>0</v>
      </c>
      <c r="E1222" t="s">
        <v>359</v>
      </c>
      <c r="F1222" t="s">
        <v>369</v>
      </c>
      <c r="G1222" t="s">
        <v>1</v>
      </c>
      <c r="H1222">
        <v>25.248999999999999</v>
      </c>
      <c r="I1222" t="s">
        <v>461</v>
      </c>
      <c r="K1222">
        <v>105691209</v>
      </c>
      <c r="L1222" s="2">
        <v>43431</v>
      </c>
      <c r="M1222">
        <v>17</v>
      </c>
      <c r="N1222">
        <v>1</v>
      </c>
      <c r="O1222">
        <v>0</v>
      </c>
      <c r="P1222">
        <v>5</v>
      </c>
      <c r="Q1222" t="s">
        <v>21</v>
      </c>
    </row>
    <row r="1223" spans="1:17" x14ac:dyDescent="0.55000000000000004">
      <c r="A1223">
        <v>0</v>
      </c>
      <c r="B1223" t="s">
        <v>1</v>
      </c>
      <c r="C1223">
        <v>1.5</v>
      </c>
      <c r="D1223" t="s">
        <v>68</v>
      </c>
      <c r="E1223" t="s">
        <v>358</v>
      </c>
      <c r="F1223" t="s">
        <v>367</v>
      </c>
      <c r="G1223" t="s">
        <v>1</v>
      </c>
      <c r="H1223">
        <v>25.347999999999999</v>
      </c>
      <c r="I1223" t="s">
        <v>461</v>
      </c>
      <c r="K1223">
        <v>105012546</v>
      </c>
      <c r="L1223" s="2">
        <v>42781</v>
      </c>
      <c r="M1223">
        <v>19</v>
      </c>
      <c r="N1223">
        <v>1</v>
      </c>
      <c r="O1223">
        <v>0</v>
      </c>
      <c r="P1223">
        <v>5</v>
      </c>
      <c r="Q1223" t="s">
        <v>21</v>
      </c>
    </row>
    <row r="1224" spans="1:17" x14ac:dyDescent="0.55000000000000004">
      <c r="A1224">
        <v>0</v>
      </c>
      <c r="B1224" t="s">
        <v>1</v>
      </c>
      <c r="C1224">
        <v>0.3</v>
      </c>
      <c r="D1224" t="s">
        <v>68</v>
      </c>
      <c r="E1224" t="s">
        <v>359</v>
      </c>
      <c r="F1224" t="s">
        <v>367</v>
      </c>
      <c r="G1224" t="s">
        <v>1</v>
      </c>
      <c r="H1224">
        <v>25.548999999999999</v>
      </c>
      <c r="I1224" t="s">
        <v>461</v>
      </c>
      <c r="K1224">
        <v>105971637</v>
      </c>
      <c r="L1224" s="2">
        <v>43697</v>
      </c>
      <c r="M1224">
        <v>19</v>
      </c>
      <c r="N1224">
        <v>1</v>
      </c>
      <c r="O1224">
        <v>0</v>
      </c>
      <c r="P1224">
        <v>1</v>
      </c>
      <c r="Q1224" t="s">
        <v>45</v>
      </c>
    </row>
    <row r="1225" spans="1:17" x14ac:dyDescent="0.55000000000000004">
      <c r="A1225">
        <v>0</v>
      </c>
      <c r="B1225" t="s">
        <v>1</v>
      </c>
      <c r="C1225">
        <v>0.2</v>
      </c>
      <c r="D1225" t="s">
        <v>18</v>
      </c>
      <c r="E1225" t="s">
        <v>367</v>
      </c>
      <c r="F1225" t="s">
        <v>366</v>
      </c>
      <c r="G1225" t="s">
        <v>1</v>
      </c>
      <c r="H1225">
        <v>25.821000000000002</v>
      </c>
      <c r="I1225" t="s">
        <v>461</v>
      </c>
      <c r="K1225">
        <v>106186159</v>
      </c>
      <c r="L1225" s="2">
        <v>43903</v>
      </c>
      <c r="M1225">
        <v>5</v>
      </c>
      <c r="N1225">
        <v>1</v>
      </c>
      <c r="O1225">
        <v>0</v>
      </c>
      <c r="P1225">
        <v>1</v>
      </c>
      <c r="Q1225" t="s">
        <v>21</v>
      </c>
    </row>
    <row r="1226" spans="1:17" x14ac:dyDescent="0.55000000000000004">
      <c r="A1226">
        <v>0</v>
      </c>
      <c r="B1226" t="s">
        <v>1</v>
      </c>
      <c r="C1226">
        <v>0.1</v>
      </c>
      <c r="D1226" t="s">
        <v>18</v>
      </c>
      <c r="E1226" t="s">
        <v>367</v>
      </c>
      <c r="F1226" t="s">
        <v>359</v>
      </c>
      <c r="G1226" t="s">
        <v>1</v>
      </c>
      <c r="H1226">
        <v>25.920999999999999</v>
      </c>
      <c r="I1226" t="s">
        <v>461</v>
      </c>
      <c r="K1226">
        <v>104894090</v>
      </c>
      <c r="L1226" s="2">
        <v>42670</v>
      </c>
      <c r="M1226">
        <v>17</v>
      </c>
      <c r="N1226">
        <v>1</v>
      </c>
      <c r="O1226">
        <v>0</v>
      </c>
      <c r="P1226">
        <v>1</v>
      </c>
      <c r="Q1226" t="s">
        <v>21</v>
      </c>
    </row>
    <row r="1227" spans="1:17" x14ac:dyDescent="0.55000000000000004">
      <c r="A1227">
        <v>0</v>
      </c>
      <c r="B1227" t="s">
        <v>1</v>
      </c>
      <c r="C1227">
        <v>0.06</v>
      </c>
      <c r="D1227" t="s">
        <v>18</v>
      </c>
      <c r="E1227" t="s">
        <v>370</v>
      </c>
      <c r="F1227" t="s">
        <v>359</v>
      </c>
      <c r="G1227" t="s">
        <v>1</v>
      </c>
      <c r="H1227">
        <v>26</v>
      </c>
      <c r="I1227" t="s">
        <v>461</v>
      </c>
      <c r="K1227">
        <v>106519111</v>
      </c>
      <c r="L1227" s="2">
        <v>44270</v>
      </c>
      <c r="M1227">
        <v>17</v>
      </c>
      <c r="N1227">
        <v>1</v>
      </c>
      <c r="O1227">
        <v>0</v>
      </c>
      <c r="P1227">
        <v>5</v>
      </c>
      <c r="Q1227" t="s">
        <v>21</v>
      </c>
    </row>
    <row r="1228" spans="1:17" x14ac:dyDescent="0.55000000000000004">
      <c r="A1228">
        <v>0</v>
      </c>
      <c r="B1228" t="s">
        <v>1</v>
      </c>
      <c r="C1228">
        <v>0.1</v>
      </c>
      <c r="D1228" t="s">
        <v>68</v>
      </c>
      <c r="E1228" t="s">
        <v>370</v>
      </c>
      <c r="F1228" t="s">
        <v>365</v>
      </c>
      <c r="G1228" t="s">
        <v>1</v>
      </c>
      <c r="H1228">
        <v>26.16</v>
      </c>
      <c r="I1228" t="s">
        <v>461</v>
      </c>
      <c r="K1228">
        <v>106129243</v>
      </c>
      <c r="L1228" s="2">
        <v>43847</v>
      </c>
      <c r="M1228">
        <v>17</v>
      </c>
      <c r="N1228">
        <v>1</v>
      </c>
      <c r="O1228">
        <v>0</v>
      </c>
      <c r="P1228">
        <v>5</v>
      </c>
      <c r="Q1228" t="s">
        <v>21</v>
      </c>
    </row>
    <row r="1229" spans="1:17" x14ac:dyDescent="0.55000000000000004">
      <c r="A1229">
        <v>0</v>
      </c>
      <c r="B1229" t="s">
        <v>1</v>
      </c>
      <c r="C1229">
        <v>0.75</v>
      </c>
      <c r="D1229" t="s">
        <v>18</v>
      </c>
      <c r="E1229" t="s">
        <v>365</v>
      </c>
      <c r="F1229" t="s">
        <v>369</v>
      </c>
      <c r="G1229" t="s">
        <v>1</v>
      </c>
      <c r="H1229">
        <v>26.286000000000001</v>
      </c>
      <c r="I1229" t="s">
        <v>461</v>
      </c>
      <c r="K1229">
        <v>104961927</v>
      </c>
      <c r="L1229" s="2">
        <v>42733</v>
      </c>
      <c r="M1229">
        <v>19</v>
      </c>
      <c r="N1229">
        <v>2</v>
      </c>
      <c r="O1229">
        <v>0</v>
      </c>
      <c r="P1229">
        <v>5</v>
      </c>
      <c r="Q1229" t="s">
        <v>21</v>
      </c>
    </row>
    <row r="1230" spans="1:17" x14ac:dyDescent="0.55000000000000004">
      <c r="A1230">
        <v>0</v>
      </c>
      <c r="B1230" t="s">
        <v>1</v>
      </c>
      <c r="C1230">
        <v>0.4</v>
      </c>
      <c r="D1230" t="s">
        <v>68</v>
      </c>
      <c r="E1230" t="s">
        <v>370</v>
      </c>
      <c r="F1230" t="s">
        <v>365</v>
      </c>
      <c r="G1230" t="s">
        <v>1</v>
      </c>
      <c r="H1230">
        <v>26.46</v>
      </c>
      <c r="I1230" t="s">
        <v>461</v>
      </c>
      <c r="K1230">
        <v>105378194</v>
      </c>
      <c r="L1230" s="2">
        <v>43138</v>
      </c>
      <c r="M1230">
        <v>17</v>
      </c>
      <c r="N1230">
        <v>2</v>
      </c>
      <c r="O1230">
        <v>0</v>
      </c>
      <c r="P1230">
        <v>1</v>
      </c>
      <c r="Q1230" t="s">
        <v>21</v>
      </c>
    </row>
    <row r="1231" spans="1:17" x14ac:dyDescent="0.55000000000000004">
      <c r="A1231">
        <v>0</v>
      </c>
      <c r="B1231" t="s">
        <v>1</v>
      </c>
      <c r="C1231">
        <v>0.4</v>
      </c>
      <c r="D1231" t="s">
        <v>18</v>
      </c>
      <c r="E1231" t="s">
        <v>365</v>
      </c>
      <c r="F1231" t="s">
        <v>367</v>
      </c>
      <c r="G1231" t="s">
        <v>1</v>
      </c>
      <c r="H1231">
        <v>26.635999999999999</v>
      </c>
      <c r="I1231" t="s">
        <v>461</v>
      </c>
      <c r="K1231">
        <v>106507919</v>
      </c>
      <c r="L1231" s="2">
        <v>44260</v>
      </c>
      <c r="M1231">
        <v>17</v>
      </c>
      <c r="N1231">
        <v>1</v>
      </c>
      <c r="O1231">
        <v>0</v>
      </c>
      <c r="P1231">
        <v>5</v>
      </c>
      <c r="Q1231" t="s">
        <v>21</v>
      </c>
    </row>
    <row r="1232" spans="1:17" x14ac:dyDescent="0.55000000000000004">
      <c r="A1232">
        <v>0</v>
      </c>
      <c r="B1232" t="s">
        <v>1</v>
      </c>
      <c r="C1232">
        <v>0.3</v>
      </c>
      <c r="D1232" t="s">
        <v>18</v>
      </c>
      <c r="E1232" t="s">
        <v>365</v>
      </c>
      <c r="F1232" t="s">
        <v>369</v>
      </c>
      <c r="G1232" t="s">
        <v>1</v>
      </c>
      <c r="H1232">
        <v>26.736000000000001</v>
      </c>
      <c r="I1232" t="s">
        <v>461</v>
      </c>
      <c r="K1232">
        <v>106163719</v>
      </c>
      <c r="L1232" s="2">
        <v>43882</v>
      </c>
      <c r="M1232">
        <v>17</v>
      </c>
      <c r="N1232">
        <v>1</v>
      </c>
      <c r="O1232">
        <v>0</v>
      </c>
      <c r="P1232">
        <v>5</v>
      </c>
      <c r="Q1232" t="s">
        <v>21</v>
      </c>
    </row>
    <row r="1233" spans="1:17" x14ac:dyDescent="0.55000000000000004">
      <c r="A1233">
        <v>0</v>
      </c>
      <c r="B1233" t="s">
        <v>1</v>
      </c>
      <c r="C1233">
        <v>0.25</v>
      </c>
      <c r="D1233" t="s">
        <v>18</v>
      </c>
      <c r="E1233" t="s">
        <v>365</v>
      </c>
      <c r="F1233" t="s">
        <v>369</v>
      </c>
      <c r="G1233" t="s">
        <v>1</v>
      </c>
      <c r="H1233">
        <v>26.786000000000001</v>
      </c>
      <c r="I1233" t="s">
        <v>461</v>
      </c>
      <c r="K1233">
        <v>105296900</v>
      </c>
      <c r="L1233" s="2">
        <v>43060</v>
      </c>
      <c r="M1233">
        <v>17</v>
      </c>
      <c r="N1233">
        <v>2</v>
      </c>
      <c r="O1233">
        <v>0</v>
      </c>
      <c r="P1233">
        <v>1</v>
      </c>
      <c r="Q1233" t="s">
        <v>21</v>
      </c>
    </row>
    <row r="1234" spans="1:17" x14ac:dyDescent="0.55000000000000004">
      <c r="A1234">
        <v>0</v>
      </c>
      <c r="B1234" t="s">
        <v>1</v>
      </c>
      <c r="C1234">
        <v>0.2</v>
      </c>
      <c r="D1234" t="s">
        <v>18</v>
      </c>
      <c r="E1234" t="s">
        <v>365</v>
      </c>
      <c r="F1234" t="s">
        <v>369</v>
      </c>
      <c r="G1234" t="s">
        <v>1</v>
      </c>
      <c r="H1234">
        <v>26.835999999999999</v>
      </c>
      <c r="I1234" t="s">
        <v>461</v>
      </c>
      <c r="K1234">
        <v>105325003</v>
      </c>
      <c r="L1234" s="2">
        <v>43084</v>
      </c>
      <c r="M1234">
        <v>17</v>
      </c>
      <c r="N1234">
        <v>1</v>
      </c>
      <c r="O1234">
        <v>0</v>
      </c>
      <c r="P1234">
        <v>1</v>
      </c>
      <c r="Q1234" t="s">
        <v>21</v>
      </c>
    </row>
    <row r="1235" spans="1:17" x14ac:dyDescent="0.55000000000000004">
      <c r="A1235">
        <v>0</v>
      </c>
      <c r="B1235" t="s">
        <v>1</v>
      </c>
      <c r="C1235">
        <v>0.1</v>
      </c>
      <c r="D1235" t="s">
        <v>18</v>
      </c>
      <c r="E1235" t="s">
        <v>365</v>
      </c>
      <c r="F1235" t="s">
        <v>369</v>
      </c>
      <c r="G1235" t="s">
        <v>1</v>
      </c>
      <c r="H1235">
        <v>26.936</v>
      </c>
      <c r="I1235" t="s">
        <v>461</v>
      </c>
      <c r="K1235">
        <v>106669307</v>
      </c>
      <c r="L1235" s="2">
        <v>44432</v>
      </c>
      <c r="M1235">
        <v>17</v>
      </c>
      <c r="N1235">
        <v>1</v>
      </c>
      <c r="O1235">
        <v>0</v>
      </c>
      <c r="P1235">
        <v>5</v>
      </c>
      <c r="Q1235" t="s">
        <v>21</v>
      </c>
    </row>
    <row r="1236" spans="1:17" x14ac:dyDescent="0.55000000000000004">
      <c r="A1236">
        <v>0</v>
      </c>
      <c r="B1236" t="s">
        <v>1</v>
      </c>
      <c r="C1236">
        <v>0.1</v>
      </c>
      <c r="D1236" t="s">
        <v>18</v>
      </c>
      <c r="E1236" t="s">
        <v>365</v>
      </c>
      <c r="F1236" t="s">
        <v>369</v>
      </c>
      <c r="G1236" t="s">
        <v>1</v>
      </c>
      <c r="H1236">
        <v>26.936</v>
      </c>
      <c r="I1236" t="s">
        <v>461</v>
      </c>
      <c r="K1236">
        <v>106127069</v>
      </c>
      <c r="L1236" s="2">
        <v>43844</v>
      </c>
      <c r="M1236">
        <v>17</v>
      </c>
      <c r="N1236">
        <v>2</v>
      </c>
      <c r="O1236">
        <v>0</v>
      </c>
      <c r="P1236">
        <v>1</v>
      </c>
      <c r="Q1236" t="s">
        <v>21</v>
      </c>
    </row>
    <row r="1237" spans="1:17" x14ac:dyDescent="0.55000000000000004">
      <c r="A1237">
        <v>0</v>
      </c>
      <c r="B1237" t="s">
        <v>1</v>
      </c>
      <c r="C1237">
        <v>1.9E-2</v>
      </c>
      <c r="D1237" t="s">
        <v>18</v>
      </c>
      <c r="E1237" t="s">
        <v>365</v>
      </c>
      <c r="F1237" t="s">
        <v>369</v>
      </c>
      <c r="G1237" t="s">
        <v>1</v>
      </c>
      <c r="H1237">
        <v>27.016999999999999</v>
      </c>
      <c r="I1237" t="s">
        <v>461</v>
      </c>
      <c r="K1237">
        <v>106471067</v>
      </c>
      <c r="L1237" s="2">
        <v>44218</v>
      </c>
      <c r="M1237">
        <v>17</v>
      </c>
      <c r="N1237">
        <v>1</v>
      </c>
      <c r="O1237">
        <v>0</v>
      </c>
      <c r="P1237">
        <v>5</v>
      </c>
      <c r="Q1237" t="s">
        <v>21</v>
      </c>
    </row>
    <row r="1238" spans="1:17" x14ac:dyDescent="0.55000000000000004">
      <c r="A1238">
        <v>0</v>
      </c>
      <c r="B1238" t="s">
        <v>1</v>
      </c>
      <c r="C1238">
        <v>2E-3</v>
      </c>
      <c r="D1238" t="s">
        <v>68</v>
      </c>
      <c r="E1238" t="s">
        <v>365</v>
      </c>
      <c r="F1238" t="s">
        <v>371</v>
      </c>
      <c r="G1238" t="s">
        <v>1</v>
      </c>
      <c r="H1238">
        <v>27.038</v>
      </c>
      <c r="I1238" t="s">
        <v>461</v>
      </c>
      <c r="K1238">
        <v>105700988</v>
      </c>
      <c r="L1238" s="2">
        <v>43439</v>
      </c>
      <c r="M1238">
        <v>17</v>
      </c>
      <c r="N1238">
        <v>1</v>
      </c>
      <c r="O1238">
        <v>0</v>
      </c>
      <c r="P1238">
        <v>5</v>
      </c>
      <c r="Q1238" t="s">
        <v>21</v>
      </c>
    </row>
    <row r="1239" spans="1:17" x14ac:dyDescent="0.55000000000000004">
      <c r="A1239">
        <v>0</v>
      </c>
      <c r="B1239" t="s">
        <v>1</v>
      </c>
      <c r="C1239">
        <v>1</v>
      </c>
      <c r="D1239" t="s">
        <v>68</v>
      </c>
      <c r="E1239" t="s">
        <v>370</v>
      </c>
      <c r="F1239" t="s">
        <v>371</v>
      </c>
      <c r="G1239" t="s">
        <v>1</v>
      </c>
      <c r="H1239">
        <v>27.06</v>
      </c>
      <c r="I1239" t="s">
        <v>461</v>
      </c>
      <c r="K1239">
        <v>105128752</v>
      </c>
      <c r="L1239" s="2">
        <v>42895</v>
      </c>
      <c r="M1239">
        <v>19</v>
      </c>
      <c r="N1239">
        <v>1</v>
      </c>
      <c r="O1239">
        <v>0</v>
      </c>
      <c r="P1239">
        <v>1</v>
      </c>
      <c r="Q1239" t="s">
        <v>21</v>
      </c>
    </row>
    <row r="1240" spans="1:17" x14ac:dyDescent="0.55000000000000004">
      <c r="A1240">
        <v>0</v>
      </c>
      <c r="B1240" t="s">
        <v>1</v>
      </c>
      <c r="C1240">
        <v>0.6</v>
      </c>
      <c r="D1240" t="s">
        <v>18</v>
      </c>
      <c r="E1240" t="s">
        <v>371</v>
      </c>
      <c r="F1240" t="s">
        <v>365</v>
      </c>
      <c r="G1240" t="s">
        <v>1</v>
      </c>
      <c r="H1240">
        <v>27.111000000000001</v>
      </c>
      <c r="I1240" t="s">
        <v>461</v>
      </c>
      <c r="K1240">
        <v>105694497</v>
      </c>
      <c r="L1240" s="2">
        <v>43433</v>
      </c>
      <c r="M1240">
        <v>17</v>
      </c>
      <c r="N1240">
        <v>1</v>
      </c>
      <c r="O1240">
        <v>0</v>
      </c>
      <c r="P1240">
        <v>1</v>
      </c>
      <c r="Q1240" t="s">
        <v>21</v>
      </c>
    </row>
    <row r="1241" spans="1:17" x14ac:dyDescent="0.55000000000000004">
      <c r="A1241">
        <v>0</v>
      </c>
      <c r="B1241" t="s">
        <v>1</v>
      </c>
      <c r="C1241">
        <v>0.6</v>
      </c>
      <c r="D1241" t="s">
        <v>18</v>
      </c>
      <c r="E1241" t="s">
        <v>371</v>
      </c>
      <c r="F1241" t="s">
        <v>365</v>
      </c>
      <c r="G1241" t="s">
        <v>1</v>
      </c>
      <c r="H1241">
        <v>27.111000000000001</v>
      </c>
      <c r="I1241" t="s">
        <v>461</v>
      </c>
      <c r="K1241">
        <v>105645444</v>
      </c>
      <c r="L1241" s="2">
        <v>43394</v>
      </c>
      <c r="M1241">
        <v>19</v>
      </c>
      <c r="N1241">
        <v>1</v>
      </c>
      <c r="O1241">
        <v>0</v>
      </c>
      <c r="P1241">
        <v>1</v>
      </c>
      <c r="Q1241" t="s">
        <v>15</v>
      </c>
    </row>
    <row r="1242" spans="1:17" x14ac:dyDescent="0.55000000000000004">
      <c r="A1242">
        <v>0</v>
      </c>
      <c r="B1242" t="s">
        <v>1</v>
      </c>
      <c r="C1242">
        <v>0.3</v>
      </c>
      <c r="D1242" t="s">
        <v>18</v>
      </c>
      <c r="E1242" t="s">
        <v>371</v>
      </c>
      <c r="F1242" t="s">
        <v>365</v>
      </c>
      <c r="G1242" t="s">
        <v>1</v>
      </c>
      <c r="H1242">
        <v>27.411000000000001</v>
      </c>
      <c r="I1242" t="s">
        <v>461</v>
      </c>
      <c r="K1242">
        <v>105450565</v>
      </c>
      <c r="L1242" s="2">
        <v>43198</v>
      </c>
      <c r="M1242">
        <v>19</v>
      </c>
      <c r="N1242">
        <v>1</v>
      </c>
      <c r="O1242">
        <v>0</v>
      </c>
      <c r="P1242">
        <v>1</v>
      </c>
      <c r="Q1242" t="s">
        <v>21</v>
      </c>
    </row>
    <row r="1243" spans="1:17" x14ac:dyDescent="0.55000000000000004">
      <c r="A1243">
        <v>0</v>
      </c>
      <c r="B1243" t="s">
        <v>1</v>
      </c>
      <c r="C1243">
        <v>0.4</v>
      </c>
      <c r="D1243" t="s">
        <v>68</v>
      </c>
      <c r="E1243" t="s">
        <v>365</v>
      </c>
      <c r="F1243" t="s">
        <v>371</v>
      </c>
      <c r="G1243" t="s">
        <v>1</v>
      </c>
      <c r="H1243">
        <v>27.436</v>
      </c>
      <c r="I1243" t="s">
        <v>461</v>
      </c>
      <c r="K1243">
        <v>106677130</v>
      </c>
      <c r="L1243" s="2">
        <v>44428</v>
      </c>
      <c r="M1243">
        <v>19</v>
      </c>
      <c r="N1243">
        <v>1</v>
      </c>
      <c r="O1243">
        <v>0</v>
      </c>
      <c r="P1243">
        <v>1</v>
      </c>
      <c r="Q1243" t="s">
        <v>15</v>
      </c>
    </row>
    <row r="1244" spans="1:17" x14ac:dyDescent="0.55000000000000004">
      <c r="A1244">
        <v>0</v>
      </c>
      <c r="B1244" t="s">
        <v>1</v>
      </c>
      <c r="C1244">
        <v>0.1</v>
      </c>
      <c r="D1244" t="s">
        <v>18</v>
      </c>
      <c r="E1244" t="s">
        <v>371</v>
      </c>
      <c r="F1244" t="s">
        <v>370</v>
      </c>
      <c r="G1244" t="s">
        <v>1</v>
      </c>
      <c r="H1244">
        <v>27.611000000000001</v>
      </c>
      <c r="I1244" t="s">
        <v>461</v>
      </c>
      <c r="K1244">
        <v>105818654</v>
      </c>
      <c r="L1244" s="2">
        <v>43554</v>
      </c>
      <c r="M1244">
        <v>17</v>
      </c>
      <c r="N1244">
        <v>1</v>
      </c>
      <c r="O1244">
        <v>0</v>
      </c>
      <c r="P1244">
        <v>1</v>
      </c>
      <c r="Q1244" t="s">
        <v>21</v>
      </c>
    </row>
    <row r="1245" spans="1:17" x14ac:dyDescent="0.55000000000000004">
      <c r="A1245">
        <v>0</v>
      </c>
      <c r="B1245" t="s">
        <v>1</v>
      </c>
      <c r="C1245">
        <v>0.1</v>
      </c>
      <c r="D1245" t="s">
        <v>68</v>
      </c>
      <c r="E1245" t="s">
        <v>371</v>
      </c>
      <c r="F1245" t="s">
        <v>372</v>
      </c>
      <c r="G1245" t="s">
        <v>1</v>
      </c>
      <c r="H1245">
        <v>27.811</v>
      </c>
      <c r="I1245" t="s">
        <v>461</v>
      </c>
      <c r="K1245">
        <v>106279615</v>
      </c>
      <c r="L1245" s="2">
        <v>44027</v>
      </c>
      <c r="M1245">
        <v>5</v>
      </c>
      <c r="N1245">
        <v>1</v>
      </c>
      <c r="O1245">
        <v>0</v>
      </c>
      <c r="P1245">
        <v>1</v>
      </c>
      <c r="Q1245" t="s">
        <v>21</v>
      </c>
    </row>
    <row r="1246" spans="1:17" x14ac:dyDescent="0.55000000000000004">
      <c r="A1246">
        <v>0</v>
      </c>
      <c r="B1246" t="s">
        <v>1</v>
      </c>
      <c r="C1246">
        <v>1.9</v>
      </c>
      <c r="D1246" t="s">
        <v>68</v>
      </c>
      <c r="E1246" t="s">
        <v>369</v>
      </c>
      <c r="F1246" t="s">
        <v>373</v>
      </c>
      <c r="G1246" t="s">
        <v>1</v>
      </c>
      <c r="H1246">
        <v>28.001000000000001</v>
      </c>
      <c r="I1246" t="s">
        <v>461</v>
      </c>
      <c r="K1246">
        <v>106199589</v>
      </c>
      <c r="L1246" s="2">
        <v>43928</v>
      </c>
      <c r="M1246">
        <v>19</v>
      </c>
      <c r="N1246">
        <v>1</v>
      </c>
      <c r="O1246">
        <v>0</v>
      </c>
      <c r="P1246">
        <v>1</v>
      </c>
    </row>
    <row r="1247" spans="1:17" x14ac:dyDescent="0.55000000000000004">
      <c r="A1247">
        <v>0</v>
      </c>
      <c r="B1247" t="s">
        <v>1</v>
      </c>
      <c r="C1247">
        <v>0.25</v>
      </c>
      <c r="D1247" t="s">
        <v>18</v>
      </c>
      <c r="E1247" t="s">
        <v>372</v>
      </c>
      <c r="F1247" t="s">
        <v>371</v>
      </c>
      <c r="G1247" t="s">
        <v>1</v>
      </c>
      <c r="H1247">
        <v>28.277999999999999</v>
      </c>
      <c r="I1247" t="s">
        <v>461</v>
      </c>
      <c r="K1247">
        <v>105276976</v>
      </c>
      <c r="L1247" s="2">
        <v>43043</v>
      </c>
      <c r="M1247">
        <v>17</v>
      </c>
      <c r="N1247">
        <v>1</v>
      </c>
      <c r="O1247">
        <v>0</v>
      </c>
      <c r="P1247">
        <v>5</v>
      </c>
      <c r="Q1247" t="s">
        <v>21</v>
      </c>
    </row>
    <row r="1248" spans="1:17" x14ac:dyDescent="0.55000000000000004">
      <c r="A1248">
        <v>0</v>
      </c>
      <c r="B1248" t="s">
        <v>1</v>
      </c>
      <c r="C1248">
        <v>0.2</v>
      </c>
      <c r="D1248" t="s">
        <v>18</v>
      </c>
      <c r="E1248" t="s">
        <v>372</v>
      </c>
      <c r="F1248" t="s">
        <v>371</v>
      </c>
      <c r="G1248" t="s">
        <v>1</v>
      </c>
      <c r="H1248">
        <v>28.327999999999999</v>
      </c>
      <c r="I1248" t="s">
        <v>461</v>
      </c>
      <c r="K1248">
        <v>105612156</v>
      </c>
      <c r="L1248" s="2">
        <v>43367</v>
      </c>
      <c r="M1248">
        <v>17</v>
      </c>
      <c r="N1248">
        <v>1</v>
      </c>
      <c r="O1248">
        <v>0</v>
      </c>
      <c r="P1248">
        <v>1</v>
      </c>
      <c r="Q1248" t="s">
        <v>21</v>
      </c>
    </row>
    <row r="1249" spans="1:17" x14ac:dyDescent="0.55000000000000004">
      <c r="A1249">
        <v>0</v>
      </c>
      <c r="B1249" t="s">
        <v>1</v>
      </c>
      <c r="C1249">
        <v>0.2</v>
      </c>
      <c r="D1249" t="s">
        <v>18</v>
      </c>
      <c r="E1249" t="s">
        <v>372</v>
      </c>
      <c r="F1249" t="s">
        <v>371</v>
      </c>
      <c r="G1249" t="s">
        <v>1</v>
      </c>
      <c r="H1249">
        <v>28.327999999999999</v>
      </c>
      <c r="I1249" t="s">
        <v>461</v>
      </c>
      <c r="K1249">
        <v>104978732</v>
      </c>
      <c r="L1249" s="2">
        <v>42750</v>
      </c>
      <c r="M1249">
        <v>17</v>
      </c>
      <c r="N1249">
        <v>1</v>
      </c>
      <c r="O1249">
        <v>0</v>
      </c>
      <c r="P1249">
        <v>5</v>
      </c>
      <c r="Q1249" t="s">
        <v>21</v>
      </c>
    </row>
    <row r="1250" spans="1:17" x14ac:dyDescent="0.55000000000000004">
      <c r="A1250">
        <v>0</v>
      </c>
      <c r="B1250" t="s">
        <v>1</v>
      </c>
      <c r="C1250">
        <v>0.1</v>
      </c>
      <c r="D1250" t="s">
        <v>68</v>
      </c>
      <c r="E1250" t="s">
        <v>372</v>
      </c>
      <c r="F1250" t="s">
        <v>373</v>
      </c>
      <c r="G1250" t="s">
        <v>1</v>
      </c>
      <c r="H1250">
        <v>28.628</v>
      </c>
      <c r="I1250" t="s">
        <v>461</v>
      </c>
      <c r="K1250">
        <v>105671966</v>
      </c>
      <c r="L1250" s="2">
        <v>43415</v>
      </c>
      <c r="M1250">
        <v>17</v>
      </c>
      <c r="N1250">
        <v>1</v>
      </c>
      <c r="O1250">
        <v>0</v>
      </c>
      <c r="P1250">
        <v>1</v>
      </c>
      <c r="Q1250" t="s">
        <v>21</v>
      </c>
    </row>
    <row r="1251" spans="1:17" x14ac:dyDescent="0.55000000000000004">
      <c r="A1251">
        <v>0</v>
      </c>
      <c r="B1251" t="s">
        <v>1</v>
      </c>
      <c r="C1251">
        <v>0.5</v>
      </c>
      <c r="D1251" t="s">
        <v>68</v>
      </c>
      <c r="E1251" t="s">
        <v>372</v>
      </c>
      <c r="F1251" t="s">
        <v>373</v>
      </c>
      <c r="G1251" t="s">
        <v>1</v>
      </c>
      <c r="H1251">
        <v>29.027999999999999</v>
      </c>
      <c r="I1251" t="s">
        <v>461</v>
      </c>
      <c r="K1251">
        <v>106088232</v>
      </c>
      <c r="L1251" s="2">
        <v>43806</v>
      </c>
      <c r="M1251">
        <v>17</v>
      </c>
      <c r="N1251">
        <v>1</v>
      </c>
      <c r="O1251">
        <v>0</v>
      </c>
      <c r="P1251">
        <v>5</v>
      </c>
      <c r="Q1251" t="s">
        <v>21</v>
      </c>
    </row>
    <row r="1252" spans="1:17" x14ac:dyDescent="0.55000000000000004">
      <c r="A1252">
        <v>224</v>
      </c>
      <c r="B1252" t="s">
        <v>1</v>
      </c>
      <c r="C1252">
        <v>4.0000000000000001E-3</v>
      </c>
      <c r="D1252" t="s">
        <v>102</v>
      </c>
      <c r="E1252" t="s">
        <v>374</v>
      </c>
      <c r="F1252" t="s">
        <v>301</v>
      </c>
      <c r="G1252" t="s">
        <v>1</v>
      </c>
      <c r="H1252">
        <v>999.99900000000002</v>
      </c>
      <c r="I1252" t="s">
        <v>461</v>
      </c>
      <c r="K1252">
        <v>105518626</v>
      </c>
      <c r="L1252" s="2">
        <v>43272</v>
      </c>
      <c r="M1252">
        <v>21</v>
      </c>
      <c r="N1252">
        <v>1</v>
      </c>
      <c r="O1252">
        <v>0</v>
      </c>
      <c r="P1252">
        <v>1</v>
      </c>
      <c r="Q1252" t="s">
        <v>21</v>
      </c>
    </row>
    <row r="1253" spans="1:17" x14ac:dyDescent="0.55000000000000004">
      <c r="A1253">
        <v>0</v>
      </c>
      <c r="B1253" t="s">
        <v>1</v>
      </c>
      <c r="C1253">
        <v>0</v>
      </c>
      <c r="E1253" t="s">
        <v>375</v>
      </c>
      <c r="F1253" t="s">
        <v>286</v>
      </c>
      <c r="G1253" t="s">
        <v>1</v>
      </c>
      <c r="H1253">
        <v>999.99900000000002</v>
      </c>
      <c r="I1253" t="s">
        <v>461</v>
      </c>
      <c r="K1253">
        <v>105507200</v>
      </c>
      <c r="L1253" s="2">
        <v>43259</v>
      </c>
      <c r="M1253">
        <v>24</v>
      </c>
      <c r="N1253">
        <v>1</v>
      </c>
      <c r="O1253">
        <v>8</v>
      </c>
      <c r="P1253">
        <v>1</v>
      </c>
      <c r="Q1253" t="s">
        <v>15</v>
      </c>
    </row>
    <row r="1254" spans="1:17" x14ac:dyDescent="0.55000000000000004">
      <c r="A1254">
        <v>224</v>
      </c>
      <c r="B1254" t="s">
        <v>1</v>
      </c>
      <c r="C1254">
        <v>5.7000000000000002E-2</v>
      </c>
      <c r="D1254" t="s">
        <v>68</v>
      </c>
      <c r="E1254" t="s">
        <v>376</v>
      </c>
      <c r="F1254" t="s">
        <v>377</v>
      </c>
      <c r="G1254" t="s">
        <v>1</v>
      </c>
      <c r="H1254">
        <v>999.99900000000002</v>
      </c>
      <c r="I1254" t="s">
        <v>461</v>
      </c>
      <c r="K1254">
        <v>106055204</v>
      </c>
      <c r="L1254" s="2">
        <v>43778</v>
      </c>
      <c r="M1254">
        <v>19</v>
      </c>
      <c r="N1254">
        <v>1</v>
      </c>
      <c r="O1254">
        <v>0</v>
      </c>
      <c r="P1254">
        <v>5</v>
      </c>
      <c r="Q1254" t="s">
        <v>21</v>
      </c>
    </row>
    <row r="1255" spans="1:17" x14ac:dyDescent="0.55000000000000004">
      <c r="A1255">
        <v>498</v>
      </c>
      <c r="B1255" t="s">
        <v>1</v>
      </c>
      <c r="C1255">
        <v>0</v>
      </c>
      <c r="E1255" t="s">
        <v>77</v>
      </c>
      <c r="F1255" t="s">
        <v>378</v>
      </c>
      <c r="G1255" t="s">
        <v>1</v>
      </c>
      <c r="H1255">
        <v>999.99900000000002</v>
      </c>
      <c r="I1255" t="s">
        <v>461</v>
      </c>
      <c r="K1255">
        <v>105138239</v>
      </c>
      <c r="L1255" s="2">
        <v>42891</v>
      </c>
      <c r="M1255">
        <v>30</v>
      </c>
      <c r="N1255">
        <v>2</v>
      </c>
      <c r="O1255">
        <v>7</v>
      </c>
      <c r="P1255">
        <v>1</v>
      </c>
      <c r="Q1255" t="s">
        <v>21</v>
      </c>
    </row>
    <row r="1256" spans="1:17" x14ac:dyDescent="0.55000000000000004">
      <c r="A1256">
        <v>0</v>
      </c>
      <c r="B1256" t="s">
        <v>1</v>
      </c>
      <c r="C1256">
        <v>0.1</v>
      </c>
      <c r="D1256" t="s">
        <v>68</v>
      </c>
      <c r="E1256" t="s">
        <v>172</v>
      </c>
      <c r="F1256" t="s">
        <v>340</v>
      </c>
      <c r="G1256" t="s">
        <v>1</v>
      </c>
      <c r="H1256">
        <v>999.99900000000002</v>
      </c>
      <c r="I1256" t="s">
        <v>461</v>
      </c>
      <c r="K1256">
        <v>105575234</v>
      </c>
      <c r="L1256" s="2">
        <v>43325</v>
      </c>
      <c r="M1256">
        <v>17</v>
      </c>
      <c r="N1256">
        <v>1</v>
      </c>
      <c r="O1256">
        <v>0</v>
      </c>
      <c r="P1256">
        <v>5</v>
      </c>
      <c r="Q1256" t="s">
        <v>21</v>
      </c>
    </row>
    <row r="1257" spans="1:17" x14ac:dyDescent="0.55000000000000004">
      <c r="A1257">
        <v>414</v>
      </c>
      <c r="B1257" t="s">
        <v>1</v>
      </c>
      <c r="C1257">
        <v>4.0000000000000001E-3</v>
      </c>
      <c r="D1257" t="s">
        <v>18</v>
      </c>
      <c r="E1257" t="s">
        <v>0</v>
      </c>
      <c r="F1257" t="s">
        <v>379</v>
      </c>
      <c r="G1257" t="s">
        <v>1</v>
      </c>
      <c r="H1257">
        <v>999.99900000000002</v>
      </c>
      <c r="I1257" t="s">
        <v>461</v>
      </c>
      <c r="K1257">
        <v>104999567</v>
      </c>
      <c r="L1257" s="2">
        <v>42771</v>
      </c>
      <c r="M1257">
        <v>21</v>
      </c>
      <c r="N1257">
        <v>1</v>
      </c>
      <c r="O1257">
        <v>8</v>
      </c>
      <c r="P1257">
        <v>1</v>
      </c>
      <c r="Q1257" t="s">
        <v>21</v>
      </c>
    </row>
    <row r="1258" spans="1:17" x14ac:dyDescent="0.55000000000000004">
      <c r="A1258">
        <v>414</v>
      </c>
      <c r="B1258" t="s">
        <v>1</v>
      </c>
      <c r="C1258">
        <v>0</v>
      </c>
      <c r="E1258" t="s">
        <v>0</v>
      </c>
      <c r="F1258" t="s">
        <v>3</v>
      </c>
      <c r="G1258" t="s">
        <v>1</v>
      </c>
      <c r="H1258">
        <v>999.99900000000002</v>
      </c>
      <c r="I1258" t="s">
        <v>461</v>
      </c>
      <c r="K1258">
        <v>105974900</v>
      </c>
      <c r="L1258" s="2">
        <v>43706</v>
      </c>
      <c r="M1258">
        <v>21</v>
      </c>
      <c r="N1258">
        <v>1</v>
      </c>
      <c r="O1258">
        <v>8</v>
      </c>
      <c r="P1258">
        <v>5</v>
      </c>
      <c r="Q1258" t="s">
        <v>21</v>
      </c>
    </row>
    <row r="1259" spans="1:17" x14ac:dyDescent="0.55000000000000004">
      <c r="A1259">
        <v>414</v>
      </c>
      <c r="B1259" t="s">
        <v>1</v>
      </c>
      <c r="C1259">
        <v>0</v>
      </c>
      <c r="E1259" t="s">
        <v>0</v>
      </c>
      <c r="G1259" t="s">
        <v>1</v>
      </c>
      <c r="H1259">
        <v>999.99900000000002</v>
      </c>
      <c r="I1259" t="s">
        <v>461</v>
      </c>
      <c r="K1259">
        <v>106146623</v>
      </c>
      <c r="L1259" s="2">
        <v>43865</v>
      </c>
      <c r="M1259">
        <v>21</v>
      </c>
      <c r="N1259">
        <v>1</v>
      </c>
      <c r="O1259">
        <v>8</v>
      </c>
      <c r="P1259">
        <v>1</v>
      </c>
      <c r="Q1259" t="s">
        <v>21</v>
      </c>
    </row>
    <row r="1260" spans="1:17" x14ac:dyDescent="0.55000000000000004">
      <c r="A1260">
        <v>430</v>
      </c>
      <c r="B1260" t="s">
        <v>1</v>
      </c>
      <c r="C1260">
        <v>0.1</v>
      </c>
      <c r="D1260" t="s">
        <v>68</v>
      </c>
      <c r="E1260" t="s">
        <v>380</v>
      </c>
      <c r="F1260" t="s">
        <v>158</v>
      </c>
      <c r="G1260" t="s">
        <v>1</v>
      </c>
      <c r="H1260">
        <v>999.99900000000002</v>
      </c>
      <c r="I1260" t="s">
        <v>461</v>
      </c>
      <c r="K1260">
        <v>105299582</v>
      </c>
      <c r="L1260" s="2">
        <v>43062</v>
      </c>
      <c r="M1260">
        <v>17</v>
      </c>
      <c r="N1260">
        <v>1</v>
      </c>
      <c r="O1260">
        <v>0</v>
      </c>
      <c r="P1260">
        <v>1</v>
      </c>
      <c r="Q1260" t="s">
        <v>21</v>
      </c>
    </row>
    <row r="1261" spans="1:17" x14ac:dyDescent="0.55000000000000004">
      <c r="A1261">
        <v>414</v>
      </c>
      <c r="B1261" t="s">
        <v>1</v>
      </c>
      <c r="C1261">
        <v>0</v>
      </c>
      <c r="E1261" t="s">
        <v>202</v>
      </c>
      <c r="F1261" t="s">
        <v>203</v>
      </c>
      <c r="G1261" t="s">
        <v>1</v>
      </c>
      <c r="H1261">
        <v>999.99900000000002</v>
      </c>
      <c r="I1261" t="s">
        <v>461</v>
      </c>
      <c r="K1261">
        <v>106180595</v>
      </c>
      <c r="L1261" s="2">
        <v>43899</v>
      </c>
      <c r="M1261">
        <v>21</v>
      </c>
      <c r="N1261">
        <v>1</v>
      </c>
      <c r="O1261">
        <v>8</v>
      </c>
      <c r="P1261">
        <v>1</v>
      </c>
      <c r="Q1261" t="s">
        <v>21</v>
      </c>
    </row>
    <row r="1262" spans="1:17" x14ac:dyDescent="0.55000000000000004">
      <c r="A1262">
        <v>0</v>
      </c>
      <c r="B1262" t="s">
        <v>1</v>
      </c>
      <c r="C1262">
        <v>0.2</v>
      </c>
      <c r="D1262" t="s">
        <v>27</v>
      </c>
      <c r="E1262" t="s">
        <v>352</v>
      </c>
      <c r="F1262" t="s">
        <v>51</v>
      </c>
      <c r="G1262" t="s">
        <v>1</v>
      </c>
      <c r="H1262">
        <v>999.99900000000002</v>
      </c>
      <c r="I1262" t="s">
        <v>461</v>
      </c>
      <c r="K1262">
        <v>106150688</v>
      </c>
      <c r="L1262" s="2">
        <v>43869</v>
      </c>
      <c r="M1262">
        <v>17</v>
      </c>
      <c r="N1262">
        <v>2</v>
      </c>
      <c r="O1262">
        <v>0</v>
      </c>
      <c r="P1262">
        <v>5</v>
      </c>
      <c r="Q1262" t="s">
        <v>21</v>
      </c>
    </row>
    <row r="1263" spans="1:17" x14ac:dyDescent="0.55000000000000004">
      <c r="A1263">
        <v>0</v>
      </c>
      <c r="B1263" t="s">
        <v>1</v>
      </c>
      <c r="C1263">
        <v>0.15</v>
      </c>
      <c r="D1263" t="s">
        <v>68</v>
      </c>
      <c r="E1263" t="s">
        <v>340</v>
      </c>
      <c r="F1263" t="s">
        <v>381</v>
      </c>
      <c r="G1263" t="s">
        <v>1</v>
      </c>
      <c r="H1263">
        <v>999.99900000000002</v>
      </c>
      <c r="I1263" t="s">
        <v>461</v>
      </c>
      <c r="K1263">
        <v>105299482</v>
      </c>
      <c r="L1263" s="2">
        <v>43061</v>
      </c>
      <c r="M1263">
        <v>29</v>
      </c>
      <c r="N1263">
        <v>1</v>
      </c>
      <c r="O1263">
        <v>0</v>
      </c>
      <c r="P1263">
        <v>5</v>
      </c>
      <c r="Q1263" t="s">
        <v>15</v>
      </c>
    </row>
    <row r="1264" spans="1:17" x14ac:dyDescent="0.55000000000000004">
      <c r="A1264">
        <v>0</v>
      </c>
      <c r="B1264" t="s">
        <v>1</v>
      </c>
      <c r="C1264">
        <v>0.5</v>
      </c>
      <c r="D1264" t="s">
        <v>30</v>
      </c>
      <c r="E1264" t="s">
        <v>340</v>
      </c>
      <c r="F1264" t="s">
        <v>51</v>
      </c>
      <c r="G1264" t="s">
        <v>1</v>
      </c>
      <c r="H1264">
        <v>999.99900000000002</v>
      </c>
      <c r="I1264" t="s">
        <v>461</v>
      </c>
      <c r="K1264">
        <v>106016319</v>
      </c>
      <c r="L1264" s="2">
        <v>43745</v>
      </c>
      <c r="M1264">
        <v>17</v>
      </c>
      <c r="N1264">
        <v>1</v>
      </c>
      <c r="O1264">
        <v>0</v>
      </c>
      <c r="P1264">
        <v>5</v>
      </c>
      <c r="Q1264" t="s">
        <v>21</v>
      </c>
    </row>
    <row r="1265" spans="1:17" x14ac:dyDescent="0.55000000000000004">
      <c r="A1265">
        <v>0</v>
      </c>
      <c r="B1265" t="s">
        <v>1</v>
      </c>
      <c r="C1265">
        <v>2.8000000000000001E-2</v>
      </c>
      <c r="D1265" t="s">
        <v>68</v>
      </c>
      <c r="E1265" t="s">
        <v>340</v>
      </c>
      <c r="F1265" t="s">
        <v>51</v>
      </c>
      <c r="G1265" t="s">
        <v>1</v>
      </c>
      <c r="H1265">
        <v>999.99900000000002</v>
      </c>
      <c r="I1265" t="s">
        <v>461</v>
      </c>
      <c r="K1265">
        <v>105299740</v>
      </c>
      <c r="L1265" s="2">
        <v>43062</v>
      </c>
      <c r="M1265">
        <v>17</v>
      </c>
      <c r="N1265">
        <v>1</v>
      </c>
      <c r="O1265">
        <v>0</v>
      </c>
      <c r="P1265">
        <v>5</v>
      </c>
      <c r="Q1265" t="s">
        <v>21</v>
      </c>
    </row>
    <row r="1266" spans="1:17" x14ac:dyDescent="0.55000000000000004">
      <c r="A1266">
        <v>0</v>
      </c>
      <c r="B1266" t="s">
        <v>1</v>
      </c>
      <c r="C1266">
        <v>0.1</v>
      </c>
      <c r="D1266" t="s">
        <v>68</v>
      </c>
      <c r="E1266" t="s">
        <v>340</v>
      </c>
      <c r="F1266" t="s">
        <v>51</v>
      </c>
      <c r="G1266" t="s">
        <v>1</v>
      </c>
      <c r="H1266">
        <v>999.99900000000002</v>
      </c>
      <c r="I1266" t="s">
        <v>461</v>
      </c>
      <c r="K1266">
        <v>104904483</v>
      </c>
      <c r="L1266" s="2">
        <v>42679</v>
      </c>
      <c r="M1266">
        <v>17</v>
      </c>
      <c r="N1266">
        <v>1</v>
      </c>
      <c r="O1266">
        <v>0</v>
      </c>
      <c r="P1266">
        <v>5</v>
      </c>
      <c r="Q1266" t="s">
        <v>21</v>
      </c>
    </row>
    <row r="1267" spans="1:17" x14ac:dyDescent="0.55000000000000004">
      <c r="A1267">
        <v>0</v>
      </c>
      <c r="B1267" t="s">
        <v>1</v>
      </c>
      <c r="C1267">
        <v>0.1</v>
      </c>
      <c r="D1267" t="s">
        <v>68</v>
      </c>
      <c r="E1267" t="s">
        <v>340</v>
      </c>
      <c r="F1267" t="s">
        <v>51</v>
      </c>
      <c r="G1267" t="s">
        <v>1</v>
      </c>
      <c r="H1267">
        <v>999.99900000000002</v>
      </c>
      <c r="I1267" t="s">
        <v>461</v>
      </c>
      <c r="K1267">
        <v>106471055</v>
      </c>
      <c r="L1267" s="2">
        <v>44217</v>
      </c>
      <c r="M1267">
        <v>17</v>
      </c>
      <c r="N1267">
        <v>1</v>
      </c>
      <c r="O1267">
        <v>0</v>
      </c>
      <c r="P1267">
        <v>5</v>
      </c>
      <c r="Q1267" t="s">
        <v>21</v>
      </c>
    </row>
    <row r="1268" spans="1:17" x14ac:dyDescent="0.55000000000000004">
      <c r="A1268">
        <v>0</v>
      </c>
      <c r="B1268" t="s">
        <v>1</v>
      </c>
      <c r="C1268">
        <v>0.2</v>
      </c>
      <c r="D1268" t="s">
        <v>68</v>
      </c>
      <c r="E1268" t="s">
        <v>340</v>
      </c>
      <c r="F1268" t="s">
        <v>51</v>
      </c>
      <c r="G1268" t="s">
        <v>1</v>
      </c>
      <c r="H1268">
        <v>999.99900000000002</v>
      </c>
      <c r="I1268" t="s">
        <v>461</v>
      </c>
      <c r="K1268">
        <v>105245447</v>
      </c>
      <c r="L1268" s="2">
        <v>43012</v>
      </c>
      <c r="M1268">
        <v>17</v>
      </c>
      <c r="N1268">
        <v>1</v>
      </c>
      <c r="O1268">
        <v>0</v>
      </c>
      <c r="P1268">
        <v>3</v>
      </c>
      <c r="Q1268" t="s">
        <v>21</v>
      </c>
    </row>
    <row r="1269" spans="1:17" x14ac:dyDescent="0.55000000000000004">
      <c r="A1269">
        <v>0</v>
      </c>
      <c r="B1269" t="s">
        <v>1</v>
      </c>
      <c r="C1269">
        <v>0.2</v>
      </c>
      <c r="D1269" t="s">
        <v>68</v>
      </c>
      <c r="E1269" t="s">
        <v>340</v>
      </c>
      <c r="F1269" t="s">
        <v>51</v>
      </c>
      <c r="G1269" t="s">
        <v>1</v>
      </c>
      <c r="H1269">
        <v>999.99900000000002</v>
      </c>
      <c r="I1269" t="s">
        <v>461</v>
      </c>
      <c r="K1269">
        <v>106319287</v>
      </c>
      <c r="L1269" s="2">
        <v>44068</v>
      </c>
      <c r="M1269">
        <v>26</v>
      </c>
      <c r="N1269">
        <v>2</v>
      </c>
      <c r="O1269">
        <v>0</v>
      </c>
      <c r="P1269">
        <v>1</v>
      </c>
      <c r="Q1269" t="s">
        <v>15</v>
      </c>
    </row>
    <row r="1270" spans="1:17" x14ac:dyDescent="0.55000000000000004">
      <c r="A1270">
        <v>0</v>
      </c>
      <c r="B1270" t="s">
        <v>1</v>
      </c>
      <c r="C1270">
        <v>0.2</v>
      </c>
      <c r="D1270" t="s">
        <v>68</v>
      </c>
      <c r="E1270" t="s">
        <v>340</v>
      </c>
      <c r="F1270" t="s">
        <v>51</v>
      </c>
      <c r="G1270" t="s">
        <v>1</v>
      </c>
      <c r="H1270">
        <v>999.99900000000002</v>
      </c>
      <c r="I1270" t="s">
        <v>461</v>
      </c>
      <c r="K1270">
        <v>104843969</v>
      </c>
      <c r="L1270" s="2">
        <v>42624</v>
      </c>
      <c r="M1270">
        <v>17</v>
      </c>
      <c r="N1270">
        <v>1</v>
      </c>
      <c r="O1270">
        <v>0</v>
      </c>
      <c r="P1270">
        <v>3</v>
      </c>
      <c r="Q1270" t="s">
        <v>21</v>
      </c>
    </row>
    <row r="1271" spans="1:17" x14ac:dyDescent="0.55000000000000004">
      <c r="A1271">
        <v>0</v>
      </c>
      <c r="B1271" t="s">
        <v>1</v>
      </c>
      <c r="C1271">
        <v>0.2</v>
      </c>
      <c r="D1271" t="s">
        <v>68</v>
      </c>
      <c r="E1271" t="s">
        <v>340</v>
      </c>
      <c r="F1271" t="s">
        <v>51</v>
      </c>
      <c r="G1271" t="s">
        <v>1</v>
      </c>
      <c r="H1271">
        <v>999.99900000000002</v>
      </c>
      <c r="I1271" t="s">
        <v>461</v>
      </c>
      <c r="K1271">
        <v>106442196</v>
      </c>
      <c r="L1271" s="2">
        <v>44185</v>
      </c>
      <c r="M1271">
        <v>17</v>
      </c>
      <c r="N1271">
        <v>1</v>
      </c>
      <c r="O1271">
        <v>0</v>
      </c>
      <c r="P1271">
        <v>2</v>
      </c>
      <c r="Q1271" t="s">
        <v>21</v>
      </c>
    </row>
    <row r="1272" spans="1:17" x14ac:dyDescent="0.55000000000000004">
      <c r="A1272">
        <v>0</v>
      </c>
      <c r="B1272" t="s">
        <v>1</v>
      </c>
      <c r="C1272">
        <v>0.2</v>
      </c>
      <c r="D1272" t="s">
        <v>68</v>
      </c>
      <c r="E1272" t="s">
        <v>340</v>
      </c>
      <c r="F1272" t="s">
        <v>51</v>
      </c>
      <c r="G1272" t="s">
        <v>1</v>
      </c>
      <c r="H1272">
        <v>999.99900000000002</v>
      </c>
      <c r="I1272" t="s">
        <v>461</v>
      </c>
      <c r="K1272">
        <v>106362166</v>
      </c>
      <c r="L1272" s="2">
        <v>44112</v>
      </c>
      <c r="M1272">
        <v>28</v>
      </c>
      <c r="N1272">
        <v>1</v>
      </c>
      <c r="O1272">
        <v>4</v>
      </c>
      <c r="P1272">
        <v>1</v>
      </c>
      <c r="Q1272" t="s">
        <v>21</v>
      </c>
    </row>
    <row r="1273" spans="1:17" x14ac:dyDescent="0.55000000000000004">
      <c r="A1273">
        <v>0</v>
      </c>
      <c r="B1273" t="s">
        <v>1</v>
      </c>
      <c r="C1273">
        <v>0.2</v>
      </c>
      <c r="D1273" t="s">
        <v>68</v>
      </c>
      <c r="E1273" t="s">
        <v>340</v>
      </c>
      <c r="F1273" t="s">
        <v>51</v>
      </c>
      <c r="G1273" t="s">
        <v>1</v>
      </c>
      <c r="H1273">
        <v>999.99900000000002</v>
      </c>
      <c r="I1273" t="s">
        <v>461</v>
      </c>
      <c r="K1273">
        <v>105845938</v>
      </c>
      <c r="L1273" s="2">
        <v>43581</v>
      </c>
      <c r="M1273">
        <v>19</v>
      </c>
      <c r="N1273">
        <v>1</v>
      </c>
      <c r="O1273">
        <v>5</v>
      </c>
      <c r="P1273">
        <v>1</v>
      </c>
      <c r="Q1273" t="s">
        <v>21</v>
      </c>
    </row>
    <row r="1274" spans="1:17" x14ac:dyDescent="0.55000000000000004">
      <c r="A1274">
        <v>0</v>
      </c>
      <c r="B1274" t="s">
        <v>1</v>
      </c>
      <c r="C1274">
        <v>0.2</v>
      </c>
      <c r="D1274" t="s">
        <v>68</v>
      </c>
      <c r="E1274" t="s">
        <v>340</v>
      </c>
      <c r="F1274" t="s">
        <v>51</v>
      </c>
      <c r="G1274" t="s">
        <v>1</v>
      </c>
      <c r="H1274">
        <v>999.99900000000002</v>
      </c>
      <c r="I1274" t="s">
        <v>461</v>
      </c>
      <c r="K1274">
        <v>104871214</v>
      </c>
      <c r="L1274" s="2">
        <v>42650</v>
      </c>
      <c r="M1274">
        <v>17</v>
      </c>
      <c r="N1274">
        <v>2</v>
      </c>
      <c r="O1274">
        <v>0</v>
      </c>
      <c r="P1274">
        <v>5</v>
      </c>
      <c r="Q1274" t="s">
        <v>21</v>
      </c>
    </row>
    <row r="1275" spans="1:17" x14ac:dyDescent="0.55000000000000004">
      <c r="A1275">
        <v>0</v>
      </c>
      <c r="B1275" t="s">
        <v>1</v>
      </c>
      <c r="C1275">
        <v>0.25</v>
      </c>
      <c r="D1275" t="s">
        <v>68</v>
      </c>
      <c r="E1275" t="s">
        <v>340</v>
      </c>
      <c r="F1275" t="s">
        <v>51</v>
      </c>
      <c r="G1275" t="s">
        <v>1</v>
      </c>
      <c r="H1275">
        <v>999.99900000000002</v>
      </c>
      <c r="I1275" t="s">
        <v>461</v>
      </c>
      <c r="K1275">
        <v>106077797</v>
      </c>
      <c r="L1275" s="2">
        <v>43785</v>
      </c>
      <c r="M1275">
        <v>17</v>
      </c>
      <c r="N1275">
        <v>1</v>
      </c>
      <c r="O1275">
        <v>0</v>
      </c>
      <c r="P1275">
        <v>1</v>
      </c>
      <c r="Q1275" t="s">
        <v>21</v>
      </c>
    </row>
    <row r="1276" spans="1:17" x14ac:dyDescent="0.55000000000000004">
      <c r="A1276">
        <v>0</v>
      </c>
      <c r="B1276" t="s">
        <v>1</v>
      </c>
      <c r="C1276">
        <v>0.3</v>
      </c>
      <c r="D1276" t="s">
        <v>68</v>
      </c>
      <c r="E1276" t="s">
        <v>340</v>
      </c>
      <c r="F1276" t="s">
        <v>51</v>
      </c>
      <c r="G1276" t="s">
        <v>1</v>
      </c>
      <c r="H1276">
        <v>999.99900000000002</v>
      </c>
      <c r="I1276" t="s">
        <v>461</v>
      </c>
      <c r="K1276">
        <v>104980683</v>
      </c>
      <c r="L1276" s="2">
        <v>42754</v>
      </c>
      <c r="M1276">
        <v>17</v>
      </c>
      <c r="N1276">
        <v>1</v>
      </c>
      <c r="O1276">
        <v>0</v>
      </c>
      <c r="P1276">
        <v>1</v>
      </c>
      <c r="Q1276" t="s">
        <v>21</v>
      </c>
    </row>
    <row r="1277" spans="1:17" x14ac:dyDescent="0.55000000000000004">
      <c r="A1277">
        <v>0</v>
      </c>
      <c r="B1277" t="s">
        <v>1</v>
      </c>
      <c r="C1277">
        <v>0.4</v>
      </c>
      <c r="D1277" t="s">
        <v>68</v>
      </c>
      <c r="E1277" t="s">
        <v>340</v>
      </c>
      <c r="F1277" t="s">
        <v>51</v>
      </c>
      <c r="G1277" t="s">
        <v>1</v>
      </c>
      <c r="H1277">
        <v>999.99900000000002</v>
      </c>
      <c r="I1277" t="s">
        <v>461</v>
      </c>
      <c r="K1277">
        <v>105605051</v>
      </c>
      <c r="L1277" s="2">
        <v>43361</v>
      </c>
      <c r="M1277">
        <v>17</v>
      </c>
      <c r="N1277">
        <v>1</v>
      </c>
      <c r="O1277">
        <v>0</v>
      </c>
      <c r="P1277">
        <v>1</v>
      </c>
      <c r="Q1277" t="s">
        <v>21</v>
      </c>
    </row>
    <row r="1278" spans="1:17" x14ac:dyDescent="0.55000000000000004">
      <c r="A1278">
        <v>0</v>
      </c>
      <c r="B1278" t="s">
        <v>1</v>
      </c>
      <c r="C1278">
        <v>0.5</v>
      </c>
      <c r="D1278" t="s">
        <v>68</v>
      </c>
      <c r="E1278" t="s">
        <v>340</v>
      </c>
      <c r="F1278" t="s">
        <v>51</v>
      </c>
      <c r="G1278" t="s">
        <v>1</v>
      </c>
      <c r="H1278">
        <v>999.99900000000002</v>
      </c>
      <c r="I1278" t="s">
        <v>461</v>
      </c>
      <c r="K1278">
        <v>105605954</v>
      </c>
      <c r="L1278" s="2">
        <v>43357</v>
      </c>
      <c r="M1278">
        <v>19</v>
      </c>
      <c r="N1278">
        <v>1</v>
      </c>
      <c r="O1278">
        <v>0</v>
      </c>
      <c r="P1278">
        <v>1</v>
      </c>
      <c r="Q1278" t="s">
        <v>45</v>
      </c>
    </row>
    <row r="1279" spans="1:17" x14ac:dyDescent="0.55000000000000004">
      <c r="A1279">
        <v>0</v>
      </c>
      <c r="B1279" t="s">
        <v>1</v>
      </c>
      <c r="C1279">
        <v>0.6</v>
      </c>
      <c r="D1279" t="s">
        <v>68</v>
      </c>
      <c r="E1279" t="s">
        <v>340</v>
      </c>
      <c r="F1279" t="s">
        <v>51</v>
      </c>
      <c r="G1279" t="s">
        <v>1</v>
      </c>
      <c r="H1279">
        <v>999.99900000000002</v>
      </c>
      <c r="I1279" t="s">
        <v>461</v>
      </c>
      <c r="K1279">
        <v>106598875</v>
      </c>
      <c r="L1279" s="2">
        <v>44354</v>
      </c>
      <c r="M1279">
        <v>19</v>
      </c>
      <c r="N1279">
        <v>1</v>
      </c>
      <c r="O1279">
        <v>0</v>
      </c>
      <c r="P1279">
        <v>6</v>
      </c>
      <c r="Q1279" t="s">
        <v>45</v>
      </c>
    </row>
    <row r="1280" spans="1:17" x14ac:dyDescent="0.55000000000000004">
      <c r="A1280">
        <v>0</v>
      </c>
      <c r="B1280" t="s">
        <v>1</v>
      </c>
      <c r="C1280">
        <v>0.2</v>
      </c>
      <c r="D1280" t="s">
        <v>18</v>
      </c>
      <c r="E1280" t="s">
        <v>340</v>
      </c>
      <c r="F1280" t="s">
        <v>51</v>
      </c>
      <c r="G1280" t="s">
        <v>1</v>
      </c>
      <c r="H1280">
        <v>999.99900000000002</v>
      </c>
      <c r="I1280" t="s">
        <v>461</v>
      </c>
      <c r="K1280">
        <v>105630541</v>
      </c>
      <c r="L1280" s="2">
        <v>43381</v>
      </c>
      <c r="M1280">
        <v>21</v>
      </c>
      <c r="N1280">
        <v>1</v>
      </c>
      <c r="O1280">
        <v>0</v>
      </c>
      <c r="P1280">
        <v>1</v>
      </c>
      <c r="Q1280" t="s">
        <v>21</v>
      </c>
    </row>
    <row r="1281" spans="1:17" x14ac:dyDescent="0.55000000000000004">
      <c r="A1281">
        <v>0</v>
      </c>
      <c r="B1281" t="s">
        <v>1</v>
      </c>
      <c r="C1281">
        <v>0.2</v>
      </c>
      <c r="D1281" t="s">
        <v>18</v>
      </c>
      <c r="E1281" t="s">
        <v>340</v>
      </c>
      <c r="F1281" t="s">
        <v>51</v>
      </c>
      <c r="G1281" t="s">
        <v>1</v>
      </c>
      <c r="H1281">
        <v>999.99900000000002</v>
      </c>
      <c r="I1281" t="s">
        <v>461</v>
      </c>
      <c r="K1281">
        <v>106559764</v>
      </c>
      <c r="L1281" s="2">
        <v>44314</v>
      </c>
      <c r="M1281">
        <v>5</v>
      </c>
      <c r="N1281">
        <v>1</v>
      </c>
      <c r="O1281">
        <v>0</v>
      </c>
      <c r="P1281">
        <v>1</v>
      </c>
    </row>
    <row r="1282" spans="1:17" x14ac:dyDescent="0.55000000000000004">
      <c r="A1282">
        <v>0</v>
      </c>
      <c r="B1282" t="s">
        <v>1</v>
      </c>
      <c r="C1282">
        <v>0.3</v>
      </c>
      <c r="D1282" t="s">
        <v>18</v>
      </c>
      <c r="E1282" t="s">
        <v>340</v>
      </c>
      <c r="F1282" t="s">
        <v>51</v>
      </c>
      <c r="G1282" t="s">
        <v>1</v>
      </c>
      <c r="H1282">
        <v>999.99900000000002</v>
      </c>
      <c r="I1282" t="s">
        <v>461</v>
      </c>
      <c r="K1282">
        <v>104896990</v>
      </c>
      <c r="L1282" s="2">
        <v>42671</v>
      </c>
      <c r="M1282">
        <v>19</v>
      </c>
      <c r="N1282">
        <v>1</v>
      </c>
      <c r="O1282">
        <v>5</v>
      </c>
      <c r="P1282">
        <v>5</v>
      </c>
      <c r="Q1282" t="s">
        <v>15</v>
      </c>
    </row>
    <row r="1283" spans="1:17" x14ac:dyDescent="0.55000000000000004">
      <c r="A1283">
        <v>0</v>
      </c>
      <c r="B1283" t="s">
        <v>1</v>
      </c>
      <c r="C1283">
        <v>1</v>
      </c>
      <c r="D1283" t="s">
        <v>18</v>
      </c>
      <c r="E1283" t="s">
        <v>340</v>
      </c>
      <c r="F1283" t="s">
        <v>51</v>
      </c>
      <c r="G1283" t="s">
        <v>1</v>
      </c>
      <c r="H1283">
        <v>999.99900000000002</v>
      </c>
      <c r="I1283" t="s">
        <v>461</v>
      </c>
      <c r="K1283">
        <v>105818664</v>
      </c>
      <c r="L1283" s="2">
        <v>43554</v>
      </c>
      <c r="M1283">
        <v>17</v>
      </c>
      <c r="N1283">
        <v>1</v>
      </c>
      <c r="O1283">
        <v>0</v>
      </c>
      <c r="P1283">
        <v>5</v>
      </c>
      <c r="Q1283" t="s">
        <v>21</v>
      </c>
    </row>
    <row r="1284" spans="1:17" x14ac:dyDescent="0.55000000000000004">
      <c r="A1284">
        <v>0</v>
      </c>
      <c r="B1284" t="s">
        <v>1</v>
      </c>
      <c r="C1284">
        <v>0</v>
      </c>
      <c r="E1284" t="s">
        <v>340</v>
      </c>
      <c r="F1284" t="s">
        <v>51</v>
      </c>
      <c r="G1284" t="s">
        <v>1</v>
      </c>
      <c r="H1284">
        <v>999.99900000000002</v>
      </c>
      <c r="I1284" t="s">
        <v>461</v>
      </c>
      <c r="K1284">
        <v>105846060</v>
      </c>
      <c r="L1284" s="2">
        <v>43583</v>
      </c>
      <c r="M1284">
        <v>21</v>
      </c>
      <c r="N1284">
        <v>1</v>
      </c>
      <c r="O1284">
        <v>8</v>
      </c>
      <c r="P1284">
        <v>1</v>
      </c>
      <c r="Q1284" t="s">
        <v>21</v>
      </c>
    </row>
    <row r="1285" spans="1:17" x14ac:dyDescent="0.55000000000000004">
      <c r="A1285">
        <v>0</v>
      </c>
      <c r="B1285" t="s">
        <v>1</v>
      </c>
      <c r="C1285">
        <v>0</v>
      </c>
      <c r="E1285" t="s">
        <v>340</v>
      </c>
      <c r="F1285" t="s">
        <v>51</v>
      </c>
      <c r="G1285" t="s">
        <v>1</v>
      </c>
      <c r="H1285">
        <v>999.99900000000002</v>
      </c>
      <c r="I1285" t="s">
        <v>461</v>
      </c>
      <c r="K1285">
        <v>106269174</v>
      </c>
      <c r="L1285" s="2">
        <v>44014</v>
      </c>
      <c r="M1285">
        <v>21</v>
      </c>
      <c r="N1285">
        <v>1</v>
      </c>
      <c r="O1285">
        <v>8</v>
      </c>
      <c r="P1285">
        <v>1</v>
      </c>
      <c r="Q1285" t="s">
        <v>21</v>
      </c>
    </row>
    <row r="1286" spans="1:17" x14ac:dyDescent="0.55000000000000004">
      <c r="A1286">
        <v>0</v>
      </c>
      <c r="B1286" t="s">
        <v>1</v>
      </c>
      <c r="C1286">
        <v>0.1</v>
      </c>
      <c r="D1286" t="s">
        <v>68</v>
      </c>
      <c r="E1286" t="s">
        <v>51</v>
      </c>
      <c r="F1286" t="s">
        <v>340</v>
      </c>
      <c r="G1286" t="s">
        <v>1</v>
      </c>
      <c r="H1286">
        <v>999.99900000000002</v>
      </c>
      <c r="I1286" t="s">
        <v>461</v>
      </c>
      <c r="K1286">
        <v>105378730</v>
      </c>
      <c r="L1286" s="2">
        <v>43141</v>
      </c>
      <c r="M1286">
        <v>17</v>
      </c>
      <c r="N1286">
        <v>2</v>
      </c>
      <c r="O1286">
        <v>0</v>
      </c>
      <c r="P1286">
        <v>5</v>
      </c>
      <c r="Q1286" t="s">
        <v>21</v>
      </c>
    </row>
    <row r="1287" spans="1:17" x14ac:dyDescent="0.55000000000000004">
      <c r="A1287">
        <v>0</v>
      </c>
      <c r="B1287" t="s">
        <v>1</v>
      </c>
      <c r="C1287">
        <v>0.1</v>
      </c>
      <c r="D1287" t="s">
        <v>18</v>
      </c>
      <c r="E1287" t="s">
        <v>51</v>
      </c>
      <c r="F1287" t="s">
        <v>340</v>
      </c>
      <c r="G1287" t="s">
        <v>1</v>
      </c>
      <c r="H1287">
        <v>999.99900000000002</v>
      </c>
      <c r="I1287" t="s">
        <v>461</v>
      </c>
      <c r="K1287">
        <v>106150949</v>
      </c>
      <c r="L1287" s="2">
        <v>43867</v>
      </c>
      <c r="M1287">
        <v>19</v>
      </c>
      <c r="N1287">
        <v>2</v>
      </c>
      <c r="O1287">
        <v>0</v>
      </c>
      <c r="P1287">
        <v>5</v>
      </c>
      <c r="Q1287" t="s">
        <v>21</v>
      </c>
    </row>
    <row r="1288" spans="1:17" x14ac:dyDescent="0.55000000000000004">
      <c r="A1288">
        <v>0</v>
      </c>
      <c r="B1288" t="s">
        <v>1</v>
      </c>
      <c r="C1288">
        <v>0.1</v>
      </c>
      <c r="D1288" t="s">
        <v>18</v>
      </c>
      <c r="E1288" t="s">
        <v>51</v>
      </c>
      <c r="F1288" t="s">
        <v>340</v>
      </c>
      <c r="G1288" t="s">
        <v>1</v>
      </c>
      <c r="H1288">
        <v>999.99900000000002</v>
      </c>
      <c r="I1288" t="s">
        <v>461</v>
      </c>
      <c r="K1288">
        <v>105266768</v>
      </c>
      <c r="L1288" s="2">
        <v>43031</v>
      </c>
      <c r="M1288">
        <v>18</v>
      </c>
      <c r="N1288">
        <v>2</v>
      </c>
      <c r="O1288">
        <v>0</v>
      </c>
      <c r="P1288">
        <v>5</v>
      </c>
      <c r="Q1288" t="s">
        <v>21</v>
      </c>
    </row>
    <row r="1289" spans="1:17" x14ac:dyDescent="0.55000000000000004">
      <c r="A1289">
        <v>0</v>
      </c>
      <c r="B1289" t="s">
        <v>1</v>
      </c>
      <c r="C1289">
        <v>0.1</v>
      </c>
      <c r="D1289" t="s">
        <v>18</v>
      </c>
      <c r="E1289" t="s">
        <v>51</v>
      </c>
      <c r="F1289" t="s">
        <v>340</v>
      </c>
      <c r="G1289" t="s">
        <v>1</v>
      </c>
      <c r="H1289">
        <v>999.99900000000002</v>
      </c>
      <c r="I1289" t="s">
        <v>461</v>
      </c>
      <c r="K1289">
        <v>105989857</v>
      </c>
      <c r="L1289" s="2">
        <v>43720</v>
      </c>
      <c r="M1289">
        <v>17</v>
      </c>
      <c r="N1289">
        <v>1</v>
      </c>
      <c r="O1289">
        <v>0</v>
      </c>
      <c r="P1289">
        <v>3</v>
      </c>
      <c r="Q1289" t="s">
        <v>21</v>
      </c>
    </row>
    <row r="1290" spans="1:17" x14ac:dyDescent="0.55000000000000004">
      <c r="A1290">
        <v>0</v>
      </c>
      <c r="B1290" t="s">
        <v>1</v>
      </c>
      <c r="C1290">
        <v>0.1</v>
      </c>
      <c r="D1290" t="s">
        <v>18</v>
      </c>
      <c r="E1290" t="s">
        <v>51</v>
      </c>
      <c r="F1290" t="s">
        <v>340</v>
      </c>
      <c r="G1290" t="s">
        <v>1</v>
      </c>
      <c r="H1290">
        <v>999.99900000000002</v>
      </c>
      <c r="I1290" t="s">
        <v>461</v>
      </c>
      <c r="K1290">
        <v>105272693</v>
      </c>
      <c r="L1290" s="2">
        <v>43031</v>
      </c>
      <c r="M1290">
        <v>19</v>
      </c>
      <c r="N1290">
        <v>2</v>
      </c>
      <c r="O1290">
        <v>0</v>
      </c>
      <c r="P1290">
        <v>5</v>
      </c>
      <c r="Q1290" t="s">
        <v>15</v>
      </c>
    </row>
    <row r="1291" spans="1:17" x14ac:dyDescent="0.55000000000000004">
      <c r="A1291">
        <v>0</v>
      </c>
      <c r="B1291" t="s">
        <v>1</v>
      </c>
      <c r="C1291">
        <v>0.3</v>
      </c>
      <c r="D1291" t="s">
        <v>18</v>
      </c>
      <c r="E1291" t="s">
        <v>51</v>
      </c>
      <c r="F1291" t="s">
        <v>340</v>
      </c>
      <c r="G1291" t="s">
        <v>1</v>
      </c>
      <c r="H1291">
        <v>999.99900000000002</v>
      </c>
      <c r="I1291" t="s">
        <v>461</v>
      </c>
      <c r="K1291">
        <v>105902772</v>
      </c>
      <c r="L1291" s="2">
        <v>43632</v>
      </c>
      <c r="M1291">
        <v>29</v>
      </c>
      <c r="N1291">
        <v>1</v>
      </c>
      <c r="O1291">
        <v>0</v>
      </c>
      <c r="P1291">
        <v>1</v>
      </c>
      <c r="Q1291" t="s">
        <v>21</v>
      </c>
    </row>
    <row r="1292" spans="1:17" x14ac:dyDescent="0.55000000000000004">
      <c r="A1292">
        <v>0</v>
      </c>
      <c r="B1292" t="s">
        <v>1</v>
      </c>
      <c r="C1292">
        <v>0.4</v>
      </c>
      <c r="D1292" t="s">
        <v>18</v>
      </c>
      <c r="E1292" t="s">
        <v>51</v>
      </c>
      <c r="F1292" t="s">
        <v>340</v>
      </c>
      <c r="G1292" t="s">
        <v>1</v>
      </c>
      <c r="H1292">
        <v>999.99900000000002</v>
      </c>
      <c r="I1292" t="s">
        <v>461</v>
      </c>
      <c r="K1292">
        <v>105359422</v>
      </c>
      <c r="L1292" s="2">
        <v>43110</v>
      </c>
      <c r="M1292">
        <v>19</v>
      </c>
      <c r="N1292">
        <v>1</v>
      </c>
      <c r="O1292">
        <v>0</v>
      </c>
      <c r="P1292">
        <v>1</v>
      </c>
      <c r="Q1292" t="s">
        <v>15</v>
      </c>
    </row>
    <row r="1293" spans="1:17" x14ac:dyDescent="0.55000000000000004">
      <c r="A1293">
        <v>0</v>
      </c>
      <c r="B1293" t="s">
        <v>1</v>
      </c>
      <c r="C1293">
        <v>0</v>
      </c>
      <c r="E1293" t="s">
        <v>51</v>
      </c>
      <c r="F1293" t="s">
        <v>340</v>
      </c>
      <c r="G1293" t="s">
        <v>1</v>
      </c>
      <c r="H1293">
        <v>999.99900000000002</v>
      </c>
      <c r="I1293" t="s">
        <v>461</v>
      </c>
      <c r="K1293">
        <v>106093521</v>
      </c>
      <c r="L1293" s="2">
        <v>43790</v>
      </c>
      <c r="M1293">
        <v>23</v>
      </c>
      <c r="N1293">
        <v>1</v>
      </c>
      <c r="O1293">
        <v>8</v>
      </c>
      <c r="P1293">
        <v>5</v>
      </c>
      <c r="Q1293" t="s">
        <v>15</v>
      </c>
    </row>
    <row r="1294" spans="1:17" x14ac:dyDescent="0.55000000000000004">
      <c r="A1294">
        <v>0</v>
      </c>
      <c r="B1294" t="s">
        <v>1</v>
      </c>
      <c r="C1294">
        <v>0</v>
      </c>
      <c r="E1294" t="s">
        <v>51</v>
      </c>
      <c r="F1294" t="s">
        <v>340</v>
      </c>
      <c r="G1294" t="s">
        <v>1</v>
      </c>
      <c r="H1294">
        <v>999.99900000000002</v>
      </c>
      <c r="I1294" t="s">
        <v>461</v>
      </c>
      <c r="K1294">
        <v>106362323</v>
      </c>
      <c r="L1294" s="2">
        <v>44112</v>
      </c>
      <c r="M1294">
        <v>30</v>
      </c>
      <c r="N1294">
        <v>1</v>
      </c>
      <c r="O1294">
        <v>7</v>
      </c>
      <c r="P1294">
        <v>1</v>
      </c>
      <c r="Q1294" t="s">
        <v>21</v>
      </c>
    </row>
    <row r="1295" spans="1:17" x14ac:dyDescent="0.55000000000000004">
      <c r="A1295">
        <v>0</v>
      </c>
      <c r="B1295" t="s">
        <v>1</v>
      </c>
      <c r="C1295">
        <v>0</v>
      </c>
      <c r="E1295" t="s">
        <v>51</v>
      </c>
      <c r="F1295" t="s">
        <v>340</v>
      </c>
      <c r="G1295" t="s">
        <v>1</v>
      </c>
      <c r="H1295">
        <v>999.99900000000002</v>
      </c>
      <c r="I1295" t="s">
        <v>461</v>
      </c>
      <c r="K1295">
        <v>104925764</v>
      </c>
      <c r="L1295" s="2">
        <v>42697</v>
      </c>
      <c r="M1295">
        <v>29</v>
      </c>
      <c r="N1295">
        <v>1</v>
      </c>
      <c r="O1295">
        <v>7</v>
      </c>
      <c r="P1295">
        <v>5</v>
      </c>
      <c r="Q1295" t="s">
        <v>21</v>
      </c>
    </row>
    <row r="1296" spans="1:17" x14ac:dyDescent="0.55000000000000004">
      <c r="A1296">
        <v>0</v>
      </c>
      <c r="B1296" t="s">
        <v>1</v>
      </c>
      <c r="C1296">
        <v>0.5</v>
      </c>
      <c r="D1296" t="s">
        <v>68</v>
      </c>
      <c r="E1296" t="s">
        <v>382</v>
      </c>
      <c r="F1296" t="s">
        <v>47</v>
      </c>
      <c r="G1296" t="s">
        <v>1</v>
      </c>
      <c r="H1296">
        <v>999.99900000000002</v>
      </c>
      <c r="I1296" t="s">
        <v>461</v>
      </c>
      <c r="K1296">
        <v>106555699</v>
      </c>
      <c r="L1296" s="2">
        <v>44310</v>
      </c>
      <c r="M1296">
        <v>20</v>
      </c>
      <c r="N1296">
        <v>2</v>
      </c>
      <c r="O1296">
        <v>0</v>
      </c>
      <c r="P1296">
        <v>1</v>
      </c>
      <c r="Q1296" t="s">
        <v>15</v>
      </c>
    </row>
    <row r="1297" spans="1:17" x14ac:dyDescent="0.55000000000000004">
      <c r="A1297">
        <v>0</v>
      </c>
      <c r="B1297" t="s">
        <v>1</v>
      </c>
      <c r="C1297">
        <v>0.1</v>
      </c>
      <c r="D1297" t="s">
        <v>18</v>
      </c>
      <c r="E1297" t="s">
        <v>383</v>
      </c>
      <c r="F1297" t="s">
        <v>135</v>
      </c>
      <c r="G1297" t="s">
        <v>1</v>
      </c>
      <c r="H1297">
        <v>999.99900000000002</v>
      </c>
      <c r="I1297" t="s">
        <v>461</v>
      </c>
      <c r="K1297">
        <v>105162641</v>
      </c>
      <c r="L1297" s="2">
        <v>42927</v>
      </c>
      <c r="M1297">
        <v>18</v>
      </c>
      <c r="N1297">
        <v>1</v>
      </c>
      <c r="O1297">
        <v>0</v>
      </c>
      <c r="P1297">
        <v>1</v>
      </c>
      <c r="Q1297" t="s">
        <v>21</v>
      </c>
    </row>
    <row r="1298" spans="1:17" x14ac:dyDescent="0.55000000000000004">
      <c r="A1298">
        <v>0</v>
      </c>
      <c r="B1298" t="s">
        <v>1</v>
      </c>
      <c r="C1298">
        <v>0</v>
      </c>
      <c r="E1298" t="s">
        <v>353</v>
      </c>
      <c r="F1298" t="s">
        <v>347</v>
      </c>
      <c r="G1298" t="s">
        <v>1</v>
      </c>
      <c r="H1298">
        <v>999.99900000000002</v>
      </c>
      <c r="I1298" t="s">
        <v>461</v>
      </c>
      <c r="K1298">
        <v>105529024</v>
      </c>
      <c r="L1298" s="2">
        <v>43281</v>
      </c>
      <c r="M1298">
        <v>26</v>
      </c>
      <c r="N1298">
        <v>1</v>
      </c>
      <c r="O1298">
        <v>8</v>
      </c>
      <c r="P1298">
        <v>1</v>
      </c>
      <c r="Q1298" t="s">
        <v>15</v>
      </c>
    </row>
    <row r="1299" spans="1:17" x14ac:dyDescent="0.55000000000000004">
      <c r="A1299">
        <v>0</v>
      </c>
      <c r="B1299" t="s">
        <v>1</v>
      </c>
      <c r="C1299">
        <v>0.5</v>
      </c>
      <c r="D1299" t="s">
        <v>18</v>
      </c>
      <c r="E1299" t="s">
        <v>384</v>
      </c>
      <c r="F1299" t="s">
        <v>135</v>
      </c>
      <c r="G1299" t="s">
        <v>1</v>
      </c>
      <c r="H1299">
        <v>999.99900000000002</v>
      </c>
      <c r="I1299" t="s">
        <v>461</v>
      </c>
      <c r="K1299">
        <v>104917086</v>
      </c>
      <c r="L1299" s="2">
        <v>42690</v>
      </c>
      <c r="M1299">
        <v>17</v>
      </c>
      <c r="N1299">
        <v>1</v>
      </c>
      <c r="O1299">
        <v>0</v>
      </c>
      <c r="P1299">
        <v>1</v>
      </c>
      <c r="Q1299" t="s">
        <v>21</v>
      </c>
    </row>
    <row r="1300" spans="1:17" x14ac:dyDescent="0.55000000000000004">
      <c r="A1300">
        <v>0</v>
      </c>
      <c r="B1300" t="s">
        <v>1</v>
      </c>
      <c r="C1300">
        <v>0.2</v>
      </c>
      <c r="D1300" t="s">
        <v>68</v>
      </c>
      <c r="E1300" t="s">
        <v>385</v>
      </c>
      <c r="F1300" t="s">
        <v>373</v>
      </c>
      <c r="G1300" t="s">
        <v>1</v>
      </c>
      <c r="H1300">
        <v>999.99900000000002</v>
      </c>
      <c r="I1300" t="s">
        <v>461</v>
      </c>
      <c r="K1300">
        <v>104954365</v>
      </c>
      <c r="L1300" s="2">
        <v>42724</v>
      </c>
      <c r="M1300">
        <v>17</v>
      </c>
      <c r="N1300">
        <v>1</v>
      </c>
      <c r="O1300">
        <v>0</v>
      </c>
      <c r="P1300">
        <v>1</v>
      </c>
      <c r="Q1300" t="s">
        <v>21</v>
      </c>
    </row>
    <row r="1301" spans="1:17" x14ac:dyDescent="0.55000000000000004">
      <c r="A1301">
        <v>0</v>
      </c>
      <c r="B1301" t="s">
        <v>1</v>
      </c>
      <c r="C1301">
        <v>0.4</v>
      </c>
      <c r="D1301" t="s">
        <v>68</v>
      </c>
      <c r="E1301" t="s">
        <v>386</v>
      </c>
      <c r="F1301" t="s">
        <v>144</v>
      </c>
      <c r="G1301" t="s">
        <v>1</v>
      </c>
      <c r="H1301">
        <v>999.99900000000002</v>
      </c>
      <c r="I1301" t="s">
        <v>461</v>
      </c>
      <c r="K1301">
        <v>106330780</v>
      </c>
      <c r="L1301" s="2">
        <v>44079</v>
      </c>
      <c r="M1301">
        <v>21</v>
      </c>
      <c r="N1301">
        <v>1</v>
      </c>
      <c r="O1301">
        <v>0</v>
      </c>
      <c r="P1301">
        <v>1</v>
      </c>
      <c r="Q1301" t="s">
        <v>15</v>
      </c>
    </row>
    <row r="1302" spans="1:17" x14ac:dyDescent="0.55000000000000004">
      <c r="A1302">
        <v>0</v>
      </c>
      <c r="B1302" t="s">
        <v>1</v>
      </c>
      <c r="C1302">
        <v>0.2</v>
      </c>
      <c r="D1302" t="s">
        <v>68</v>
      </c>
      <c r="E1302" t="s">
        <v>387</v>
      </c>
      <c r="F1302" t="s">
        <v>345</v>
      </c>
      <c r="G1302" t="s">
        <v>1</v>
      </c>
      <c r="H1302">
        <v>999.99900000000002</v>
      </c>
      <c r="I1302" t="s">
        <v>461</v>
      </c>
      <c r="K1302">
        <v>105960481</v>
      </c>
      <c r="L1302" s="2">
        <v>43692</v>
      </c>
      <c r="M1302">
        <v>21</v>
      </c>
      <c r="N1302">
        <v>1</v>
      </c>
      <c r="O1302">
        <v>0</v>
      </c>
      <c r="P1302">
        <v>1</v>
      </c>
      <c r="Q1302" t="s">
        <v>21</v>
      </c>
    </row>
    <row r="1303" spans="1:17" x14ac:dyDescent="0.55000000000000004">
      <c r="A1303">
        <v>0</v>
      </c>
      <c r="B1303" t="s">
        <v>1</v>
      </c>
      <c r="C1303">
        <v>0</v>
      </c>
      <c r="E1303" t="s">
        <v>307</v>
      </c>
      <c r="F1303" t="s">
        <v>301</v>
      </c>
      <c r="G1303" t="s">
        <v>1</v>
      </c>
      <c r="H1303">
        <v>999.99900000000002</v>
      </c>
      <c r="I1303" t="s">
        <v>461</v>
      </c>
      <c r="K1303">
        <v>105539341</v>
      </c>
      <c r="L1303" s="2">
        <v>43292</v>
      </c>
      <c r="M1303">
        <v>30</v>
      </c>
      <c r="N1303">
        <v>1</v>
      </c>
      <c r="O1303">
        <v>8</v>
      </c>
      <c r="P1303">
        <v>1</v>
      </c>
      <c r="Q1303" t="s">
        <v>15</v>
      </c>
    </row>
    <row r="1304" spans="1:17" x14ac:dyDescent="0.55000000000000004">
      <c r="A1304">
        <v>224</v>
      </c>
      <c r="B1304" t="s">
        <v>1</v>
      </c>
      <c r="C1304">
        <v>0.5</v>
      </c>
      <c r="D1304" t="s">
        <v>18</v>
      </c>
      <c r="E1304" t="s">
        <v>307</v>
      </c>
      <c r="F1304" t="s">
        <v>56</v>
      </c>
      <c r="G1304" t="s">
        <v>1</v>
      </c>
      <c r="H1304">
        <v>999.99900000000002</v>
      </c>
      <c r="I1304" t="s">
        <v>461</v>
      </c>
      <c r="K1304">
        <v>105415638</v>
      </c>
      <c r="L1304" s="2">
        <v>43175</v>
      </c>
      <c r="M1304">
        <v>29</v>
      </c>
      <c r="N1304">
        <v>1</v>
      </c>
      <c r="O1304">
        <v>0</v>
      </c>
      <c r="P1304">
        <v>1</v>
      </c>
      <c r="Q1304" t="s">
        <v>15</v>
      </c>
    </row>
    <row r="1305" spans="1:17" x14ac:dyDescent="0.55000000000000004">
      <c r="A1305">
        <v>0</v>
      </c>
      <c r="B1305" t="s">
        <v>1</v>
      </c>
      <c r="C1305">
        <v>0.1</v>
      </c>
      <c r="D1305" t="s">
        <v>68</v>
      </c>
      <c r="E1305" t="s">
        <v>268</v>
      </c>
      <c r="F1305" t="s">
        <v>326</v>
      </c>
      <c r="G1305" t="s">
        <v>1</v>
      </c>
      <c r="H1305">
        <v>999.99900000000002</v>
      </c>
      <c r="I1305" t="s">
        <v>461</v>
      </c>
      <c r="K1305">
        <v>104965757</v>
      </c>
      <c r="L1305" s="2">
        <v>42728</v>
      </c>
      <c r="M1305">
        <v>13</v>
      </c>
      <c r="N1305">
        <v>1</v>
      </c>
      <c r="O1305">
        <v>0</v>
      </c>
      <c r="P1305">
        <v>1</v>
      </c>
      <c r="Q1305" t="s">
        <v>21</v>
      </c>
    </row>
    <row r="1306" spans="1:17" x14ac:dyDescent="0.55000000000000004">
      <c r="A1306">
        <v>414</v>
      </c>
      <c r="B1306" t="s">
        <v>1</v>
      </c>
      <c r="C1306">
        <v>0.1</v>
      </c>
      <c r="D1306" t="s">
        <v>68</v>
      </c>
      <c r="E1306" t="s">
        <v>322</v>
      </c>
      <c r="F1306" t="s">
        <v>0</v>
      </c>
      <c r="G1306" t="s">
        <v>1</v>
      </c>
      <c r="H1306">
        <v>999.99900000000002</v>
      </c>
      <c r="I1306" t="s">
        <v>461</v>
      </c>
      <c r="K1306">
        <v>105796770</v>
      </c>
      <c r="L1306" s="2">
        <v>43530</v>
      </c>
      <c r="M1306">
        <v>21</v>
      </c>
      <c r="N1306">
        <v>1</v>
      </c>
      <c r="O1306">
        <v>0</v>
      </c>
      <c r="P1306">
        <v>1</v>
      </c>
      <c r="Q1306" t="s">
        <v>21</v>
      </c>
    </row>
    <row r="1307" spans="1:17" x14ac:dyDescent="0.55000000000000004">
      <c r="A1307">
        <v>0</v>
      </c>
      <c r="B1307" t="s">
        <v>1</v>
      </c>
      <c r="C1307">
        <v>3.7999999999999999E-2</v>
      </c>
      <c r="D1307" t="s">
        <v>30</v>
      </c>
      <c r="E1307" t="s">
        <v>388</v>
      </c>
      <c r="F1307" t="s">
        <v>286</v>
      </c>
      <c r="G1307" t="s">
        <v>1</v>
      </c>
      <c r="H1307">
        <v>999.99900000000002</v>
      </c>
      <c r="I1307" t="s">
        <v>461</v>
      </c>
      <c r="K1307">
        <v>105308301</v>
      </c>
      <c r="L1307" s="2">
        <v>43069</v>
      </c>
      <c r="M1307">
        <v>21</v>
      </c>
      <c r="N1307">
        <v>1</v>
      </c>
      <c r="O1307">
        <v>0</v>
      </c>
      <c r="P1307">
        <v>5</v>
      </c>
      <c r="Q1307" t="s">
        <v>21</v>
      </c>
    </row>
    <row r="1308" spans="1:17" x14ac:dyDescent="0.55000000000000004">
      <c r="A1308">
        <v>498</v>
      </c>
      <c r="B1308" t="s">
        <v>1</v>
      </c>
      <c r="C1308">
        <v>0</v>
      </c>
      <c r="E1308" t="s">
        <v>43</v>
      </c>
      <c r="F1308" t="s">
        <v>24</v>
      </c>
      <c r="G1308" t="s">
        <v>1</v>
      </c>
      <c r="H1308">
        <v>999.99900000000002</v>
      </c>
      <c r="I1308" t="s">
        <v>461</v>
      </c>
      <c r="K1308">
        <v>105708370</v>
      </c>
      <c r="L1308" s="2">
        <v>43425</v>
      </c>
      <c r="M1308">
        <v>21</v>
      </c>
      <c r="N1308">
        <v>1</v>
      </c>
      <c r="O1308">
        <v>0</v>
      </c>
      <c r="P1308">
        <v>4</v>
      </c>
      <c r="Q1308" t="s">
        <v>15</v>
      </c>
    </row>
    <row r="1309" spans="1:17" x14ac:dyDescent="0.55000000000000004">
      <c r="A1309">
        <v>498</v>
      </c>
      <c r="B1309" t="s">
        <v>1</v>
      </c>
      <c r="C1309">
        <v>0</v>
      </c>
      <c r="E1309" t="s">
        <v>227</v>
      </c>
      <c r="F1309" t="s">
        <v>334</v>
      </c>
      <c r="G1309" t="s">
        <v>1</v>
      </c>
      <c r="H1309">
        <v>999.99900000000002</v>
      </c>
      <c r="I1309" t="s">
        <v>461</v>
      </c>
      <c r="K1309">
        <v>105321644</v>
      </c>
      <c r="L1309" s="2">
        <v>43069</v>
      </c>
      <c r="M1309">
        <v>30</v>
      </c>
      <c r="N1309">
        <v>1</v>
      </c>
      <c r="O1309">
        <v>0</v>
      </c>
      <c r="P1309">
        <v>4</v>
      </c>
      <c r="Q1309" t="s">
        <v>21</v>
      </c>
    </row>
    <row r="1310" spans="1:17" x14ac:dyDescent="0.55000000000000004">
      <c r="A1310">
        <v>0</v>
      </c>
      <c r="B1310" t="s">
        <v>1</v>
      </c>
      <c r="C1310">
        <v>0</v>
      </c>
      <c r="E1310" t="s">
        <v>227</v>
      </c>
      <c r="F1310" t="s">
        <v>340</v>
      </c>
      <c r="G1310" t="s">
        <v>1</v>
      </c>
      <c r="H1310">
        <v>999.99900000000002</v>
      </c>
      <c r="I1310" t="s">
        <v>461</v>
      </c>
      <c r="K1310">
        <v>106465920</v>
      </c>
      <c r="L1310" s="2">
        <v>44213</v>
      </c>
      <c r="M1310">
        <v>21</v>
      </c>
      <c r="N1310">
        <v>1</v>
      </c>
      <c r="O1310">
        <v>8</v>
      </c>
      <c r="P1310">
        <v>5</v>
      </c>
      <c r="Q1310" t="s">
        <v>21</v>
      </c>
    </row>
    <row r="1311" spans="1:17" x14ac:dyDescent="0.55000000000000004">
      <c r="A1311">
        <v>0</v>
      </c>
      <c r="B1311" t="s">
        <v>1</v>
      </c>
      <c r="C1311">
        <v>0.3</v>
      </c>
      <c r="D1311" t="s">
        <v>18</v>
      </c>
      <c r="E1311" t="s">
        <v>227</v>
      </c>
      <c r="F1311" t="s">
        <v>338</v>
      </c>
      <c r="G1311" t="s">
        <v>1</v>
      </c>
      <c r="H1311">
        <v>999.99900000000002</v>
      </c>
      <c r="I1311" t="s">
        <v>461</v>
      </c>
      <c r="K1311">
        <v>106571656</v>
      </c>
      <c r="L1311" s="2">
        <v>44323</v>
      </c>
      <c r="M1311">
        <v>19</v>
      </c>
      <c r="N1311">
        <v>1</v>
      </c>
      <c r="O1311">
        <v>0</v>
      </c>
      <c r="P1311">
        <v>1</v>
      </c>
      <c r="Q1311" t="s">
        <v>21</v>
      </c>
    </row>
    <row r="1312" spans="1:17" x14ac:dyDescent="0.55000000000000004">
      <c r="A1312">
        <v>0</v>
      </c>
      <c r="B1312" t="s">
        <v>1</v>
      </c>
      <c r="C1312">
        <v>1.1000000000000001</v>
      </c>
      <c r="D1312" t="s">
        <v>68</v>
      </c>
      <c r="E1312" t="s">
        <v>227</v>
      </c>
      <c r="F1312" t="s">
        <v>43</v>
      </c>
      <c r="G1312" t="s">
        <v>1</v>
      </c>
      <c r="H1312">
        <v>999.99900000000002</v>
      </c>
      <c r="I1312" t="s">
        <v>461</v>
      </c>
      <c r="K1312">
        <v>106478934</v>
      </c>
      <c r="L1312" s="2">
        <v>44228</v>
      </c>
      <c r="M1312">
        <v>17</v>
      </c>
      <c r="N1312">
        <v>1</v>
      </c>
      <c r="O1312">
        <v>0</v>
      </c>
      <c r="P1312">
        <v>5</v>
      </c>
      <c r="Q1312" t="s">
        <v>21</v>
      </c>
    </row>
    <row r="1313" spans="1:17" x14ac:dyDescent="0.55000000000000004">
      <c r="A1313">
        <v>498</v>
      </c>
      <c r="B1313" t="s">
        <v>4</v>
      </c>
      <c r="C1313">
        <v>1</v>
      </c>
      <c r="D1313" t="s">
        <v>204</v>
      </c>
      <c r="E1313" t="s">
        <v>94</v>
      </c>
      <c r="F1313" t="s">
        <v>70</v>
      </c>
      <c r="G1313" t="s">
        <v>4</v>
      </c>
      <c r="H1313">
        <v>999.99900000000002</v>
      </c>
      <c r="I1313" t="s">
        <v>461</v>
      </c>
      <c r="K1313">
        <v>106312688</v>
      </c>
      <c r="L1313" s="2">
        <v>44015</v>
      </c>
      <c r="M1313">
        <v>21</v>
      </c>
      <c r="N1313">
        <v>1</v>
      </c>
      <c r="O1313">
        <v>0</v>
      </c>
      <c r="P1313">
        <v>1</v>
      </c>
      <c r="Q1313" t="s">
        <v>15</v>
      </c>
    </row>
    <row r="1314" spans="1:17" x14ac:dyDescent="0.55000000000000004">
      <c r="A1314">
        <v>498</v>
      </c>
      <c r="B1314" t="s">
        <v>226</v>
      </c>
      <c r="C1314">
        <v>4.0000000000000001E-3</v>
      </c>
      <c r="D1314" t="s">
        <v>18</v>
      </c>
      <c r="E1314" t="s">
        <v>4</v>
      </c>
      <c r="F1314" t="s">
        <v>24</v>
      </c>
      <c r="G1314" t="s">
        <v>4</v>
      </c>
      <c r="H1314">
        <v>999.99900000000002</v>
      </c>
      <c r="I1314" t="s">
        <v>461</v>
      </c>
      <c r="K1314">
        <v>105327505</v>
      </c>
      <c r="L1314" s="2">
        <v>43046</v>
      </c>
      <c r="M1314">
        <v>29</v>
      </c>
      <c r="N1314">
        <v>2</v>
      </c>
      <c r="O1314">
        <v>0</v>
      </c>
      <c r="P1314">
        <v>1</v>
      </c>
      <c r="Q1314" t="s">
        <v>21</v>
      </c>
    </row>
    <row r="1315" spans="1:17" x14ac:dyDescent="0.55000000000000004">
      <c r="A1315">
        <v>498</v>
      </c>
      <c r="B1315" t="s">
        <v>226</v>
      </c>
      <c r="C1315">
        <v>1.9E-2</v>
      </c>
      <c r="D1315" t="s">
        <v>23</v>
      </c>
      <c r="E1315" t="s">
        <v>4</v>
      </c>
      <c r="F1315" t="s">
        <v>70</v>
      </c>
      <c r="G1315" t="s">
        <v>4</v>
      </c>
      <c r="H1315">
        <v>999.99900000000002</v>
      </c>
      <c r="I1315" t="s">
        <v>461</v>
      </c>
      <c r="K1315">
        <v>106733694</v>
      </c>
      <c r="L1315" s="2">
        <v>44438</v>
      </c>
      <c r="M1315">
        <v>31</v>
      </c>
      <c r="N1315">
        <v>1</v>
      </c>
      <c r="P1315">
        <v>1</v>
      </c>
      <c r="Q1315" t="s">
        <v>21</v>
      </c>
    </row>
    <row r="1316" spans="1:17" x14ac:dyDescent="0.55000000000000004">
      <c r="A1316">
        <v>498</v>
      </c>
      <c r="B1316" t="s">
        <v>4</v>
      </c>
      <c r="C1316">
        <v>1E-3</v>
      </c>
      <c r="D1316" t="s">
        <v>18</v>
      </c>
      <c r="E1316" t="s">
        <v>4</v>
      </c>
      <c r="F1316" t="s">
        <v>43</v>
      </c>
      <c r="G1316" t="s">
        <v>4</v>
      </c>
      <c r="H1316">
        <v>999.99900000000002</v>
      </c>
      <c r="I1316" t="s">
        <v>461</v>
      </c>
      <c r="K1316">
        <v>105036786</v>
      </c>
      <c r="L1316" s="2">
        <v>42790</v>
      </c>
      <c r="M1316">
        <v>32</v>
      </c>
      <c r="N1316">
        <v>1</v>
      </c>
      <c r="O1316">
        <v>7</v>
      </c>
      <c r="P1316">
        <v>1</v>
      </c>
      <c r="Q1316" t="s">
        <v>21</v>
      </c>
    </row>
    <row r="1317" spans="1:17" x14ac:dyDescent="0.55000000000000004">
      <c r="A1317">
        <v>498</v>
      </c>
      <c r="B1317" t="s">
        <v>389</v>
      </c>
      <c r="C1317">
        <v>0</v>
      </c>
      <c r="D1317" t="s">
        <v>30</v>
      </c>
      <c r="E1317" t="s">
        <v>4</v>
      </c>
      <c r="G1317" t="s">
        <v>4</v>
      </c>
      <c r="H1317">
        <v>999.99900000000002</v>
      </c>
      <c r="I1317" t="s">
        <v>461</v>
      </c>
      <c r="K1317">
        <v>106366155</v>
      </c>
      <c r="L1317" s="2">
        <v>44092</v>
      </c>
      <c r="M1317">
        <v>30</v>
      </c>
      <c r="N1317">
        <v>1</v>
      </c>
      <c r="O1317">
        <v>8</v>
      </c>
      <c r="P1317">
        <v>1</v>
      </c>
      <c r="Q1317" t="s">
        <v>21</v>
      </c>
    </row>
    <row r="1318" spans="1:17" x14ac:dyDescent="0.55000000000000004">
      <c r="A1318">
        <v>0</v>
      </c>
      <c r="B1318" t="s">
        <v>49</v>
      </c>
      <c r="C1318">
        <v>0</v>
      </c>
      <c r="E1318" t="s">
        <v>2</v>
      </c>
      <c r="F1318" t="s">
        <v>1</v>
      </c>
      <c r="G1318" t="s">
        <v>49</v>
      </c>
      <c r="H1318">
        <v>0.97</v>
      </c>
      <c r="I1318" t="s">
        <v>461</v>
      </c>
      <c r="K1318">
        <v>106590673</v>
      </c>
      <c r="L1318" s="2">
        <v>44340</v>
      </c>
      <c r="M1318">
        <v>21</v>
      </c>
      <c r="N1318">
        <v>1</v>
      </c>
      <c r="O1318">
        <v>8</v>
      </c>
      <c r="P1318">
        <v>1</v>
      </c>
      <c r="Q1318" t="s">
        <v>21</v>
      </c>
    </row>
    <row r="1319" spans="1:17" x14ac:dyDescent="0.55000000000000004">
      <c r="A1319">
        <v>0</v>
      </c>
      <c r="B1319" t="s">
        <v>49</v>
      </c>
      <c r="C1319">
        <v>0</v>
      </c>
      <c r="E1319" t="s">
        <v>2</v>
      </c>
      <c r="F1319" t="s">
        <v>271</v>
      </c>
      <c r="G1319" t="s">
        <v>49</v>
      </c>
      <c r="H1319">
        <v>0.97</v>
      </c>
      <c r="I1319" t="s">
        <v>461</v>
      </c>
      <c r="K1319">
        <v>105790055</v>
      </c>
      <c r="L1319" s="2">
        <v>43524</v>
      </c>
      <c r="M1319">
        <v>24</v>
      </c>
      <c r="N1319">
        <v>1</v>
      </c>
      <c r="O1319">
        <v>8</v>
      </c>
      <c r="P1319">
        <v>1</v>
      </c>
      <c r="Q1319" t="s">
        <v>21</v>
      </c>
    </row>
    <row r="1320" spans="1:17" x14ac:dyDescent="0.55000000000000004">
      <c r="A1320">
        <v>414</v>
      </c>
      <c r="B1320" t="s">
        <v>49</v>
      </c>
      <c r="C1320">
        <v>0</v>
      </c>
      <c r="E1320" t="s">
        <v>0</v>
      </c>
      <c r="F1320" t="s">
        <v>24</v>
      </c>
      <c r="G1320" t="s">
        <v>49</v>
      </c>
      <c r="H1320">
        <v>3.0529999999999999</v>
      </c>
      <c r="I1320" t="s">
        <v>461</v>
      </c>
      <c r="K1320">
        <v>104963334</v>
      </c>
      <c r="L1320" s="2">
        <v>42734</v>
      </c>
      <c r="M1320">
        <v>19</v>
      </c>
      <c r="N1320">
        <v>1</v>
      </c>
      <c r="O1320">
        <v>8</v>
      </c>
      <c r="P1320">
        <v>5</v>
      </c>
      <c r="Q1320" t="s">
        <v>21</v>
      </c>
    </row>
    <row r="1321" spans="1:17" x14ac:dyDescent="0.55000000000000004">
      <c r="A1321">
        <v>0</v>
      </c>
      <c r="B1321" t="s">
        <v>49</v>
      </c>
      <c r="C1321">
        <v>0</v>
      </c>
      <c r="E1321" t="s">
        <v>0</v>
      </c>
      <c r="F1321" t="s">
        <v>3</v>
      </c>
      <c r="G1321" t="s">
        <v>49</v>
      </c>
      <c r="H1321">
        <v>3.0529999999999999</v>
      </c>
      <c r="I1321" t="s">
        <v>461</v>
      </c>
      <c r="K1321">
        <v>106305929</v>
      </c>
      <c r="L1321" s="2">
        <v>44055</v>
      </c>
      <c r="M1321">
        <v>21</v>
      </c>
      <c r="N1321">
        <v>2</v>
      </c>
      <c r="O1321">
        <v>8</v>
      </c>
      <c r="P1321">
        <v>1</v>
      </c>
      <c r="Q1321" t="s">
        <v>21</v>
      </c>
    </row>
    <row r="1322" spans="1:17" x14ac:dyDescent="0.55000000000000004">
      <c r="A1322">
        <v>0</v>
      </c>
      <c r="B1322" t="s">
        <v>2</v>
      </c>
      <c r="C1322">
        <v>0.1</v>
      </c>
      <c r="D1322" t="s">
        <v>23</v>
      </c>
      <c r="E1322" t="s">
        <v>322</v>
      </c>
      <c r="F1322" t="s">
        <v>268</v>
      </c>
      <c r="G1322" t="s">
        <v>2</v>
      </c>
      <c r="H1322">
        <v>0.1</v>
      </c>
      <c r="I1322" t="s">
        <v>461</v>
      </c>
      <c r="K1322">
        <v>104934325</v>
      </c>
      <c r="L1322" s="2">
        <v>42704</v>
      </c>
      <c r="M1322">
        <v>19</v>
      </c>
      <c r="N1322">
        <v>2</v>
      </c>
      <c r="O1322">
        <v>0</v>
      </c>
      <c r="P1322">
        <v>5</v>
      </c>
      <c r="Q1322" t="s">
        <v>21</v>
      </c>
    </row>
    <row r="1323" spans="1:17" x14ac:dyDescent="0.55000000000000004">
      <c r="A1323">
        <v>0</v>
      </c>
      <c r="B1323" t="s">
        <v>2</v>
      </c>
      <c r="C1323">
        <v>0.1</v>
      </c>
      <c r="D1323" t="s">
        <v>23</v>
      </c>
      <c r="E1323" t="s">
        <v>322</v>
      </c>
      <c r="F1323" t="s">
        <v>268</v>
      </c>
      <c r="G1323" t="s">
        <v>2</v>
      </c>
      <c r="H1323">
        <v>0.1</v>
      </c>
      <c r="I1323" t="s">
        <v>461</v>
      </c>
      <c r="K1323">
        <v>105183200</v>
      </c>
      <c r="L1323" s="2">
        <v>42952</v>
      </c>
      <c r="M1323">
        <v>19</v>
      </c>
      <c r="N1323">
        <v>1</v>
      </c>
      <c r="O1323">
        <v>0</v>
      </c>
      <c r="P1323">
        <v>1</v>
      </c>
      <c r="Q1323" t="s">
        <v>21</v>
      </c>
    </row>
    <row r="1324" spans="1:17" x14ac:dyDescent="0.55000000000000004">
      <c r="A1324">
        <v>0</v>
      </c>
      <c r="B1324" t="s">
        <v>2</v>
      </c>
      <c r="C1324">
        <v>0.1</v>
      </c>
      <c r="D1324" t="s">
        <v>23</v>
      </c>
      <c r="E1324" t="s">
        <v>322</v>
      </c>
      <c r="F1324" t="s">
        <v>390</v>
      </c>
      <c r="G1324" t="s">
        <v>2</v>
      </c>
      <c r="H1324">
        <v>0.1</v>
      </c>
      <c r="I1324" t="s">
        <v>461</v>
      </c>
      <c r="K1324">
        <v>105296975</v>
      </c>
      <c r="L1324" s="2">
        <v>43061</v>
      </c>
      <c r="M1324">
        <v>19</v>
      </c>
      <c r="N1324">
        <v>2</v>
      </c>
      <c r="O1324">
        <v>0</v>
      </c>
      <c r="P1324">
        <v>5</v>
      </c>
      <c r="Q1324" t="s">
        <v>21</v>
      </c>
    </row>
    <row r="1325" spans="1:17" x14ac:dyDescent="0.55000000000000004">
      <c r="A1325">
        <v>0</v>
      </c>
      <c r="B1325" t="s">
        <v>2</v>
      </c>
      <c r="C1325">
        <v>0.18</v>
      </c>
      <c r="D1325" t="s">
        <v>23</v>
      </c>
      <c r="E1325" t="s">
        <v>322</v>
      </c>
      <c r="F1325" t="s">
        <v>390</v>
      </c>
      <c r="G1325" t="s">
        <v>2</v>
      </c>
      <c r="H1325">
        <v>0.18</v>
      </c>
      <c r="I1325" t="s">
        <v>461</v>
      </c>
      <c r="K1325">
        <v>105149465</v>
      </c>
      <c r="L1325" s="2">
        <v>42916</v>
      </c>
      <c r="M1325">
        <v>27</v>
      </c>
      <c r="N1325">
        <v>2</v>
      </c>
      <c r="O1325">
        <v>0</v>
      </c>
      <c r="P1325">
        <v>5</v>
      </c>
      <c r="Q1325" t="s">
        <v>21</v>
      </c>
    </row>
    <row r="1326" spans="1:17" x14ac:dyDescent="0.55000000000000004">
      <c r="A1326">
        <v>0</v>
      </c>
      <c r="B1326" t="s">
        <v>2</v>
      </c>
      <c r="C1326">
        <v>0.25</v>
      </c>
      <c r="D1326" t="s">
        <v>23</v>
      </c>
      <c r="E1326" t="s">
        <v>322</v>
      </c>
      <c r="F1326" t="s">
        <v>268</v>
      </c>
      <c r="G1326" t="s">
        <v>2</v>
      </c>
      <c r="H1326">
        <v>0.25</v>
      </c>
      <c r="I1326" t="s">
        <v>461</v>
      </c>
      <c r="K1326">
        <v>106154413</v>
      </c>
      <c r="L1326" s="2">
        <v>43872</v>
      </c>
      <c r="M1326">
        <v>19</v>
      </c>
      <c r="N1326">
        <v>2</v>
      </c>
      <c r="O1326">
        <v>0</v>
      </c>
      <c r="P1326">
        <v>1</v>
      </c>
    </row>
    <row r="1327" spans="1:17" x14ac:dyDescent="0.55000000000000004">
      <c r="A1327">
        <v>0</v>
      </c>
      <c r="B1327" t="s">
        <v>2</v>
      </c>
      <c r="C1327">
        <v>0.3</v>
      </c>
      <c r="D1327" t="s">
        <v>23</v>
      </c>
      <c r="E1327" t="s">
        <v>322</v>
      </c>
      <c r="F1327" t="s">
        <v>268</v>
      </c>
      <c r="G1327" t="s">
        <v>2</v>
      </c>
      <c r="H1327">
        <v>0.3</v>
      </c>
      <c r="I1327" t="s">
        <v>461</v>
      </c>
      <c r="K1327">
        <v>106662722</v>
      </c>
      <c r="L1327" s="2">
        <v>44425</v>
      </c>
      <c r="M1327">
        <v>19</v>
      </c>
      <c r="N1327">
        <v>2</v>
      </c>
      <c r="O1327">
        <v>0</v>
      </c>
      <c r="P1327">
        <v>1</v>
      </c>
      <c r="Q1327" t="s">
        <v>15</v>
      </c>
    </row>
    <row r="1328" spans="1:17" x14ac:dyDescent="0.55000000000000004">
      <c r="A1328">
        <v>0</v>
      </c>
      <c r="B1328" t="s">
        <v>2</v>
      </c>
      <c r="C1328">
        <v>0.3</v>
      </c>
      <c r="D1328" t="s">
        <v>23</v>
      </c>
      <c r="E1328" t="s">
        <v>322</v>
      </c>
      <c r="F1328" t="s">
        <v>391</v>
      </c>
      <c r="G1328" t="s">
        <v>2</v>
      </c>
      <c r="H1328">
        <v>0.3</v>
      </c>
      <c r="I1328" t="s">
        <v>461</v>
      </c>
      <c r="K1328">
        <v>105345717</v>
      </c>
      <c r="L1328" s="2">
        <v>43108</v>
      </c>
      <c r="M1328">
        <v>19</v>
      </c>
      <c r="N1328">
        <v>2</v>
      </c>
      <c r="O1328">
        <v>0</v>
      </c>
      <c r="P1328">
        <v>5</v>
      </c>
      <c r="Q1328" t="s">
        <v>21</v>
      </c>
    </row>
    <row r="1329" spans="1:17" x14ac:dyDescent="0.55000000000000004">
      <c r="A1329">
        <v>0</v>
      </c>
      <c r="B1329" t="s">
        <v>2</v>
      </c>
      <c r="C1329">
        <v>0.4</v>
      </c>
      <c r="D1329" t="s">
        <v>23</v>
      </c>
      <c r="E1329" t="s">
        <v>322</v>
      </c>
      <c r="F1329" t="s">
        <v>268</v>
      </c>
      <c r="G1329" t="s">
        <v>2</v>
      </c>
      <c r="H1329">
        <v>0.4</v>
      </c>
      <c r="I1329" t="s">
        <v>461</v>
      </c>
      <c r="K1329">
        <v>105862256</v>
      </c>
      <c r="L1329" s="2">
        <v>43596</v>
      </c>
      <c r="M1329">
        <v>19</v>
      </c>
      <c r="N1329">
        <v>2</v>
      </c>
      <c r="O1329">
        <v>0</v>
      </c>
      <c r="P1329">
        <v>2</v>
      </c>
      <c r="Q1329" t="s">
        <v>15</v>
      </c>
    </row>
    <row r="1330" spans="1:17" x14ac:dyDescent="0.55000000000000004">
      <c r="A1330">
        <v>0</v>
      </c>
      <c r="B1330" t="s">
        <v>2</v>
      </c>
      <c r="C1330">
        <v>0.5</v>
      </c>
      <c r="D1330" t="s">
        <v>23</v>
      </c>
      <c r="E1330" t="s">
        <v>322</v>
      </c>
      <c r="F1330" t="s">
        <v>268</v>
      </c>
      <c r="G1330" t="s">
        <v>2</v>
      </c>
      <c r="H1330">
        <v>0.5</v>
      </c>
      <c r="I1330" t="s">
        <v>461</v>
      </c>
      <c r="K1330">
        <v>105244329</v>
      </c>
      <c r="L1330" s="2">
        <v>43012</v>
      </c>
      <c r="M1330">
        <v>29</v>
      </c>
      <c r="N1330">
        <v>1</v>
      </c>
      <c r="O1330">
        <v>0</v>
      </c>
      <c r="P1330">
        <v>1</v>
      </c>
      <c r="Q1330" t="s">
        <v>21</v>
      </c>
    </row>
    <row r="1331" spans="1:17" x14ac:dyDescent="0.55000000000000004">
      <c r="A1331">
        <v>0</v>
      </c>
      <c r="B1331" t="s">
        <v>2</v>
      </c>
      <c r="C1331">
        <v>0.5</v>
      </c>
      <c r="D1331" t="s">
        <v>23</v>
      </c>
      <c r="E1331" t="s">
        <v>322</v>
      </c>
      <c r="F1331" t="s">
        <v>268</v>
      </c>
      <c r="G1331" t="s">
        <v>2</v>
      </c>
      <c r="H1331">
        <v>0.5</v>
      </c>
      <c r="I1331" t="s">
        <v>461</v>
      </c>
      <c r="K1331">
        <v>106422931</v>
      </c>
      <c r="L1331" s="2">
        <v>44159</v>
      </c>
      <c r="M1331">
        <v>20</v>
      </c>
      <c r="N1331">
        <v>1</v>
      </c>
      <c r="O1331">
        <v>0</v>
      </c>
      <c r="P1331">
        <v>5</v>
      </c>
      <c r="Q1331" t="s">
        <v>21</v>
      </c>
    </row>
    <row r="1332" spans="1:17" x14ac:dyDescent="0.55000000000000004">
      <c r="A1332">
        <v>0</v>
      </c>
      <c r="B1332" t="s">
        <v>2</v>
      </c>
      <c r="C1332">
        <v>0.5</v>
      </c>
      <c r="D1332" t="s">
        <v>23</v>
      </c>
      <c r="E1332" t="s">
        <v>322</v>
      </c>
      <c r="F1332" t="s">
        <v>390</v>
      </c>
      <c r="G1332" t="s">
        <v>2</v>
      </c>
      <c r="H1332">
        <v>0.5</v>
      </c>
      <c r="I1332" t="s">
        <v>461</v>
      </c>
      <c r="K1332">
        <v>106381681</v>
      </c>
      <c r="L1332" s="2">
        <v>44129</v>
      </c>
      <c r="M1332">
        <v>19</v>
      </c>
      <c r="N1332">
        <v>2</v>
      </c>
      <c r="O1332">
        <v>0</v>
      </c>
      <c r="P1332">
        <v>1</v>
      </c>
      <c r="Q1332" t="s">
        <v>21</v>
      </c>
    </row>
    <row r="1333" spans="1:17" x14ac:dyDescent="0.55000000000000004">
      <c r="A1333">
        <v>0</v>
      </c>
      <c r="B1333" t="s">
        <v>2</v>
      </c>
      <c r="C1333">
        <v>0.6</v>
      </c>
      <c r="D1333" t="s">
        <v>23</v>
      </c>
      <c r="E1333" t="s">
        <v>322</v>
      </c>
      <c r="F1333" t="s">
        <v>390</v>
      </c>
      <c r="G1333" t="s">
        <v>2</v>
      </c>
      <c r="H1333">
        <v>0.6</v>
      </c>
      <c r="I1333" t="s">
        <v>461</v>
      </c>
      <c r="K1333">
        <v>106672263</v>
      </c>
      <c r="L1333" s="2">
        <v>44437</v>
      </c>
      <c r="M1333">
        <v>19</v>
      </c>
      <c r="N1333">
        <v>1</v>
      </c>
      <c r="O1333">
        <v>0</v>
      </c>
      <c r="P1333">
        <v>5</v>
      </c>
      <c r="Q1333" t="s">
        <v>21</v>
      </c>
    </row>
    <row r="1334" spans="1:17" x14ac:dyDescent="0.55000000000000004">
      <c r="A1334">
        <v>0</v>
      </c>
      <c r="B1334" t="s">
        <v>2</v>
      </c>
      <c r="C1334">
        <v>0.8</v>
      </c>
      <c r="D1334" t="s">
        <v>23</v>
      </c>
      <c r="E1334" t="s">
        <v>322</v>
      </c>
      <c r="F1334" t="s">
        <v>390</v>
      </c>
      <c r="G1334" t="s">
        <v>2</v>
      </c>
      <c r="H1334">
        <v>0.8</v>
      </c>
      <c r="I1334" t="s">
        <v>461</v>
      </c>
      <c r="K1334">
        <v>105686957</v>
      </c>
      <c r="L1334" s="2">
        <v>43429</v>
      </c>
      <c r="M1334">
        <v>19</v>
      </c>
      <c r="N1334">
        <v>1</v>
      </c>
      <c r="O1334">
        <v>0</v>
      </c>
      <c r="P1334">
        <v>1</v>
      </c>
      <c r="Q1334" t="s">
        <v>21</v>
      </c>
    </row>
    <row r="1335" spans="1:17" x14ac:dyDescent="0.55000000000000004">
      <c r="A1335">
        <v>0</v>
      </c>
      <c r="B1335" t="s">
        <v>2</v>
      </c>
      <c r="C1335">
        <v>0.9</v>
      </c>
      <c r="D1335" t="s">
        <v>23</v>
      </c>
      <c r="E1335" t="s">
        <v>322</v>
      </c>
      <c r="F1335" t="s">
        <v>390</v>
      </c>
      <c r="G1335" t="s">
        <v>2</v>
      </c>
      <c r="H1335">
        <v>0.9</v>
      </c>
      <c r="I1335" t="s">
        <v>461</v>
      </c>
      <c r="K1335">
        <v>106115002</v>
      </c>
      <c r="L1335" s="2">
        <v>43834</v>
      </c>
      <c r="M1335">
        <v>17</v>
      </c>
      <c r="N1335">
        <v>2</v>
      </c>
      <c r="O1335">
        <v>0</v>
      </c>
      <c r="P1335">
        <v>1</v>
      </c>
      <c r="Q1335" t="s">
        <v>21</v>
      </c>
    </row>
    <row r="1336" spans="1:17" x14ac:dyDescent="0.55000000000000004">
      <c r="A1336">
        <v>0</v>
      </c>
      <c r="B1336" t="s">
        <v>2</v>
      </c>
      <c r="C1336">
        <v>0.3</v>
      </c>
      <c r="D1336" t="s">
        <v>18</v>
      </c>
      <c r="E1336" t="s">
        <v>390</v>
      </c>
      <c r="F1336" t="s">
        <v>322</v>
      </c>
      <c r="G1336" t="s">
        <v>2</v>
      </c>
      <c r="H1336">
        <v>0.97199999999999998</v>
      </c>
      <c r="I1336" t="s">
        <v>461</v>
      </c>
      <c r="K1336">
        <v>105688426</v>
      </c>
      <c r="L1336" s="2">
        <v>43430</v>
      </c>
      <c r="M1336">
        <v>19</v>
      </c>
      <c r="N1336">
        <v>2</v>
      </c>
      <c r="O1336">
        <v>0</v>
      </c>
      <c r="P1336">
        <v>5</v>
      </c>
      <c r="Q1336" t="s">
        <v>15</v>
      </c>
    </row>
    <row r="1337" spans="1:17" x14ac:dyDescent="0.55000000000000004">
      <c r="A1337">
        <v>0</v>
      </c>
      <c r="B1337" t="s">
        <v>2</v>
      </c>
      <c r="C1337">
        <v>1</v>
      </c>
      <c r="D1337" t="s">
        <v>23</v>
      </c>
      <c r="E1337" t="s">
        <v>322</v>
      </c>
      <c r="F1337" t="s">
        <v>268</v>
      </c>
      <c r="G1337" t="s">
        <v>2</v>
      </c>
      <c r="H1337">
        <v>1</v>
      </c>
      <c r="I1337" t="s">
        <v>461</v>
      </c>
      <c r="K1337">
        <v>105553289</v>
      </c>
      <c r="L1337" s="2">
        <v>43304</v>
      </c>
      <c r="M1337">
        <v>29</v>
      </c>
      <c r="N1337">
        <v>2</v>
      </c>
      <c r="O1337">
        <v>0</v>
      </c>
      <c r="P1337">
        <v>1</v>
      </c>
      <c r="Q1337" t="s">
        <v>21</v>
      </c>
    </row>
    <row r="1338" spans="1:17" x14ac:dyDescent="0.55000000000000004">
      <c r="A1338">
        <v>0</v>
      </c>
      <c r="B1338" t="s">
        <v>2</v>
      </c>
      <c r="C1338">
        <v>1</v>
      </c>
      <c r="D1338" t="s">
        <v>23</v>
      </c>
      <c r="E1338" t="s">
        <v>322</v>
      </c>
      <c r="F1338" t="s">
        <v>390</v>
      </c>
      <c r="G1338" t="s">
        <v>2</v>
      </c>
      <c r="H1338">
        <v>1</v>
      </c>
      <c r="I1338" t="s">
        <v>461</v>
      </c>
      <c r="K1338">
        <v>105316372</v>
      </c>
      <c r="L1338" s="2">
        <v>43077</v>
      </c>
      <c r="M1338">
        <v>29</v>
      </c>
      <c r="N1338">
        <v>5</v>
      </c>
      <c r="O1338">
        <v>0</v>
      </c>
      <c r="P1338">
        <v>5</v>
      </c>
      <c r="Q1338" t="s">
        <v>21</v>
      </c>
    </row>
    <row r="1339" spans="1:17" x14ac:dyDescent="0.55000000000000004">
      <c r="A1339">
        <v>0</v>
      </c>
      <c r="B1339" t="s">
        <v>2</v>
      </c>
      <c r="C1339">
        <v>1</v>
      </c>
      <c r="D1339" t="s">
        <v>23</v>
      </c>
      <c r="E1339" t="s">
        <v>322</v>
      </c>
      <c r="F1339" t="s">
        <v>390</v>
      </c>
      <c r="G1339" t="s">
        <v>2</v>
      </c>
      <c r="H1339">
        <v>1</v>
      </c>
      <c r="I1339" t="s">
        <v>461</v>
      </c>
      <c r="K1339">
        <v>106472472</v>
      </c>
      <c r="L1339" s="2">
        <v>44216</v>
      </c>
      <c r="M1339">
        <v>19</v>
      </c>
      <c r="N1339">
        <v>1</v>
      </c>
      <c r="O1339">
        <v>4</v>
      </c>
      <c r="P1339">
        <v>1</v>
      </c>
      <c r="Q1339" t="s">
        <v>21</v>
      </c>
    </row>
    <row r="1340" spans="1:17" x14ac:dyDescent="0.55000000000000004">
      <c r="A1340">
        <v>0</v>
      </c>
      <c r="B1340" t="s">
        <v>2</v>
      </c>
      <c r="C1340">
        <v>0.11</v>
      </c>
      <c r="D1340" t="s">
        <v>30</v>
      </c>
      <c r="E1340" t="s">
        <v>390</v>
      </c>
      <c r="F1340" t="s">
        <v>322</v>
      </c>
      <c r="G1340" t="s">
        <v>2</v>
      </c>
      <c r="H1340">
        <v>1.1619999999999999</v>
      </c>
      <c r="I1340" t="s">
        <v>461</v>
      </c>
      <c r="K1340">
        <v>106551482</v>
      </c>
      <c r="L1340" s="2">
        <v>44305</v>
      </c>
      <c r="M1340">
        <v>19</v>
      </c>
      <c r="N1340">
        <v>1</v>
      </c>
      <c r="O1340">
        <v>0</v>
      </c>
      <c r="P1340">
        <v>5</v>
      </c>
      <c r="Q1340" t="s">
        <v>21</v>
      </c>
    </row>
    <row r="1341" spans="1:17" x14ac:dyDescent="0.55000000000000004">
      <c r="A1341">
        <v>0</v>
      </c>
      <c r="B1341" t="s">
        <v>2</v>
      </c>
      <c r="C1341">
        <v>0.1</v>
      </c>
      <c r="D1341" t="s">
        <v>30</v>
      </c>
      <c r="E1341" t="s">
        <v>390</v>
      </c>
      <c r="F1341" t="s">
        <v>322</v>
      </c>
      <c r="G1341" t="s">
        <v>2</v>
      </c>
      <c r="H1341">
        <v>1.1719999999999999</v>
      </c>
      <c r="I1341" t="s">
        <v>461</v>
      </c>
      <c r="K1341">
        <v>105661597</v>
      </c>
      <c r="L1341" s="2">
        <v>43408</v>
      </c>
      <c r="M1341">
        <v>19</v>
      </c>
      <c r="N1341">
        <v>1</v>
      </c>
      <c r="O1341">
        <v>0</v>
      </c>
      <c r="P1341">
        <v>1</v>
      </c>
      <c r="Q1341" t="s">
        <v>21</v>
      </c>
    </row>
    <row r="1342" spans="1:17" x14ac:dyDescent="0.55000000000000004">
      <c r="A1342">
        <v>0</v>
      </c>
      <c r="B1342" t="s">
        <v>2</v>
      </c>
      <c r="C1342">
        <v>0.7</v>
      </c>
      <c r="D1342" t="s">
        <v>30</v>
      </c>
      <c r="E1342" t="s">
        <v>268</v>
      </c>
      <c r="F1342" t="s">
        <v>322</v>
      </c>
      <c r="G1342" t="s">
        <v>2</v>
      </c>
      <c r="H1342">
        <v>1.274</v>
      </c>
      <c r="I1342" t="s">
        <v>461</v>
      </c>
      <c r="K1342">
        <v>105829152</v>
      </c>
      <c r="L1342" s="2">
        <v>43564</v>
      </c>
      <c r="M1342">
        <v>19</v>
      </c>
      <c r="N1342">
        <v>2</v>
      </c>
      <c r="O1342">
        <v>0</v>
      </c>
      <c r="P1342">
        <v>5</v>
      </c>
    </row>
    <row r="1343" spans="1:17" x14ac:dyDescent="0.55000000000000004">
      <c r="A1343">
        <v>0</v>
      </c>
      <c r="B1343" t="s">
        <v>2</v>
      </c>
      <c r="C1343">
        <v>8.9999999999999993E-3</v>
      </c>
      <c r="D1343" t="s">
        <v>68</v>
      </c>
      <c r="E1343" t="s">
        <v>390</v>
      </c>
      <c r="F1343" t="s">
        <v>391</v>
      </c>
      <c r="G1343" t="s">
        <v>2</v>
      </c>
      <c r="H1343">
        <v>1.2809999999999999</v>
      </c>
      <c r="I1343" t="s">
        <v>461</v>
      </c>
      <c r="K1343">
        <v>105417160</v>
      </c>
      <c r="L1343" s="2">
        <v>43178</v>
      </c>
      <c r="M1343">
        <v>19</v>
      </c>
      <c r="N1343">
        <v>2</v>
      </c>
      <c r="O1343">
        <v>0</v>
      </c>
      <c r="P1343">
        <v>1</v>
      </c>
      <c r="Q1343" t="s">
        <v>15</v>
      </c>
    </row>
    <row r="1344" spans="1:17" x14ac:dyDescent="0.55000000000000004">
      <c r="A1344">
        <v>0</v>
      </c>
      <c r="B1344" t="s">
        <v>2</v>
      </c>
      <c r="C1344">
        <v>2.3E-2</v>
      </c>
      <c r="D1344" t="s">
        <v>68</v>
      </c>
      <c r="E1344" t="s">
        <v>390</v>
      </c>
      <c r="F1344" t="s">
        <v>391</v>
      </c>
      <c r="G1344" t="s">
        <v>2</v>
      </c>
      <c r="H1344">
        <v>1.2949999999999999</v>
      </c>
      <c r="I1344" t="s">
        <v>461</v>
      </c>
      <c r="K1344">
        <v>106055051</v>
      </c>
      <c r="L1344" s="2">
        <v>43777</v>
      </c>
      <c r="M1344">
        <v>17</v>
      </c>
      <c r="N1344">
        <v>1</v>
      </c>
      <c r="O1344">
        <v>0</v>
      </c>
      <c r="P1344">
        <v>5</v>
      </c>
      <c r="Q1344" t="s">
        <v>21</v>
      </c>
    </row>
    <row r="1345" spans="1:17" x14ac:dyDescent="0.55000000000000004">
      <c r="A1345">
        <v>0</v>
      </c>
      <c r="B1345" t="s">
        <v>2</v>
      </c>
      <c r="C1345">
        <v>0.5</v>
      </c>
      <c r="D1345" t="s">
        <v>30</v>
      </c>
      <c r="E1345" t="s">
        <v>391</v>
      </c>
      <c r="F1345" t="s">
        <v>390</v>
      </c>
      <c r="G1345" t="s">
        <v>2</v>
      </c>
      <c r="H1345">
        <v>1.3380000000000001</v>
      </c>
      <c r="I1345" t="s">
        <v>461</v>
      </c>
      <c r="K1345">
        <v>106174986</v>
      </c>
      <c r="L1345" s="2">
        <v>43892</v>
      </c>
      <c r="M1345">
        <v>19</v>
      </c>
      <c r="N1345">
        <v>1</v>
      </c>
      <c r="O1345">
        <v>0</v>
      </c>
      <c r="P1345">
        <v>1</v>
      </c>
      <c r="Q1345" t="s">
        <v>15</v>
      </c>
    </row>
    <row r="1346" spans="1:17" x14ac:dyDescent="0.55000000000000004">
      <c r="A1346">
        <v>0</v>
      </c>
      <c r="B1346" t="s">
        <v>2</v>
      </c>
      <c r="C1346">
        <v>0.4</v>
      </c>
      <c r="D1346" t="s">
        <v>18</v>
      </c>
      <c r="E1346" t="s">
        <v>391</v>
      </c>
      <c r="F1346" t="s">
        <v>390</v>
      </c>
      <c r="G1346" t="s">
        <v>2</v>
      </c>
      <c r="H1346">
        <v>1.4379999999999999</v>
      </c>
      <c r="I1346" t="s">
        <v>461</v>
      </c>
      <c r="K1346">
        <v>106291239</v>
      </c>
      <c r="L1346" s="2">
        <v>44040</v>
      </c>
      <c r="M1346">
        <v>19</v>
      </c>
      <c r="N1346">
        <v>1</v>
      </c>
      <c r="O1346">
        <v>0</v>
      </c>
      <c r="P1346">
        <v>1</v>
      </c>
      <c r="Q1346" t="s">
        <v>21</v>
      </c>
    </row>
    <row r="1347" spans="1:17" x14ac:dyDescent="0.55000000000000004">
      <c r="A1347">
        <v>0</v>
      </c>
      <c r="B1347" t="s">
        <v>2</v>
      </c>
      <c r="C1347">
        <v>0.5</v>
      </c>
      <c r="D1347" t="s">
        <v>18</v>
      </c>
      <c r="E1347" t="s">
        <v>268</v>
      </c>
      <c r="F1347" t="s">
        <v>322</v>
      </c>
      <c r="G1347" t="s">
        <v>2</v>
      </c>
      <c r="H1347">
        <v>1.474</v>
      </c>
      <c r="I1347" t="s">
        <v>461</v>
      </c>
      <c r="K1347">
        <v>106196970</v>
      </c>
      <c r="L1347" s="2">
        <v>43922</v>
      </c>
      <c r="M1347">
        <v>19</v>
      </c>
      <c r="N1347">
        <v>1</v>
      </c>
      <c r="O1347">
        <v>0</v>
      </c>
      <c r="P1347">
        <v>5</v>
      </c>
      <c r="Q1347" t="s">
        <v>21</v>
      </c>
    </row>
    <row r="1348" spans="1:17" x14ac:dyDescent="0.55000000000000004">
      <c r="A1348">
        <v>0</v>
      </c>
      <c r="B1348" t="s">
        <v>2</v>
      </c>
      <c r="C1348">
        <v>0.3</v>
      </c>
      <c r="D1348" t="s">
        <v>30</v>
      </c>
      <c r="E1348" t="s">
        <v>391</v>
      </c>
      <c r="F1348" t="s">
        <v>390</v>
      </c>
      <c r="G1348" t="s">
        <v>2</v>
      </c>
      <c r="H1348">
        <v>1.538</v>
      </c>
      <c r="I1348" t="s">
        <v>461</v>
      </c>
      <c r="K1348">
        <v>105141761</v>
      </c>
      <c r="L1348" s="2">
        <v>42911</v>
      </c>
      <c r="M1348">
        <v>23</v>
      </c>
      <c r="N1348">
        <v>1</v>
      </c>
      <c r="O1348">
        <v>4</v>
      </c>
      <c r="P1348">
        <v>1</v>
      </c>
      <c r="Q1348" t="s">
        <v>15</v>
      </c>
    </row>
    <row r="1349" spans="1:17" x14ac:dyDescent="0.55000000000000004">
      <c r="A1349">
        <v>0</v>
      </c>
      <c r="B1349" t="s">
        <v>2</v>
      </c>
      <c r="C1349">
        <v>5.0000000000000001E-3</v>
      </c>
      <c r="D1349" t="s">
        <v>23</v>
      </c>
      <c r="E1349" t="s">
        <v>268</v>
      </c>
      <c r="F1349" t="s">
        <v>392</v>
      </c>
      <c r="G1349" t="s">
        <v>2</v>
      </c>
      <c r="H1349">
        <v>1.9790000000000001</v>
      </c>
      <c r="I1349" t="s">
        <v>461</v>
      </c>
      <c r="K1349">
        <v>106364924</v>
      </c>
      <c r="L1349" s="2">
        <v>44116</v>
      </c>
      <c r="M1349">
        <v>18</v>
      </c>
      <c r="N1349">
        <v>1</v>
      </c>
      <c r="O1349">
        <v>8</v>
      </c>
      <c r="P1349">
        <v>1</v>
      </c>
      <c r="Q1349" t="s">
        <v>21</v>
      </c>
    </row>
    <row r="1350" spans="1:17" x14ac:dyDescent="0.55000000000000004">
      <c r="A1350">
        <v>0</v>
      </c>
      <c r="B1350" t="s">
        <v>2</v>
      </c>
      <c r="C1350">
        <v>0.1</v>
      </c>
      <c r="D1350" t="s">
        <v>23</v>
      </c>
      <c r="E1350" t="s">
        <v>268</v>
      </c>
      <c r="F1350" t="s">
        <v>392</v>
      </c>
      <c r="G1350" t="s">
        <v>2</v>
      </c>
      <c r="H1350">
        <v>2.0739999999999998</v>
      </c>
      <c r="I1350" t="s">
        <v>461</v>
      </c>
      <c r="K1350">
        <v>106534812</v>
      </c>
      <c r="L1350" s="2">
        <v>44289</v>
      </c>
      <c r="M1350">
        <v>17</v>
      </c>
      <c r="N1350">
        <v>1</v>
      </c>
      <c r="O1350">
        <v>0</v>
      </c>
      <c r="P1350">
        <v>3</v>
      </c>
      <c r="Q1350" t="s">
        <v>21</v>
      </c>
    </row>
    <row r="1351" spans="1:17" x14ac:dyDescent="0.55000000000000004">
      <c r="A1351">
        <v>0</v>
      </c>
      <c r="B1351" t="s">
        <v>2</v>
      </c>
      <c r="C1351">
        <v>0.2</v>
      </c>
      <c r="D1351" t="s">
        <v>23</v>
      </c>
      <c r="E1351" t="s">
        <v>268</v>
      </c>
      <c r="F1351" t="s">
        <v>322</v>
      </c>
      <c r="G1351" t="s">
        <v>2</v>
      </c>
      <c r="H1351">
        <v>2.1739999999999999</v>
      </c>
      <c r="I1351" t="s">
        <v>461</v>
      </c>
      <c r="K1351">
        <v>104865969</v>
      </c>
      <c r="L1351" s="2">
        <v>42643</v>
      </c>
      <c r="M1351">
        <v>17</v>
      </c>
      <c r="N1351">
        <v>1</v>
      </c>
      <c r="O1351">
        <v>0</v>
      </c>
      <c r="P1351">
        <v>3</v>
      </c>
      <c r="Q1351" t="s">
        <v>21</v>
      </c>
    </row>
    <row r="1352" spans="1:17" x14ac:dyDescent="0.55000000000000004">
      <c r="A1352">
        <v>0</v>
      </c>
      <c r="B1352" t="s">
        <v>2</v>
      </c>
      <c r="C1352">
        <v>0.2</v>
      </c>
      <c r="D1352" t="s">
        <v>23</v>
      </c>
      <c r="E1352" t="s">
        <v>268</v>
      </c>
      <c r="F1352" t="s">
        <v>392</v>
      </c>
      <c r="G1352" t="s">
        <v>2</v>
      </c>
      <c r="H1352">
        <v>2.1739999999999999</v>
      </c>
      <c r="I1352" t="s">
        <v>461</v>
      </c>
      <c r="K1352">
        <v>105441278</v>
      </c>
      <c r="L1352" s="2">
        <v>43199</v>
      </c>
      <c r="M1352">
        <v>19</v>
      </c>
      <c r="N1352">
        <v>1</v>
      </c>
      <c r="O1352">
        <v>0</v>
      </c>
      <c r="P1352">
        <v>5</v>
      </c>
      <c r="Q1352" t="s">
        <v>21</v>
      </c>
    </row>
    <row r="1353" spans="1:17" x14ac:dyDescent="0.55000000000000004">
      <c r="A1353">
        <v>0</v>
      </c>
      <c r="B1353" t="s">
        <v>2</v>
      </c>
      <c r="C1353">
        <v>0</v>
      </c>
      <c r="E1353" t="s">
        <v>200</v>
      </c>
      <c r="F1353" t="s">
        <v>319</v>
      </c>
      <c r="G1353" t="s">
        <v>2</v>
      </c>
      <c r="H1353">
        <v>2.919</v>
      </c>
      <c r="I1353" t="s">
        <v>461</v>
      </c>
      <c r="K1353">
        <v>105229535</v>
      </c>
      <c r="L1353" s="2">
        <v>43000</v>
      </c>
      <c r="M1353">
        <v>26</v>
      </c>
      <c r="N1353">
        <v>1</v>
      </c>
      <c r="O1353">
        <v>8</v>
      </c>
      <c r="P1353">
        <v>1</v>
      </c>
      <c r="Q1353" t="s">
        <v>21</v>
      </c>
    </row>
    <row r="1354" spans="1:17" x14ac:dyDescent="0.55000000000000004">
      <c r="A1354">
        <v>0</v>
      </c>
      <c r="B1354" t="s">
        <v>2</v>
      </c>
      <c r="C1354">
        <v>0</v>
      </c>
      <c r="E1354" t="s">
        <v>49</v>
      </c>
      <c r="F1354" t="s">
        <v>202</v>
      </c>
      <c r="G1354" t="s">
        <v>2</v>
      </c>
      <c r="H1354">
        <v>4.625</v>
      </c>
      <c r="I1354" t="s">
        <v>461</v>
      </c>
      <c r="K1354">
        <v>104960966</v>
      </c>
      <c r="L1354" s="2">
        <v>42731</v>
      </c>
      <c r="M1354">
        <v>30</v>
      </c>
      <c r="N1354">
        <v>1</v>
      </c>
      <c r="O1354">
        <v>0</v>
      </c>
      <c r="P1354">
        <v>5</v>
      </c>
      <c r="Q1354" t="s">
        <v>21</v>
      </c>
    </row>
    <row r="1355" spans="1:17" x14ac:dyDescent="0.55000000000000004">
      <c r="A1355">
        <v>0</v>
      </c>
      <c r="B1355" t="s">
        <v>2</v>
      </c>
      <c r="C1355">
        <v>0</v>
      </c>
      <c r="E1355" t="s">
        <v>49</v>
      </c>
      <c r="F1355" t="s">
        <v>393</v>
      </c>
      <c r="G1355" t="s">
        <v>2</v>
      </c>
      <c r="H1355">
        <v>4.625</v>
      </c>
      <c r="I1355" t="s">
        <v>461</v>
      </c>
      <c r="K1355">
        <v>104843964</v>
      </c>
      <c r="L1355" s="2">
        <v>42622</v>
      </c>
      <c r="M1355">
        <v>21</v>
      </c>
      <c r="N1355">
        <v>1</v>
      </c>
      <c r="O1355">
        <v>8</v>
      </c>
      <c r="P1355">
        <v>1</v>
      </c>
      <c r="Q1355" t="s">
        <v>15</v>
      </c>
    </row>
    <row r="1356" spans="1:17" x14ac:dyDescent="0.55000000000000004">
      <c r="A1356">
        <v>0</v>
      </c>
      <c r="B1356" t="s">
        <v>2</v>
      </c>
      <c r="C1356">
        <v>0.6</v>
      </c>
      <c r="D1356" t="s">
        <v>30</v>
      </c>
      <c r="E1356" t="s">
        <v>394</v>
      </c>
      <c r="F1356" t="s">
        <v>322</v>
      </c>
      <c r="G1356" t="s">
        <v>2</v>
      </c>
      <c r="H1356">
        <v>999.99900000000002</v>
      </c>
      <c r="I1356" t="s">
        <v>461</v>
      </c>
      <c r="K1356">
        <v>105903309</v>
      </c>
      <c r="L1356" s="2">
        <v>43638</v>
      </c>
      <c r="M1356">
        <v>19</v>
      </c>
      <c r="N1356">
        <v>2</v>
      </c>
      <c r="O1356">
        <v>0</v>
      </c>
      <c r="P1356">
        <v>1</v>
      </c>
      <c r="Q1356" t="s">
        <v>15</v>
      </c>
    </row>
    <row r="1357" spans="1:17" x14ac:dyDescent="0.55000000000000004">
      <c r="A1357">
        <v>0</v>
      </c>
      <c r="B1357" t="s">
        <v>2</v>
      </c>
      <c r="C1357">
        <v>0.1</v>
      </c>
      <c r="D1357" t="s">
        <v>68</v>
      </c>
      <c r="E1357" t="s">
        <v>395</v>
      </c>
      <c r="F1357" t="s">
        <v>396</v>
      </c>
      <c r="G1357" t="s">
        <v>2</v>
      </c>
      <c r="H1357">
        <v>999.99900000000002</v>
      </c>
      <c r="I1357" t="s">
        <v>461</v>
      </c>
      <c r="K1357">
        <v>106468516</v>
      </c>
      <c r="L1357" s="2">
        <v>44215</v>
      </c>
      <c r="M1357">
        <v>17</v>
      </c>
      <c r="N1357">
        <v>1</v>
      </c>
      <c r="O1357">
        <v>0</v>
      </c>
      <c r="P1357">
        <v>5</v>
      </c>
      <c r="Q1357" t="s">
        <v>21</v>
      </c>
    </row>
    <row r="1358" spans="1:17" x14ac:dyDescent="0.55000000000000004">
      <c r="A1358">
        <v>0</v>
      </c>
      <c r="B1358" t="s">
        <v>2</v>
      </c>
      <c r="C1358">
        <v>4.7E-2</v>
      </c>
      <c r="D1358" t="s">
        <v>30</v>
      </c>
      <c r="E1358" t="s">
        <v>277</v>
      </c>
      <c r="F1358" t="s">
        <v>322</v>
      </c>
      <c r="G1358" t="s">
        <v>2</v>
      </c>
      <c r="H1358">
        <v>999.99900000000002</v>
      </c>
      <c r="I1358" t="s">
        <v>461</v>
      </c>
      <c r="K1358">
        <v>106220986</v>
      </c>
      <c r="L1358" s="2">
        <v>43959</v>
      </c>
      <c r="M1358">
        <v>19</v>
      </c>
      <c r="N1358">
        <v>2</v>
      </c>
      <c r="O1358">
        <v>0</v>
      </c>
      <c r="P1358">
        <v>1</v>
      </c>
      <c r="Q1358" t="s">
        <v>21</v>
      </c>
    </row>
    <row r="1359" spans="1:17" x14ac:dyDescent="0.55000000000000004">
      <c r="A1359">
        <v>414</v>
      </c>
      <c r="B1359" t="s">
        <v>198</v>
      </c>
      <c r="C1359">
        <v>0</v>
      </c>
      <c r="E1359" t="s">
        <v>0</v>
      </c>
      <c r="F1359" t="s">
        <v>199</v>
      </c>
      <c r="G1359" t="s">
        <v>198</v>
      </c>
      <c r="H1359">
        <v>0</v>
      </c>
      <c r="I1359" t="s">
        <v>461</v>
      </c>
      <c r="K1359">
        <v>105676331</v>
      </c>
      <c r="L1359" s="2">
        <v>43418</v>
      </c>
      <c r="M1359">
        <v>24</v>
      </c>
      <c r="N1359">
        <v>2</v>
      </c>
      <c r="O1359">
        <v>8</v>
      </c>
      <c r="P1359">
        <v>5</v>
      </c>
      <c r="Q1359" t="s">
        <v>21</v>
      </c>
    </row>
    <row r="1360" spans="1:17" x14ac:dyDescent="0.55000000000000004">
      <c r="A1360">
        <v>0</v>
      </c>
      <c r="B1360" t="s">
        <v>135</v>
      </c>
      <c r="C1360">
        <v>0</v>
      </c>
      <c r="E1360" t="s">
        <v>1</v>
      </c>
      <c r="F1360" t="s">
        <v>397</v>
      </c>
      <c r="G1360" t="s">
        <v>135</v>
      </c>
      <c r="H1360">
        <v>8.0280000000000005</v>
      </c>
      <c r="I1360" t="s">
        <v>461</v>
      </c>
      <c r="K1360">
        <v>105656756</v>
      </c>
      <c r="L1360" s="2">
        <v>43396</v>
      </c>
      <c r="M1360">
        <v>21</v>
      </c>
      <c r="N1360">
        <v>1</v>
      </c>
      <c r="O1360">
        <v>8</v>
      </c>
      <c r="P1360">
        <v>1</v>
      </c>
      <c r="Q1360" t="s">
        <v>21</v>
      </c>
    </row>
    <row r="1361" spans="1:17" x14ac:dyDescent="0.55000000000000004">
      <c r="A1361">
        <v>0</v>
      </c>
      <c r="B1361" t="s">
        <v>135</v>
      </c>
      <c r="C1361">
        <v>0</v>
      </c>
      <c r="E1361" t="s">
        <v>1</v>
      </c>
      <c r="F1361" t="s">
        <v>398</v>
      </c>
      <c r="G1361" t="s">
        <v>135</v>
      </c>
      <c r="H1361">
        <v>8.0280000000000005</v>
      </c>
      <c r="I1361" t="s">
        <v>461</v>
      </c>
      <c r="K1361">
        <v>104934205</v>
      </c>
      <c r="L1361" s="2">
        <v>42705</v>
      </c>
      <c r="M1361">
        <v>21</v>
      </c>
      <c r="N1361">
        <v>1</v>
      </c>
      <c r="O1361">
        <v>7</v>
      </c>
      <c r="P1361">
        <v>2</v>
      </c>
      <c r="Q1361" t="s">
        <v>21</v>
      </c>
    </row>
    <row r="1362" spans="1:17" x14ac:dyDescent="0.55000000000000004">
      <c r="A1362">
        <v>0</v>
      </c>
      <c r="B1362" t="s">
        <v>135</v>
      </c>
      <c r="C1362">
        <v>0</v>
      </c>
      <c r="E1362" t="s">
        <v>1</v>
      </c>
      <c r="F1362" t="s">
        <v>58</v>
      </c>
      <c r="G1362" t="s">
        <v>135</v>
      </c>
      <c r="H1362">
        <v>8.0280000000000005</v>
      </c>
      <c r="I1362" t="s">
        <v>461</v>
      </c>
      <c r="K1362">
        <v>105538488</v>
      </c>
      <c r="L1362" s="2">
        <v>43291</v>
      </c>
      <c r="M1362">
        <v>21</v>
      </c>
      <c r="N1362">
        <v>1</v>
      </c>
      <c r="O1362">
        <v>7</v>
      </c>
      <c r="P1362">
        <v>1</v>
      </c>
      <c r="Q1362" t="s">
        <v>21</v>
      </c>
    </row>
    <row r="1363" spans="1:17" x14ac:dyDescent="0.55000000000000004">
      <c r="A1363">
        <v>0</v>
      </c>
      <c r="B1363" t="s">
        <v>340</v>
      </c>
      <c r="C1363">
        <v>6.0000000000000001E-3</v>
      </c>
      <c r="D1363" t="s">
        <v>23</v>
      </c>
      <c r="E1363" t="s">
        <v>1</v>
      </c>
      <c r="F1363" t="s">
        <v>399</v>
      </c>
      <c r="G1363" t="s">
        <v>340</v>
      </c>
      <c r="H1363">
        <v>6.0000000000000001E-3</v>
      </c>
      <c r="I1363" t="s">
        <v>461</v>
      </c>
      <c r="J1363" t="s">
        <v>174</v>
      </c>
      <c r="K1363">
        <v>106669416</v>
      </c>
      <c r="L1363" s="2">
        <v>44420</v>
      </c>
      <c r="M1363">
        <v>19</v>
      </c>
      <c r="N1363">
        <v>1</v>
      </c>
      <c r="O1363">
        <v>8</v>
      </c>
      <c r="P1363">
        <v>5</v>
      </c>
      <c r="Q1363" t="s">
        <v>21</v>
      </c>
    </row>
    <row r="1364" spans="1:17" x14ac:dyDescent="0.55000000000000004">
      <c r="A1364">
        <v>0</v>
      </c>
      <c r="B1364" t="s">
        <v>51</v>
      </c>
      <c r="C1364">
        <v>0</v>
      </c>
      <c r="E1364" t="s">
        <v>1</v>
      </c>
      <c r="F1364" t="s">
        <v>352</v>
      </c>
      <c r="G1364" t="s">
        <v>51</v>
      </c>
      <c r="H1364">
        <v>999.99900000000002</v>
      </c>
      <c r="I1364" t="s">
        <v>461</v>
      </c>
      <c r="K1364">
        <v>105273598</v>
      </c>
      <c r="L1364" s="2">
        <v>43040</v>
      </c>
      <c r="M1364">
        <v>24</v>
      </c>
      <c r="N1364">
        <v>1</v>
      </c>
      <c r="O1364">
        <v>7</v>
      </c>
      <c r="P1364">
        <v>1</v>
      </c>
      <c r="Q1364" t="s">
        <v>21</v>
      </c>
    </row>
    <row r="1365" spans="1:17" x14ac:dyDescent="0.55000000000000004">
      <c r="A1365">
        <v>0</v>
      </c>
      <c r="B1365" t="s">
        <v>361</v>
      </c>
      <c r="C1365">
        <v>0.02</v>
      </c>
      <c r="D1365" t="s">
        <v>30</v>
      </c>
      <c r="E1365" t="s">
        <v>1</v>
      </c>
      <c r="F1365" t="s">
        <v>367</v>
      </c>
      <c r="G1365" t="s">
        <v>361</v>
      </c>
      <c r="H1365">
        <v>0</v>
      </c>
      <c r="I1365" t="s">
        <v>461</v>
      </c>
      <c r="K1365">
        <v>105058643</v>
      </c>
      <c r="L1365" s="2">
        <v>42826</v>
      </c>
      <c r="M1365">
        <v>29</v>
      </c>
      <c r="N1365">
        <v>1</v>
      </c>
      <c r="O1365">
        <v>0</v>
      </c>
      <c r="P1365">
        <v>5</v>
      </c>
      <c r="Q1365" t="s">
        <v>21</v>
      </c>
    </row>
    <row r="1366" spans="1:17" x14ac:dyDescent="0.55000000000000004">
      <c r="A1366">
        <v>0</v>
      </c>
      <c r="B1366" t="s">
        <v>144</v>
      </c>
      <c r="C1366">
        <v>8.9999999999999993E-3</v>
      </c>
      <c r="D1366" t="s">
        <v>30</v>
      </c>
      <c r="E1366" t="s">
        <v>1</v>
      </c>
      <c r="F1366" t="s">
        <v>159</v>
      </c>
      <c r="G1366" t="s">
        <v>144</v>
      </c>
      <c r="H1366">
        <v>2.2069999999999999</v>
      </c>
      <c r="I1366" t="s">
        <v>461</v>
      </c>
      <c r="K1366">
        <v>105342682</v>
      </c>
      <c r="L1366" s="2">
        <v>43104</v>
      </c>
      <c r="M1366">
        <v>21</v>
      </c>
      <c r="N1366">
        <v>1</v>
      </c>
      <c r="O1366">
        <v>7</v>
      </c>
      <c r="P1366">
        <v>1</v>
      </c>
      <c r="Q1366" t="s">
        <v>21</v>
      </c>
    </row>
    <row r="1367" spans="1:17" x14ac:dyDescent="0.55000000000000004">
      <c r="A1367">
        <v>0</v>
      </c>
      <c r="B1367" t="s">
        <v>345</v>
      </c>
      <c r="C1367">
        <v>0</v>
      </c>
      <c r="E1367" t="s">
        <v>1</v>
      </c>
      <c r="F1367" t="s">
        <v>47</v>
      </c>
      <c r="G1367" t="s">
        <v>345</v>
      </c>
      <c r="H1367">
        <v>3.3050000000000002</v>
      </c>
      <c r="I1367" t="s">
        <v>461</v>
      </c>
      <c r="K1367">
        <v>106330954</v>
      </c>
      <c r="L1367" s="2">
        <v>44081</v>
      </c>
      <c r="M1367">
        <v>19</v>
      </c>
      <c r="N1367">
        <v>1</v>
      </c>
      <c r="O1367">
        <v>8</v>
      </c>
      <c r="P1367">
        <v>5</v>
      </c>
      <c r="Q1367" t="s">
        <v>21</v>
      </c>
    </row>
    <row r="1368" spans="1:17" x14ac:dyDescent="0.55000000000000004">
      <c r="A1368">
        <v>0</v>
      </c>
      <c r="B1368" t="s">
        <v>107</v>
      </c>
      <c r="C1368">
        <v>6.0000000000000001E-3</v>
      </c>
      <c r="D1368" t="s">
        <v>30</v>
      </c>
      <c r="E1368" t="s">
        <v>1</v>
      </c>
      <c r="F1368" t="s">
        <v>345</v>
      </c>
      <c r="G1368" t="s">
        <v>107</v>
      </c>
      <c r="H1368">
        <v>4.2889999999999997</v>
      </c>
      <c r="I1368" t="s">
        <v>461</v>
      </c>
      <c r="K1368">
        <v>105147042</v>
      </c>
      <c r="L1368" s="2">
        <v>42915</v>
      </c>
      <c r="M1368">
        <v>21</v>
      </c>
      <c r="N1368">
        <v>1</v>
      </c>
      <c r="O1368">
        <v>8</v>
      </c>
      <c r="P1368">
        <v>5</v>
      </c>
      <c r="Q1368" t="s">
        <v>21</v>
      </c>
    </row>
    <row r="1369" spans="1:17" x14ac:dyDescent="0.55000000000000004">
      <c r="A1369">
        <v>0</v>
      </c>
      <c r="B1369" t="s">
        <v>386</v>
      </c>
      <c r="C1369">
        <v>0</v>
      </c>
      <c r="E1369" t="s">
        <v>1</v>
      </c>
      <c r="F1369" t="s">
        <v>144</v>
      </c>
      <c r="G1369" t="s">
        <v>386</v>
      </c>
      <c r="H1369">
        <v>999.99900000000002</v>
      </c>
      <c r="I1369" t="s">
        <v>461</v>
      </c>
      <c r="K1369">
        <v>105912645</v>
      </c>
      <c r="L1369" s="2">
        <v>43644</v>
      </c>
      <c r="M1369">
        <v>19</v>
      </c>
      <c r="N1369">
        <v>1</v>
      </c>
      <c r="O1369">
        <v>8</v>
      </c>
      <c r="P1369">
        <v>5</v>
      </c>
      <c r="Q1369" t="s">
        <v>15</v>
      </c>
    </row>
    <row r="1370" spans="1:17" x14ac:dyDescent="0.55000000000000004">
      <c r="A1370">
        <v>0</v>
      </c>
      <c r="B1370" t="s">
        <v>182</v>
      </c>
      <c r="C1370">
        <v>0</v>
      </c>
      <c r="E1370" t="s">
        <v>0</v>
      </c>
      <c r="F1370" t="s">
        <v>172</v>
      </c>
      <c r="G1370" t="s">
        <v>182</v>
      </c>
      <c r="H1370">
        <v>0.71399999999999997</v>
      </c>
      <c r="I1370" t="s">
        <v>461</v>
      </c>
      <c r="K1370">
        <v>106672327</v>
      </c>
      <c r="L1370" s="2">
        <v>44436</v>
      </c>
      <c r="M1370">
        <v>24</v>
      </c>
      <c r="N1370">
        <v>1</v>
      </c>
      <c r="O1370">
        <v>7</v>
      </c>
      <c r="P1370">
        <v>1</v>
      </c>
      <c r="Q1370" t="s">
        <v>21</v>
      </c>
    </row>
    <row r="1371" spans="1:17" x14ac:dyDescent="0.55000000000000004">
      <c r="A1371">
        <v>0</v>
      </c>
      <c r="B1371" t="s">
        <v>182</v>
      </c>
      <c r="C1371">
        <v>0</v>
      </c>
      <c r="E1371" t="s">
        <v>0</v>
      </c>
      <c r="F1371" t="s">
        <v>400</v>
      </c>
      <c r="G1371" t="s">
        <v>182</v>
      </c>
      <c r="H1371">
        <v>0.71399999999999997</v>
      </c>
      <c r="I1371" t="s">
        <v>461</v>
      </c>
      <c r="K1371">
        <v>105288078</v>
      </c>
      <c r="L1371" s="2">
        <v>43052</v>
      </c>
      <c r="M1371">
        <v>30</v>
      </c>
      <c r="N1371">
        <v>1</v>
      </c>
      <c r="O1371">
        <v>7</v>
      </c>
      <c r="P1371">
        <v>1</v>
      </c>
      <c r="Q1371" t="s">
        <v>15</v>
      </c>
    </row>
    <row r="1372" spans="1:17" x14ac:dyDescent="0.55000000000000004">
      <c r="A1372">
        <v>0</v>
      </c>
      <c r="B1372" t="s">
        <v>182</v>
      </c>
      <c r="C1372">
        <v>0</v>
      </c>
      <c r="E1372" t="s">
        <v>0</v>
      </c>
      <c r="F1372" t="s">
        <v>400</v>
      </c>
      <c r="G1372" t="s">
        <v>182</v>
      </c>
      <c r="H1372">
        <v>0.71399999999999997</v>
      </c>
      <c r="I1372" t="s">
        <v>461</v>
      </c>
      <c r="K1372">
        <v>105350932</v>
      </c>
      <c r="L1372" s="2">
        <v>43112</v>
      </c>
      <c r="M1372">
        <v>24</v>
      </c>
      <c r="N1372">
        <v>2</v>
      </c>
      <c r="O1372">
        <v>7</v>
      </c>
      <c r="P1372">
        <v>1</v>
      </c>
      <c r="Q1372" t="s">
        <v>21</v>
      </c>
    </row>
    <row r="1373" spans="1:17" x14ac:dyDescent="0.55000000000000004">
      <c r="A1373">
        <v>0</v>
      </c>
      <c r="B1373" t="s">
        <v>182</v>
      </c>
      <c r="C1373">
        <v>0</v>
      </c>
      <c r="E1373" t="s">
        <v>0</v>
      </c>
      <c r="F1373" t="s">
        <v>261</v>
      </c>
      <c r="G1373" t="s">
        <v>182</v>
      </c>
      <c r="H1373">
        <v>0.71399999999999997</v>
      </c>
      <c r="I1373" t="s">
        <v>461</v>
      </c>
      <c r="K1373">
        <v>104896982</v>
      </c>
      <c r="L1373" s="2">
        <v>42667</v>
      </c>
      <c r="M1373">
        <v>23</v>
      </c>
      <c r="N1373">
        <v>1</v>
      </c>
      <c r="O1373">
        <v>7</v>
      </c>
      <c r="P1373">
        <v>1</v>
      </c>
      <c r="Q1373" t="s">
        <v>21</v>
      </c>
    </row>
    <row r="1374" spans="1:17" x14ac:dyDescent="0.55000000000000004">
      <c r="A1374">
        <v>0</v>
      </c>
      <c r="B1374" t="s">
        <v>182</v>
      </c>
      <c r="C1374">
        <v>0</v>
      </c>
      <c r="E1374" t="s">
        <v>0</v>
      </c>
      <c r="F1374" t="s">
        <v>261</v>
      </c>
      <c r="G1374" t="s">
        <v>182</v>
      </c>
      <c r="H1374">
        <v>0.71399999999999997</v>
      </c>
      <c r="I1374" t="s">
        <v>461</v>
      </c>
      <c r="K1374">
        <v>105002041</v>
      </c>
      <c r="L1374" s="2">
        <v>42772</v>
      </c>
      <c r="M1374">
        <v>30</v>
      </c>
      <c r="N1374">
        <v>1</v>
      </c>
      <c r="O1374">
        <v>7</v>
      </c>
      <c r="P1374">
        <v>5</v>
      </c>
      <c r="Q1374" t="s">
        <v>15</v>
      </c>
    </row>
    <row r="1375" spans="1:17" x14ac:dyDescent="0.55000000000000004">
      <c r="A1375">
        <v>0</v>
      </c>
      <c r="B1375" t="s">
        <v>182</v>
      </c>
      <c r="C1375">
        <v>0</v>
      </c>
      <c r="E1375" t="s">
        <v>0</v>
      </c>
      <c r="G1375" t="s">
        <v>182</v>
      </c>
      <c r="H1375">
        <v>0.71399999999999997</v>
      </c>
      <c r="I1375" t="s">
        <v>461</v>
      </c>
      <c r="K1375">
        <v>105737195</v>
      </c>
      <c r="L1375" s="2">
        <v>43473</v>
      </c>
      <c r="M1375">
        <v>21</v>
      </c>
      <c r="N1375">
        <v>1</v>
      </c>
      <c r="O1375">
        <v>7</v>
      </c>
      <c r="P1375">
        <v>1</v>
      </c>
      <c r="Q1375" t="s">
        <v>15</v>
      </c>
    </row>
    <row r="1376" spans="1:17" x14ac:dyDescent="0.55000000000000004">
      <c r="A1376">
        <v>0</v>
      </c>
      <c r="B1376" t="s">
        <v>262</v>
      </c>
      <c r="C1376">
        <v>6.0000000000000001E-3</v>
      </c>
      <c r="D1376" t="s">
        <v>23</v>
      </c>
      <c r="E1376" t="s">
        <v>0</v>
      </c>
      <c r="F1376" t="s">
        <v>172</v>
      </c>
      <c r="G1376" t="s">
        <v>262</v>
      </c>
      <c r="H1376">
        <v>6.0000000000000001E-3</v>
      </c>
      <c r="I1376" t="s">
        <v>461</v>
      </c>
      <c r="K1376">
        <v>104897043</v>
      </c>
      <c r="L1376" s="2">
        <v>42673</v>
      </c>
      <c r="M1376">
        <v>19</v>
      </c>
      <c r="N1376">
        <v>1</v>
      </c>
      <c r="O1376">
        <v>0</v>
      </c>
      <c r="P1376">
        <v>5</v>
      </c>
      <c r="Q1376" t="s">
        <v>21</v>
      </c>
    </row>
    <row r="1377" spans="1:17" x14ac:dyDescent="0.55000000000000004">
      <c r="A1377">
        <v>0</v>
      </c>
      <c r="B1377" t="s">
        <v>250</v>
      </c>
      <c r="C1377">
        <v>0</v>
      </c>
      <c r="E1377" t="s">
        <v>0</v>
      </c>
      <c r="F1377" t="s">
        <v>401</v>
      </c>
      <c r="G1377" t="s">
        <v>250</v>
      </c>
      <c r="H1377">
        <v>1.8089999999999999</v>
      </c>
      <c r="I1377" t="s">
        <v>461</v>
      </c>
      <c r="K1377">
        <v>105153796</v>
      </c>
      <c r="L1377" s="2">
        <v>42923</v>
      </c>
      <c r="M1377">
        <v>30</v>
      </c>
      <c r="N1377">
        <v>1</v>
      </c>
      <c r="O1377">
        <v>7</v>
      </c>
      <c r="P1377">
        <v>1</v>
      </c>
      <c r="Q1377" t="s">
        <v>45</v>
      </c>
    </row>
    <row r="1378" spans="1:17" x14ac:dyDescent="0.55000000000000004">
      <c r="A1378">
        <v>0</v>
      </c>
      <c r="B1378" t="s">
        <v>247</v>
      </c>
      <c r="C1378">
        <v>0.01</v>
      </c>
      <c r="D1378" t="s">
        <v>30</v>
      </c>
      <c r="E1378" t="s">
        <v>0</v>
      </c>
      <c r="F1378" t="s">
        <v>236</v>
      </c>
      <c r="G1378" t="s">
        <v>247</v>
      </c>
      <c r="H1378">
        <v>999.99900000000002</v>
      </c>
      <c r="I1378" t="s">
        <v>461</v>
      </c>
      <c r="K1378">
        <v>105014879</v>
      </c>
      <c r="L1378" s="2">
        <v>42779</v>
      </c>
      <c r="M1378">
        <v>19</v>
      </c>
      <c r="N1378">
        <v>1</v>
      </c>
      <c r="O1378">
        <v>0</v>
      </c>
      <c r="P1378">
        <v>1</v>
      </c>
      <c r="Q1378" t="s">
        <v>21</v>
      </c>
    </row>
    <row r="1379" spans="1:17" x14ac:dyDescent="0.55000000000000004">
      <c r="A1379">
        <v>498</v>
      </c>
      <c r="B1379" t="s">
        <v>67</v>
      </c>
      <c r="C1379">
        <v>0</v>
      </c>
      <c r="E1379" t="s">
        <v>4</v>
      </c>
      <c r="F1379" t="s">
        <v>24</v>
      </c>
      <c r="G1379" t="s">
        <v>402</v>
      </c>
      <c r="H1379">
        <v>0</v>
      </c>
      <c r="I1379" t="s">
        <v>461</v>
      </c>
      <c r="K1379">
        <v>106421741</v>
      </c>
      <c r="L1379" s="2">
        <v>44152</v>
      </c>
      <c r="M1379">
        <v>30</v>
      </c>
      <c r="N1379">
        <v>1</v>
      </c>
      <c r="P1379">
        <v>4</v>
      </c>
      <c r="Q1379" t="s">
        <v>21</v>
      </c>
    </row>
    <row r="1380" spans="1:17" x14ac:dyDescent="0.55000000000000004">
      <c r="A1380">
        <v>498</v>
      </c>
      <c r="B1380" t="s">
        <v>67</v>
      </c>
      <c r="C1380">
        <v>0</v>
      </c>
      <c r="E1380" t="s">
        <v>4</v>
      </c>
      <c r="F1380" t="s">
        <v>67</v>
      </c>
      <c r="G1380" t="s">
        <v>402</v>
      </c>
      <c r="H1380">
        <v>0</v>
      </c>
      <c r="I1380" t="s">
        <v>461</v>
      </c>
      <c r="K1380">
        <v>104875009</v>
      </c>
      <c r="L1380" s="2">
        <v>42627</v>
      </c>
      <c r="M1380">
        <v>28</v>
      </c>
      <c r="N1380">
        <v>1</v>
      </c>
      <c r="O1380">
        <v>0</v>
      </c>
      <c r="P1380">
        <v>3</v>
      </c>
      <c r="Q1380" t="s">
        <v>21</v>
      </c>
    </row>
    <row r="1381" spans="1:17" x14ac:dyDescent="0.55000000000000004">
      <c r="A1381">
        <v>498</v>
      </c>
      <c r="B1381" t="s">
        <v>67</v>
      </c>
      <c r="C1381">
        <v>8.9999999999999993E-3</v>
      </c>
      <c r="D1381" t="s">
        <v>23</v>
      </c>
      <c r="E1381" t="s">
        <v>4</v>
      </c>
      <c r="F1381" t="s">
        <v>403</v>
      </c>
      <c r="G1381" t="s">
        <v>402</v>
      </c>
      <c r="H1381">
        <v>8.9999999999999993E-3</v>
      </c>
      <c r="I1381" t="s">
        <v>461</v>
      </c>
      <c r="K1381">
        <v>105079778</v>
      </c>
      <c r="L1381" s="2">
        <v>42844</v>
      </c>
      <c r="M1381">
        <v>30</v>
      </c>
      <c r="N1381">
        <v>2</v>
      </c>
      <c r="O1381">
        <v>8</v>
      </c>
      <c r="P1381">
        <v>1</v>
      </c>
      <c r="Q1381" t="s">
        <v>21</v>
      </c>
    </row>
    <row r="1382" spans="1:17" x14ac:dyDescent="0.55000000000000004">
      <c r="A1382">
        <v>498</v>
      </c>
      <c r="B1382" t="s">
        <v>67</v>
      </c>
      <c r="C1382">
        <v>8.9999999999999993E-3</v>
      </c>
      <c r="D1382" t="s">
        <v>23</v>
      </c>
      <c r="E1382" t="s">
        <v>4</v>
      </c>
      <c r="F1382" t="s">
        <v>4</v>
      </c>
      <c r="G1382" t="s">
        <v>402</v>
      </c>
      <c r="H1382">
        <v>8.9999999999999993E-3</v>
      </c>
      <c r="I1382" t="s">
        <v>461</v>
      </c>
      <c r="K1382">
        <v>105615345</v>
      </c>
      <c r="L1382" s="2">
        <v>43357</v>
      </c>
      <c r="M1382">
        <v>21</v>
      </c>
      <c r="N1382">
        <v>1</v>
      </c>
      <c r="O1382">
        <v>0</v>
      </c>
      <c r="P1382">
        <v>1</v>
      </c>
      <c r="Q1382" t="s">
        <v>21</v>
      </c>
    </row>
    <row r="1383" spans="1:17" x14ac:dyDescent="0.55000000000000004">
      <c r="A1383">
        <v>498</v>
      </c>
      <c r="B1383" t="s">
        <v>67</v>
      </c>
      <c r="C1383">
        <v>1.9E-2</v>
      </c>
      <c r="D1383" t="s">
        <v>23</v>
      </c>
      <c r="E1383" t="s">
        <v>4</v>
      </c>
      <c r="F1383" t="s">
        <v>93</v>
      </c>
      <c r="G1383" t="s">
        <v>402</v>
      </c>
      <c r="H1383">
        <v>1.9E-2</v>
      </c>
      <c r="I1383" t="s">
        <v>461</v>
      </c>
      <c r="K1383">
        <v>105849725</v>
      </c>
      <c r="L1383" s="2">
        <v>43568</v>
      </c>
      <c r="M1383">
        <v>1</v>
      </c>
      <c r="N1383">
        <v>2</v>
      </c>
      <c r="O1383">
        <v>0</v>
      </c>
      <c r="P1383">
        <v>1</v>
      </c>
      <c r="Q1383" t="s">
        <v>21</v>
      </c>
    </row>
    <row r="1384" spans="1:17" x14ac:dyDescent="0.55000000000000004">
      <c r="A1384">
        <v>498</v>
      </c>
      <c r="B1384" t="s">
        <v>28</v>
      </c>
      <c r="C1384">
        <v>0</v>
      </c>
      <c r="E1384" t="s">
        <v>0</v>
      </c>
      <c r="F1384" t="s">
        <v>404</v>
      </c>
      <c r="G1384" t="s">
        <v>236</v>
      </c>
      <c r="H1384">
        <v>1.712</v>
      </c>
      <c r="I1384" t="s">
        <v>461</v>
      </c>
      <c r="K1384">
        <v>106285420</v>
      </c>
      <c r="L1384" s="2">
        <v>43970</v>
      </c>
      <c r="M1384">
        <v>30</v>
      </c>
      <c r="N1384">
        <v>2</v>
      </c>
      <c r="O1384">
        <v>7</v>
      </c>
      <c r="P1384">
        <v>1</v>
      </c>
      <c r="Q1384" t="s">
        <v>15</v>
      </c>
    </row>
    <row r="1385" spans="1:17" x14ac:dyDescent="0.55000000000000004">
      <c r="A1385">
        <v>498</v>
      </c>
      <c r="B1385" t="s">
        <v>28</v>
      </c>
      <c r="C1385">
        <v>0</v>
      </c>
      <c r="E1385" t="s">
        <v>4</v>
      </c>
      <c r="F1385" t="s">
        <v>234</v>
      </c>
      <c r="G1385" t="s">
        <v>236</v>
      </c>
      <c r="H1385">
        <v>1.712</v>
      </c>
      <c r="I1385" t="s">
        <v>461</v>
      </c>
      <c r="K1385">
        <v>106344772</v>
      </c>
      <c r="L1385" s="2">
        <v>44060</v>
      </c>
      <c r="M1385">
        <v>21</v>
      </c>
      <c r="N1385">
        <v>1</v>
      </c>
      <c r="O1385">
        <v>7</v>
      </c>
      <c r="P1385">
        <v>1</v>
      </c>
      <c r="Q1385" t="s">
        <v>21</v>
      </c>
    </row>
    <row r="1386" spans="1:17" x14ac:dyDescent="0.55000000000000004">
      <c r="A1386">
        <v>498</v>
      </c>
      <c r="B1386" t="s">
        <v>28</v>
      </c>
      <c r="C1386">
        <v>0</v>
      </c>
      <c r="E1386" t="s">
        <v>4</v>
      </c>
      <c r="F1386" t="s">
        <v>235</v>
      </c>
      <c r="G1386" t="s">
        <v>236</v>
      </c>
      <c r="H1386">
        <v>1.712</v>
      </c>
      <c r="I1386" t="s">
        <v>461</v>
      </c>
      <c r="K1386">
        <v>106461093</v>
      </c>
      <c r="L1386" s="2">
        <v>44177</v>
      </c>
      <c r="M1386">
        <v>24</v>
      </c>
      <c r="N1386">
        <v>1</v>
      </c>
      <c r="P1386">
        <v>4</v>
      </c>
      <c r="Q1386" t="s">
        <v>21</v>
      </c>
    </row>
    <row r="1387" spans="1:17" x14ac:dyDescent="0.55000000000000004">
      <c r="A1387">
        <v>498</v>
      </c>
      <c r="B1387" t="s">
        <v>28</v>
      </c>
      <c r="C1387">
        <v>0</v>
      </c>
      <c r="E1387" t="s">
        <v>4</v>
      </c>
      <c r="F1387" t="s">
        <v>404</v>
      </c>
      <c r="G1387" t="s">
        <v>236</v>
      </c>
      <c r="H1387">
        <v>1.712</v>
      </c>
      <c r="I1387" t="s">
        <v>461</v>
      </c>
      <c r="K1387">
        <v>105728055</v>
      </c>
      <c r="L1387" s="2">
        <v>43435</v>
      </c>
      <c r="M1387">
        <v>30</v>
      </c>
      <c r="N1387">
        <v>2</v>
      </c>
      <c r="O1387">
        <v>0</v>
      </c>
      <c r="P1387">
        <v>4</v>
      </c>
      <c r="Q1387" t="s">
        <v>45</v>
      </c>
    </row>
    <row r="1388" spans="1:17" x14ac:dyDescent="0.55000000000000004">
      <c r="A1388">
        <v>498</v>
      </c>
      <c r="B1388" t="s">
        <v>28</v>
      </c>
      <c r="C1388">
        <v>0</v>
      </c>
      <c r="E1388" t="s">
        <v>4</v>
      </c>
      <c r="G1388" t="s">
        <v>236</v>
      </c>
      <c r="H1388">
        <v>1.712</v>
      </c>
      <c r="I1388" t="s">
        <v>461</v>
      </c>
      <c r="K1388">
        <v>105327416</v>
      </c>
      <c r="L1388" s="2">
        <v>43074</v>
      </c>
      <c r="M1388">
        <v>30</v>
      </c>
      <c r="N1388">
        <v>1</v>
      </c>
      <c r="P1388">
        <v>4</v>
      </c>
      <c r="Q1388" t="s">
        <v>21</v>
      </c>
    </row>
    <row r="1389" spans="1:17" x14ac:dyDescent="0.55000000000000004">
      <c r="A1389">
        <v>498</v>
      </c>
      <c r="B1389" t="s">
        <v>28</v>
      </c>
      <c r="C1389">
        <v>1.9E-2</v>
      </c>
      <c r="D1389" t="s">
        <v>30</v>
      </c>
      <c r="E1389" t="s">
        <v>4</v>
      </c>
      <c r="F1389" t="s">
        <v>404</v>
      </c>
      <c r="G1389" t="s">
        <v>236</v>
      </c>
      <c r="H1389">
        <v>1.7310000000000001</v>
      </c>
      <c r="I1389" t="s">
        <v>461</v>
      </c>
      <c r="K1389">
        <v>106662123</v>
      </c>
      <c r="L1389" s="2">
        <v>44366</v>
      </c>
      <c r="M1389">
        <v>30</v>
      </c>
      <c r="N1389">
        <v>1</v>
      </c>
      <c r="O1389">
        <v>0</v>
      </c>
      <c r="P1389">
        <v>1</v>
      </c>
      <c r="Q1389" t="s">
        <v>21</v>
      </c>
    </row>
    <row r="1390" spans="1:17" x14ac:dyDescent="0.55000000000000004">
      <c r="A1390">
        <v>0</v>
      </c>
      <c r="B1390" t="s">
        <v>39</v>
      </c>
      <c r="C1390">
        <v>0</v>
      </c>
      <c r="E1390" t="s">
        <v>1</v>
      </c>
      <c r="F1390" t="s">
        <v>0</v>
      </c>
      <c r="G1390" t="s">
        <v>39</v>
      </c>
      <c r="H1390">
        <v>0</v>
      </c>
      <c r="I1390" t="s">
        <v>461</v>
      </c>
      <c r="K1390">
        <v>105902894</v>
      </c>
      <c r="L1390" s="2">
        <v>43636</v>
      </c>
      <c r="M1390">
        <v>24</v>
      </c>
      <c r="N1390">
        <v>1</v>
      </c>
      <c r="O1390">
        <v>9</v>
      </c>
      <c r="P1390">
        <v>1</v>
      </c>
      <c r="Q1390" t="s">
        <v>21</v>
      </c>
    </row>
    <row r="1391" spans="1:17" x14ac:dyDescent="0.55000000000000004">
      <c r="A1391">
        <v>0</v>
      </c>
      <c r="B1391" t="s">
        <v>39</v>
      </c>
      <c r="C1391">
        <v>0</v>
      </c>
      <c r="E1391" t="s">
        <v>0</v>
      </c>
      <c r="F1391" t="s">
        <v>1</v>
      </c>
      <c r="G1391" t="s">
        <v>39</v>
      </c>
      <c r="H1391">
        <v>0.109</v>
      </c>
      <c r="I1391" t="s">
        <v>461</v>
      </c>
      <c r="K1391">
        <v>106677063</v>
      </c>
      <c r="L1391" s="2">
        <v>44425</v>
      </c>
      <c r="M1391">
        <v>24</v>
      </c>
      <c r="N1391">
        <v>1</v>
      </c>
      <c r="O1391">
        <v>7</v>
      </c>
      <c r="P1391">
        <v>1</v>
      </c>
      <c r="Q1391" t="s">
        <v>21</v>
      </c>
    </row>
    <row r="1392" spans="1:17" x14ac:dyDescent="0.55000000000000004">
      <c r="A1392">
        <v>0</v>
      </c>
      <c r="B1392" t="s">
        <v>39</v>
      </c>
      <c r="C1392">
        <v>0</v>
      </c>
      <c r="E1392" t="s">
        <v>0</v>
      </c>
      <c r="F1392" t="s">
        <v>1</v>
      </c>
      <c r="G1392" t="s">
        <v>39</v>
      </c>
      <c r="H1392">
        <v>0.109</v>
      </c>
      <c r="I1392" t="s">
        <v>461</v>
      </c>
      <c r="K1392">
        <v>106162599</v>
      </c>
      <c r="L1392" s="2">
        <v>43880</v>
      </c>
      <c r="M1392">
        <v>21</v>
      </c>
      <c r="N1392">
        <v>1</v>
      </c>
      <c r="O1392">
        <v>7</v>
      </c>
      <c r="P1392">
        <v>1</v>
      </c>
      <c r="Q1392" t="s">
        <v>21</v>
      </c>
    </row>
    <row r="1393" spans="1:17" x14ac:dyDescent="0.55000000000000004">
      <c r="A1393">
        <v>0</v>
      </c>
      <c r="B1393" t="s">
        <v>39</v>
      </c>
      <c r="C1393">
        <v>0</v>
      </c>
      <c r="E1393" t="s">
        <v>0</v>
      </c>
      <c r="F1393" t="s">
        <v>1</v>
      </c>
      <c r="G1393" t="s">
        <v>39</v>
      </c>
      <c r="H1393">
        <v>0.109</v>
      </c>
      <c r="I1393" t="s">
        <v>461</v>
      </c>
      <c r="K1393">
        <v>105853052</v>
      </c>
      <c r="L1393" s="2">
        <v>43588</v>
      </c>
      <c r="M1393">
        <v>21</v>
      </c>
      <c r="N1393">
        <v>1</v>
      </c>
      <c r="O1393">
        <v>7</v>
      </c>
      <c r="P1393">
        <v>1</v>
      </c>
      <c r="Q1393" t="s">
        <v>21</v>
      </c>
    </row>
    <row r="1394" spans="1:17" x14ac:dyDescent="0.55000000000000004">
      <c r="A1394">
        <v>0</v>
      </c>
      <c r="B1394" t="s">
        <v>39</v>
      </c>
      <c r="C1394">
        <v>0</v>
      </c>
      <c r="E1394" t="s">
        <v>0</v>
      </c>
      <c r="F1394" t="s">
        <v>1</v>
      </c>
      <c r="G1394" t="s">
        <v>39</v>
      </c>
      <c r="H1394">
        <v>0.109</v>
      </c>
      <c r="I1394" t="s">
        <v>461</v>
      </c>
      <c r="K1394">
        <v>105647087</v>
      </c>
      <c r="L1394" s="2">
        <v>43396</v>
      </c>
      <c r="M1394">
        <v>24</v>
      </c>
      <c r="N1394">
        <v>1</v>
      </c>
      <c r="O1394">
        <v>7</v>
      </c>
      <c r="P1394">
        <v>1</v>
      </c>
      <c r="Q1394" t="s">
        <v>21</v>
      </c>
    </row>
    <row r="1395" spans="1:17" x14ac:dyDescent="0.55000000000000004">
      <c r="A1395">
        <v>0</v>
      </c>
      <c r="B1395" t="s">
        <v>39</v>
      </c>
      <c r="C1395">
        <v>8.9999999999999993E-3</v>
      </c>
      <c r="D1395" t="s">
        <v>30</v>
      </c>
      <c r="E1395" t="s">
        <v>0</v>
      </c>
      <c r="F1395" t="s">
        <v>405</v>
      </c>
      <c r="G1395" t="s">
        <v>39</v>
      </c>
      <c r="H1395">
        <v>0.11799999999999999</v>
      </c>
      <c r="I1395" t="s">
        <v>461</v>
      </c>
      <c r="K1395">
        <v>106371727</v>
      </c>
      <c r="L1395" s="2">
        <v>44120</v>
      </c>
      <c r="M1395">
        <v>21</v>
      </c>
      <c r="N1395">
        <v>1</v>
      </c>
      <c r="O1395">
        <v>7</v>
      </c>
      <c r="P1395">
        <v>1</v>
      </c>
      <c r="Q1395" t="s">
        <v>21</v>
      </c>
    </row>
    <row r="1396" spans="1:17" x14ac:dyDescent="0.55000000000000004">
      <c r="A1396">
        <v>0</v>
      </c>
      <c r="B1396" t="s">
        <v>185</v>
      </c>
      <c r="C1396">
        <v>6.0000000000000001E-3</v>
      </c>
      <c r="D1396" t="s">
        <v>68</v>
      </c>
      <c r="E1396" t="s">
        <v>0</v>
      </c>
      <c r="F1396" t="s">
        <v>406</v>
      </c>
      <c r="G1396" t="s">
        <v>185</v>
      </c>
      <c r="H1396">
        <v>1.335</v>
      </c>
      <c r="I1396" t="s">
        <v>461</v>
      </c>
      <c r="K1396">
        <v>106420166</v>
      </c>
      <c r="L1396" s="2">
        <v>44161</v>
      </c>
      <c r="M1396">
        <v>20</v>
      </c>
      <c r="N1396">
        <v>2</v>
      </c>
      <c r="O1396">
        <v>8</v>
      </c>
      <c r="P1396">
        <v>5</v>
      </c>
      <c r="Q1396" t="s">
        <v>21</v>
      </c>
    </row>
    <row r="1397" spans="1:17" x14ac:dyDescent="0.55000000000000004">
      <c r="A1397">
        <v>151</v>
      </c>
      <c r="B1397" t="s">
        <v>296</v>
      </c>
      <c r="C1397">
        <v>6.0000000000000001E-3</v>
      </c>
      <c r="D1397" t="s">
        <v>18</v>
      </c>
      <c r="E1397" t="s">
        <v>3</v>
      </c>
      <c r="F1397" t="s">
        <v>284</v>
      </c>
      <c r="G1397" t="s">
        <v>296</v>
      </c>
      <c r="H1397">
        <v>999.99900000000002</v>
      </c>
      <c r="I1397" t="s">
        <v>461</v>
      </c>
      <c r="K1397">
        <v>106090696</v>
      </c>
      <c r="L1397" s="2">
        <v>43808</v>
      </c>
      <c r="M1397">
        <v>31</v>
      </c>
      <c r="N1397">
        <v>2</v>
      </c>
      <c r="O1397">
        <v>8</v>
      </c>
      <c r="P1397">
        <v>1</v>
      </c>
      <c r="Q1397" t="s">
        <v>21</v>
      </c>
    </row>
    <row r="1398" spans="1:17" x14ac:dyDescent="0.55000000000000004">
      <c r="A1398">
        <v>151</v>
      </c>
      <c r="B1398" t="s">
        <v>296</v>
      </c>
      <c r="C1398">
        <v>0</v>
      </c>
      <c r="E1398" t="s">
        <v>3</v>
      </c>
      <c r="F1398" t="s">
        <v>295</v>
      </c>
      <c r="G1398" t="s">
        <v>296</v>
      </c>
      <c r="H1398">
        <v>999.99900000000002</v>
      </c>
      <c r="I1398" t="s">
        <v>461</v>
      </c>
      <c r="K1398">
        <v>106105647</v>
      </c>
      <c r="L1398" s="2">
        <v>43820</v>
      </c>
      <c r="M1398">
        <v>19</v>
      </c>
      <c r="N1398">
        <v>1</v>
      </c>
      <c r="O1398">
        <v>13</v>
      </c>
      <c r="P1398">
        <v>5</v>
      </c>
      <c r="Q1398" t="s">
        <v>21</v>
      </c>
    </row>
    <row r="1399" spans="1:17" x14ac:dyDescent="0.55000000000000004">
      <c r="A1399">
        <v>0</v>
      </c>
      <c r="B1399" t="s">
        <v>286</v>
      </c>
      <c r="C1399">
        <v>0</v>
      </c>
      <c r="E1399" t="s">
        <v>1</v>
      </c>
      <c r="F1399" t="s">
        <v>309</v>
      </c>
      <c r="G1399" t="s">
        <v>286</v>
      </c>
      <c r="H1399">
        <v>0</v>
      </c>
      <c r="I1399" t="s">
        <v>461</v>
      </c>
      <c r="K1399">
        <v>105430222</v>
      </c>
      <c r="L1399" s="2">
        <v>43189</v>
      </c>
      <c r="M1399">
        <v>21</v>
      </c>
      <c r="N1399">
        <v>1</v>
      </c>
      <c r="O1399">
        <v>8</v>
      </c>
      <c r="P1399">
        <v>1</v>
      </c>
      <c r="Q1399" t="s">
        <v>21</v>
      </c>
    </row>
    <row r="1400" spans="1:17" x14ac:dyDescent="0.55000000000000004">
      <c r="A1400">
        <v>0</v>
      </c>
      <c r="B1400" t="s">
        <v>309</v>
      </c>
      <c r="C1400">
        <v>0</v>
      </c>
      <c r="E1400" t="s">
        <v>1</v>
      </c>
      <c r="G1400" t="s">
        <v>309</v>
      </c>
      <c r="H1400">
        <v>0</v>
      </c>
      <c r="I1400" t="s">
        <v>461</v>
      </c>
      <c r="K1400">
        <v>105002045</v>
      </c>
      <c r="L1400" s="2">
        <v>42769</v>
      </c>
      <c r="M1400">
        <v>31</v>
      </c>
      <c r="N1400">
        <v>1</v>
      </c>
      <c r="O1400">
        <v>8</v>
      </c>
      <c r="P1400">
        <v>1</v>
      </c>
      <c r="Q1400" t="s">
        <v>21</v>
      </c>
    </row>
    <row r="1401" spans="1:17" x14ac:dyDescent="0.55000000000000004">
      <c r="A1401">
        <v>224</v>
      </c>
      <c r="B1401" t="s">
        <v>301</v>
      </c>
      <c r="C1401">
        <v>0</v>
      </c>
      <c r="E1401" t="s">
        <v>1</v>
      </c>
      <c r="F1401" t="s">
        <v>377</v>
      </c>
      <c r="G1401" t="s">
        <v>301</v>
      </c>
      <c r="H1401">
        <v>0</v>
      </c>
      <c r="I1401" t="s">
        <v>461</v>
      </c>
      <c r="K1401">
        <v>104873039</v>
      </c>
      <c r="L1401" s="2">
        <v>42645</v>
      </c>
      <c r="M1401">
        <v>22</v>
      </c>
      <c r="N1401">
        <v>1</v>
      </c>
      <c r="O1401">
        <v>7</v>
      </c>
      <c r="P1401">
        <v>1</v>
      </c>
      <c r="Q1401" t="s">
        <v>21</v>
      </c>
    </row>
    <row r="1402" spans="1:17" x14ac:dyDescent="0.55000000000000004">
      <c r="A1402">
        <v>224</v>
      </c>
      <c r="B1402" t="s">
        <v>301</v>
      </c>
      <c r="C1402">
        <v>0</v>
      </c>
      <c r="E1402" t="s">
        <v>1</v>
      </c>
      <c r="F1402" t="s">
        <v>300</v>
      </c>
      <c r="G1402" t="s">
        <v>301</v>
      </c>
      <c r="H1402">
        <v>0</v>
      </c>
      <c r="I1402" t="s">
        <v>461</v>
      </c>
      <c r="K1402">
        <v>105661129</v>
      </c>
      <c r="L1402" s="2">
        <v>43406</v>
      </c>
      <c r="M1402">
        <v>24</v>
      </c>
      <c r="N1402">
        <v>2</v>
      </c>
      <c r="O1402">
        <v>8</v>
      </c>
      <c r="P1402">
        <v>1</v>
      </c>
      <c r="Q1402" t="s">
        <v>21</v>
      </c>
    </row>
    <row r="1403" spans="1:17" x14ac:dyDescent="0.55000000000000004">
      <c r="A1403">
        <v>0</v>
      </c>
      <c r="B1403" t="s">
        <v>322</v>
      </c>
      <c r="C1403">
        <v>0</v>
      </c>
      <c r="E1403" t="s">
        <v>2</v>
      </c>
      <c r="F1403" t="s">
        <v>407</v>
      </c>
      <c r="G1403" t="s">
        <v>322</v>
      </c>
      <c r="H1403">
        <v>4.8339999999999996</v>
      </c>
      <c r="I1403" t="s">
        <v>461</v>
      </c>
      <c r="K1403">
        <v>106293430</v>
      </c>
      <c r="L1403" s="2">
        <v>44043</v>
      </c>
      <c r="M1403">
        <v>19</v>
      </c>
      <c r="N1403">
        <v>1</v>
      </c>
      <c r="O1403">
        <v>8</v>
      </c>
      <c r="P1403">
        <v>1</v>
      </c>
      <c r="Q1403" t="s">
        <v>21</v>
      </c>
    </row>
    <row r="1404" spans="1:17" x14ac:dyDescent="0.55000000000000004">
      <c r="A1404">
        <v>0</v>
      </c>
      <c r="B1404" t="s">
        <v>322</v>
      </c>
      <c r="C1404">
        <v>0</v>
      </c>
      <c r="E1404" t="s">
        <v>2</v>
      </c>
      <c r="F1404" t="s">
        <v>407</v>
      </c>
      <c r="G1404" t="s">
        <v>322</v>
      </c>
      <c r="H1404">
        <v>4.8339999999999996</v>
      </c>
      <c r="I1404" t="s">
        <v>461</v>
      </c>
      <c r="K1404">
        <v>105970287</v>
      </c>
      <c r="L1404" s="2">
        <v>43702</v>
      </c>
      <c r="M1404">
        <v>30</v>
      </c>
      <c r="N1404">
        <v>1</v>
      </c>
      <c r="O1404">
        <v>8</v>
      </c>
      <c r="P1404">
        <v>1</v>
      </c>
      <c r="Q1404" t="s">
        <v>15</v>
      </c>
    </row>
    <row r="1405" spans="1:17" x14ac:dyDescent="0.55000000000000004">
      <c r="A1405">
        <v>0</v>
      </c>
      <c r="B1405" t="s">
        <v>390</v>
      </c>
      <c r="C1405">
        <v>5.0000000000000001E-3</v>
      </c>
      <c r="D1405" t="s">
        <v>18</v>
      </c>
      <c r="E1405" t="s">
        <v>2</v>
      </c>
      <c r="F1405" t="s">
        <v>408</v>
      </c>
      <c r="G1405" t="s">
        <v>390</v>
      </c>
      <c r="H1405">
        <v>5.0000000000000001E-3</v>
      </c>
      <c r="I1405" t="s">
        <v>461</v>
      </c>
      <c r="K1405">
        <v>105583121</v>
      </c>
      <c r="L1405" s="2">
        <v>43335</v>
      </c>
      <c r="M1405">
        <v>18</v>
      </c>
      <c r="N1405">
        <v>1</v>
      </c>
      <c r="O1405">
        <v>0</v>
      </c>
      <c r="P1405">
        <v>5</v>
      </c>
      <c r="Q1405" t="s">
        <v>21</v>
      </c>
    </row>
    <row r="1406" spans="1:17" x14ac:dyDescent="0.55000000000000004">
      <c r="A1406">
        <v>224</v>
      </c>
      <c r="B1406" t="s">
        <v>299</v>
      </c>
      <c r="C1406">
        <v>2E-3</v>
      </c>
      <c r="D1406" t="s">
        <v>23</v>
      </c>
      <c r="E1406" t="s">
        <v>1</v>
      </c>
      <c r="F1406" t="s">
        <v>281</v>
      </c>
      <c r="G1406" t="s">
        <v>299</v>
      </c>
      <c r="H1406">
        <v>0</v>
      </c>
      <c r="I1406" t="s">
        <v>461</v>
      </c>
      <c r="K1406">
        <v>105460516</v>
      </c>
      <c r="L1406" s="2">
        <v>43215</v>
      </c>
      <c r="M1406">
        <v>19</v>
      </c>
      <c r="N1406">
        <v>1</v>
      </c>
      <c r="O1406">
        <v>8</v>
      </c>
      <c r="P1406">
        <v>1</v>
      </c>
      <c r="Q1406" t="s">
        <v>21</v>
      </c>
    </row>
    <row r="1407" spans="1:17" x14ac:dyDescent="0.55000000000000004">
      <c r="A1407">
        <v>224</v>
      </c>
      <c r="B1407" t="s">
        <v>56</v>
      </c>
      <c r="C1407">
        <v>0</v>
      </c>
      <c r="E1407" t="s">
        <v>1</v>
      </c>
      <c r="F1407" t="s">
        <v>409</v>
      </c>
      <c r="G1407" t="s">
        <v>56</v>
      </c>
      <c r="H1407">
        <v>3.5000000000000003E-2</v>
      </c>
      <c r="I1407" t="s">
        <v>461</v>
      </c>
      <c r="K1407">
        <v>106045527</v>
      </c>
      <c r="L1407" s="2">
        <v>43768</v>
      </c>
      <c r="M1407">
        <v>24</v>
      </c>
      <c r="N1407">
        <v>2</v>
      </c>
      <c r="O1407">
        <v>8</v>
      </c>
      <c r="P1407">
        <v>1</v>
      </c>
      <c r="Q1407" t="s">
        <v>45</v>
      </c>
    </row>
    <row r="1408" spans="1:17" x14ac:dyDescent="0.55000000000000004">
      <c r="A1408">
        <v>224</v>
      </c>
      <c r="B1408" t="s">
        <v>56</v>
      </c>
      <c r="C1408">
        <v>0</v>
      </c>
      <c r="E1408" t="s">
        <v>1</v>
      </c>
      <c r="F1408" t="s">
        <v>281</v>
      </c>
      <c r="G1408" t="s">
        <v>56</v>
      </c>
      <c r="H1408">
        <v>3.5000000000000003E-2</v>
      </c>
      <c r="I1408" t="s">
        <v>461</v>
      </c>
      <c r="K1408">
        <v>105514320</v>
      </c>
      <c r="L1408" s="2">
        <v>43263</v>
      </c>
      <c r="M1408">
        <v>22</v>
      </c>
      <c r="N1408">
        <v>1</v>
      </c>
      <c r="O1408">
        <v>8</v>
      </c>
      <c r="P1408">
        <v>1</v>
      </c>
      <c r="Q1408" t="s">
        <v>21</v>
      </c>
    </row>
    <row r="1409" spans="1:17" x14ac:dyDescent="0.55000000000000004">
      <c r="A1409">
        <v>224</v>
      </c>
      <c r="B1409" t="s">
        <v>56</v>
      </c>
      <c r="C1409">
        <v>0</v>
      </c>
      <c r="E1409" t="s">
        <v>1</v>
      </c>
      <c r="F1409" t="s">
        <v>281</v>
      </c>
      <c r="G1409" t="s">
        <v>56</v>
      </c>
      <c r="H1409">
        <v>3.5000000000000003E-2</v>
      </c>
      <c r="I1409" t="s">
        <v>461</v>
      </c>
      <c r="K1409">
        <v>104958144</v>
      </c>
      <c r="L1409" s="2">
        <v>42727</v>
      </c>
      <c r="M1409">
        <v>23</v>
      </c>
      <c r="N1409">
        <v>1</v>
      </c>
      <c r="O1409">
        <v>8</v>
      </c>
      <c r="P1409">
        <v>5</v>
      </c>
      <c r="Q1409" t="s">
        <v>21</v>
      </c>
    </row>
    <row r="1410" spans="1:17" x14ac:dyDescent="0.55000000000000004">
      <c r="A1410">
        <v>224</v>
      </c>
      <c r="B1410" t="s">
        <v>56</v>
      </c>
      <c r="C1410">
        <v>0</v>
      </c>
      <c r="E1410" t="s">
        <v>1</v>
      </c>
      <c r="F1410" t="s">
        <v>281</v>
      </c>
      <c r="G1410" t="s">
        <v>56</v>
      </c>
      <c r="H1410">
        <v>3.5000000000000003E-2</v>
      </c>
      <c r="I1410" t="s">
        <v>461</v>
      </c>
      <c r="K1410">
        <v>105389832</v>
      </c>
      <c r="L1410" s="2">
        <v>43153</v>
      </c>
      <c r="M1410">
        <v>31</v>
      </c>
      <c r="N1410">
        <v>1</v>
      </c>
      <c r="O1410">
        <v>8</v>
      </c>
      <c r="P1410">
        <v>1</v>
      </c>
      <c r="Q1410" t="s">
        <v>21</v>
      </c>
    </row>
    <row r="1411" spans="1:17" x14ac:dyDescent="0.55000000000000004">
      <c r="A1411">
        <v>498</v>
      </c>
      <c r="B1411" t="s">
        <v>70</v>
      </c>
      <c r="C1411">
        <v>0</v>
      </c>
      <c r="E1411" t="s">
        <v>1</v>
      </c>
      <c r="F1411" t="s">
        <v>410</v>
      </c>
      <c r="G1411" t="s">
        <v>43</v>
      </c>
      <c r="H1411">
        <v>9.016</v>
      </c>
      <c r="I1411" t="s">
        <v>461</v>
      </c>
      <c r="J1411" t="s">
        <v>174</v>
      </c>
      <c r="K1411">
        <v>105576319</v>
      </c>
      <c r="L1411" s="2">
        <v>43316</v>
      </c>
      <c r="M1411">
        <v>30</v>
      </c>
      <c r="N1411">
        <v>1</v>
      </c>
      <c r="O1411">
        <v>0</v>
      </c>
      <c r="P1411">
        <v>1</v>
      </c>
      <c r="Q1411" t="s">
        <v>21</v>
      </c>
    </row>
    <row r="1412" spans="1:17" x14ac:dyDescent="0.55000000000000004">
      <c r="A1412">
        <v>498</v>
      </c>
      <c r="B1412" t="s">
        <v>43</v>
      </c>
      <c r="C1412">
        <v>0</v>
      </c>
      <c r="E1412" t="s">
        <v>1</v>
      </c>
      <c r="F1412" t="s">
        <v>411</v>
      </c>
      <c r="G1412" t="s">
        <v>43</v>
      </c>
      <c r="H1412">
        <v>11.833</v>
      </c>
      <c r="I1412" t="s">
        <v>461</v>
      </c>
      <c r="J1412" t="s">
        <v>174</v>
      </c>
      <c r="K1412">
        <v>105510142</v>
      </c>
      <c r="L1412" s="2">
        <v>43252</v>
      </c>
      <c r="M1412">
        <v>28</v>
      </c>
      <c r="N1412">
        <v>1</v>
      </c>
      <c r="O1412">
        <v>7</v>
      </c>
      <c r="P1412">
        <v>1</v>
      </c>
      <c r="Q1412" t="s">
        <v>45</v>
      </c>
    </row>
    <row r="1413" spans="1:17" x14ac:dyDescent="0.55000000000000004">
      <c r="A1413">
        <v>498</v>
      </c>
      <c r="B1413" t="s">
        <v>43</v>
      </c>
      <c r="C1413">
        <v>0</v>
      </c>
      <c r="E1413" t="s">
        <v>1</v>
      </c>
      <c r="F1413" t="s">
        <v>411</v>
      </c>
      <c r="G1413" t="s">
        <v>43</v>
      </c>
      <c r="H1413">
        <v>11.833</v>
      </c>
      <c r="I1413" t="s">
        <v>461</v>
      </c>
      <c r="J1413" t="s">
        <v>174</v>
      </c>
      <c r="K1413">
        <v>104981288</v>
      </c>
      <c r="L1413" s="2">
        <v>42723</v>
      </c>
      <c r="M1413">
        <v>1</v>
      </c>
      <c r="N1413">
        <v>1</v>
      </c>
      <c r="P1413">
        <v>1</v>
      </c>
      <c r="Q1413" t="s">
        <v>21</v>
      </c>
    </row>
    <row r="1414" spans="1:17" x14ac:dyDescent="0.55000000000000004">
      <c r="A1414">
        <v>498</v>
      </c>
      <c r="B1414" t="s">
        <v>70</v>
      </c>
      <c r="C1414">
        <v>1.9E-2</v>
      </c>
      <c r="D1414" t="s">
        <v>23</v>
      </c>
      <c r="E1414" t="s">
        <v>4</v>
      </c>
      <c r="F1414" t="s">
        <v>412</v>
      </c>
      <c r="G1414" t="s">
        <v>43</v>
      </c>
      <c r="H1414">
        <v>13.849</v>
      </c>
      <c r="I1414" t="s">
        <v>461</v>
      </c>
      <c r="K1414">
        <v>106621429</v>
      </c>
      <c r="L1414" s="2">
        <v>44371</v>
      </c>
      <c r="M1414">
        <v>28</v>
      </c>
      <c r="N1414">
        <v>1</v>
      </c>
      <c r="P1414">
        <v>1</v>
      </c>
      <c r="Q1414" t="s">
        <v>21</v>
      </c>
    </row>
    <row r="1415" spans="1:17" x14ac:dyDescent="0.55000000000000004">
      <c r="A1415">
        <v>498</v>
      </c>
      <c r="B1415" t="s">
        <v>70</v>
      </c>
      <c r="C1415">
        <v>1.9E-2</v>
      </c>
      <c r="D1415" t="s">
        <v>23</v>
      </c>
      <c r="E1415" t="s">
        <v>4</v>
      </c>
      <c r="F1415" t="s">
        <v>93</v>
      </c>
      <c r="G1415" t="s">
        <v>43</v>
      </c>
      <c r="H1415">
        <v>13.849</v>
      </c>
      <c r="I1415" t="s">
        <v>461</v>
      </c>
      <c r="K1415">
        <v>105236180</v>
      </c>
      <c r="L1415" s="2">
        <v>42993</v>
      </c>
      <c r="M1415">
        <v>21</v>
      </c>
      <c r="N1415">
        <v>1</v>
      </c>
      <c r="O1415">
        <v>7</v>
      </c>
      <c r="P1415">
        <v>1</v>
      </c>
      <c r="Q1415" t="s">
        <v>21</v>
      </c>
    </row>
    <row r="1416" spans="1:17" x14ac:dyDescent="0.55000000000000004">
      <c r="A1416">
        <v>498</v>
      </c>
      <c r="B1416" t="s">
        <v>70</v>
      </c>
      <c r="C1416">
        <v>0.01</v>
      </c>
      <c r="D1416" t="s">
        <v>23</v>
      </c>
      <c r="E1416" t="s">
        <v>4</v>
      </c>
      <c r="F1416" t="s">
        <v>93</v>
      </c>
      <c r="G1416" t="s">
        <v>43</v>
      </c>
      <c r="H1416">
        <v>13.858000000000001</v>
      </c>
      <c r="I1416" t="s">
        <v>461</v>
      </c>
      <c r="K1416">
        <v>106695648</v>
      </c>
      <c r="L1416" s="2">
        <v>44401</v>
      </c>
      <c r="M1416">
        <v>2</v>
      </c>
      <c r="N1416">
        <v>3</v>
      </c>
      <c r="P1416">
        <v>4</v>
      </c>
      <c r="Q1416" t="s">
        <v>21</v>
      </c>
    </row>
    <row r="1417" spans="1:17" x14ac:dyDescent="0.55000000000000004">
      <c r="A1417">
        <v>498</v>
      </c>
      <c r="B1417" t="s">
        <v>70</v>
      </c>
      <c r="C1417">
        <v>8.9999999999999993E-3</v>
      </c>
      <c r="D1417" t="s">
        <v>23</v>
      </c>
      <c r="E1417" t="s">
        <v>4</v>
      </c>
      <c r="F1417" t="s">
        <v>94</v>
      </c>
      <c r="G1417" t="s">
        <v>43</v>
      </c>
      <c r="H1417">
        <v>13.859</v>
      </c>
      <c r="I1417" t="s">
        <v>461</v>
      </c>
      <c r="K1417">
        <v>104999207</v>
      </c>
      <c r="L1417" s="2">
        <v>42751</v>
      </c>
      <c r="M1417">
        <v>21</v>
      </c>
      <c r="N1417">
        <v>1</v>
      </c>
      <c r="P1417">
        <v>1</v>
      </c>
      <c r="Q1417" t="s">
        <v>15</v>
      </c>
    </row>
    <row r="1418" spans="1:17" x14ac:dyDescent="0.55000000000000004">
      <c r="A1418">
        <v>498</v>
      </c>
      <c r="B1418" t="s">
        <v>70</v>
      </c>
      <c r="C1418">
        <v>8.9999999999999993E-3</v>
      </c>
      <c r="D1418" t="s">
        <v>23</v>
      </c>
      <c r="E1418" t="s">
        <v>4</v>
      </c>
      <c r="F1418" t="s">
        <v>93</v>
      </c>
      <c r="G1418" t="s">
        <v>43</v>
      </c>
      <c r="H1418">
        <v>13.859</v>
      </c>
      <c r="I1418" t="s">
        <v>461</v>
      </c>
      <c r="K1418">
        <v>105615336</v>
      </c>
      <c r="L1418" s="2">
        <v>43353</v>
      </c>
      <c r="M1418">
        <v>21</v>
      </c>
      <c r="N1418">
        <v>1</v>
      </c>
      <c r="O1418">
        <v>7</v>
      </c>
      <c r="P1418">
        <v>1</v>
      </c>
      <c r="Q1418" t="s">
        <v>21</v>
      </c>
    </row>
    <row r="1419" spans="1:17" x14ac:dyDescent="0.55000000000000004">
      <c r="A1419">
        <v>498</v>
      </c>
      <c r="B1419" t="s">
        <v>43</v>
      </c>
      <c r="C1419">
        <v>8.9999999999999993E-3</v>
      </c>
      <c r="D1419" t="s">
        <v>23</v>
      </c>
      <c r="E1419" t="s">
        <v>4</v>
      </c>
      <c r="F1419" t="s">
        <v>93</v>
      </c>
      <c r="G1419" t="s">
        <v>43</v>
      </c>
      <c r="H1419">
        <v>13.859</v>
      </c>
      <c r="I1419" t="s">
        <v>461</v>
      </c>
      <c r="K1419">
        <v>105758561</v>
      </c>
      <c r="L1419" s="2">
        <v>43483</v>
      </c>
      <c r="M1419">
        <v>28</v>
      </c>
      <c r="N1419">
        <v>1</v>
      </c>
      <c r="O1419">
        <v>0</v>
      </c>
      <c r="P1419">
        <v>5</v>
      </c>
      <c r="Q1419" t="s">
        <v>21</v>
      </c>
    </row>
    <row r="1420" spans="1:17" x14ac:dyDescent="0.55000000000000004">
      <c r="A1420">
        <v>498</v>
      </c>
      <c r="B1420" t="s">
        <v>70</v>
      </c>
      <c r="C1420">
        <v>8.9999999999999993E-3</v>
      </c>
      <c r="D1420" t="s">
        <v>23</v>
      </c>
      <c r="E1420" t="s">
        <v>4</v>
      </c>
      <c r="F1420" t="s">
        <v>389</v>
      </c>
      <c r="G1420" t="s">
        <v>43</v>
      </c>
      <c r="H1420">
        <v>13.859</v>
      </c>
      <c r="I1420" t="s">
        <v>461</v>
      </c>
      <c r="K1420">
        <v>106141092</v>
      </c>
      <c r="L1420" s="2">
        <v>43819</v>
      </c>
      <c r="M1420">
        <v>2</v>
      </c>
      <c r="N1420">
        <v>1</v>
      </c>
      <c r="O1420">
        <v>0</v>
      </c>
      <c r="P1420">
        <v>4</v>
      </c>
      <c r="Q1420" t="s">
        <v>21</v>
      </c>
    </row>
    <row r="1421" spans="1:17" x14ac:dyDescent="0.55000000000000004">
      <c r="A1421">
        <v>498</v>
      </c>
      <c r="B1421" t="s">
        <v>43</v>
      </c>
      <c r="C1421">
        <v>2E-3</v>
      </c>
      <c r="D1421" t="s">
        <v>23</v>
      </c>
      <c r="E1421" t="s">
        <v>0</v>
      </c>
      <c r="F1421" t="s">
        <v>93</v>
      </c>
      <c r="G1421" t="s">
        <v>43</v>
      </c>
      <c r="H1421">
        <v>13.866</v>
      </c>
      <c r="I1421" t="s">
        <v>461</v>
      </c>
      <c r="K1421">
        <v>106002607</v>
      </c>
      <c r="L1421" s="2">
        <v>43724</v>
      </c>
      <c r="M1421">
        <v>21</v>
      </c>
      <c r="N1421">
        <v>1</v>
      </c>
      <c r="O1421">
        <v>19</v>
      </c>
      <c r="P1421">
        <v>1</v>
      </c>
      <c r="Q1421" t="s">
        <v>15</v>
      </c>
    </row>
    <row r="1422" spans="1:17" x14ac:dyDescent="0.55000000000000004">
      <c r="A1422">
        <v>498</v>
      </c>
      <c r="B1422" t="s">
        <v>43</v>
      </c>
      <c r="C1422">
        <v>2E-3</v>
      </c>
      <c r="D1422" t="s">
        <v>23</v>
      </c>
      <c r="E1422" t="s">
        <v>4</v>
      </c>
      <c r="F1422" t="s">
        <v>93</v>
      </c>
      <c r="G1422" t="s">
        <v>43</v>
      </c>
      <c r="H1422">
        <v>13.866</v>
      </c>
      <c r="I1422" t="s">
        <v>461</v>
      </c>
      <c r="K1422">
        <v>106135950</v>
      </c>
      <c r="L1422" s="2">
        <v>43809</v>
      </c>
      <c r="M1422">
        <v>21</v>
      </c>
      <c r="N1422">
        <v>2</v>
      </c>
      <c r="O1422">
        <v>0</v>
      </c>
      <c r="P1422">
        <v>1</v>
      </c>
      <c r="Q1422" t="s">
        <v>21</v>
      </c>
    </row>
    <row r="1423" spans="1:17" x14ac:dyDescent="0.55000000000000004">
      <c r="A1423">
        <v>498</v>
      </c>
      <c r="B1423" t="s">
        <v>43</v>
      </c>
      <c r="C1423">
        <v>0</v>
      </c>
      <c r="E1423" t="s">
        <v>0</v>
      </c>
      <c r="F1423" t="s">
        <v>94</v>
      </c>
      <c r="G1423" t="s">
        <v>43</v>
      </c>
      <c r="H1423">
        <v>13.868</v>
      </c>
      <c r="I1423" t="s">
        <v>461</v>
      </c>
      <c r="K1423">
        <v>105472620</v>
      </c>
      <c r="L1423" s="2">
        <v>43225</v>
      </c>
      <c r="M1423">
        <v>30</v>
      </c>
      <c r="N1423">
        <v>1</v>
      </c>
      <c r="O1423">
        <v>7</v>
      </c>
      <c r="P1423">
        <v>4</v>
      </c>
      <c r="Q1423" t="s">
        <v>21</v>
      </c>
    </row>
    <row r="1424" spans="1:17" x14ac:dyDescent="0.55000000000000004">
      <c r="A1424">
        <v>498</v>
      </c>
      <c r="B1424" t="s">
        <v>43</v>
      </c>
      <c r="C1424">
        <v>0</v>
      </c>
      <c r="E1424" t="s">
        <v>0</v>
      </c>
      <c r="F1424" t="s">
        <v>94</v>
      </c>
      <c r="G1424" t="s">
        <v>43</v>
      </c>
      <c r="H1424">
        <v>13.868</v>
      </c>
      <c r="I1424" t="s">
        <v>461</v>
      </c>
      <c r="K1424">
        <v>104970645</v>
      </c>
      <c r="L1424" s="2">
        <v>42707</v>
      </c>
      <c r="M1424">
        <v>30</v>
      </c>
      <c r="N1424">
        <v>1</v>
      </c>
      <c r="O1424">
        <v>7</v>
      </c>
      <c r="P1424">
        <v>4</v>
      </c>
      <c r="Q1424" t="s">
        <v>15</v>
      </c>
    </row>
    <row r="1425" spans="1:17" x14ac:dyDescent="0.55000000000000004">
      <c r="A1425">
        <v>498</v>
      </c>
      <c r="B1425" t="s">
        <v>43</v>
      </c>
      <c r="C1425">
        <v>0</v>
      </c>
      <c r="E1425" t="s">
        <v>0</v>
      </c>
      <c r="F1425" t="s">
        <v>94</v>
      </c>
      <c r="G1425" t="s">
        <v>43</v>
      </c>
      <c r="H1425">
        <v>13.868</v>
      </c>
      <c r="I1425" t="s">
        <v>461</v>
      </c>
      <c r="K1425">
        <v>105035479</v>
      </c>
      <c r="L1425" s="2">
        <v>42782</v>
      </c>
      <c r="M1425">
        <v>21</v>
      </c>
      <c r="N1425">
        <v>1</v>
      </c>
      <c r="O1425">
        <v>0</v>
      </c>
      <c r="P1425">
        <v>1</v>
      </c>
      <c r="Q1425" t="s">
        <v>15</v>
      </c>
    </row>
    <row r="1426" spans="1:17" x14ac:dyDescent="0.55000000000000004">
      <c r="A1426">
        <v>498</v>
      </c>
      <c r="B1426" t="s">
        <v>43</v>
      </c>
      <c r="C1426">
        <v>0</v>
      </c>
      <c r="E1426" t="s">
        <v>0</v>
      </c>
      <c r="F1426" t="s">
        <v>93</v>
      </c>
      <c r="G1426" t="s">
        <v>43</v>
      </c>
      <c r="H1426">
        <v>13.868</v>
      </c>
      <c r="I1426" t="s">
        <v>461</v>
      </c>
      <c r="K1426">
        <v>106278313</v>
      </c>
      <c r="L1426" s="2">
        <v>43896</v>
      </c>
      <c r="M1426">
        <v>30</v>
      </c>
      <c r="N1426">
        <v>1</v>
      </c>
      <c r="O1426">
        <v>0</v>
      </c>
      <c r="P1426">
        <v>1</v>
      </c>
      <c r="Q1426" t="s">
        <v>21</v>
      </c>
    </row>
    <row r="1427" spans="1:17" x14ac:dyDescent="0.55000000000000004">
      <c r="A1427">
        <v>498</v>
      </c>
      <c r="B1427" t="s">
        <v>43</v>
      </c>
      <c r="C1427">
        <v>0</v>
      </c>
      <c r="E1427" t="s">
        <v>0</v>
      </c>
      <c r="F1427" t="s">
        <v>93</v>
      </c>
      <c r="G1427" t="s">
        <v>43</v>
      </c>
      <c r="H1427">
        <v>13.868</v>
      </c>
      <c r="I1427" t="s">
        <v>461</v>
      </c>
      <c r="K1427">
        <v>105123838</v>
      </c>
      <c r="L1427" s="2">
        <v>42884</v>
      </c>
      <c r="M1427">
        <v>21</v>
      </c>
      <c r="N1427">
        <v>1</v>
      </c>
      <c r="O1427">
        <v>0</v>
      </c>
      <c r="P1427">
        <v>1</v>
      </c>
      <c r="Q1427" t="s">
        <v>21</v>
      </c>
    </row>
    <row r="1428" spans="1:17" x14ac:dyDescent="0.55000000000000004">
      <c r="A1428">
        <v>498</v>
      </c>
      <c r="B1428" t="s">
        <v>43</v>
      </c>
      <c r="C1428">
        <v>0</v>
      </c>
      <c r="E1428" t="s">
        <v>0</v>
      </c>
      <c r="F1428" t="s">
        <v>230</v>
      </c>
      <c r="G1428" t="s">
        <v>43</v>
      </c>
      <c r="H1428">
        <v>13.868</v>
      </c>
      <c r="I1428" t="s">
        <v>461</v>
      </c>
      <c r="K1428">
        <v>105236884</v>
      </c>
      <c r="L1428" s="2">
        <v>42990</v>
      </c>
      <c r="M1428">
        <v>21</v>
      </c>
      <c r="N1428">
        <v>2</v>
      </c>
      <c r="O1428">
        <v>0</v>
      </c>
      <c r="P1428">
        <v>4</v>
      </c>
      <c r="Q1428" t="s">
        <v>15</v>
      </c>
    </row>
    <row r="1429" spans="1:17" x14ac:dyDescent="0.55000000000000004">
      <c r="A1429">
        <v>498</v>
      </c>
      <c r="B1429" t="s">
        <v>43</v>
      </c>
      <c r="C1429">
        <v>0</v>
      </c>
      <c r="D1429" t="s">
        <v>30</v>
      </c>
      <c r="E1429" t="s">
        <v>0</v>
      </c>
      <c r="F1429" t="s">
        <v>67</v>
      </c>
      <c r="G1429" t="s">
        <v>43</v>
      </c>
      <c r="H1429">
        <v>13.868</v>
      </c>
      <c r="I1429" t="s">
        <v>461</v>
      </c>
      <c r="K1429">
        <v>104983765</v>
      </c>
      <c r="L1429" s="2">
        <v>42734</v>
      </c>
      <c r="M1429">
        <v>28</v>
      </c>
      <c r="N1429">
        <v>1</v>
      </c>
      <c r="O1429">
        <v>0</v>
      </c>
      <c r="P1429">
        <v>4</v>
      </c>
      <c r="Q1429" t="s">
        <v>21</v>
      </c>
    </row>
    <row r="1430" spans="1:17" x14ac:dyDescent="0.55000000000000004">
      <c r="A1430">
        <v>498</v>
      </c>
      <c r="B1430" t="s">
        <v>43</v>
      </c>
      <c r="C1430">
        <v>0</v>
      </c>
      <c r="E1430" t="s">
        <v>0</v>
      </c>
      <c r="F1430" t="s">
        <v>67</v>
      </c>
      <c r="G1430" t="s">
        <v>43</v>
      </c>
      <c r="H1430">
        <v>13.868</v>
      </c>
      <c r="I1430" t="s">
        <v>461</v>
      </c>
      <c r="K1430">
        <v>105938668</v>
      </c>
      <c r="L1430" s="2">
        <v>43654</v>
      </c>
      <c r="M1430">
        <v>23</v>
      </c>
      <c r="N1430">
        <v>1</v>
      </c>
      <c r="O1430">
        <v>7</v>
      </c>
      <c r="P1430">
        <v>1</v>
      </c>
      <c r="Q1430" t="s">
        <v>21</v>
      </c>
    </row>
    <row r="1431" spans="1:17" x14ac:dyDescent="0.55000000000000004">
      <c r="A1431">
        <v>498</v>
      </c>
      <c r="B1431" t="s">
        <v>43</v>
      </c>
      <c r="C1431">
        <v>0</v>
      </c>
      <c r="E1431" t="s">
        <v>0</v>
      </c>
      <c r="F1431" t="s">
        <v>67</v>
      </c>
      <c r="G1431" t="s">
        <v>43</v>
      </c>
      <c r="H1431">
        <v>13.868</v>
      </c>
      <c r="I1431" t="s">
        <v>461</v>
      </c>
      <c r="K1431">
        <v>105773586</v>
      </c>
      <c r="L1431" s="2">
        <v>43500</v>
      </c>
      <c r="M1431">
        <v>30</v>
      </c>
      <c r="N1431">
        <v>1</v>
      </c>
      <c r="O1431">
        <v>7</v>
      </c>
      <c r="P1431">
        <v>1</v>
      </c>
      <c r="Q1431" t="s">
        <v>21</v>
      </c>
    </row>
    <row r="1432" spans="1:17" x14ac:dyDescent="0.55000000000000004">
      <c r="A1432">
        <v>498</v>
      </c>
      <c r="B1432" t="s">
        <v>43</v>
      </c>
      <c r="C1432">
        <v>0</v>
      </c>
      <c r="D1432" t="s">
        <v>30</v>
      </c>
      <c r="E1432" t="s">
        <v>0</v>
      </c>
      <c r="F1432" t="s">
        <v>151</v>
      </c>
      <c r="G1432" t="s">
        <v>43</v>
      </c>
      <c r="H1432">
        <v>13.868</v>
      </c>
      <c r="I1432" t="s">
        <v>461</v>
      </c>
      <c r="K1432">
        <v>105813517</v>
      </c>
      <c r="L1432" s="2">
        <v>43536</v>
      </c>
      <c r="M1432">
        <v>30</v>
      </c>
      <c r="N1432">
        <v>1</v>
      </c>
      <c r="O1432">
        <v>0</v>
      </c>
      <c r="P1432">
        <v>1</v>
      </c>
      <c r="Q1432" t="s">
        <v>15</v>
      </c>
    </row>
    <row r="1433" spans="1:17" x14ac:dyDescent="0.55000000000000004">
      <c r="A1433">
        <v>498</v>
      </c>
      <c r="B1433" t="s">
        <v>43</v>
      </c>
      <c r="C1433">
        <v>0</v>
      </c>
      <c r="D1433" t="s">
        <v>30</v>
      </c>
      <c r="E1433" t="s">
        <v>0</v>
      </c>
      <c r="F1433" t="s">
        <v>151</v>
      </c>
      <c r="G1433" t="s">
        <v>43</v>
      </c>
      <c r="H1433">
        <v>13.868</v>
      </c>
      <c r="I1433" t="s">
        <v>461</v>
      </c>
      <c r="K1433">
        <v>105228642</v>
      </c>
      <c r="L1433" s="2">
        <v>42986</v>
      </c>
      <c r="M1433">
        <v>21</v>
      </c>
      <c r="N1433">
        <v>1</v>
      </c>
      <c r="O1433">
        <v>0</v>
      </c>
      <c r="P1433">
        <v>1</v>
      </c>
      <c r="Q1433" t="s">
        <v>21</v>
      </c>
    </row>
    <row r="1434" spans="1:17" x14ac:dyDescent="0.55000000000000004">
      <c r="A1434">
        <v>498</v>
      </c>
      <c r="B1434" t="s">
        <v>43</v>
      </c>
      <c r="C1434">
        <v>0</v>
      </c>
      <c r="E1434" t="s">
        <v>0</v>
      </c>
      <c r="F1434" t="s">
        <v>151</v>
      </c>
      <c r="G1434" t="s">
        <v>43</v>
      </c>
      <c r="H1434">
        <v>13.868</v>
      </c>
      <c r="I1434" t="s">
        <v>461</v>
      </c>
      <c r="K1434">
        <v>106368208</v>
      </c>
      <c r="L1434" s="2">
        <v>44097</v>
      </c>
      <c r="M1434">
        <v>21</v>
      </c>
      <c r="N1434">
        <v>1</v>
      </c>
      <c r="O1434">
        <v>0</v>
      </c>
      <c r="P1434">
        <v>4</v>
      </c>
      <c r="Q1434" t="s">
        <v>21</v>
      </c>
    </row>
    <row r="1435" spans="1:17" x14ac:dyDescent="0.55000000000000004">
      <c r="A1435">
        <v>498</v>
      </c>
      <c r="B1435" t="s">
        <v>43</v>
      </c>
      <c r="C1435">
        <v>0</v>
      </c>
      <c r="D1435" t="s">
        <v>30</v>
      </c>
      <c r="E1435" t="s">
        <v>0</v>
      </c>
      <c r="F1435" t="s">
        <v>77</v>
      </c>
      <c r="G1435" t="s">
        <v>43</v>
      </c>
      <c r="H1435">
        <v>13.868</v>
      </c>
      <c r="I1435" t="s">
        <v>461</v>
      </c>
      <c r="K1435">
        <v>105138409</v>
      </c>
      <c r="L1435" s="2">
        <v>42896</v>
      </c>
      <c r="M1435">
        <v>28</v>
      </c>
      <c r="N1435">
        <v>1</v>
      </c>
      <c r="O1435">
        <v>7</v>
      </c>
      <c r="P1435">
        <v>1</v>
      </c>
      <c r="Q1435" t="s">
        <v>21</v>
      </c>
    </row>
    <row r="1436" spans="1:17" x14ac:dyDescent="0.55000000000000004">
      <c r="A1436">
        <v>498</v>
      </c>
      <c r="B1436" t="s">
        <v>43</v>
      </c>
      <c r="C1436">
        <v>0</v>
      </c>
      <c r="E1436" t="s">
        <v>4</v>
      </c>
      <c r="F1436" t="s">
        <v>418</v>
      </c>
      <c r="G1436" t="s">
        <v>43</v>
      </c>
      <c r="H1436">
        <v>13.868</v>
      </c>
      <c r="I1436" t="s">
        <v>461</v>
      </c>
      <c r="K1436">
        <v>105603317</v>
      </c>
      <c r="L1436" s="2">
        <v>43346</v>
      </c>
      <c r="M1436">
        <v>21</v>
      </c>
      <c r="N1436">
        <v>1</v>
      </c>
      <c r="O1436">
        <v>7</v>
      </c>
      <c r="P1436">
        <v>1</v>
      </c>
      <c r="Q1436" t="s">
        <v>21</v>
      </c>
    </row>
    <row r="1437" spans="1:17" x14ac:dyDescent="0.55000000000000004">
      <c r="A1437">
        <v>498</v>
      </c>
      <c r="B1437" t="s">
        <v>70</v>
      </c>
      <c r="C1437">
        <v>0</v>
      </c>
      <c r="D1437" t="s">
        <v>30</v>
      </c>
      <c r="E1437" t="s">
        <v>4</v>
      </c>
      <c r="F1437" t="s">
        <v>94</v>
      </c>
      <c r="G1437" t="s">
        <v>43</v>
      </c>
      <c r="H1437">
        <v>13.868</v>
      </c>
      <c r="I1437" t="s">
        <v>461</v>
      </c>
      <c r="K1437">
        <v>106648755</v>
      </c>
      <c r="L1437" s="2">
        <v>44350</v>
      </c>
      <c r="M1437">
        <v>21</v>
      </c>
      <c r="N1437">
        <v>1</v>
      </c>
      <c r="P1437">
        <v>1</v>
      </c>
      <c r="Q1437" t="s">
        <v>21</v>
      </c>
    </row>
    <row r="1438" spans="1:17" x14ac:dyDescent="0.55000000000000004">
      <c r="A1438">
        <v>498</v>
      </c>
      <c r="B1438" t="s">
        <v>70</v>
      </c>
      <c r="C1438">
        <v>0</v>
      </c>
      <c r="D1438" t="s">
        <v>30</v>
      </c>
      <c r="E1438" t="s">
        <v>4</v>
      </c>
      <c r="F1438" t="s">
        <v>94</v>
      </c>
      <c r="G1438" t="s">
        <v>43</v>
      </c>
      <c r="H1438">
        <v>13.868</v>
      </c>
      <c r="I1438" t="s">
        <v>461</v>
      </c>
      <c r="K1438">
        <v>104984236</v>
      </c>
      <c r="L1438" s="2">
        <v>42738</v>
      </c>
      <c r="M1438">
        <v>21</v>
      </c>
      <c r="N1438">
        <v>2</v>
      </c>
      <c r="O1438">
        <v>7</v>
      </c>
      <c r="P1438">
        <v>1</v>
      </c>
      <c r="Q1438" t="s">
        <v>21</v>
      </c>
    </row>
    <row r="1439" spans="1:17" x14ac:dyDescent="0.55000000000000004">
      <c r="A1439">
        <v>498</v>
      </c>
      <c r="B1439" t="s">
        <v>70</v>
      </c>
      <c r="C1439">
        <v>0</v>
      </c>
      <c r="E1439" t="s">
        <v>4</v>
      </c>
      <c r="F1439" t="s">
        <v>94</v>
      </c>
      <c r="G1439" t="s">
        <v>43</v>
      </c>
      <c r="H1439">
        <v>13.868</v>
      </c>
      <c r="I1439" t="s">
        <v>461</v>
      </c>
      <c r="K1439">
        <v>105795146</v>
      </c>
      <c r="L1439" s="2">
        <v>43521</v>
      </c>
      <c r="M1439">
        <v>21</v>
      </c>
      <c r="N1439">
        <v>1</v>
      </c>
      <c r="O1439">
        <v>7</v>
      </c>
      <c r="P1439">
        <v>1</v>
      </c>
      <c r="Q1439" t="s">
        <v>21</v>
      </c>
    </row>
    <row r="1440" spans="1:17" x14ac:dyDescent="0.55000000000000004">
      <c r="A1440">
        <v>498</v>
      </c>
      <c r="B1440" t="s">
        <v>70</v>
      </c>
      <c r="C1440">
        <v>0</v>
      </c>
      <c r="E1440" t="s">
        <v>4</v>
      </c>
      <c r="F1440" t="s">
        <v>94</v>
      </c>
      <c r="G1440" t="s">
        <v>43</v>
      </c>
      <c r="H1440">
        <v>13.868</v>
      </c>
      <c r="I1440" t="s">
        <v>461</v>
      </c>
      <c r="K1440">
        <v>105606196</v>
      </c>
      <c r="L1440" s="2">
        <v>43351</v>
      </c>
      <c r="M1440">
        <v>21</v>
      </c>
      <c r="N1440">
        <v>1</v>
      </c>
      <c r="O1440">
        <v>0</v>
      </c>
      <c r="P1440">
        <v>1</v>
      </c>
      <c r="Q1440" t="s">
        <v>21</v>
      </c>
    </row>
    <row r="1441" spans="1:17" x14ac:dyDescent="0.55000000000000004">
      <c r="A1441">
        <v>498</v>
      </c>
      <c r="B1441" t="s">
        <v>70</v>
      </c>
      <c r="C1441">
        <v>0</v>
      </c>
      <c r="E1441" t="s">
        <v>4</v>
      </c>
      <c r="F1441" t="s">
        <v>94</v>
      </c>
      <c r="G1441" t="s">
        <v>43</v>
      </c>
      <c r="H1441">
        <v>13.868</v>
      </c>
      <c r="I1441" t="s">
        <v>461</v>
      </c>
      <c r="K1441">
        <v>105439153</v>
      </c>
      <c r="L1441" s="2">
        <v>43175</v>
      </c>
      <c r="M1441">
        <v>30</v>
      </c>
      <c r="N1441">
        <v>1</v>
      </c>
      <c r="O1441">
        <v>0</v>
      </c>
      <c r="P1441">
        <v>1</v>
      </c>
      <c r="Q1441" t="s">
        <v>21</v>
      </c>
    </row>
    <row r="1442" spans="1:17" x14ac:dyDescent="0.55000000000000004">
      <c r="A1442">
        <v>498</v>
      </c>
      <c r="B1442" t="s">
        <v>70</v>
      </c>
      <c r="C1442">
        <v>0</v>
      </c>
      <c r="D1442" t="s">
        <v>23</v>
      </c>
      <c r="E1442" t="s">
        <v>4</v>
      </c>
      <c r="F1442" t="s">
        <v>416</v>
      </c>
      <c r="G1442" t="s">
        <v>43</v>
      </c>
      <c r="H1442">
        <v>13.868</v>
      </c>
      <c r="I1442" t="s">
        <v>461</v>
      </c>
      <c r="K1442">
        <v>105270073</v>
      </c>
      <c r="L1442" s="2">
        <v>43030</v>
      </c>
      <c r="M1442">
        <v>30</v>
      </c>
      <c r="N1442">
        <v>1</v>
      </c>
      <c r="O1442">
        <v>0</v>
      </c>
      <c r="P1442">
        <v>1</v>
      </c>
      <c r="Q1442" t="s">
        <v>21</v>
      </c>
    </row>
    <row r="1443" spans="1:17" x14ac:dyDescent="0.55000000000000004">
      <c r="A1443">
        <v>498</v>
      </c>
      <c r="B1443" t="s">
        <v>70</v>
      </c>
      <c r="C1443">
        <v>0</v>
      </c>
      <c r="D1443" t="s">
        <v>23</v>
      </c>
      <c r="E1443" t="s">
        <v>4</v>
      </c>
      <c r="F1443" t="s">
        <v>93</v>
      </c>
      <c r="G1443" t="s">
        <v>43</v>
      </c>
      <c r="H1443">
        <v>13.868</v>
      </c>
      <c r="I1443" t="s">
        <v>461</v>
      </c>
      <c r="K1443">
        <v>105736438</v>
      </c>
      <c r="L1443" s="2">
        <v>43455</v>
      </c>
      <c r="M1443">
        <v>30</v>
      </c>
      <c r="N1443">
        <v>2</v>
      </c>
      <c r="O1443">
        <v>7</v>
      </c>
      <c r="P1443">
        <v>1</v>
      </c>
      <c r="Q1443" t="s">
        <v>21</v>
      </c>
    </row>
    <row r="1444" spans="1:17" x14ac:dyDescent="0.55000000000000004">
      <c r="A1444">
        <v>498</v>
      </c>
      <c r="B1444" t="s">
        <v>70</v>
      </c>
      <c r="C1444">
        <v>0</v>
      </c>
      <c r="D1444" t="s">
        <v>23</v>
      </c>
      <c r="E1444" t="s">
        <v>4</v>
      </c>
      <c r="F1444" t="s">
        <v>93</v>
      </c>
      <c r="G1444" t="s">
        <v>43</v>
      </c>
      <c r="H1444">
        <v>13.868</v>
      </c>
      <c r="I1444" t="s">
        <v>461</v>
      </c>
      <c r="K1444">
        <v>105190197</v>
      </c>
      <c r="L1444" s="2">
        <v>42951</v>
      </c>
      <c r="M1444">
        <v>31</v>
      </c>
      <c r="N1444">
        <v>1</v>
      </c>
      <c r="O1444">
        <v>7</v>
      </c>
      <c r="P1444">
        <v>1</v>
      </c>
      <c r="Q1444" t="s">
        <v>21</v>
      </c>
    </row>
    <row r="1445" spans="1:17" x14ac:dyDescent="0.55000000000000004">
      <c r="A1445">
        <v>498</v>
      </c>
      <c r="B1445" t="s">
        <v>70</v>
      </c>
      <c r="C1445">
        <v>0</v>
      </c>
      <c r="D1445" t="s">
        <v>23</v>
      </c>
      <c r="E1445" t="s">
        <v>4</v>
      </c>
      <c r="F1445" t="s">
        <v>93</v>
      </c>
      <c r="G1445" t="s">
        <v>43</v>
      </c>
      <c r="H1445">
        <v>13.868</v>
      </c>
      <c r="I1445" t="s">
        <v>461</v>
      </c>
      <c r="K1445">
        <v>105220672</v>
      </c>
      <c r="L1445" s="2">
        <v>42976</v>
      </c>
      <c r="M1445">
        <v>21</v>
      </c>
      <c r="N1445">
        <v>2</v>
      </c>
      <c r="O1445">
        <v>7</v>
      </c>
      <c r="P1445">
        <v>1</v>
      </c>
      <c r="Q1445" t="s">
        <v>21</v>
      </c>
    </row>
    <row r="1446" spans="1:17" x14ac:dyDescent="0.55000000000000004">
      <c r="A1446">
        <v>498</v>
      </c>
      <c r="B1446" t="s">
        <v>43</v>
      </c>
      <c r="C1446">
        <v>0</v>
      </c>
      <c r="D1446" t="s">
        <v>23</v>
      </c>
      <c r="E1446" t="s">
        <v>4</v>
      </c>
      <c r="F1446" t="s">
        <v>93</v>
      </c>
      <c r="G1446" t="s">
        <v>43</v>
      </c>
      <c r="H1446">
        <v>13.868</v>
      </c>
      <c r="I1446" t="s">
        <v>461</v>
      </c>
      <c r="K1446">
        <v>106280698</v>
      </c>
      <c r="L1446" s="2">
        <v>43944</v>
      </c>
      <c r="M1446">
        <v>28</v>
      </c>
      <c r="N1446">
        <v>2</v>
      </c>
      <c r="P1446">
        <v>1</v>
      </c>
      <c r="Q1446" t="s">
        <v>21</v>
      </c>
    </row>
    <row r="1447" spans="1:17" x14ac:dyDescent="0.55000000000000004">
      <c r="A1447">
        <v>498</v>
      </c>
      <c r="B1447" t="s">
        <v>70</v>
      </c>
      <c r="C1447">
        <v>0</v>
      </c>
      <c r="E1447" t="s">
        <v>4</v>
      </c>
      <c r="F1447" t="s">
        <v>93</v>
      </c>
      <c r="G1447" t="s">
        <v>43</v>
      </c>
      <c r="H1447">
        <v>13.868</v>
      </c>
      <c r="I1447" t="s">
        <v>461</v>
      </c>
      <c r="K1447">
        <v>106597847</v>
      </c>
      <c r="L1447" s="2">
        <v>44302</v>
      </c>
      <c r="M1447">
        <v>30</v>
      </c>
      <c r="N1447">
        <v>1</v>
      </c>
      <c r="O1447">
        <v>0</v>
      </c>
      <c r="P1447">
        <v>4</v>
      </c>
      <c r="Q1447" t="s">
        <v>15</v>
      </c>
    </row>
    <row r="1448" spans="1:17" x14ac:dyDescent="0.55000000000000004">
      <c r="A1448">
        <v>498</v>
      </c>
      <c r="B1448" t="s">
        <v>70</v>
      </c>
      <c r="C1448">
        <v>0</v>
      </c>
      <c r="E1448" t="s">
        <v>4</v>
      </c>
      <c r="F1448" t="s">
        <v>93</v>
      </c>
      <c r="G1448" t="s">
        <v>43</v>
      </c>
      <c r="H1448">
        <v>13.868</v>
      </c>
      <c r="I1448" t="s">
        <v>461</v>
      </c>
      <c r="K1448">
        <v>106628835</v>
      </c>
      <c r="L1448" s="2">
        <v>44328</v>
      </c>
      <c r="M1448">
        <v>21</v>
      </c>
      <c r="N1448">
        <v>2</v>
      </c>
      <c r="P1448">
        <v>1</v>
      </c>
      <c r="Q1448" t="s">
        <v>21</v>
      </c>
    </row>
    <row r="1449" spans="1:17" x14ac:dyDescent="0.55000000000000004">
      <c r="A1449">
        <v>498</v>
      </c>
      <c r="B1449" t="s">
        <v>70</v>
      </c>
      <c r="C1449">
        <v>0</v>
      </c>
      <c r="E1449" t="s">
        <v>4</v>
      </c>
      <c r="F1449" t="s">
        <v>93</v>
      </c>
      <c r="G1449" t="s">
        <v>43</v>
      </c>
      <c r="H1449">
        <v>13.868</v>
      </c>
      <c r="I1449" t="s">
        <v>461</v>
      </c>
      <c r="K1449">
        <v>106368209</v>
      </c>
      <c r="L1449" s="2">
        <v>44096</v>
      </c>
      <c r="M1449">
        <v>30</v>
      </c>
      <c r="N1449">
        <v>1</v>
      </c>
      <c r="O1449">
        <v>12</v>
      </c>
      <c r="P1449">
        <v>4</v>
      </c>
      <c r="Q1449" t="s">
        <v>15</v>
      </c>
    </row>
    <row r="1450" spans="1:17" x14ac:dyDescent="0.55000000000000004">
      <c r="A1450">
        <v>498</v>
      </c>
      <c r="B1450" t="s">
        <v>70</v>
      </c>
      <c r="C1450">
        <v>0</v>
      </c>
      <c r="E1450" t="s">
        <v>4</v>
      </c>
      <c r="F1450" t="s">
        <v>93</v>
      </c>
      <c r="G1450" t="s">
        <v>43</v>
      </c>
      <c r="H1450">
        <v>13.868</v>
      </c>
      <c r="I1450" t="s">
        <v>461</v>
      </c>
      <c r="K1450">
        <v>106277469</v>
      </c>
      <c r="L1450" s="2">
        <v>43973</v>
      </c>
      <c r="M1450">
        <v>21</v>
      </c>
      <c r="N1450">
        <v>1</v>
      </c>
      <c r="O1450">
        <v>0</v>
      </c>
      <c r="P1450">
        <v>1</v>
      </c>
      <c r="Q1450" t="s">
        <v>21</v>
      </c>
    </row>
    <row r="1451" spans="1:17" x14ac:dyDescent="0.55000000000000004">
      <c r="A1451">
        <v>498</v>
      </c>
      <c r="B1451" t="s">
        <v>70</v>
      </c>
      <c r="C1451">
        <v>0</v>
      </c>
      <c r="E1451" t="s">
        <v>4</v>
      </c>
      <c r="F1451" t="s">
        <v>93</v>
      </c>
      <c r="G1451" t="s">
        <v>43</v>
      </c>
      <c r="H1451">
        <v>13.868</v>
      </c>
      <c r="I1451" t="s">
        <v>461</v>
      </c>
      <c r="K1451">
        <v>105843277</v>
      </c>
      <c r="L1451" s="2">
        <v>43555</v>
      </c>
      <c r="M1451">
        <v>21</v>
      </c>
      <c r="N1451">
        <v>1</v>
      </c>
      <c r="O1451">
        <v>0</v>
      </c>
      <c r="P1451">
        <v>1</v>
      </c>
      <c r="Q1451" t="s">
        <v>15</v>
      </c>
    </row>
    <row r="1452" spans="1:17" x14ac:dyDescent="0.55000000000000004">
      <c r="A1452">
        <v>498</v>
      </c>
      <c r="B1452" t="s">
        <v>70</v>
      </c>
      <c r="C1452">
        <v>0</v>
      </c>
      <c r="E1452" t="s">
        <v>4</v>
      </c>
      <c r="F1452" t="s">
        <v>93</v>
      </c>
      <c r="G1452" t="s">
        <v>43</v>
      </c>
      <c r="H1452">
        <v>13.868</v>
      </c>
      <c r="I1452" t="s">
        <v>461</v>
      </c>
      <c r="K1452">
        <v>106021239</v>
      </c>
      <c r="L1452" s="2">
        <v>43736</v>
      </c>
      <c r="M1452">
        <v>21</v>
      </c>
      <c r="N1452">
        <v>1</v>
      </c>
      <c r="O1452">
        <v>0</v>
      </c>
      <c r="P1452">
        <v>1</v>
      </c>
      <c r="Q1452" t="s">
        <v>21</v>
      </c>
    </row>
    <row r="1453" spans="1:17" x14ac:dyDescent="0.55000000000000004">
      <c r="A1453">
        <v>498</v>
      </c>
      <c r="B1453" t="s">
        <v>70</v>
      </c>
      <c r="C1453">
        <v>0</v>
      </c>
      <c r="E1453" t="s">
        <v>4</v>
      </c>
      <c r="F1453" t="s">
        <v>93</v>
      </c>
      <c r="G1453" t="s">
        <v>43</v>
      </c>
      <c r="H1453">
        <v>13.868</v>
      </c>
      <c r="I1453" t="s">
        <v>461</v>
      </c>
      <c r="K1453">
        <v>105696161</v>
      </c>
      <c r="L1453" s="2">
        <v>43419</v>
      </c>
      <c r="M1453">
        <v>21</v>
      </c>
      <c r="N1453">
        <v>1</v>
      </c>
      <c r="O1453">
        <v>7</v>
      </c>
      <c r="P1453">
        <v>4</v>
      </c>
      <c r="Q1453" t="s">
        <v>21</v>
      </c>
    </row>
    <row r="1454" spans="1:17" x14ac:dyDescent="0.55000000000000004">
      <c r="A1454">
        <v>498</v>
      </c>
      <c r="B1454" t="s">
        <v>70</v>
      </c>
      <c r="C1454">
        <v>0</v>
      </c>
      <c r="E1454" t="s">
        <v>4</v>
      </c>
      <c r="F1454" t="s">
        <v>93</v>
      </c>
      <c r="G1454" t="s">
        <v>43</v>
      </c>
      <c r="H1454">
        <v>13.868</v>
      </c>
      <c r="I1454" t="s">
        <v>461</v>
      </c>
      <c r="K1454">
        <v>105795181</v>
      </c>
      <c r="L1454" s="2">
        <v>43521</v>
      </c>
      <c r="M1454">
        <v>21</v>
      </c>
      <c r="N1454">
        <v>1</v>
      </c>
      <c r="O1454">
        <v>0</v>
      </c>
      <c r="P1454">
        <v>1</v>
      </c>
      <c r="Q1454" t="s">
        <v>21</v>
      </c>
    </row>
    <row r="1455" spans="1:17" x14ac:dyDescent="0.55000000000000004">
      <c r="A1455">
        <v>498</v>
      </c>
      <c r="B1455" t="s">
        <v>70</v>
      </c>
      <c r="C1455">
        <v>0</v>
      </c>
      <c r="E1455" t="s">
        <v>4</v>
      </c>
      <c r="F1455" t="s">
        <v>93</v>
      </c>
      <c r="G1455" t="s">
        <v>43</v>
      </c>
      <c r="H1455">
        <v>13.868</v>
      </c>
      <c r="I1455" t="s">
        <v>461</v>
      </c>
      <c r="K1455">
        <v>105684759</v>
      </c>
      <c r="L1455" s="2">
        <v>43417</v>
      </c>
      <c r="M1455">
        <v>21</v>
      </c>
      <c r="N1455">
        <v>2</v>
      </c>
      <c r="O1455">
        <v>0</v>
      </c>
      <c r="P1455">
        <v>1</v>
      </c>
      <c r="Q1455" t="s">
        <v>21</v>
      </c>
    </row>
    <row r="1456" spans="1:17" x14ac:dyDescent="0.55000000000000004">
      <c r="A1456">
        <v>498</v>
      </c>
      <c r="B1456" t="s">
        <v>70</v>
      </c>
      <c r="C1456">
        <v>0</v>
      </c>
      <c r="E1456" t="s">
        <v>4</v>
      </c>
      <c r="F1456" t="s">
        <v>93</v>
      </c>
      <c r="G1456" t="s">
        <v>43</v>
      </c>
      <c r="H1456">
        <v>13.868</v>
      </c>
      <c r="I1456" t="s">
        <v>461</v>
      </c>
      <c r="K1456">
        <v>105615330</v>
      </c>
      <c r="L1456" s="2">
        <v>43355</v>
      </c>
      <c r="M1456">
        <v>30</v>
      </c>
      <c r="N1456">
        <v>1</v>
      </c>
      <c r="O1456">
        <v>0</v>
      </c>
      <c r="P1456">
        <v>1</v>
      </c>
      <c r="Q1456" t="s">
        <v>21</v>
      </c>
    </row>
    <row r="1457" spans="1:17" x14ac:dyDescent="0.55000000000000004">
      <c r="A1457">
        <v>498</v>
      </c>
      <c r="B1457" t="s">
        <v>70</v>
      </c>
      <c r="C1457">
        <v>0</v>
      </c>
      <c r="E1457" t="s">
        <v>4</v>
      </c>
      <c r="F1457" t="s">
        <v>93</v>
      </c>
      <c r="G1457" t="s">
        <v>43</v>
      </c>
      <c r="H1457">
        <v>13.868</v>
      </c>
      <c r="I1457" t="s">
        <v>461</v>
      </c>
      <c r="K1457">
        <v>105510132</v>
      </c>
      <c r="L1457" s="2">
        <v>43257</v>
      </c>
      <c r="M1457">
        <v>28</v>
      </c>
      <c r="N1457">
        <v>1</v>
      </c>
      <c r="O1457">
        <v>0</v>
      </c>
      <c r="P1457">
        <v>1</v>
      </c>
      <c r="Q1457" t="s">
        <v>21</v>
      </c>
    </row>
    <row r="1458" spans="1:17" x14ac:dyDescent="0.55000000000000004">
      <c r="A1458">
        <v>498</v>
      </c>
      <c r="B1458" t="s">
        <v>70</v>
      </c>
      <c r="C1458">
        <v>0</v>
      </c>
      <c r="E1458" t="s">
        <v>4</v>
      </c>
      <c r="F1458" t="s">
        <v>93</v>
      </c>
      <c r="G1458" t="s">
        <v>43</v>
      </c>
      <c r="H1458">
        <v>13.868</v>
      </c>
      <c r="I1458" t="s">
        <v>461</v>
      </c>
      <c r="K1458">
        <v>105091209</v>
      </c>
      <c r="L1458" s="2">
        <v>42849</v>
      </c>
      <c r="M1458">
        <v>21</v>
      </c>
      <c r="N1458">
        <v>2</v>
      </c>
      <c r="O1458">
        <v>0</v>
      </c>
      <c r="P1458">
        <v>1</v>
      </c>
      <c r="Q1458" t="s">
        <v>21</v>
      </c>
    </row>
    <row r="1459" spans="1:17" x14ac:dyDescent="0.55000000000000004">
      <c r="A1459">
        <v>498</v>
      </c>
      <c r="B1459" t="s">
        <v>70</v>
      </c>
      <c r="C1459">
        <v>0</v>
      </c>
      <c r="E1459" t="s">
        <v>4</v>
      </c>
      <c r="F1459" t="s">
        <v>93</v>
      </c>
      <c r="G1459" t="s">
        <v>43</v>
      </c>
      <c r="H1459">
        <v>13.868</v>
      </c>
      <c r="I1459" t="s">
        <v>461</v>
      </c>
      <c r="K1459">
        <v>104860416</v>
      </c>
      <c r="L1459" s="2">
        <v>42617</v>
      </c>
      <c r="M1459">
        <v>1</v>
      </c>
      <c r="N1459">
        <v>1</v>
      </c>
      <c r="O1459">
        <v>0</v>
      </c>
      <c r="P1459">
        <v>1</v>
      </c>
      <c r="Q1459" t="s">
        <v>21</v>
      </c>
    </row>
    <row r="1460" spans="1:17" x14ac:dyDescent="0.55000000000000004">
      <c r="A1460">
        <v>498</v>
      </c>
      <c r="B1460" t="s">
        <v>70</v>
      </c>
      <c r="C1460">
        <v>0</v>
      </c>
      <c r="E1460" t="s">
        <v>4</v>
      </c>
      <c r="F1460" t="s">
        <v>93</v>
      </c>
      <c r="G1460" t="s">
        <v>43</v>
      </c>
      <c r="H1460">
        <v>13.868</v>
      </c>
      <c r="I1460" t="s">
        <v>461</v>
      </c>
      <c r="K1460">
        <v>105206703</v>
      </c>
      <c r="L1460" s="2">
        <v>42968</v>
      </c>
      <c r="M1460">
        <v>21</v>
      </c>
      <c r="N1460">
        <v>1</v>
      </c>
      <c r="O1460">
        <v>0</v>
      </c>
      <c r="P1460">
        <v>1</v>
      </c>
      <c r="Q1460" t="s">
        <v>21</v>
      </c>
    </row>
    <row r="1461" spans="1:17" x14ac:dyDescent="0.55000000000000004">
      <c r="A1461">
        <v>498</v>
      </c>
      <c r="B1461" t="s">
        <v>70</v>
      </c>
      <c r="C1461">
        <v>0</v>
      </c>
      <c r="E1461" t="s">
        <v>4</v>
      </c>
      <c r="F1461" t="s">
        <v>93</v>
      </c>
      <c r="G1461" t="s">
        <v>43</v>
      </c>
      <c r="H1461">
        <v>13.868</v>
      </c>
      <c r="I1461" t="s">
        <v>461</v>
      </c>
      <c r="K1461">
        <v>105252212</v>
      </c>
      <c r="L1461" s="2">
        <v>43014</v>
      </c>
      <c r="M1461">
        <v>21</v>
      </c>
      <c r="N1461">
        <v>1</v>
      </c>
      <c r="O1461">
        <v>12</v>
      </c>
      <c r="P1461">
        <v>1</v>
      </c>
      <c r="Q1461" t="s">
        <v>21</v>
      </c>
    </row>
    <row r="1462" spans="1:17" x14ac:dyDescent="0.55000000000000004">
      <c r="A1462">
        <v>498</v>
      </c>
      <c r="B1462" t="s">
        <v>43</v>
      </c>
      <c r="C1462">
        <v>0</v>
      </c>
      <c r="E1462" t="s">
        <v>4</v>
      </c>
      <c r="F1462" t="s">
        <v>93</v>
      </c>
      <c r="G1462" t="s">
        <v>43</v>
      </c>
      <c r="H1462">
        <v>13.868</v>
      </c>
      <c r="I1462" t="s">
        <v>461</v>
      </c>
      <c r="K1462">
        <v>104983784</v>
      </c>
      <c r="L1462" s="2">
        <v>42740</v>
      </c>
      <c r="M1462">
        <v>30</v>
      </c>
      <c r="N1462">
        <v>1</v>
      </c>
      <c r="O1462">
        <v>7</v>
      </c>
      <c r="P1462">
        <v>4</v>
      </c>
      <c r="Q1462" t="s">
        <v>15</v>
      </c>
    </row>
    <row r="1463" spans="1:17" x14ac:dyDescent="0.55000000000000004">
      <c r="A1463">
        <v>498</v>
      </c>
      <c r="B1463" t="s">
        <v>70</v>
      </c>
      <c r="C1463">
        <v>0</v>
      </c>
      <c r="E1463" t="s">
        <v>4</v>
      </c>
      <c r="F1463" t="s">
        <v>414</v>
      </c>
      <c r="G1463" t="s">
        <v>43</v>
      </c>
      <c r="H1463">
        <v>13.868</v>
      </c>
      <c r="I1463" t="s">
        <v>461</v>
      </c>
      <c r="K1463">
        <v>106303752</v>
      </c>
      <c r="L1463" s="2">
        <v>44011</v>
      </c>
      <c r="M1463">
        <v>30</v>
      </c>
      <c r="N1463">
        <v>1</v>
      </c>
      <c r="P1463">
        <v>1</v>
      </c>
      <c r="Q1463" t="s">
        <v>21</v>
      </c>
    </row>
    <row r="1464" spans="1:17" x14ac:dyDescent="0.55000000000000004">
      <c r="A1464">
        <v>498</v>
      </c>
      <c r="B1464" t="s">
        <v>43</v>
      </c>
      <c r="C1464">
        <v>0</v>
      </c>
      <c r="E1464" t="s">
        <v>4</v>
      </c>
      <c r="F1464" t="s">
        <v>414</v>
      </c>
      <c r="G1464" t="s">
        <v>43</v>
      </c>
      <c r="H1464">
        <v>13.868</v>
      </c>
      <c r="I1464" t="s">
        <v>461</v>
      </c>
      <c r="K1464">
        <v>106210391</v>
      </c>
      <c r="L1464" s="2">
        <v>43881</v>
      </c>
      <c r="M1464">
        <v>23</v>
      </c>
      <c r="N1464">
        <v>1</v>
      </c>
      <c r="O1464">
        <v>0</v>
      </c>
      <c r="P1464">
        <v>1</v>
      </c>
      <c r="Q1464" t="s">
        <v>15</v>
      </c>
    </row>
    <row r="1465" spans="1:17" x14ac:dyDescent="0.55000000000000004">
      <c r="A1465">
        <v>498</v>
      </c>
      <c r="B1465" t="s">
        <v>70</v>
      </c>
      <c r="C1465">
        <v>0</v>
      </c>
      <c r="D1465" t="s">
        <v>30</v>
      </c>
      <c r="E1465" t="s">
        <v>4</v>
      </c>
      <c r="F1465" t="s">
        <v>415</v>
      </c>
      <c r="G1465" t="s">
        <v>43</v>
      </c>
      <c r="H1465">
        <v>13.868</v>
      </c>
      <c r="I1465" t="s">
        <v>461</v>
      </c>
      <c r="K1465">
        <v>105011681</v>
      </c>
      <c r="L1465" s="2">
        <v>42714</v>
      </c>
      <c r="M1465">
        <v>21</v>
      </c>
      <c r="N1465">
        <v>1</v>
      </c>
      <c r="O1465">
        <v>0</v>
      </c>
      <c r="P1465">
        <v>1</v>
      </c>
      <c r="Q1465" t="s">
        <v>21</v>
      </c>
    </row>
    <row r="1466" spans="1:17" x14ac:dyDescent="0.55000000000000004">
      <c r="A1466">
        <v>498</v>
      </c>
      <c r="B1466" t="s">
        <v>70</v>
      </c>
      <c r="C1466">
        <v>0</v>
      </c>
      <c r="E1466" t="s">
        <v>4</v>
      </c>
      <c r="F1466" t="s">
        <v>413</v>
      </c>
      <c r="G1466" t="s">
        <v>43</v>
      </c>
      <c r="H1466">
        <v>13.868</v>
      </c>
      <c r="I1466" t="s">
        <v>461</v>
      </c>
      <c r="K1466">
        <v>106527453</v>
      </c>
      <c r="L1466" s="2">
        <v>44242</v>
      </c>
      <c r="M1466">
        <v>30</v>
      </c>
      <c r="N1466">
        <v>2</v>
      </c>
      <c r="O1466">
        <v>0</v>
      </c>
      <c r="P1466">
        <v>4</v>
      </c>
      <c r="Q1466" t="s">
        <v>15</v>
      </c>
    </row>
    <row r="1467" spans="1:17" x14ac:dyDescent="0.55000000000000004">
      <c r="A1467">
        <v>498</v>
      </c>
      <c r="B1467" t="s">
        <v>70</v>
      </c>
      <c r="C1467">
        <v>0</v>
      </c>
      <c r="E1467" t="s">
        <v>4</v>
      </c>
      <c r="F1467" t="s">
        <v>413</v>
      </c>
      <c r="G1467" t="s">
        <v>43</v>
      </c>
      <c r="H1467">
        <v>13.868</v>
      </c>
      <c r="I1467" t="s">
        <v>461</v>
      </c>
      <c r="K1467">
        <v>106276479</v>
      </c>
      <c r="L1467" s="2">
        <v>43967</v>
      </c>
      <c r="M1467">
        <v>21</v>
      </c>
      <c r="N1467">
        <v>1</v>
      </c>
      <c r="O1467">
        <v>0</v>
      </c>
      <c r="P1467">
        <v>1</v>
      </c>
      <c r="Q1467" t="s">
        <v>21</v>
      </c>
    </row>
    <row r="1468" spans="1:17" x14ac:dyDescent="0.55000000000000004">
      <c r="A1468">
        <v>498</v>
      </c>
      <c r="B1468" t="s">
        <v>70</v>
      </c>
      <c r="C1468">
        <v>0</v>
      </c>
      <c r="E1468" t="s">
        <v>4</v>
      </c>
      <c r="F1468" t="s">
        <v>67</v>
      </c>
      <c r="G1468" t="s">
        <v>43</v>
      </c>
      <c r="H1468">
        <v>13.868</v>
      </c>
      <c r="I1468" t="s">
        <v>461</v>
      </c>
      <c r="K1468">
        <v>106558328</v>
      </c>
      <c r="L1468" s="2">
        <v>44307</v>
      </c>
      <c r="M1468">
        <v>28</v>
      </c>
      <c r="N1468">
        <v>1</v>
      </c>
      <c r="O1468">
        <v>0</v>
      </c>
      <c r="P1468">
        <v>4</v>
      </c>
      <c r="Q1468" t="s">
        <v>21</v>
      </c>
    </row>
    <row r="1469" spans="1:17" x14ac:dyDescent="0.55000000000000004">
      <c r="A1469">
        <v>498</v>
      </c>
      <c r="B1469" t="s">
        <v>70</v>
      </c>
      <c r="C1469">
        <v>0</v>
      </c>
      <c r="E1469" t="s">
        <v>4</v>
      </c>
      <c r="F1469" t="s">
        <v>67</v>
      </c>
      <c r="G1469" t="s">
        <v>43</v>
      </c>
      <c r="H1469">
        <v>13.868</v>
      </c>
      <c r="I1469" t="s">
        <v>461</v>
      </c>
      <c r="K1469">
        <v>105861392</v>
      </c>
      <c r="L1469" s="2">
        <v>43578</v>
      </c>
      <c r="M1469">
        <v>28</v>
      </c>
      <c r="N1469">
        <v>1</v>
      </c>
      <c r="O1469">
        <v>7</v>
      </c>
      <c r="P1469">
        <v>4</v>
      </c>
      <c r="Q1469" t="s">
        <v>21</v>
      </c>
    </row>
    <row r="1470" spans="1:17" x14ac:dyDescent="0.55000000000000004">
      <c r="A1470">
        <v>498</v>
      </c>
      <c r="B1470" t="s">
        <v>70</v>
      </c>
      <c r="C1470">
        <v>0</v>
      </c>
      <c r="E1470" t="s">
        <v>4</v>
      </c>
      <c r="F1470" t="s">
        <v>218</v>
      </c>
      <c r="G1470" t="s">
        <v>43</v>
      </c>
      <c r="H1470">
        <v>13.868</v>
      </c>
      <c r="I1470" t="s">
        <v>461</v>
      </c>
      <c r="K1470">
        <v>106606429</v>
      </c>
      <c r="L1470" s="2">
        <v>44313</v>
      </c>
      <c r="M1470">
        <v>21</v>
      </c>
      <c r="N1470">
        <v>1</v>
      </c>
      <c r="P1470">
        <v>1</v>
      </c>
      <c r="Q1470" t="s">
        <v>21</v>
      </c>
    </row>
    <row r="1471" spans="1:17" x14ac:dyDescent="0.55000000000000004">
      <c r="A1471">
        <v>498</v>
      </c>
      <c r="B1471" t="s">
        <v>70</v>
      </c>
      <c r="C1471">
        <v>0</v>
      </c>
      <c r="E1471" t="s">
        <v>4</v>
      </c>
      <c r="F1471" t="s">
        <v>218</v>
      </c>
      <c r="G1471" t="s">
        <v>43</v>
      </c>
      <c r="H1471">
        <v>13.868</v>
      </c>
      <c r="I1471" t="s">
        <v>461</v>
      </c>
      <c r="K1471">
        <v>106413162</v>
      </c>
      <c r="L1471" s="2">
        <v>44147</v>
      </c>
      <c r="M1471">
        <v>32</v>
      </c>
      <c r="N1471">
        <v>1</v>
      </c>
      <c r="P1471">
        <v>4</v>
      </c>
      <c r="Q1471" t="s">
        <v>15</v>
      </c>
    </row>
    <row r="1472" spans="1:17" x14ac:dyDescent="0.55000000000000004">
      <c r="A1472">
        <v>498</v>
      </c>
      <c r="B1472" t="s">
        <v>70</v>
      </c>
      <c r="C1472">
        <v>0</v>
      </c>
      <c r="E1472" t="s">
        <v>4</v>
      </c>
      <c r="F1472" t="s">
        <v>218</v>
      </c>
      <c r="G1472" t="s">
        <v>43</v>
      </c>
      <c r="H1472">
        <v>13.868</v>
      </c>
      <c r="I1472" t="s">
        <v>461</v>
      </c>
      <c r="K1472">
        <v>105948738</v>
      </c>
      <c r="L1472" s="2">
        <v>43669</v>
      </c>
      <c r="M1472">
        <v>28</v>
      </c>
      <c r="N1472">
        <v>1</v>
      </c>
      <c r="O1472">
        <v>12</v>
      </c>
      <c r="P1472">
        <v>4</v>
      </c>
      <c r="Q1472" t="s">
        <v>21</v>
      </c>
    </row>
    <row r="1473" spans="1:17" x14ac:dyDescent="0.55000000000000004">
      <c r="A1473">
        <v>498</v>
      </c>
      <c r="B1473" t="s">
        <v>70</v>
      </c>
      <c r="C1473">
        <v>0</v>
      </c>
      <c r="D1473" t="s">
        <v>30</v>
      </c>
      <c r="E1473" t="s">
        <v>4</v>
      </c>
      <c r="F1473" t="s">
        <v>151</v>
      </c>
      <c r="G1473" t="s">
        <v>43</v>
      </c>
      <c r="H1473">
        <v>13.868</v>
      </c>
      <c r="I1473" t="s">
        <v>461</v>
      </c>
      <c r="K1473">
        <v>105806245</v>
      </c>
      <c r="L1473" s="2">
        <v>43530</v>
      </c>
      <c r="M1473">
        <v>21</v>
      </c>
      <c r="N1473">
        <v>1</v>
      </c>
      <c r="O1473">
        <v>0</v>
      </c>
      <c r="P1473">
        <v>1</v>
      </c>
      <c r="Q1473" t="s">
        <v>21</v>
      </c>
    </row>
    <row r="1474" spans="1:17" x14ac:dyDescent="0.55000000000000004">
      <c r="A1474">
        <v>498</v>
      </c>
      <c r="B1474" t="s">
        <v>70</v>
      </c>
      <c r="C1474">
        <v>0</v>
      </c>
      <c r="E1474" t="s">
        <v>4</v>
      </c>
      <c r="F1474" t="s">
        <v>151</v>
      </c>
      <c r="G1474" t="s">
        <v>43</v>
      </c>
      <c r="H1474">
        <v>13.868</v>
      </c>
      <c r="I1474" t="s">
        <v>461</v>
      </c>
      <c r="K1474">
        <v>106606570</v>
      </c>
      <c r="L1474" s="2">
        <v>44315</v>
      </c>
      <c r="M1474">
        <v>30</v>
      </c>
      <c r="N1474">
        <v>1</v>
      </c>
      <c r="O1474">
        <v>7</v>
      </c>
      <c r="P1474">
        <v>1</v>
      </c>
      <c r="Q1474" t="s">
        <v>21</v>
      </c>
    </row>
    <row r="1475" spans="1:17" x14ac:dyDescent="0.55000000000000004">
      <c r="A1475">
        <v>498</v>
      </c>
      <c r="B1475" t="s">
        <v>70</v>
      </c>
      <c r="C1475">
        <v>0</v>
      </c>
      <c r="E1475" t="s">
        <v>4</v>
      </c>
      <c r="F1475" t="s">
        <v>151</v>
      </c>
      <c r="G1475" t="s">
        <v>43</v>
      </c>
      <c r="H1475">
        <v>13.868</v>
      </c>
      <c r="I1475" t="s">
        <v>461</v>
      </c>
      <c r="K1475">
        <v>105035512</v>
      </c>
      <c r="L1475" s="2">
        <v>42785</v>
      </c>
      <c r="M1475">
        <v>30</v>
      </c>
      <c r="N1475">
        <v>1</v>
      </c>
      <c r="O1475">
        <v>4</v>
      </c>
      <c r="P1475">
        <v>1</v>
      </c>
      <c r="Q1475" t="s">
        <v>21</v>
      </c>
    </row>
    <row r="1476" spans="1:17" x14ac:dyDescent="0.55000000000000004">
      <c r="A1476">
        <v>498</v>
      </c>
      <c r="B1476" t="s">
        <v>70</v>
      </c>
      <c r="C1476">
        <v>0</v>
      </c>
      <c r="D1476" t="s">
        <v>30</v>
      </c>
      <c r="E1476" t="s">
        <v>4</v>
      </c>
      <c r="F1476" t="s">
        <v>77</v>
      </c>
      <c r="G1476" t="s">
        <v>43</v>
      </c>
      <c r="H1476">
        <v>13.868</v>
      </c>
      <c r="I1476" t="s">
        <v>461</v>
      </c>
      <c r="K1476">
        <v>105488089</v>
      </c>
      <c r="L1476" s="2">
        <v>43236</v>
      </c>
      <c r="M1476">
        <v>21</v>
      </c>
      <c r="N1476">
        <v>2</v>
      </c>
      <c r="O1476">
        <v>0</v>
      </c>
      <c r="P1476">
        <v>1</v>
      </c>
      <c r="Q1476" t="s">
        <v>21</v>
      </c>
    </row>
    <row r="1477" spans="1:17" x14ac:dyDescent="0.55000000000000004">
      <c r="A1477">
        <v>498</v>
      </c>
      <c r="B1477" t="s">
        <v>70</v>
      </c>
      <c r="C1477">
        <v>0</v>
      </c>
      <c r="D1477" t="s">
        <v>30</v>
      </c>
      <c r="E1477" t="s">
        <v>4</v>
      </c>
      <c r="F1477" t="s">
        <v>77</v>
      </c>
      <c r="G1477" t="s">
        <v>43</v>
      </c>
      <c r="H1477">
        <v>13.868</v>
      </c>
      <c r="I1477" t="s">
        <v>461</v>
      </c>
      <c r="K1477">
        <v>105341068</v>
      </c>
      <c r="L1477" s="2">
        <v>43083</v>
      </c>
      <c r="M1477">
        <v>21</v>
      </c>
      <c r="N1477">
        <v>1</v>
      </c>
      <c r="O1477">
        <v>7</v>
      </c>
      <c r="P1477">
        <v>1</v>
      </c>
      <c r="Q1477" t="s">
        <v>21</v>
      </c>
    </row>
    <row r="1478" spans="1:17" x14ac:dyDescent="0.55000000000000004">
      <c r="A1478">
        <v>498</v>
      </c>
      <c r="B1478" t="s">
        <v>70</v>
      </c>
      <c r="C1478">
        <v>0</v>
      </c>
      <c r="D1478" t="s">
        <v>30</v>
      </c>
      <c r="E1478" t="s">
        <v>4</v>
      </c>
      <c r="F1478" t="s">
        <v>77</v>
      </c>
      <c r="G1478" t="s">
        <v>43</v>
      </c>
      <c r="H1478">
        <v>13.868</v>
      </c>
      <c r="I1478" t="s">
        <v>461</v>
      </c>
      <c r="K1478">
        <v>105252206</v>
      </c>
      <c r="L1478" s="2">
        <v>43013</v>
      </c>
      <c r="M1478">
        <v>21</v>
      </c>
      <c r="N1478">
        <v>1</v>
      </c>
      <c r="O1478">
        <v>0</v>
      </c>
      <c r="P1478">
        <v>1</v>
      </c>
      <c r="Q1478" t="s">
        <v>21</v>
      </c>
    </row>
    <row r="1479" spans="1:17" x14ac:dyDescent="0.55000000000000004">
      <c r="A1479">
        <v>498</v>
      </c>
      <c r="B1479" t="s">
        <v>70</v>
      </c>
      <c r="C1479">
        <v>0</v>
      </c>
      <c r="E1479" t="s">
        <v>4</v>
      </c>
      <c r="F1479" t="s">
        <v>77</v>
      </c>
      <c r="G1479" t="s">
        <v>43</v>
      </c>
      <c r="H1479">
        <v>13.868</v>
      </c>
      <c r="I1479" t="s">
        <v>461</v>
      </c>
      <c r="K1479">
        <v>105732923</v>
      </c>
      <c r="L1479" s="2">
        <v>43446</v>
      </c>
      <c r="M1479">
        <v>30</v>
      </c>
      <c r="N1479">
        <v>1</v>
      </c>
      <c r="O1479">
        <v>7</v>
      </c>
      <c r="P1479">
        <v>4</v>
      </c>
      <c r="Q1479" t="s">
        <v>21</v>
      </c>
    </row>
    <row r="1480" spans="1:17" x14ac:dyDescent="0.55000000000000004">
      <c r="A1480">
        <v>498</v>
      </c>
      <c r="B1480" t="s">
        <v>417</v>
      </c>
      <c r="C1480">
        <v>0</v>
      </c>
      <c r="E1480" t="s">
        <v>4</v>
      </c>
      <c r="F1480" t="s">
        <v>77</v>
      </c>
      <c r="G1480" t="s">
        <v>43</v>
      </c>
      <c r="H1480">
        <v>13.868</v>
      </c>
      <c r="I1480" t="s">
        <v>461</v>
      </c>
      <c r="K1480">
        <v>106654939</v>
      </c>
      <c r="L1480" s="2">
        <v>44360</v>
      </c>
      <c r="M1480">
        <v>31</v>
      </c>
      <c r="N1480">
        <v>1</v>
      </c>
      <c r="P1480">
        <v>2</v>
      </c>
      <c r="Q1480" t="s">
        <v>21</v>
      </c>
    </row>
    <row r="1481" spans="1:17" x14ac:dyDescent="0.55000000000000004">
      <c r="A1481">
        <v>498</v>
      </c>
      <c r="B1481" t="s">
        <v>70</v>
      </c>
      <c r="C1481">
        <v>0</v>
      </c>
      <c r="D1481" t="s">
        <v>30</v>
      </c>
      <c r="E1481" t="s">
        <v>4</v>
      </c>
      <c r="F1481" t="s">
        <v>4</v>
      </c>
      <c r="G1481" t="s">
        <v>43</v>
      </c>
      <c r="H1481">
        <v>13.868</v>
      </c>
      <c r="I1481" t="s">
        <v>461</v>
      </c>
      <c r="K1481">
        <v>105977623</v>
      </c>
      <c r="L1481" s="2">
        <v>43690</v>
      </c>
      <c r="M1481">
        <v>21</v>
      </c>
      <c r="N1481">
        <v>1</v>
      </c>
      <c r="O1481">
        <v>0</v>
      </c>
      <c r="P1481">
        <v>1</v>
      </c>
      <c r="Q1481" t="s">
        <v>15</v>
      </c>
    </row>
    <row r="1482" spans="1:17" x14ac:dyDescent="0.55000000000000004">
      <c r="A1482">
        <v>498</v>
      </c>
      <c r="B1482" t="s">
        <v>70</v>
      </c>
      <c r="C1482">
        <v>0</v>
      </c>
      <c r="E1482" t="s">
        <v>4</v>
      </c>
      <c r="F1482" t="s">
        <v>4</v>
      </c>
      <c r="G1482" t="s">
        <v>43</v>
      </c>
      <c r="H1482">
        <v>13.868</v>
      </c>
      <c r="I1482" t="s">
        <v>461</v>
      </c>
      <c r="K1482">
        <v>106237924</v>
      </c>
      <c r="L1482" s="2">
        <v>43969</v>
      </c>
      <c r="M1482">
        <v>28</v>
      </c>
      <c r="N1482">
        <v>1</v>
      </c>
      <c r="O1482">
        <v>7</v>
      </c>
      <c r="P1482">
        <v>1</v>
      </c>
      <c r="Q1482" t="s">
        <v>21</v>
      </c>
    </row>
    <row r="1483" spans="1:17" x14ac:dyDescent="0.55000000000000004">
      <c r="A1483">
        <v>498</v>
      </c>
      <c r="B1483" t="s">
        <v>70</v>
      </c>
      <c r="C1483">
        <v>0</v>
      </c>
      <c r="E1483" t="s">
        <v>4</v>
      </c>
      <c r="F1483" t="s">
        <v>4</v>
      </c>
      <c r="G1483" t="s">
        <v>43</v>
      </c>
      <c r="H1483">
        <v>13.868</v>
      </c>
      <c r="I1483" t="s">
        <v>461</v>
      </c>
      <c r="K1483">
        <v>105518779</v>
      </c>
      <c r="L1483" s="2">
        <v>43265</v>
      </c>
      <c r="M1483">
        <v>21</v>
      </c>
      <c r="N1483">
        <v>1</v>
      </c>
      <c r="O1483">
        <v>0</v>
      </c>
      <c r="P1483">
        <v>1</v>
      </c>
      <c r="Q1483" t="s">
        <v>21</v>
      </c>
    </row>
    <row r="1484" spans="1:17" x14ac:dyDescent="0.55000000000000004">
      <c r="A1484">
        <v>498</v>
      </c>
      <c r="B1484" t="s">
        <v>70</v>
      </c>
      <c r="C1484">
        <v>0</v>
      </c>
      <c r="E1484" t="s">
        <v>4</v>
      </c>
      <c r="F1484" t="s">
        <v>389</v>
      </c>
      <c r="G1484" t="s">
        <v>43</v>
      </c>
      <c r="H1484">
        <v>13.868</v>
      </c>
      <c r="I1484" t="s">
        <v>461</v>
      </c>
      <c r="K1484">
        <v>104894816</v>
      </c>
      <c r="L1484" s="2">
        <v>42641</v>
      </c>
      <c r="M1484">
        <v>32</v>
      </c>
      <c r="N1484">
        <v>1</v>
      </c>
      <c r="O1484">
        <v>0</v>
      </c>
      <c r="P1484">
        <v>1</v>
      </c>
      <c r="Q1484" t="s">
        <v>21</v>
      </c>
    </row>
    <row r="1485" spans="1:17" x14ac:dyDescent="0.55000000000000004">
      <c r="A1485">
        <v>498</v>
      </c>
      <c r="B1485" t="s">
        <v>70</v>
      </c>
      <c r="C1485">
        <v>0</v>
      </c>
      <c r="E1485" t="s">
        <v>4</v>
      </c>
      <c r="G1485" t="s">
        <v>43</v>
      </c>
      <c r="H1485">
        <v>13.868</v>
      </c>
      <c r="I1485" t="s">
        <v>461</v>
      </c>
      <c r="K1485">
        <v>106635423</v>
      </c>
      <c r="L1485" s="2">
        <v>44331</v>
      </c>
      <c r="M1485">
        <v>21</v>
      </c>
      <c r="N1485">
        <v>1</v>
      </c>
      <c r="P1485">
        <v>1</v>
      </c>
      <c r="Q1485" t="s">
        <v>21</v>
      </c>
    </row>
    <row r="1486" spans="1:17" x14ac:dyDescent="0.55000000000000004">
      <c r="A1486">
        <v>498</v>
      </c>
      <c r="B1486" t="s">
        <v>70</v>
      </c>
      <c r="C1486">
        <v>8.9999999999999993E-3</v>
      </c>
      <c r="D1486" t="s">
        <v>30</v>
      </c>
      <c r="E1486" t="s">
        <v>4</v>
      </c>
      <c r="F1486" t="s">
        <v>24</v>
      </c>
      <c r="G1486" t="s">
        <v>43</v>
      </c>
      <c r="H1486">
        <v>13.877000000000001</v>
      </c>
      <c r="I1486" t="s">
        <v>461</v>
      </c>
      <c r="K1486">
        <v>105355786</v>
      </c>
      <c r="L1486" s="2">
        <v>43101</v>
      </c>
      <c r="M1486">
        <v>20</v>
      </c>
      <c r="N1486">
        <v>1</v>
      </c>
      <c r="O1486">
        <v>0</v>
      </c>
      <c r="P1486">
        <v>4</v>
      </c>
      <c r="Q1486" t="s">
        <v>21</v>
      </c>
    </row>
    <row r="1487" spans="1:17" x14ac:dyDescent="0.55000000000000004">
      <c r="A1487">
        <v>498</v>
      </c>
      <c r="B1487" t="s">
        <v>70</v>
      </c>
      <c r="C1487">
        <v>0.01</v>
      </c>
      <c r="D1487" t="s">
        <v>30</v>
      </c>
      <c r="E1487" t="s">
        <v>4</v>
      </c>
      <c r="F1487" t="s">
        <v>415</v>
      </c>
      <c r="G1487" t="s">
        <v>43</v>
      </c>
      <c r="H1487">
        <v>13.878</v>
      </c>
      <c r="I1487" t="s">
        <v>461</v>
      </c>
      <c r="K1487">
        <v>106662162</v>
      </c>
      <c r="L1487" s="2">
        <v>44369</v>
      </c>
      <c r="M1487">
        <v>1</v>
      </c>
      <c r="N1487">
        <v>1</v>
      </c>
      <c r="O1487">
        <v>0</v>
      </c>
      <c r="P1487">
        <v>1</v>
      </c>
      <c r="Q1487" t="s">
        <v>15</v>
      </c>
    </row>
    <row r="1488" spans="1:17" x14ac:dyDescent="0.55000000000000004">
      <c r="A1488">
        <v>498</v>
      </c>
      <c r="B1488" t="s">
        <v>70</v>
      </c>
      <c r="C1488">
        <v>0.01</v>
      </c>
      <c r="D1488" t="s">
        <v>30</v>
      </c>
      <c r="E1488" t="s">
        <v>4</v>
      </c>
      <c r="F1488" t="s">
        <v>415</v>
      </c>
      <c r="G1488" t="s">
        <v>43</v>
      </c>
      <c r="H1488">
        <v>13.878</v>
      </c>
      <c r="I1488" t="s">
        <v>461</v>
      </c>
      <c r="K1488">
        <v>105862594</v>
      </c>
      <c r="L1488" s="2">
        <v>43578</v>
      </c>
      <c r="M1488">
        <v>2</v>
      </c>
      <c r="N1488">
        <v>1</v>
      </c>
      <c r="O1488">
        <v>7</v>
      </c>
      <c r="P1488">
        <v>1</v>
      </c>
      <c r="Q1488" t="s">
        <v>21</v>
      </c>
    </row>
    <row r="1489" spans="1:17" x14ac:dyDescent="0.55000000000000004">
      <c r="A1489">
        <v>498</v>
      </c>
      <c r="B1489" t="s">
        <v>70</v>
      </c>
      <c r="C1489">
        <v>1.9E-2</v>
      </c>
      <c r="D1489" t="s">
        <v>30</v>
      </c>
      <c r="E1489" t="s">
        <v>4</v>
      </c>
      <c r="F1489" t="s">
        <v>414</v>
      </c>
      <c r="G1489" t="s">
        <v>43</v>
      </c>
      <c r="H1489">
        <v>13.887</v>
      </c>
      <c r="I1489" t="s">
        <v>461</v>
      </c>
      <c r="K1489">
        <v>104861966</v>
      </c>
      <c r="L1489" s="2">
        <v>42626</v>
      </c>
      <c r="M1489">
        <v>21</v>
      </c>
      <c r="N1489">
        <v>1</v>
      </c>
      <c r="O1489">
        <v>0</v>
      </c>
      <c r="P1489">
        <v>1</v>
      </c>
      <c r="Q1489" t="s">
        <v>21</v>
      </c>
    </row>
    <row r="1490" spans="1:17" x14ac:dyDescent="0.55000000000000004">
      <c r="A1490">
        <v>498</v>
      </c>
      <c r="B1490" t="s">
        <v>70</v>
      </c>
      <c r="C1490">
        <v>0.02</v>
      </c>
      <c r="D1490" t="s">
        <v>30</v>
      </c>
      <c r="E1490" t="s">
        <v>4</v>
      </c>
      <c r="F1490" t="s">
        <v>77</v>
      </c>
      <c r="G1490" t="s">
        <v>43</v>
      </c>
      <c r="H1490">
        <v>13.888</v>
      </c>
      <c r="I1490" t="s">
        <v>461</v>
      </c>
      <c r="K1490">
        <v>106726088</v>
      </c>
      <c r="L1490" s="2">
        <v>44424</v>
      </c>
      <c r="M1490">
        <v>21</v>
      </c>
      <c r="N1490">
        <v>2</v>
      </c>
      <c r="P1490">
        <v>1</v>
      </c>
      <c r="Q1490" t="s">
        <v>21</v>
      </c>
    </row>
    <row r="1491" spans="1:17" x14ac:dyDescent="0.55000000000000004">
      <c r="A1491">
        <v>498</v>
      </c>
      <c r="B1491" t="s">
        <v>43</v>
      </c>
      <c r="C1491">
        <v>0</v>
      </c>
      <c r="E1491" t="s">
        <v>1</v>
      </c>
      <c r="F1491" t="s">
        <v>334</v>
      </c>
      <c r="G1491" t="s">
        <v>43</v>
      </c>
      <c r="H1491">
        <v>999.99900000000002</v>
      </c>
      <c r="I1491" t="s">
        <v>461</v>
      </c>
      <c r="K1491">
        <v>106104221</v>
      </c>
      <c r="L1491" s="2">
        <v>43796</v>
      </c>
      <c r="M1491">
        <v>30</v>
      </c>
      <c r="N1491">
        <v>1</v>
      </c>
      <c r="O1491">
        <v>0</v>
      </c>
      <c r="P1491">
        <v>1</v>
      </c>
      <c r="Q1491" t="s">
        <v>21</v>
      </c>
    </row>
    <row r="1492" spans="1:17" x14ac:dyDescent="0.55000000000000004">
      <c r="A1492">
        <v>498</v>
      </c>
      <c r="B1492" t="s">
        <v>43</v>
      </c>
      <c r="C1492">
        <v>0</v>
      </c>
      <c r="E1492" t="s">
        <v>1</v>
      </c>
      <c r="F1492" t="s">
        <v>77</v>
      </c>
      <c r="G1492" t="s">
        <v>43</v>
      </c>
      <c r="H1492">
        <v>999.99900000000002</v>
      </c>
      <c r="I1492" t="s">
        <v>461</v>
      </c>
      <c r="K1492">
        <v>106307559</v>
      </c>
      <c r="L1492" s="2">
        <v>43913</v>
      </c>
      <c r="M1492">
        <v>21</v>
      </c>
      <c r="N1492">
        <v>2</v>
      </c>
      <c r="P1492">
        <v>1</v>
      </c>
      <c r="Q1492" t="s">
        <v>21</v>
      </c>
    </row>
    <row r="1493" spans="1:17" x14ac:dyDescent="0.55000000000000004">
      <c r="A1493">
        <v>498</v>
      </c>
      <c r="B1493" t="s">
        <v>43</v>
      </c>
      <c r="C1493">
        <v>0</v>
      </c>
      <c r="E1493" t="s">
        <v>1</v>
      </c>
      <c r="F1493" t="s">
        <v>1</v>
      </c>
      <c r="G1493" t="s">
        <v>43</v>
      </c>
      <c r="H1493">
        <v>999.99900000000002</v>
      </c>
      <c r="I1493" t="s">
        <v>461</v>
      </c>
      <c r="K1493">
        <v>106352216</v>
      </c>
      <c r="L1493" s="2">
        <v>44099</v>
      </c>
      <c r="M1493">
        <v>30</v>
      </c>
      <c r="N1493">
        <v>2</v>
      </c>
      <c r="O1493">
        <v>8</v>
      </c>
      <c r="P1493">
        <v>5</v>
      </c>
      <c r="Q1493" t="s">
        <v>21</v>
      </c>
    </row>
    <row r="1494" spans="1:17" x14ac:dyDescent="0.55000000000000004">
      <c r="A1494">
        <v>0</v>
      </c>
      <c r="B1494" t="s">
        <v>43</v>
      </c>
      <c r="C1494">
        <v>0</v>
      </c>
      <c r="E1494" t="s">
        <v>1</v>
      </c>
      <c r="F1494" t="s">
        <v>340</v>
      </c>
      <c r="G1494" t="s">
        <v>43</v>
      </c>
      <c r="H1494">
        <v>999.99900000000002</v>
      </c>
      <c r="I1494" t="s">
        <v>461</v>
      </c>
      <c r="K1494">
        <v>106559573</v>
      </c>
      <c r="L1494" s="2">
        <v>44305</v>
      </c>
      <c r="M1494">
        <v>31</v>
      </c>
      <c r="N1494">
        <v>1</v>
      </c>
      <c r="O1494">
        <v>8</v>
      </c>
      <c r="P1494">
        <v>1</v>
      </c>
      <c r="Q1494" t="s">
        <v>21</v>
      </c>
    </row>
    <row r="1495" spans="1:17" x14ac:dyDescent="0.55000000000000004">
      <c r="A1495">
        <v>498</v>
      </c>
      <c r="B1495" t="s">
        <v>43</v>
      </c>
      <c r="C1495">
        <v>0</v>
      </c>
      <c r="E1495" t="s">
        <v>1</v>
      </c>
      <c r="F1495" t="s">
        <v>227</v>
      </c>
      <c r="G1495" t="s">
        <v>43</v>
      </c>
      <c r="H1495">
        <v>999.99900000000002</v>
      </c>
      <c r="I1495" t="s">
        <v>461</v>
      </c>
      <c r="K1495">
        <v>105552898</v>
      </c>
      <c r="L1495" s="2">
        <v>43298</v>
      </c>
      <c r="M1495">
        <v>21</v>
      </c>
      <c r="N1495">
        <v>1</v>
      </c>
      <c r="O1495">
        <v>0</v>
      </c>
      <c r="P1495">
        <v>1</v>
      </c>
      <c r="Q1495" t="s">
        <v>15</v>
      </c>
    </row>
    <row r="1496" spans="1:17" x14ac:dyDescent="0.55000000000000004">
      <c r="A1496">
        <v>498</v>
      </c>
      <c r="B1496" t="s">
        <v>43</v>
      </c>
      <c r="C1496">
        <v>0</v>
      </c>
      <c r="E1496" t="s">
        <v>1</v>
      </c>
      <c r="G1496" t="s">
        <v>43</v>
      </c>
      <c r="H1496">
        <v>999.99900000000002</v>
      </c>
      <c r="I1496" t="s">
        <v>461</v>
      </c>
      <c r="K1496">
        <v>105294086</v>
      </c>
      <c r="L1496" s="2">
        <v>43052</v>
      </c>
      <c r="M1496">
        <v>21</v>
      </c>
      <c r="N1496">
        <v>1</v>
      </c>
      <c r="P1496">
        <v>1</v>
      </c>
      <c r="Q1496" t="s">
        <v>21</v>
      </c>
    </row>
    <row r="1497" spans="1:17" x14ac:dyDescent="0.55000000000000004">
      <c r="A1497">
        <v>498</v>
      </c>
      <c r="B1497" t="s">
        <v>43</v>
      </c>
      <c r="C1497">
        <v>0</v>
      </c>
      <c r="E1497" t="s">
        <v>1</v>
      </c>
      <c r="G1497" t="s">
        <v>43</v>
      </c>
      <c r="H1497">
        <v>999.99900000000002</v>
      </c>
      <c r="I1497" t="s">
        <v>461</v>
      </c>
      <c r="K1497">
        <v>106368219</v>
      </c>
      <c r="L1497" s="2">
        <v>44099</v>
      </c>
      <c r="M1497">
        <v>2</v>
      </c>
      <c r="N1497">
        <v>1</v>
      </c>
      <c r="P1497">
        <v>5</v>
      </c>
      <c r="Q1497" t="s">
        <v>21</v>
      </c>
    </row>
    <row r="1498" spans="1:17" x14ac:dyDescent="0.55000000000000004">
      <c r="A1498">
        <v>0</v>
      </c>
      <c r="B1498" t="s">
        <v>1</v>
      </c>
      <c r="C1498">
        <v>0.05</v>
      </c>
      <c r="D1498" t="s">
        <v>23</v>
      </c>
      <c r="E1498" t="s">
        <v>43</v>
      </c>
      <c r="F1498" t="s">
        <v>0</v>
      </c>
      <c r="G1498" t="s">
        <v>419</v>
      </c>
      <c r="H1498">
        <v>12.946</v>
      </c>
      <c r="I1498" t="s">
        <v>461</v>
      </c>
      <c r="J1498" t="s">
        <v>174</v>
      </c>
      <c r="K1498">
        <v>104900720</v>
      </c>
      <c r="L1498" s="2">
        <v>42676</v>
      </c>
      <c r="M1498">
        <v>17</v>
      </c>
      <c r="N1498">
        <v>1</v>
      </c>
      <c r="O1498">
        <v>0</v>
      </c>
      <c r="P1498">
        <v>5</v>
      </c>
      <c r="Q1498" t="s">
        <v>21</v>
      </c>
    </row>
    <row r="1499" spans="1:17" x14ac:dyDescent="0.55000000000000004">
      <c r="A1499">
        <v>0</v>
      </c>
      <c r="B1499" t="s">
        <v>1</v>
      </c>
      <c r="C1499">
        <v>1.5</v>
      </c>
      <c r="D1499" t="s">
        <v>18</v>
      </c>
      <c r="E1499" t="s">
        <v>338</v>
      </c>
      <c r="F1499" t="s">
        <v>420</v>
      </c>
      <c r="G1499" t="s">
        <v>419</v>
      </c>
      <c r="H1499">
        <v>14.968</v>
      </c>
      <c r="I1499" t="s">
        <v>461</v>
      </c>
      <c r="K1499">
        <v>105263924</v>
      </c>
      <c r="L1499" s="2">
        <v>43031</v>
      </c>
      <c r="M1499">
        <v>19</v>
      </c>
      <c r="N1499">
        <v>2</v>
      </c>
      <c r="O1499">
        <v>0</v>
      </c>
      <c r="P1499">
        <v>1</v>
      </c>
      <c r="Q1499" t="s">
        <v>21</v>
      </c>
    </row>
    <row r="1500" spans="1:17" x14ac:dyDescent="0.55000000000000004">
      <c r="A1500">
        <v>0</v>
      </c>
      <c r="B1500" t="s">
        <v>1</v>
      </c>
      <c r="C1500">
        <v>8.9999999999999993E-3</v>
      </c>
      <c r="D1500" t="s">
        <v>18</v>
      </c>
      <c r="E1500" t="s">
        <v>43</v>
      </c>
      <c r="F1500" t="s">
        <v>338</v>
      </c>
      <c r="G1500" t="s">
        <v>419</v>
      </c>
      <c r="H1500">
        <v>15.718999999999999</v>
      </c>
      <c r="I1500" t="s">
        <v>461</v>
      </c>
      <c r="J1500" t="s">
        <v>174</v>
      </c>
      <c r="K1500">
        <v>106583569</v>
      </c>
      <c r="L1500" s="2">
        <v>44339</v>
      </c>
      <c r="M1500">
        <v>19</v>
      </c>
      <c r="N1500">
        <v>1</v>
      </c>
      <c r="O1500">
        <v>0</v>
      </c>
      <c r="P1500">
        <v>1</v>
      </c>
      <c r="Q1500" t="s">
        <v>21</v>
      </c>
    </row>
    <row r="1501" spans="1:17" x14ac:dyDescent="0.55000000000000004">
      <c r="A1501">
        <v>498</v>
      </c>
      <c r="B1501" t="s">
        <v>1</v>
      </c>
      <c r="C1501">
        <v>0</v>
      </c>
      <c r="D1501" t="s">
        <v>68</v>
      </c>
      <c r="E1501" t="s">
        <v>43</v>
      </c>
      <c r="F1501" t="s">
        <v>333</v>
      </c>
      <c r="G1501" t="s">
        <v>419</v>
      </c>
      <c r="H1501">
        <v>15.728</v>
      </c>
      <c r="I1501" t="s">
        <v>461</v>
      </c>
      <c r="J1501" t="s">
        <v>174</v>
      </c>
      <c r="K1501">
        <v>105036813</v>
      </c>
      <c r="L1501" s="2">
        <v>42789</v>
      </c>
      <c r="M1501">
        <v>30</v>
      </c>
      <c r="N1501">
        <v>1</v>
      </c>
      <c r="O1501">
        <v>0</v>
      </c>
      <c r="P1501">
        <v>1</v>
      </c>
      <c r="Q1501" t="s">
        <v>21</v>
      </c>
    </row>
    <row r="1502" spans="1:17" x14ac:dyDescent="0.55000000000000004">
      <c r="A1502">
        <v>0</v>
      </c>
      <c r="B1502" t="s">
        <v>1</v>
      </c>
      <c r="C1502">
        <v>0</v>
      </c>
      <c r="E1502" t="s">
        <v>43</v>
      </c>
      <c r="F1502" t="s">
        <v>340</v>
      </c>
      <c r="G1502" t="s">
        <v>419</v>
      </c>
      <c r="H1502">
        <v>15.728</v>
      </c>
      <c r="I1502" t="s">
        <v>461</v>
      </c>
      <c r="J1502" t="s">
        <v>174</v>
      </c>
      <c r="K1502">
        <v>106384501</v>
      </c>
      <c r="L1502" s="2">
        <v>44131</v>
      </c>
      <c r="M1502">
        <v>26</v>
      </c>
      <c r="N1502">
        <v>1</v>
      </c>
      <c r="O1502">
        <v>8</v>
      </c>
      <c r="P1502">
        <v>1</v>
      </c>
      <c r="Q1502" t="s">
        <v>21</v>
      </c>
    </row>
    <row r="1503" spans="1:17" x14ac:dyDescent="0.55000000000000004">
      <c r="A1503">
        <v>498</v>
      </c>
      <c r="B1503" t="s">
        <v>77</v>
      </c>
      <c r="C1503">
        <v>1.9E-2</v>
      </c>
      <c r="D1503" t="s">
        <v>23</v>
      </c>
      <c r="E1503" t="s">
        <v>4</v>
      </c>
      <c r="F1503" t="s">
        <v>422</v>
      </c>
      <c r="G1503" t="s">
        <v>227</v>
      </c>
      <c r="H1503">
        <v>15.8</v>
      </c>
      <c r="I1503" t="s">
        <v>461</v>
      </c>
      <c r="K1503">
        <v>105273723</v>
      </c>
      <c r="L1503" s="2">
        <v>43034</v>
      </c>
      <c r="M1503">
        <v>23</v>
      </c>
      <c r="N1503">
        <v>1</v>
      </c>
      <c r="O1503">
        <v>0</v>
      </c>
      <c r="P1503">
        <v>1</v>
      </c>
      <c r="Q1503" t="s">
        <v>21</v>
      </c>
    </row>
    <row r="1504" spans="1:17" x14ac:dyDescent="0.55000000000000004">
      <c r="A1504">
        <v>498</v>
      </c>
      <c r="B1504" t="s">
        <v>227</v>
      </c>
      <c r="C1504">
        <v>1.9E-2</v>
      </c>
      <c r="D1504" t="s">
        <v>23</v>
      </c>
      <c r="E1504" t="s">
        <v>4</v>
      </c>
      <c r="F1504" t="s">
        <v>416</v>
      </c>
      <c r="G1504" t="s">
        <v>227</v>
      </c>
      <c r="H1504">
        <v>15.8</v>
      </c>
      <c r="I1504" t="s">
        <v>461</v>
      </c>
      <c r="K1504">
        <v>105367199</v>
      </c>
      <c r="L1504" s="2">
        <v>43089</v>
      </c>
      <c r="M1504">
        <v>30</v>
      </c>
      <c r="N1504">
        <v>2</v>
      </c>
      <c r="O1504">
        <v>0</v>
      </c>
      <c r="P1504">
        <v>1</v>
      </c>
      <c r="Q1504" t="s">
        <v>21</v>
      </c>
    </row>
    <row r="1505" spans="1:17" x14ac:dyDescent="0.55000000000000004">
      <c r="A1505">
        <v>498</v>
      </c>
      <c r="B1505" t="s">
        <v>77</v>
      </c>
      <c r="C1505">
        <v>1.9E-2</v>
      </c>
      <c r="D1505" t="s">
        <v>23</v>
      </c>
      <c r="E1505" t="s">
        <v>4</v>
      </c>
      <c r="F1505" t="s">
        <v>421</v>
      </c>
      <c r="G1505" t="s">
        <v>227</v>
      </c>
      <c r="H1505">
        <v>15.8</v>
      </c>
      <c r="I1505" t="s">
        <v>461</v>
      </c>
      <c r="K1505">
        <v>106537172</v>
      </c>
      <c r="L1505" s="2">
        <v>44256</v>
      </c>
      <c r="M1505">
        <v>21</v>
      </c>
      <c r="N1505">
        <v>2</v>
      </c>
      <c r="P1505">
        <v>1</v>
      </c>
      <c r="Q1505" t="s">
        <v>21</v>
      </c>
    </row>
    <row r="1506" spans="1:17" x14ac:dyDescent="0.55000000000000004">
      <c r="A1506">
        <v>498</v>
      </c>
      <c r="B1506" t="s">
        <v>77</v>
      </c>
      <c r="C1506">
        <v>1.9E-2</v>
      </c>
      <c r="D1506" t="s">
        <v>23</v>
      </c>
      <c r="E1506" t="s">
        <v>4</v>
      </c>
      <c r="F1506" t="s">
        <v>421</v>
      </c>
      <c r="G1506" t="s">
        <v>227</v>
      </c>
      <c r="H1506">
        <v>15.8</v>
      </c>
      <c r="I1506" t="s">
        <v>461</v>
      </c>
      <c r="K1506">
        <v>106390117</v>
      </c>
      <c r="L1506" s="2">
        <v>44125</v>
      </c>
      <c r="M1506">
        <v>21</v>
      </c>
      <c r="N1506">
        <v>1</v>
      </c>
      <c r="O1506">
        <v>0</v>
      </c>
      <c r="P1506">
        <v>1</v>
      </c>
      <c r="Q1506" t="s">
        <v>21</v>
      </c>
    </row>
    <row r="1507" spans="1:17" x14ac:dyDescent="0.55000000000000004">
      <c r="A1507">
        <v>498</v>
      </c>
      <c r="B1507" t="s">
        <v>77</v>
      </c>
      <c r="C1507">
        <v>1.9E-2</v>
      </c>
      <c r="D1507" t="s">
        <v>23</v>
      </c>
      <c r="E1507" t="s">
        <v>4</v>
      </c>
      <c r="F1507" t="s">
        <v>421</v>
      </c>
      <c r="G1507" t="s">
        <v>227</v>
      </c>
      <c r="H1507">
        <v>15.8</v>
      </c>
      <c r="I1507" t="s">
        <v>461</v>
      </c>
      <c r="K1507">
        <v>105304191</v>
      </c>
      <c r="L1507" s="2">
        <v>43056</v>
      </c>
      <c r="M1507">
        <v>24</v>
      </c>
      <c r="N1507">
        <v>1</v>
      </c>
      <c r="O1507">
        <v>0</v>
      </c>
      <c r="P1507">
        <v>4</v>
      </c>
      <c r="Q1507" t="s">
        <v>15</v>
      </c>
    </row>
    <row r="1508" spans="1:17" x14ac:dyDescent="0.55000000000000004">
      <c r="A1508">
        <v>498</v>
      </c>
      <c r="B1508" t="s">
        <v>77</v>
      </c>
      <c r="C1508">
        <v>1.7999999999999999E-2</v>
      </c>
      <c r="D1508" t="s">
        <v>23</v>
      </c>
      <c r="E1508" t="s">
        <v>4</v>
      </c>
      <c r="F1508" t="s">
        <v>421</v>
      </c>
      <c r="G1508" t="s">
        <v>227</v>
      </c>
      <c r="H1508">
        <v>15.801</v>
      </c>
      <c r="I1508" t="s">
        <v>461</v>
      </c>
      <c r="K1508">
        <v>105930854</v>
      </c>
      <c r="L1508" s="2">
        <v>43637</v>
      </c>
      <c r="M1508">
        <v>30</v>
      </c>
      <c r="N1508">
        <v>1</v>
      </c>
      <c r="O1508">
        <v>0</v>
      </c>
      <c r="P1508">
        <v>1</v>
      </c>
      <c r="Q1508" t="s">
        <v>21</v>
      </c>
    </row>
    <row r="1509" spans="1:17" x14ac:dyDescent="0.55000000000000004">
      <c r="A1509">
        <v>498</v>
      </c>
      <c r="B1509" t="s">
        <v>77</v>
      </c>
      <c r="C1509">
        <v>1.6E-2</v>
      </c>
      <c r="D1509" t="s">
        <v>23</v>
      </c>
      <c r="E1509" t="s">
        <v>4</v>
      </c>
      <c r="F1509" t="s">
        <v>421</v>
      </c>
      <c r="G1509" t="s">
        <v>227</v>
      </c>
      <c r="H1509">
        <v>15.803000000000001</v>
      </c>
      <c r="I1509" t="s">
        <v>461</v>
      </c>
      <c r="K1509">
        <v>105065887</v>
      </c>
      <c r="L1509" s="2">
        <v>42828</v>
      </c>
      <c r="M1509">
        <v>23</v>
      </c>
      <c r="N1509">
        <v>2</v>
      </c>
      <c r="O1509">
        <v>4</v>
      </c>
      <c r="P1509">
        <v>1</v>
      </c>
      <c r="Q1509" t="s">
        <v>21</v>
      </c>
    </row>
    <row r="1510" spans="1:17" x14ac:dyDescent="0.55000000000000004">
      <c r="A1510">
        <v>498</v>
      </c>
      <c r="B1510" t="s">
        <v>77</v>
      </c>
      <c r="C1510">
        <v>1.4E-2</v>
      </c>
      <c r="D1510" t="s">
        <v>23</v>
      </c>
      <c r="E1510" t="s">
        <v>4</v>
      </c>
      <c r="F1510" t="s">
        <v>421</v>
      </c>
      <c r="G1510" t="s">
        <v>227</v>
      </c>
      <c r="H1510">
        <v>15.805</v>
      </c>
      <c r="I1510" t="s">
        <v>461</v>
      </c>
      <c r="K1510">
        <v>105657796</v>
      </c>
      <c r="L1510" s="2">
        <v>43392</v>
      </c>
      <c r="M1510">
        <v>30</v>
      </c>
      <c r="N1510">
        <v>1</v>
      </c>
      <c r="O1510">
        <v>0</v>
      </c>
      <c r="P1510">
        <v>1</v>
      </c>
      <c r="Q1510" t="s">
        <v>15</v>
      </c>
    </row>
    <row r="1511" spans="1:17" x14ac:dyDescent="0.55000000000000004">
      <c r="A1511">
        <v>498</v>
      </c>
      <c r="B1511" t="s">
        <v>77</v>
      </c>
      <c r="C1511">
        <v>8.9999999999999993E-3</v>
      </c>
      <c r="D1511" t="s">
        <v>23</v>
      </c>
      <c r="E1511" t="s">
        <v>4</v>
      </c>
      <c r="F1511" t="s">
        <v>421</v>
      </c>
      <c r="G1511" t="s">
        <v>227</v>
      </c>
      <c r="H1511">
        <v>15.81</v>
      </c>
      <c r="I1511" t="s">
        <v>461</v>
      </c>
      <c r="K1511">
        <v>105640236</v>
      </c>
      <c r="L1511" s="2">
        <v>43377</v>
      </c>
      <c r="M1511">
        <v>30</v>
      </c>
      <c r="N1511">
        <v>1</v>
      </c>
      <c r="O1511">
        <v>0</v>
      </c>
      <c r="P1511">
        <v>1</v>
      </c>
      <c r="Q1511" t="s">
        <v>21</v>
      </c>
    </row>
    <row r="1512" spans="1:17" x14ac:dyDescent="0.55000000000000004">
      <c r="A1512">
        <v>498</v>
      </c>
      <c r="B1512" t="s">
        <v>77</v>
      </c>
      <c r="C1512">
        <v>5.0000000000000001E-3</v>
      </c>
      <c r="D1512" t="s">
        <v>23</v>
      </c>
      <c r="E1512" t="s">
        <v>4</v>
      </c>
      <c r="F1512" t="s">
        <v>421</v>
      </c>
      <c r="G1512" t="s">
        <v>227</v>
      </c>
      <c r="H1512">
        <v>15.814</v>
      </c>
      <c r="I1512" t="s">
        <v>461</v>
      </c>
      <c r="K1512">
        <v>105510167</v>
      </c>
      <c r="L1512" s="2">
        <v>43255</v>
      </c>
      <c r="M1512">
        <v>30</v>
      </c>
      <c r="N1512">
        <v>1</v>
      </c>
      <c r="O1512">
        <v>0</v>
      </c>
      <c r="P1512">
        <v>1</v>
      </c>
      <c r="Q1512" t="s">
        <v>15</v>
      </c>
    </row>
    <row r="1513" spans="1:17" x14ac:dyDescent="0.55000000000000004">
      <c r="A1513">
        <v>498</v>
      </c>
      <c r="B1513" t="s">
        <v>227</v>
      </c>
      <c r="C1513">
        <v>0</v>
      </c>
      <c r="E1513" t="s">
        <v>0</v>
      </c>
      <c r="F1513" t="s">
        <v>230</v>
      </c>
      <c r="G1513" t="s">
        <v>227</v>
      </c>
      <c r="H1513">
        <v>15.819000000000001</v>
      </c>
      <c r="I1513" t="s">
        <v>461</v>
      </c>
      <c r="K1513">
        <v>105412354</v>
      </c>
      <c r="L1513" s="2">
        <v>43151</v>
      </c>
      <c r="M1513">
        <v>30</v>
      </c>
      <c r="N1513">
        <v>1</v>
      </c>
      <c r="O1513">
        <v>12</v>
      </c>
      <c r="P1513">
        <v>1</v>
      </c>
      <c r="Q1513" t="s">
        <v>21</v>
      </c>
    </row>
    <row r="1514" spans="1:17" x14ac:dyDescent="0.55000000000000004">
      <c r="A1514">
        <v>498</v>
      </c>
      <c r="B1514" t="s">
        <v>227</v>
      </c>
      <c r="C1514">
        <v>0</v>
      </c>
      <c r="E1514" t="s">
        <v>0</v>
      </c>
      <c r="F1514" t="s">
        <v>230</v>
      </c>
      <c r="G1514" t="s">
        <v>227</v>
      </c>
      <c r="H1514">
        <v>15.819000000000001</v>
      </c>
      <c r="I1514" t="s">
        <v>461</v>
      </c>
      <c r="K1514">
        <v>104970660</v>
      </c>
      <c r="L1514" s="2">
        <v>42708</v>
      </c>
      <c r="M1514">
        <v>21</v>
      </c>
      <c r="N1514">
        <v>2</v>
      </c>
      <c r="O1514">
        <v>7</v>
      </c>
      <c r="P1514">
        <v>4</v>
      </c>
      <c r="Q1514" t="s">
        <v>21</v>
      </c>
    </row>
    <row r="1515" spans="1:17" x14ac:dyDescent="0.55000000000000004">
      <c r="A1515">
        <v>498</v>
      </c>
      <c r="B1515" t="s">
        <v>227</v>
      </c>
      <c r="C1515">
        <v>0</v>
      </c>
      <c r="E1515" t="s">
        <v>4</v>
      </c>
      <c r="F1515" t="s">
        <v>93</v>
      </c>
      <c r="G1515" t="s">
        <v>227</v>
      </c>
      <c r="H1515">
        <v>15.819000000000001</v>
      </c>
      <c r="I1515" t="s">
        <v>461</v>
      </c>
      <c r="K1515">
        <v>105091212</v>
      </c>
      <c r="L1515" s="2">
        <v>42851</v>
      </c>
      <c r="M1515">
        <v>28</v>
      </c>
      <c r="N1515">
        <v>1</v>
      </c>
      <c r="P1515">
        <v>1</v>
      </c>
      <c r="Q1515" t="s">
        <v>21</v>
      </c>
    </row>
    <row r="1516" spans="1:17" x14ac:dyDescent="0.55000000000000004">
      <c r="A1516">
        <v>498</v>
      </c>
      <c r="B1516" t="s">
        <v>227</v>
      </c>
      <c r="C1516">
        <v>0</v>
      </c>
      <c r="E1516" t="s">
        <v>4</v>
      </c>
      <c r="F1516" t="s">
        <v>93</v>
      </c>
      <c r="G1516" t="s">
        <v>227</v>
      </c>
      <c r="H1516">
        <v>15.819000000000001</v>
      </c>
      <c r="I1516" t="s">
        <v>461</v>
      </c>
      <c r="K1516">
        <v>105880375</v>
      </c>
      <c r="L1516" s="2">
        <v>43598</v>
      </c>
      <c r="M1516">
        <v>30</v>
      </c>
      <c r="N1516">
        <v>1</v>
      </c>
      <c r="O1516">
        <v>0</v>
      </c>
      <c r="P1516">
        <v>1</v>
      </c>
      <c r="Q1516" t="s">
        <v>21</v>
      </c>
    </row>
    <row r="1517" spans="1:17" x14ac:dyDescent="0.55000000000000004">
      <c r="A1517">
        <v>498</v>
      </c>
      <c r="B1517" t="s">
        <v>77</v>
      </c>
      <c r="C1517">
        <v>0</v>
      </c>
      <c r="E1517" t="s">
        <v>4</v>
      </c>
      <c r="F1517" t="s">
        <v>230</v>
      </c>
      <c r="G1517" t="s">
        <v>227</v>
      </c>
      <c r="H1517">
        <v>15.819000000000001</v>
      </c>
      <c r="I1517" t="s">
        <v>461</v>
      </c>
      <c r="K1517">
        <v>105127024</v>
      </c>
      <c r="L1517" s="2">
        <v>42888</v>
      </c>
      <c r="M1517">
        <v>21</v>
      </c>
      <c r="N1517">
        <v>1</v>
      </c>
      <c r="P1517">
        <v>1</v>
      </c>
      <c r="Q1517" t="s">
        <v>21</v>
      </c>
    </row>
    <row r="1518" spans="1:17" x14ac:dyDescent="0.55000000000000004">
      <c r="A1518">
        <v>498</v>
      </c>
      <c r="B1518" t="s">
        <v>77</v>
      </c>
      <c r="C1518">
        <v>0</v>
      </c>
      <c r="E1518" t="s">
        <v>4</v>
      </c>
      <c r="F1518" t="s">
        <v>230</v>
      </c>
      <c r="G1518" t="s">
        <v>227</v>
      </c>
      <c r="H1518">
        <v>15.819000000000001</v>
      </c>
      <c r="I1518" t="s">
        <v>461</v>
      </c>
      <c r="K1518">
        <v>105035455</v>
      </c>
      <c r="L1518" s="2">
        <v>42780</v>
      </c>
      <c r="M1518">
        <v>21</v>
      </c>
      <c r="N1518">
        <v>1</v>
      </c>
      <c r="P1518">
        <v>4</v>
      </c>
      <c r="Q1518" t="s">
        <v>21</v>
      </c>
    </row>
    <row r="1519" spans="1:17" x14ac:dyDescent="0.55000000000000004">
      <c r="A1519">
        <v>498</v>
      </c>
      <c r="B1519" t="s">
        <v>77</v>
      </c>
      <c r="C1519">
        <v>0</v>
      </c>
      <c r="E1519" t="s">
        <v>4</v>
      </c>
      <c r="F1519" t="s">
        <v>230</v>
      </c>
      <c r="G1519" t="s">
        <v>227</v>
      </c>
      <c r="H1519">
        <v>15.819000000000001</v>
      </c>
      <c r="I1519" t="s">
        <v>461</v>
      </c>
      <c r="K1519">
        <v>105578814</v>
      </c>
      <c r="L1519" s="2">
        <v>43322</v>
      </c>
      <c r="M1519">
        <v>28</v>
      </c>
      <c r="N1519">
        <v>1</v>
      </c>
      <c r="O1519">
        <v>0</v>
      </c>
      <c r="P1519">
        <v>1</v>
      </c>
      <c r="Q1519" t="s">
        <v>15</v>
      </c>
    </row>
    <row r="1520" spans="1:17" x14ac:dyDescent="0.55000000000000004">
      <c r="A1520">
        <v>498</v>
      </c>
      <c r="B1520" t="s">
        <v>77</v>
      </c>
      <c r="C1520">
        <v>0</v>
      </c>
      <c r="E1520" t="s">
        <v>4</v>
      </c>
      <c r="F1520" t="s">
        <v>230</v>
      </c>
      <c r="G1520" t="s">
        <v>227</v>
      </c>
      <c r="H1520">
        <v>15.819000000000001</v>
      </c>
      <c r="I1520" t="s">
        <v>461</v>
      </c>
      <c r="K1520">
        <v>105657357</v>
      </c>
      <c r="L1520" s="2">
        <v>43394</v>
      </c>
      <c r="M1520">
        <v>28</v>
      </c>
      <c r="N1520">
        <v>1</v>
      </c>
      <c r="O1520">
        <v>0</v>
      </c>
      <c r="P1520">
        <v>1</v>
      </c>
      <c r="Q1520" t="s">
        <v>21</v>
      </c>
    </row>
    <row r="1521" spans="1:17" x14ac:dyDescent="0.55000000000000004">
      <c r="A1521">
        <v>498</v>
      </c>
      <c r="B1521" t="s">
        <v>77</v>
      </c>
      <c r="C1521">
        <v>0</v>
      </c>
      <c r="E1521" t="s">
        <v>4</v>
      </c>
      <c r="F1521" t="s">
        <v>230</v>
      </c>
      <c r="G1521" t="s">
        <v>227</v>
      </c>
      <c r="H1521">
        <v>15.819000000000001</v>
      </c>
      <c r="I1521" t="s">
        <v>461</v>
      </c>
      <c r="K1521">
        <v>104939174</v>
      </c>
      <c r="L1521" s="2">
        <v>42683</v>
      </c>
      <c r="M1521">
        <v>28</v>
      </c>
      <c r="N1521">
        <v>1</v>
      </c>
      <c r="P1521">
        <v>1</v>
      </c>
      <c r="Q1521" t="s">
        <v>15</v>
      </c>
    </row>
    <row r="1522" spans="1:17" x14ac:dyDescent="0.55000000000000004">
      <c r="A1522">
        <v>498</v>
      </c>
      <c r="B1522" t="s">
        <v>77</v>
      </c>
      <c r="C1522">
        <v>0</v>
      </c>
      <c r="E1522" t="s">
        <v>4</v>
      </c>
      <c r="F1522" t="s">
        <v>230</v>
      </c>
      <c r="G1522" t="s">
        <v>227</v>
      </c>
      <c r="H1522">
        <v>15.819000000000001</v>
      </c>
      <c r="I1522" t="s">
        <v>461</v>
      </c>
      <c r="K1522">
        <v>105472964</v>
      </c>
      <c r="L1522" s="2">
        <v>43222</v>
      </c>
      <c r="M1522">
        <v>26</v>
      </c>
      <c r="N1522">
        <v>1</v>
      </c>
      <c r="O1522">
        <v>0</v>
      </c>
      <c r="P1522">
        <v>1</v>
      </c>
      <c r="Q1522" t="s">
        <v>21</v>
      </c>
    </row>
    <row r="1523" spans="1:17" x14ac:dyDescent="0.55000000000000004">
      <c r="A1523">
        <v>498</v>
      </c>
      <c r="B1523" t="s">
        <v>77</v>
      </c>
      <c r="C1523">
        <v>0</v>
      </c>
      <c r="E1523" t="s">
        <v>4</v>
      </c>
      <c r="F1523" t="s">
        <v>423</v>
      </c>
      <c r="G1523" t="s">
        <v>227</v>
      </c>
      <c r="H1523">
        <v>15.819000000000001</v>
      </c>
      <c r="I1523" t="s">
        <v>461</v>
      </c>
      <c r="K1523">
        <v>106709940</v>
      </c>
      <c r="L1523" s="2">
        <v>44414</v>
      </c>
      <c r="M1523">
        <v>30</v>
      </c>
      <c r="N1523">
        <v>1</v>
      </c>
      <c r="P1523">
        <v>1</v>
      </c>
      <c r="Q1523" t="s">
        <v>21</v>
      </c>
    </row>
    <row r="1524" spans="1:17" x14ac:dyDescent="0.55000000000000004">
      <c r="A1524">
        <v>498</v>
      </c>
      <c r="B1524" t="s">
        <v>77</v>
      </c>
      <c r="C1524">
        <v>0</v>
      </c>
      <c r="E1524" t="s">
        <v>4</v>
      </c>
      <c r="F1524" t="s">
        <v>421</v>
      </c>
      <c r="G1524" t="s">
        <v>227</v>
      </c>
      <c r="H1524">
        <v>15.819000000000001</v>
      </c>
      <c r="I1524" t="s">
        <v>461</v>
      </c>
      <c r="K1524">
        <v>106211835</v>
      </c>
      <c r="L1524" s="2">
        <v>43890</v>
      </c>
      <c r="M1524">
        <v>28</v>
      </c>
      <c r="N1524">
        <v>1</v>
      </c>
      <c r="O1524">
        <v>0</v>
      </c>
      <c r="P1524">
        <v>1</v>
      </c>
      <c r="Q1524" t="s">
        <v>21</v>
      </c>
    </row>
    <row r="1525" spans="1:17" x14ac:dyDescent="0.55000000000000004">
      <c r="A1525">
        <v>498</v>
      </c>
      <c r="B1525" t="s">
        <v>77</v>
      </c>
      <c r="C1525">
        <v>0</v>
      </c>
      <c r="E1525" t="s">
        <v>4</v>
      </c>
      <c r="G1525" t="s">
        <v>227</v>
      </c>
      <c r="H1525">
        <v>15.819000000000001</v>
      </c>
      <c r="I1525" t="s">
        <v>461</v>
      </c>
      <c r="K1525">
        <v>105391046</v>
      </c>
      <c r="L1525" s="2">
        <v>43136</v>
      </c>
      <c r="M1525">
        <v>21</v>
      </c>
      <c r="N1525">
        <v>1</v>
      </c>
      <c r="P1525">
        <v>1</v>
      </c>
      <c r="Q1525" t="s">
        <v>21</v>
      </c>
    </row>
    <row r="1526" spans="1:17" x14ac:dyDescent="0.55000000000000004">
      <c r="A1526">
        <v>498</v>
      </c>
      <c r="B1526" t="s">
        <v>77</v>
      </c>
      <c r="C1526">
        <v>8.9999999999999993E-3</v>
      </c>
      <c r="D1526" t="s">
        <v>30</v>
      </c>
      <c r="E1526" t="s">
        <v>4</v>
      </c>
      <c r="F1526" t="s">
        <v>230</v>
      </c>
      <c r="G1526" t="s">
        <v>227</v>
      </c>
      <c r="H1526">
        <v>15.827999999999999</v>
      </c>
      <c r="I1526" t="s">
        <v>461</v>
      </c>
      <c r="K1526">
        <v>105246898</v>
      </c>
      <c r="L1526" s="2">
        <v>43005</v>
      </c>
      <c r="M1526">
        <v>21</v>
      </c>
      <c r="N1526">
        <v>1</v>
      </c>
      <c r="O1526">
        <v>0</v>
      </c>
      <c r="P1526">
        <v>4</v>
      </c>
      <c r="Q1526" t="s">
        <v>21</v>
      </c>
    </row>
    <row r="1527" spans="1:17" x14ac:dyDescent="0.55000000000000004">
      <c r="A1527">
        <v>498</v>
      </c>
      <c r="B1527" t="s">
        <v>77</v>
      </c>
      <c r="C1527">
        <v>8.9999999999999993E-3</v>
      </c>
      <c r="D1527" t="s">
        <v>30</v>
      </c>
      <c r="E1527" t="s">
        <v>4</v>
      </c>
      <c r="F1527" t="s">
        <v>421</v>
      </c>
      <c r="G1527" t="s">
        <v>227</v>
      </c>
      <c r="H1527">
        <v>15.827999999999999</v>
      </c>
      <c r="I1527" t="s">
        <v>461</v>
      </c>
      <c r="K1527">
        <v>105771274</v>
      </c>
      <c r="L1527" s="2">
        <v>43423</v>
      </c>
      <c r="M1527">
        <v>21</v>
      </c>
      <c r="N1527">
        <v>1</v>
      </c>
      <c r="O1527">
        <v>0</v>
      </c>
      <c r="P1527">
        <v>1</v>
      </c>
      <c r="Q1527" t="s">
        <v>21</v>
      </c>
    </row>
    <row r="1528" spans="1:17" x14ac:dyDescent="0.55000000000000004">
      <c r="A1528">
        <v>498</v>
      </c>
      <c r="B1528" t="s">
        <v>0</v>
      </c>
      <c r="C1528">
        <v>8.9999999999999993E-3</v>
      </c>
      <c r="E1528" t="s">
        <v>36</v>
      </c>
      <c r="F1528" t="s">
        <v>37</v>
      </c>
      <c r="H1528">
        <v>999.99900000000002</v>
      </c>
      <c r="I1528" t="s">
        <v>461</v>
      </c>
      <c r="K1528">
        <v>105472595</v>
      </c>
      <c r="L1528" s="2">
        <v>43224</v>
      </c>
      <c r="M1528">
        <v>21</v>
      </c>
      <c r="N1528">
        <v>1</v>
      </c>
      <c r="O1528">
        <v>0</v>
      </c>
      <c r="P1528">
        <v>1</v>
      </c>
      <c r="Q1528" t="s">
        <v>21</v>
      </c>
    </row>
    <row r="1529" spans="1:17" x14ac:dyDescent="0.55000000000000004">
      <c r="A1529">
        <v>498</v>
      </c>
      <c r="B1529" t="s">
        <v>1</v>
      </c>
      <c r="C1529">
        <v>0</v>
      </c>
      <c r="D1529" t="s">
        <v>18</v>
      </c>
      <c r="E1529" t="s">
        <v>44</v>
      </c>
      <c r="F1529" t="s">
        <v>43</v>
      </c>
      <c r="H1529">
        <v>999.99900000000002</v>
      </c>
      <c r="I1529" t="s">
        <v>461</v>
      </c>
      <c r="K1529">
        <v>105402694</v>
      </c>
      <c r="L1529" s="2">
        <v>43143</v>
      </c>
      <c r="M1529">
        <v>21</v>
      </c>
      <c r="N1529">
        <v>2</v>
      </c>
      <c r="O1529">
        <v>0</v>
      </c>
      <c r="P1529">
        <v>1</v>
      </c>
      <c r="Q1529" t="s">
        <v>45</v>
      </c>
    </row>
    <row r="1530" spans="1:17" x14ac:dyDescent="0.55000000000000004">
      <c r="A1530">
        <v>0</v>
      </c>
      <c r="B1530" t="s">
        <v>1</v>
      </c>
      <c r="C1530">
        <v>0</v>
      </c>
      <c r="E1530" t="s">
        <v>46</v>
      </c>
      <c r="F1530" t="s">
        <v>47</v>
      </c>
      <c r="H1530">
        <v>999.99900000000002</v>
      </c>
      <c r="I1530" t="s">
        <v>461</v>
      </c>
      <c r="K1530">
        <v>105210498</v>
      </c>
      <c r="L1530" s="2">
        <v>42979</v>
      </c>
      <c r="M1530">
        <v>22</v>
      </c>
      <c r="N1530">
        <v>1</v>
      </c>
      <c r="O1530">
        <v>8</v>
      </c>
      <c r="P1530">
        <v>1</v>
      </c>
      <c r="Q1530" t="s">
        <v>21</v>
      </c>
    </row>
    <row r="1531" spans="1:17" x14ac:dyDescent="0.55000000000000004">
      <c r="A1531">
        <v>498</v>
      </c>
      <c r="B1531" t="s">
        <v>1</v>
      </c>
      <c r="C1531">
        <v>0.3</v>
      </c>
      <c r="D1531" t="s">
        <v>18</v>
      </c>
      <c r="E1531" t="s">
        <v>48</v>
      </c>
      <c r="F1531" t="s">
        <v>49</v>
      </c>
      <c r="H1531">
        <v>999.99900000000002</v>
      </c>
      <c r="I1531" t="s">
        <v>461</v>
      </c>
      <c r="K1531">
        <v>106379523</v>
      </c>
      <c r="L1531" s="2">
        <v>44125</v>
      </c>
      <c r="M1531">
        <v>17</v>
      </c>
      <c r="N1531">
        <v>1</v>
      </c>
      <c r="O1531">
        <v>0</v>
      </c>
      <c r="P1531">
        <v>6</v>
      </c>
      <c r="Q1531" t="s">
        <v>21</v>
      </c>
    </row>
    <row r="1532" spans="1:17" x14ac:dyDescent="0.55000000000000004">
      <c r="A1532">
        <v>498</v>
      </c>
      <c r="B1532" t="s">
        <v>4</v>
      </c>
      <c r="C1532">
        <v>0</v>
      </c>
      <c r="D1532" t="s">
        <v>18</v>
      </c>
      <c r="E1532" t="s">
        <v>66</v>
      </c>
      <c r="F1532" t="s">
        <v>67</v>
      </c>
      <c r="H1532">
        <v>999.99900000000002</v>
      </c>
      <c r="I1532" t="s">
        <v>461</v>
      </c>
      <c r="K1532">
        <v>106210552</v>
      </c>
      <c r="L1532" s="2">
        <v>43882</v>
      </c>
      <c r="M1532">
        <v>28</v>
      </c>
      <c r="N1532">
        <v>1</v>
      </c>
      <c r="O1532">
        <v>0</v>
      </c>
      <c r="P1532">
        <v>1</v>
      </c>
      <c r="Q1532" t="s">
        <v>15</v>
      </c>
    </row>
    <row r="1533" spans="1:17" x14ac:dyDescent="0.55000000000000004">
      <c r="A1533">
        <v>498</v>
      </c>
      <c r="B1533" t="s">
        <v>4</v>
      </c>
      <c r="C1533">
        <v>0.01</v>
      </c>
      <c r="D1533" t="s">
        <v>68</v>
      </c>
      <c r="E1533" t="s">
        <v>69</v>
      </c>
      <c r="F1533" t="s">
        <v>70</v>
      </c>
      <c r="H1533">
        <v>999.99900000000002</v>
      </c>
      <c r="I1533" t="s">
        <v>461</v>
      </c>
      <c r="K1533">
        <v>105679825</v>
      </c>
      <c r="L1533" s="2">
        <v>43406</v>
      </c>
      <c r="M1533">
        <v>30</v>
      </c>
      <c r="N1533">
        <v>2</v>
      </c>
      <c r="O1533">
        <v>8</v>
      </c>
      <c r="P1533">
        <v>1</v>
      </c>
      <c r="Q1533" t="s">
        <v>21</v>
      </c>
    </row>
    <row r="1534" spans="1:17" x14ac:dyDescent="0.55000000000000004">
      <c r="A1534">
        <v>498</v>
      </c>
      <c r="B1534" t="s">
        <v>4</v>
      </c>
      <c r="C1534">
        <v>8.9999999999999993E-3</v>
      </c>
      <c r="D1534" t="s">
        <v>68</v>
      </c>
      <c r="E1534" t="s">
        <v>71</v>
      </c>
      <c r="F1534" t="s">
        <v>43</v>
      </c>
      <c r="H1534">
        <v>999.99900000000002</v>
      </c>
      <c r="I1534" t="s">
        <v>461</v>
      </c>
      <c r="K1534">
        <v>105040347</v>
      </c>
      <c r="L1534" s="2">
        <v>42796</v>
      </c>
      <c r="M1534">
        <v>21</v>
      </c>
      <c r="N1534">
        <v>1</v>
      </c>
      <c r="O1534">
        <v>0</v>
      </c>
      <c r="P1534">
        <v>1</v>
      </c>
      <c r="Q1534" t="s">
        <v>21</v>
      </c>
    </row>
    <row r="1535" spans="1:17" x14ac:dyDescent="0.55000000000000004">
      <c r="A1535">
        <v>0</v>
      </c>
      <c r="B1535" t="s">
        <v>1</v>
      </c>
      <c r="C1535">
        <v>0</v>
      </c>
      <c r="E1535" t="s">
        <v>50</v>
      </c>
      <c r="F1535" t="s">
        <v>51</v>
      </c>
      <c r="H1535">
        <v>999.99900000000002</v>
      </c>
      <c r="I1535" t="s">
        <v>461</v>
      </c>
      <c r="K1535">
        <v>105495643</v>
      </c>
      <c r="L1535" s="2">
        <v>43250</v>
      </c>
      <c r="M1535">
        <v>19</v>
      </c>
      <c r="N1535">
        <v>1</v>
      </c>
      <c r="O1535">
        <v>5</v>
      </c>
      <c r="P1535">
        <v>1</v>
      </c>
      <c r="Q1535" t="s">
        <v>21</v>
      </c>
    </row>
    <row r="1536" spans="1:17" x14ac:dyDescent="0.55000000000000004">
      <c r="A1536">
        <v>414</v>
      </c>
      <c r="B1536" t="s">
        <v>1</v>
      </c>
      <c r="C1536">
        <v>0</v>
      </c>
      <c r="E1536" t="s">
        <v>52</v>
      </c>
      <c r="F1536" t="s">
        <v>0</v>
      </c>
      <c r="H1536">
        <v>999.99900000000002</v>
      </c>
      <c r="I1536" t="s">
        <v>461</v>
      </c>
      <c r="K1536">
        <v>105353420</v>
      </c>
      <c r="L1536" s="2">
        <v>43114</v>
      </c>
      <c r="M1536">
        <v>19</v>
      </c>
      <c r="N1536">
        <v>1</v>
      </c>
      <c r="O1536">
        <v>5</v>
      </c>
      <c r="P1536">
        <v>1</v>
      </c>
      <c r="Q1536" t="s">
        <v>21</v>
      </c>
    </row>
    <row r="1537" spans="1:17" x14ac:dyDescent="0.55000000000000004">
      <c r="A1537">
        <v>0</v>
      </c>
      <c r="B1537" t="s">
        <v>1</v>
      </c>
      <c r="C1537">
        <v>0</v>
      </c>
      <c r="E1537" t="s">
        <v>53</v>
      </c>
      <c r="F1537" t="s">
        <v>54</v>
      </c>
      <c r="H1537">
        <v>999.99900000000002</v>
      </c>
      <c r="I1537" t="s">
        <v>461</v>
      </c>
      <c r="K1537">
        <v>105325290</v>
      </c>
      <c r="L1537" s="2">
        <v>43085</v>
      </c>
      <c r="M1537">
        <v>29</v>
      </c>
      <c r="N1537">
        <v>1</v>
      </c>
      <c r="O1537">
        <v>5</v>
      </c>
      <c r="P1537">
        <v>5</v>
      </c>
      <c r="Q1537" t="s">
        <v>15</v>
      </c>
    </row>
    <row r="1538" spans="1:17" x14ac:dyDescent="0.55000000000000004">
      <c r="A1538">
        <v>414</v>
      </c>
      <c r="B1538" t="s">
        <v>85</v>
      </c>
      <c r="C1538">
        <v>1.9E-2</v>
      </c>
      <c r="D1538" t="s">
        <v>30</v>
      </c>
      <c r="E1538" t="s">
        <v>0</v>
      </c>
      <c r="F1538" t="s">
        <v>24</v>
      </c>
      <c r="H1538">
        <v>999.99900000000002</v>
      </c>
      <c r="I1538" t="s">
        <v>461</v>
      </c>
      <c r="K1538">
        <v>104958306</v>
      </c>
      <c r="L1538" s="2">
        <v>42729</v>
      </c>
      <c r="M1538">
        <v>20</v>
      </c>
      <c r="N1538">
        <v>1</v>
      </c>
      <c r="O1538">
        <v>4</v>
      </c>
      <c r="P1538">
        <v>1</v>
      </c>
      <c r="Q1538" t="s">
        <v>21</v>
      </c>
    </row>
    <row r="1539" spans="1:17" x14ac:dyDescent="0.55000000000000004">
      <c r="A1539">
        <v>414</v>
      </c>
      <c r="B1539" t="s">
        <v>41</v>
      </c>
      <c r="C1539">
        <v>5.0000000000000001E-3</v>
      </c>
      <c r="D1539" t="s">
        <v>102</v>
      </c>
      <c r="E1539" t="s">
        <v>0</v>
      </c>
      <c r="F1539" t="s">
        <v>24</v>
      </c>
      <c r="H1539">
        <v>999.99900000000002</v>
      </c>
      <c r="I1539" t="s">
        <v>461</v>
      </c>
      <c r="K1539">
        <v>105844874</v>
      </c>
      <c r="L1539" s="2">
        <v>43580</v>
      </c>
      <c r="M1539">
        <v>27</v>
      </c>
      <c r="N1539">
        <v>1</v>
      </c>
      <c r="O1539">
        <v>4</v>
      </c>
      <c r="P1539">
        <v>1</v>
      </c>
      <c r="Q1539" t="s">
        <v>21</v>
      </c>
    </row>
    <row r="1540" spans="1:17" x14ac:dyDescent="0.55000000000000004">
      <c r="A1540">
        <v>414</v>
      </c>
      <c r="B1540" t="s">
        <v>152</v>
      </c>
      <c r="C1540">
        <v>2.3E-2</v>
      </c>
      <c r="D1540" t="s">
        <v>18</v>
      </c>
      <c r="E1540" t="s">
        <v>0</v>
      </c>
      <c r="F1540" t="s">
        <v>24</v>
      </c>
      <c r="H1540">
        <v>999.99900000000002</v>
      </c>
      <c r="I1540" t="s">
        <v>461</v>
      </c>
      <c r="K1540">
        <v>106227275</v>
      </c>
      <c r="L1540" s="2">
        <v>43967</v>
      </c>
      <c r="M1540">
        <v>31</v>
      </c>
      <c r="N1540">
        <v>1</v>
      </c>
      <c r="O1540">
        <v>4</v>
      </c>
      <c r="P1540">
        <v>1</v>
      </c>
      <c r="Q1540" t="s">
        <v>21</v>
      </c>
    </row>
    <row r="1541" spans="1:17" x14ac:dyDescent="0.55000000000000004">
      <c r="A1541">
        <v>0</v>
      </c>
      <c r="B1541" t="s">
        <v>22</v>
      </c>
      <c r="C1541">
        <v>1.4999999999999999E-2</v>
      </c>
      <c r="D1541" t="s">
        <v>23</v>
      </c>
      <c r="E1541" t="s">
        <v>0</v>
      </c>
      <c r="F1541" t="s">
        <v>24</v>
      </c>
      <c r="H1541">
        <v>999.99900000000002</v>
      </c>
      <c r="I1541" t="s">
        <v>461</v>
      </c>
      <c r="K1541">
        <v>106301550</v>
      </c>
      <c r="L1541" s="2">
        <v>44050</v>
      </c>
      <c r="M1541">
        <v>20</v>
      </c>
      <c r="N1541">
        <v>1</v>
      </c>
      <c r="O1541">
        <v>4</v>
      </c>
      <c r="P1541">
        <v>1</v>
      </c>
      <c r="Q1541" t="s">
        <v>21</v>
      </c>
    </row>
    <row r="1542" spans="1:17" x14ac:dyDescent="0.55000000000000004">
      <c r="A1542">
        <v>0</v>
      </c>
      <c r="B1542" t="s">
        <v>31</v>
      </c>
      <c r="C1542">
        <v>8.0000000000000002E-3</v>
      </c>
      <c r="D1542" t="s">
        <v>23</v>
      </c>
      <c r="E1542" t="s">
        <v>0</v>
      </c>
      <c r="F1542" t="s">
        <v>24</v>
      </c>
      <c r="H1542">
        <v>999.99900000000002</v>
      </c>
      <c r="I1542" t="s">
        <v>461</v>
      </c>
      <c r="K1542">
        <v>105516157</v>
      </c>
      <c r="L1542" s="2">
        <v>43270</v>
      </c>
      <c r="M1542">
        <v>31</v>
      </c>
      <c r="N1542">
        <v>1</v>
      </c>
      <c r="O1542">
        <v>4</v>
      </c>
      <c r="P1542">
        <v>1</v>
      </c>
      <c r="Q1542" t="s">
        <v>21</v>
      </c>
    </row>
    <row r="1543" spans="1:17" x14ac:dyDescent="0.55000000000000004">
      <c r="A1543">
        <v>0</v>
      </c>
      <c r="B1543" t="s">
        <v>81</v>
      </c>
      <c r="C1543">
        <v>1.4E-2</v>
      </c>
      <c r="D1543" t="s">
        <v>23</v>
      </c>
      <c r="E1543" t="s">
        <v>0</v>
      </c>
      <c r="F1543" t="s">
        <v>24</v>
      </c>
      <c r="H1543">
        <v>999.99900000000002</v>
      </c>
      <c r="I1543" t="s">
        <v>461</v>
      </c>
      <c r="K1543">
        <v>105700738</v>
      </c>
      <c r="L1543" s="2">
        <v>43439</v>
      </c>
      <c r="M1543">
        <v>19</v>
      </c>
      <c r="N1543">
        <v>7</v>
      </c>
      <c r="O1543">
        <v>4</v>
      </c>
      <c r="P1543">
        <v>1</v>
      </c>
      <c r="Q1543" t="s">
        <v>21</v>
      </c>
    </row>
    <row r="1544" spans="1:17" x14ac:dyDescent="0.55000000000000004">
      <c r="A1544">
        <v>0</v>
      </c>
      <c r="B1544" t="s">
        <v>119</v>
      </c>
      <c r="C1544">
        <v>3.0000000000000001E-3</v>
      </c>
      <c r="D1544" t="s">
        <v>23</v>
      </c>
      <c r="E1544" t="s">
        <v>0</v>
      </c>
      <c r="F1544" t="s">
        <v>24</v>
      </c>
      <c r="H1544">
        <v>999.99900000000002</v>
      </c>
      <c r="I1544" t="s">
        <v>461</v>
      </c>
      <c r="K1544">
        <v>106371492</v>
      </c>
      <c r="L1544" s="2">
        <v>44120</v>
      </c>
      <c r="M1544">
        <v>31</v>
      </c>
      <c r="N1544">
        <v>1</v>
      </c>
      <c r="O1544">
        <v>0</v>
      </c>
      <c r="P1544">
        <v>4</v>
      </c>
      <c r="Q1544" t="s">
        <v>21</v>
      </c>
    </row>
    <row r="1545" spans="1:17" x14ac:dyDescent="0.55000000000000004">
      <c r="A1545">
        <v>0</v>
      </c>
      <c r="B1545" t="s">
        <v>124</v>
      </c>
      <c r="C1545">
        <v>1.9E-2</v>
      </c>
      <c r="D1545" t="s">
        <v>23</v>
      </c>
      <c r="E1545" t="s">
        <v>0</v>
      </c>
      <c r="F1545" t="s">
        <v>24</v>
      </c>
      <c r="H1545">
        <v>999.99900000000002</v>
      </c>
      <c r="I1545" t="s">
        <v>461</v>
      </c>
      <c r="K1545">
        <v>105531190</v>
      </c>
      <c r="L1545" s="2">
        <v>43284</v>
      </c>
      <c r="M1545">
        <v>31</v>
      </c>
      <c r="N1545">
        <v>1</v>
      </c>
      <c r="O1545">
        <v>4</v>
      </c>
      <c r="P1545">
        <v>1</v>
      </c>
      <c r="Q1545" t="s">
        <v>21</v>
      </c>
    </row>
    <row r="1546" spans="1:17" x14ac:dyDescent="0.55000000000000004">
      <c r="A1546">
        <v>0</v>
      </c>
      <c r="B1546" t="s">
        <v>139</v>
      </c>
      <c r="C1546">
        <v>1.9E-2</v>
      </c>
      <c r="D1546" t="s">
        <v>23</v>
      </c>
      <c r="E1546" t="s">
        <v>0</v>
      </c>
      <c r="F1546" t="s">
        <v>24</v>
      </c>
      <c r="H1546">
        <v>999.99900000000002</v>
      </c>
      <c r="I1546" t="s">
        <v>461</v>
      </c>
      <c r="K1546">
        <v>105938267</v>
      </c>
      <c r="L1546" s="2">
        <v>43673</v>
      </c>
      <c r="M1546">
        <v>20</v>
      </c>
      <c r="N1546">
        <v>1</v>
      </c>
      <c r="O1546">
        <v>4</v>
      </c>
      <c r="P1546">
        <v>1</v>
      </c>
      <c r="Q1546" t="s">
        <v>21</v>
      </c>
    </row>
    <row r="1547" spans="1:17" x14ac:dyDescent="0.55000000000000004">
      <c r="A1547">
        <v>414</v>
      </c>
      <c r="B1547" t="s">
        <v>100</v>
      </c>
      <c r="C1547">
        <v>2.8000000000000001E-2</v>
      </c>
      <c r="D1547" t="s">
        <v>23</v>
      </c>
      <c r="E1547" t="s">
        <v>0</v>
      </c>
      <c r="F1547" t="s">
        <v>24</v>
      </c>
      <c r="H1547">
        <v>999.99900000000002</v>
      </c>
      <c r="I1547" t="s">
        <v>461</v>
      </c>
      <c r="K1547">
        <v>105374187</v>
      </c>
      <c r="L1547" s="2">
        <v>43137</v>
      </c>
      <c r="M1547">
        <v>20</v>
      </c>
      <c r="N1547">
        <v>1</v>
      </c>
      <c r="O1547">
        <v>4</v>
      </c>
      <c r="P1547">
        <v>1</v>
      </c>
      <c r="Q1547" t="s">
        <v>21</v>
      </c>
    </row>
    <row r="1548" spans="1:17" x14ac:dyDescent="0.55000000000000004">
      <c r="A1548">
        <v>414</v>
      </c>
      <c r="B1548" t="s">
        <v>120</v>
      </c>
      <c r="C1548">
        <v>1.9E-2</v>
      </c>
      <c r="D1548" t="s">
        <v>23</v>
      </c>
      <c r="E1548" t="s">
        <v>0</v>
      </c>
      <c r="F1548" t="s">
        <v>24</v>
      </c>
      <c r="H1548">
        <v>999.99900000000002</v>
      </c>
      <c r="I1548" t="s">
        <v>461</v>
      </c>
      <c r="K1548">
        <v>105776099</v>
      </c>
      <c r="L1548" s="2">
        <v>43508</v>
      </c>
      <c r="M1548">
        <v>31</v>
      </c>
      <c r="N1548">
        <v>2</v>
      </c>
      <c r="O1548">
        <v>4</v>
      </c>
      <c r="P1548">
        <v>1</v>
      </c>
      <c r="Q1548" t="s">
        <v>21</v>
      </c>
    </row>
    <row r="1549" spans="1:17" x14ac:dyDescent="0.55000000000000004">
      <c r="A1549">
        <v>0</v>
      </c>
      <c r="B1549" t="s">
        <v>118</v>
      </c>
      <c r="C1549">
        <v>0</v>
      </c>
      <c r="E1549" t="s">
        <v>0</v>
      </c>
      <c r="F1549" t="s">
        <v>24</v>
      </c>
      <c r="H1549">
        <v>999.99900000000002</v>
      </c>
      <c r="I1549" t="s">
        <v>461</v>
      </c>
      <c r="K1549">
        <v>104931746</v>
      </c>
      <c r="L1549" s="2">
        <v>42703</v>
      </c>
      <c r="M1549">
        <v>18</v>
      </c>
      <c r="N1549">
        <v>2</v>
      </c>
      <c r="O1549">
        <v>4</v>
      </c>
      <c r="P1549">
        <v>1</v>
      </c>
      <c r="Q1549" t="s">
        <v>21</v>
      </c>
    </row>
    <row r="1550" spans="1:17" x14ac:dyDescent="0.55000000000000004">
      <c r="A1550">
        <v>498</v>
      </c>
      <c r="B1550" t="s">
        <v>92</v>
      </c>
      <c r="C1550">
        <v>0</v>
      </c>
      <c r="E1550" t="s">
        <v>0</v>
      </c>
      <c r="F1550" t="s">
        <v>24</v>
      </c>
      <c r="H1550">
        <v>999.99900000000002</v>
      </c>
      <c r="I1550" t="s">
        <v>461</v>
      </c>
      <c r="K1550">
        <v>105766887</v>
      </c>
      <c r="L1550" s="2">
        <v>43494</v>
      </c>
      <c r="M1550">
        <v>30</v>
      </c>
      <c r="N1550">
        <v>1</v>
      </c>
      <c r="O1550">
        <v>0</v>
      </c>
      <c r="P1550">
        <v>4</v>
      </c>
      <c r="Q1550" t="s">
        <v>21</v>
      </c>
    </row>
    <row r="1551" spans="1:17" x14ac:dyDescent="0.55000000000000004">
      <c r="A1551">
        <v>498</v>
      </c>
      <c r="B1551" t="s">
        <v>26</v>
      </c>
      <c r="C1551">
        <v>8.9999999999999993E-3</v>
      </c>
      <c r="D1551" t="s">
        <v>27</v>
      </c>
      <c r="E1551" t="s">
        <v>0</v>
      </c>
      <c r="F1551" t="s">
        <v>28</v>
      </c>
      <c r="H1551">
        <v>999.99900000000002</v>
      </c>
      <c r="I1551" t="s">
        <v>461</v>
      </c>
      <c r="K1551">
        <v>106365284</v>
      </c>
      <c r="L1551" s="2">
        <v>44083</v>
      </c>
      <c r="M1551">
        <v>31</v>
      </c>
      <c r="N1551">
        <v>2</v>
      </c>
      <c r="P1551">
        <v>1</v>
      </c>
      <c r="Q1551" t="s">
        <v>21</v>
      </c>
    </row>
    <row r="1552" spans="1:17" x14ac:dyDescent="0.55000000000000004">
      <c r="A1552">
        <v>414</v>
      </c>
      <c r="B1552" t="s">
        <v>41</v>
      </c>
      <c r="C1552">
        <v>5.0000000000000001E-3</v>
      </c>
      <c r="D1552" t="s">
        <v>23</v>
      </c>
      <c r="E1552" t="s">
        <v>0</v>
      </c>
      <c r="F1552" t="s">
        <v>100</v>
      </c>
      <c r="H1552">
        <v>999.99900000000002</v>
      </c>
      <c r="I1552" t="s">
        <v>461</v>
      </c>
      <c r="K1552">
        <v>106241774</v>
      </c>
      <c r="L1552" s="2">
        <v>43983</v>
      </c>
      <c r="M1552">
        <v>31</v>
      </c>
      <c r="N1552">
        <v>1</v>
      </c>
      <c r="O1552">
        <v>4</v>
      </c>
      <c r="P1552">
        <v>1</v>
      </c>
      <c r="Q1552" t="s">
        <v>21</v>
      </c>
    </row>
    <row r="1553" spans="1:17" x14ac:dyDescent="0.55000000000000004">
      <c r="A1553">
        <v>0</v>
      </c>
      <c r="B1553" t="s">
        <v>123</v>
      </c>
      <c r="C1553">
        <v>4.0000000000000001E-3</v>
      </c>
      <c r="D1553" t="s">
        <v>23</v>
      </c>
      <c r="E1553" t="s">
        <v>0</v>
      </c>
      <c r="F1553" t="s">
        <v>123</v>
      </c>
      <c r="H1553">
        <v>999.99900000000002</v>
      </c>
      <c r="I1553" t="s">
        <v>461</v>
      </c>
      <c r="K1553">
        <v>105446902</v>
      </c>
      <c r="L1553" s="2">
        <v>43206</v>
      </c>
      <c r="M1553">
        <v>31</v>
      </c>
      <c r="N1553">
        <v>1</v>
      </c>
      <c r="O1553">
        <v>4</v>
      </c>
      <c r="P1553">
        <v>1</v>
      </c>
      <c r="Q1553" t="s">
        <v>21</v>
      </c>
    </row>
    <row r="1554" spans="1:17" x14ac:dyDescent="0.55000000000000004">
      <c r="A1554">
        <v>414</v>
      </c>
      <c r="B1554" t="s">
        <v>86</v>
      </c>
      <c r="C1554">
        <v>4.0000000000000001E-3</v>
      </c>
      <c r="D1554" t="s">
        <v>30</v>
      </c>
      <c r="E1554" t="s">
        <v>0</v>
      </c>
      <c r="F1554" t="s">
        <v>75</v>
      </c>
      <c r="H1554">
        <v>999.99900000000002</v>
      </c>
      <c r="I1554" t="s">
        <v>461</v>
      </c>
      <c r="K1554">
        <v>106226471</v>
      </c>
      <c r="L1554" s="2">
        <v>43966</v>
      </c>
      <c r="M1554">
        <v>31</v>
      </c>
      <c r="N1554">
        <v>1</v>
      </c>
      <c r="O1554">
        <v>4</v>
      </c>
      <c r="P1554">
        <v>1</v>
      </c>
      <c r="Q1554" t="s">
        <v>21</v>
      </c>
    </row>
    <row r="1555" spans="1:17" x14ac:dyDescent="0.55000000000000004">
      <c r="A1555">
        <v>498</v>
      </c>
      <c r="B1555" t="s">
        <v>42</v>
      </c>
      <c r="C1555">
        <v>1.9E-2</v>
      </c>
      <c r="D1555" t="s">
        <v>30</v>
      </c>
      <c r="E1555" t="s">
        <v>0</v>
      </c>
      <c r="F1555" t="s">
        <v>75</v>
      </c>
      <c r="H1555">
        <v>999.99900000000002</v>
      </c>
      <c r="I1555" t="s">
        <v>461</v>
      </c>
      <c r="K1555">
        <v>105472596</v>
      </c>
      <c r="L1555" s="2">
        <v>43224</v>
      </c>
      <c r="M1555">
        <v>30</v>
      </c>
      <c r="N1555">
        <v>1</v>
      </c>
      <c r="O1555">
        <v>0</v>
      </c>
      <c r="P1555">
        <v>1</v>
      </c>
      <c r="Q1555" t="s">
        <v>21</v>
      </c>
    </row>
    <row r="1556" spans="1:17" x14ac:dyDescent="0.55000000000000004">
      <c r="A1556">
        <v>0</v>
      </c>
      <c r="B1556" t="s">
        <v>89</v>
      </c>
      <c r="C1556">
        <v>2E-3</v>
      </c>
      <c r="D1556" t="s">
        <v>23</v>
      </c>
      <c r="E1556" t="s">
        <v>0</v>
      </c>
      <c r="F1556" t="s">
        <v>75</v>
      </c>
      <c r="H1556">
        <v>999.99900000000002</v>
      </c>
      <c r="I1556" t="s">
        <v>461</v>
      </c>
      <c r="K1556">
        <v>105812012</v>
      </c>
      <c r="L1556" s="2">
        <v>43548</v>
      </c>
      <c r="M1556">
        <v>19</v>
      </c>
      <c r="N1556">
        <v>1</v>
      </c>
      <c r="O1556">
        <v>4</v>
      </c>
      <c r="P1556">
        <v>1</v>
      </c>
      <c r="Q1556" t="s">
        <v>21</v>
      </c>
    </row>
    <row r="1557" spans="1:17" x14ac:dyDescent="0.55000000000000004">
      <c r="A1557">
        <v>0</v>
      </c>
      <c r="B1557" t="s">
        <v>123</v>
      </c>
      <c r="C1557">
        <v>8.0000000000000002E-3</v>
      </c>
      <c r="D1557" t="s">
        <v>23</v>
      </c>
      <c r="E1557" t="s">
        <v>0</v>
      </c>
      <c r="F1557" t="s">
        <v>75</v>
      </c>
      <c r="H1557">
        <v>999.99900000000002</v>
      </c>
      <c r="I1557" t="s">
        <v>461</v>
      </c>
      <c r="K1557">
        <v>106579610</v>
      </c>
      <c r="L1557" s="2">
        <v>44324</v>
      </c>
      <c r="M1557">
        <v>31</v>
      </c>
      <c r="N1557">
        <v>1</v>
      </c>
      <c r="O1557">
        <v>4</v>
      </c>
      <c r="P1557">
        <v>1</v>
      </c>
      <c r="Q1557" t="s">
        <v>21</v>
      </c>
    </row>
    <row r="1558" spans="1:17" x14ac:dyDescent="0.55000000000000004">
      <c r="A1558">
        <v>414</v>
      </c>
      <c r="B1558" t="s">
        <v>100</v>
      </c>
      <c r="C1558">
        <v>8.0000000000000002E-3</v>
      </c>
      <c r="D1558" t="s">
        <v>23</v>
      </c>
      <c r="E1558" t="s">
        <v>0</v>
      </c>
      <c r="F1558" t="s">
        <v>75</v>
      </c>
      <c r="H1558">
        <v>999.99900000000002</v>
      </c>
      <c r="I1558" t="s">
        <v>461</v>
      </c>
      <c r="K1558">
        <v>106167007</v>
      </c>
      <c r="L1558" s="2">
        <v>43845</v>
      </c>
      <c r="M1558">
        <v>20</v>
      </c>
      <c r="N1558">
        <v>2</v>
      </c>
      <c r="O1558">
        <v>4</v>
      </c>
      <c r="P1558">
        <v>1</v>
      </c>
    </row>
    <row r="1559" spans="1:17" x14ac:dyDescent="0.55000000000000004">
      <c r="A1559">
        <v>414</v>
      </c>
      <c r="B1559" t="s">
        <v>100</v>
      </c>
      <c r="C1559">
        <v>8.9999999999999993E-3</v>
      </c>
      <c r="D1559" t="s">
        <v>23</v>
      </c>
      <c r="E1559" t="s">
        <v>0</v>
      </c>
      <c r="F1559" t="s">
        <v>75</v>
      </c>
      <c r="H1559">
        <v>999.99900000000002</v>
      </c>
      <c r="I1559" t="s">
        <v>461</v>
      </c>
      <c r="K1559">
        <v>105896536</v>
      </c>
      <c r="L1559" s="2">
        <v>43631</v>
      </c>
      <c r="M1559">
        <v>20</v>
      </c>
      <c r="N1559">
        <v>1</v>
      </c>
      <c r="O1559">
        <v>4</v>
      </c>
      <c r="P1559">
        <v>1</v>
      </c>
      <c r="Q1559" t="s">
        <v>21</v>
      </c>
    </row>
    <row r="1560" spans="1:17" x14ac:dyDescent="0.55000000000000004">
      <c r="A1560">
        <v>414</v>
      </c>
      <c r="B1560" t="s">
        <v>101</v>
      </c>
      <c r="C1560">
        <v>1.4999999999999999E-2</v>
      </c>
      <c r="D1560" t="s">
        <v>23</v>
      </c>
      <c r="E1560" t="s">
        <v>0</v>
      </c>
      <c r="F1560" t="s">
        <v>75</v>
      </c>
      <c r="H1560">
        <v>999.99900000000002</v>
      </c>
      <c r="I1560" t="s">
        <v>461</v>
      </c>
      <c r="K1560">
        <v>105430412</v>
      </c>
      <c r="L1560" s="2">
        <v>43190</v>
      </c>
      <c r="M1560">
        <v>20</v>
      </c>
      <c r="N1560">
        <v>1</v>
      </c>
      <c r="O1560">
        <v>0</v>
      </c>
      <c r="P1560">
        <v>4</v>
      </c>
      <c r="Q1560" t="s">
        <v>21</v>
      </c>
    </row>
    <row r="1561" spans="1:17" x14ac:dyDescent="0.55000000000000004">
      <c r="A1561">
        <v>0</v>
      </c>
      <c r="B1561" t="s">
        <v>140</v>
      </c>
      <c r="C1561">
        <v>2.1999999999999999E-2</v>
      </c>
      <c r="D1561" t="s">
        <v>102</v>
      </c>
      <c r="E1561" t="s">
        <v>0</v>
      </c>
      <c r="F1561" t="s">
        <v>49</v>
      </c>
      <c r="H1561">
        <v>999.99900000000002</v>
      </c>
      <c r="I1561" t="s">
        <v>461</v>
      </c>
      <c r="K1561">
        <v>106590907</v>
      </c>
      <c r="L1561" s="2">
        <v>44343</v>
      </c>
      <c r="M1561">
        <v>25</v>
      </c>
      <c r="N1561">
        <v>1</v>
      </c>
      <c r="O1561">
        <v>0</v>
      </c>
      <c r="P1561">
        <v>4</v>
      </c>
    </row>
    <row r="1562" spans="1:17" x14ac:dyDescent="0.55000000000000004">
      <c r="A1562">
        <v>0</v>
      </c>
      <c r="B1562" t="s">
        <v>80</v>
      </c>
      <c r="C1562">
        <v>0.01</v>
      </c>
      <c r="D1562" t="s">
        <v>30</v>
      </c>
      <c r="E1562" t="s">
        <v>0</v>
      </c>
      <c r="F1562" t="s">
        <v>62</v>
      </c>
      <c r="H1562">
        <v>999.99900000000002</v>
      </c>
      <c r="I1562" t="s">
        <v>461</v>
      </c>
      <c r="K1562">
        <v>105029238</v>
      </c>
      <c r="L1562" s="2">
        <v>42799</v>
      </c>
      <c r="M1562">
        <v>20</v>
      </c>
      <c r="N1562">
        <v>1</v>
      </c>
      <c r="O1562">
        <v>0</v>
      </c>
      <c r="P1562">
        <v>1</v>
      </c>
      <c r="Q1562" t="s">
        <v>21</v>
      </c>
    </row>
    <row r="1563" spans="1:17" x14ac:dyDescent="0.55000000000000004">
      <c r="A1563">
        <v>0</v>
      </c>
      <c r="B1563" t="s">
        <v>80</v>
      </c>
      <c r="C1563">
        <v>0.01</v>
      </c>
      <c r="D1563" t="s">
        <v>30</v>
      </c>
      <c r="E1563" t="s">
        <v>0</v>
      </c>
      <c r="F1563" t="s">
        <v>62</v>
      </c>
      <c r="H1563">
        <v>999.99900000000002</v>
      </c>
      <c r="I1563" t="s">
        <v>461</v>
      </c>
      <c r="K1563">
        <v>104982540</v>
      </c>
      <c r="L1563" s="2">
        <v>42755</v>
      </c>
      <c r="M1563">
        <v>20</v>
      </c>
      <c r="N1563">
        <v>1</v>
      </c>
      <c r="O1563">
        <v>0</v>
      </c>
      <c r="P1563">
        <v>1</v>
      </c>
    </row>
    <row r="1564" spans="1:17" x14ac:dyDescent="0.55000000000000004">
      <c r="A1564">
        <v>0</v>
      </c>
      <c r="B1564" t="s">
        <v>41</v>
      </c>
      <c r="C1564">
        <v>0.01</v>
      </c>
      <c r="D1564" t="s">
        <v>30</v>
      </c>
      <c r="E1564" t="s">
        <v>0</v>
      </c>
      <c r="H1564">
        <v>999.99900000000002</v>
      </c>
      <c r="I1564" t="s">
        <v>461</v>
      </c>
      <c r="K1564">
        <v>105771540</v>
      </c>
      <c r="L1564" s="2">
        <v>43506</v>
      </c>
      <c r="M1564">
        <v>19</v>
      </c>
      <c r="N1564">
        <v>2</v>
      </c>
      <c r="O1564">
        <v>0</v>
      </c>
      <c r="P1564">
        <v>5</v>
      </c>
      <c r="Q1564" t="s">
        <v>21</v>
      </c>
    </row>
    <row r="1565" spans="1:17" x14ac:dyDescent="0.55000000000000004">
      <c r="A1565">
        <v>0</v>
      </c>
      <c r="B1565" t="s">
        <v>127</v>
      </c>
      <c r="C1565">
        <v>1.9E-2</v>
      </c>
      <c r="D1565" t="s">
        <v>30</v>
      </c>
      <c r="E1565" t="s">
        <v>0</v>
      </c>
      <c r="H1565">
        <v>999.99900000000002</v>
      </c>
      <c r="I1565" t="s">
        <v>461</v>
      </c>
      <c r="K1565">
        <v>105804322</v>
      </c>
      <c r="L1565" s="2">
        <v>43537</v>
      </c>
      <c r="M1565">
        <v>20</v>
      </c>
      <c r="N1565">
        <v>1</v>
      </c>
      <c r="O1565">
        <v>4</v>
      </c>
      <c r="P1565">
        <v>1</v>
      </c>
      <c r="Q1565" t="s">
        <v>21</v>
      </c>
    </row>
    <row r="1566" spans="1:17" x14ac:dyDescent="0.55000000000000004">
      <c r="A1566">
        <v>498</v>
      </c>
      <c r="B1566" t="s">
        <v>92</v>
      </c>
      <c r="C1566">
        <v>0</v>
      </c>
      <c r="D1566" t="s">
        <v>30</v>
      </c>
      <c r="E1566" t="s">
        <v>0</v>
      </c>
      <c r="H1566">
        <v>999.99900000000002</v>
      </c>
      <c r="I1566" t="s">
        <v>461</v>
      </c>
      <c r="K1566">
        <v>105439154</v>
      </c>
      <c r="L1566" s="2">
        <v>43179</v>
      </c>
      <c r="M1566">
        <v>29</v>
      </c>
      <c r="N1566">
        <v>2</v>
      </c>
      <c r="O1566">
        <v>0</v>
      </c>
      <c r="P1566">
        <v>1</v>
      </c>
      <c r="Q1566" t="s">
        <v>21</v>
      </c>
    </row>
    <row r="1567" spans="1:17" x14ac:dyDescent="0.55000000000000004">
      <c r="A1567">
        <v>0</v>
      </c>
      <c r="B1567" t="s">
        <v>125</v>
      </c>
      <c r="C1567">
        <v>1.9E-2</v>
      </c>
      <c r="D1567" t="s">
        <v>68</v>
      </c>
      <c r="E1567" t="s">
        <v>0</v>
      </c>
      <c r="H1567">
        <v>999.99900000000002</v>
      </c>
      <c r="I1567" t="s">
        <v>461</v>
      </c>
      <c r="K1567">
        <v>105855890</v>
      </c>
      <c r="L1567" s="2">
        <v>43592</v>
      </c>
      <c r="M1567">
        <v>31</v>
      </c>
      <c r="N1567">
        <v>1</v>
      </c>
      <c r="O1567">
        <v>0</v>
      </c>
      <c r="P1567">
        <v>1</v>
      </c>
      <c r="Q1567" t="s">
        <v>21</v>
      </c>
    </row>
    <row r="1568" spans="1:17" x14ac:dyDescent="0.55000000000000004">
      <c r="A1568">
        <v>0</v>
      </c>
      <c r="B1568" t="s">
        <v>121</v>
      </c>
      <c r="C1568">
        <v>8.0000000000000002E-3</v>
      </c>
      <c r="D1568" t="s">
        <v>23</v>
      </c>
      <c r="E1568" t="s">
        <v>0</v>
      </c>
      <c r="H1568">
        <v>999.99900000000002</v>
      </c>
      <c r="I1568" t="s">
        <v>461</v>
      </c>
      <c r="K1568">
        <v>106210633</v>
      </c>
      <c r="L1568" s="2">
        <v>43946</v>
      </c>
      <c r="M1568">
        <v>20</v>
      </c>
      <c r="N1568">
        <v>1</v>
      </c>
      <c r="O1568">
        <v>4</v>
      </c>
      <c r="P1568">
        <v>1</v>
      </c>
    </row>
    <row r="1569" spans="1:17" x14ac:dyDescent="0.55000000000000004">
      <c r="A1569">
        <v>0</v>
      </c>
      <c r="B1569" t="s">
        <v>122</v>
      </c>
      <c r="C1569">
        <v>1.0999999999999999E-2</v>
      </c>
      <c r="D1569" t="s">
        <v>23</v>
      </c>
      <c r="E1569" t="s">
        <v>0</v>
      </c>
      <c r="H1569">
        <v>999.99900000000002</v>
      </c>
      <c r="I1569" t="s">
        <v>461</v>
      </c>
      <c r="K1569">
        <v>105859972</v>
      </c>
      <c r="L1569" s="2">
        <v>43594</v>
      </c>
      <c r="M1569">
        <v>31</v>
      </c>
      <c r="N1569">
        <v>1</v>
      </c>
      <c r="O1569">
        <v>4</v>
      </c>
      <c r="P1569">
        <v>1</v>
      </c>
      <c r="Q1569" t="s">
        <v>21</v>
      </c>
    </row>
    <row r="1570" spans="1:17" x14ac:dyDescent="0.55000000000000004">
      <c r="A1570">
        <v>0</v>
      </c>
      <c r="B1570" t="s">
        <v>121</v>
      </c>
      <c r="C1570">
        <v>1.0999999999999999E-2</v>
      </c>
      <c r="D1570" t="s">
        <v>23</v>
      </c>
      <c r="E1570" t="s">
        <v>0</v>
      </c>
      <c r="H1570">
        <v>999.99900000000002</v>
      </c>
      <c r="I1570" t="s">
        <v>461</v>
      </c>
      <c r="K1570">
        <v>104862377</v>
      </c>
      <c r="L1570" s="2">
        <v>42640</v>
      </c>
      <c r="M1570">
        <v>20</v>
      </c>
      <c r="N1570">
        <v>2</v>
      </c>
      <c r="O1570">
        <v>4</v>
      </c>
      <c r="P1570">
        <v>1</v>
      </c>
      <c r="Q1570" t="s">
        <v>21</v>
      </c>
    </row>
    <row r="1571" spans="1:17" x14ac:dyDescent="0.55000000000000004">
      <c r="A1571">
        <v>0</v>
      </c>
      <c r="B1571" t="s">
        <v>129</v>
      </c>
      <c r="C1571">
        <v>6.0000000000000001E-3</v>
      </c>
      <c r="D1571" t="s">
        <v>30</v>
      </c>
      <c r="E1571" t="s">
        <v>3</v>
      </c>
      <c r="F1571" t="s">
        <v>24</v>
      </c>
      <c r="H1571">
        <v>999.99900000000002</v>
      </c>
      <c r="I1571" t="s">
        <v>461</v>
      </c>
      <c r="K1571">
        <v>106678255</v>
      </c>
      <c r="L1571" s="2">
        <v>44415</v>
      </c>
      <c r="M1571">
        <v>20</v>
      </c>
      <c r="N1571">
        <v>2</v>
      </c>
      <c r="O1571">
        <v>4</v>
      </c>
      <c r="P1571">
        <v>1</v>
      </c>
      <c r="Q1571" t="s">
        <v>21</v>
      </c>
    </row>
    <row r="1572" spans="1:17" x14ac:dyDescent="0.55000000000000004">
      <c r="A1572">
        <v>151</v>
      </c>
      <c r="B1572" t="s">
        <v>105</v>
      </c>
      <c r="C1572">
        <v>1.4999999999999999E-2</v>
      </c>
      <c r="D1572" t="s">
        <v>30</v>
      </c>
      <c r="E1572" t="s">
        <v>3</v>
      </c>
      <c r="F1572" t="s">
        <v>24</v>
      </c>
      <c r="H1572">
        <v>999.99900000000002</v>
      </c>
      <c r="I1572" t="s">
        <v>461</v>
      </c>
      <c r="K1572">
        <v>105708681</v>
      </c>
      <c r="L1572" s="2">
        <v>43446</v>
      </c>
      <c r="M1572">
        <v>31</v>
      </c>
      <c r="N1572">
        <v>2</v>
      </c>
      <c r="O1572">
        <v>4</v>
      </c>
      <c r="P1572">
        <v>1</v>
      </c>
      <c r="Q1572" t="s">
        <v>21</v>
      </c>
    </row>
    <row r="1573" spans="1:17" x14ac:dyDescent="0.55000000000000004">
      <c r="A1573">
        <v>151</v>
      </c>
      <c r="B1573" t="s">
        <v>146</v>
      </c>
      <c r="C1573">
        <v>1.9E-2</v>
      </c>
      <c r="D1573" t="s">
        <v>30</v>
      </c>
      <c r="E1573" t="s">
        <v>3</v>
      </c>
      <c r="F1573" t="s">
        <v>24</v>
      </c>
      <c r="H1573">
        <v>999.99900000000002</v>
      </c>
      <c r="I1573" t="s">
        <v>461</v>
      </c>
      <c r="K1573">
        <v>105968002</v>
      </c>
      <c r="L1573" s="2">
        <v>43700</v>
      </c>
      <c r="M1573">
        <v>20</v>
      </c>
      <c r="N1573">
        <v>1</v>
      </c>
      <c r="O1573">
        <v>4</v>
      </c>
      <c r="P1573">
        <v>1</v>
      </c>
      <c r="Q1573" t="s">
        <v>21</v>
      </c>
    </row>
    <row r="1574" spans="1:17" x14ac:dyDescent="0.55000000000000004">
      <c r="A1574">
        <v>0</v>
      </c>
      <c r="B1574" t="s">
        <v>25</v>
      </c>
      <c r="C1574">
        <v>5.0000000000000001E-3</v>
      </c>
      <c r="D1574" t="s">
        <v>18</v>
      </c>
      <c r="E1574" t="s">
        <v>3</v>
      </c>
      <c r="F1574" t="s">
        <v>24</v>
      </c>
      <c r="H1574">
        <v>999.99900000000002</v>
      </c>
      <c r="I1574" t="s">
        <v>461</v>
      </c>
      <c r="K1574">
        <v>106266726</v>
      </c>
      <c r="L1574" s="2">
        <v>44013</v>
      </c>
      <c r="M1574">
        <v>20</v>
      </c>
      <c r="N1574">
        <v>1</v>
      </c>
      <c r="O1574">
        <v>5</v>
      </c>
      <c r="P1574">
        <v>1</v>
      </c>
      <c r="Q1574" t="s">
        <v>21</v>
      </c>
    </row>
    <row r="1575" spans="1:17" x14ac:dyDescent="0.55000000000000004">
      <c r="A1575">
        <v>0</v>
      </c>
      <c r="B1575" t="s">
        <v>103</v>
      </c>
      <c r="C1575">
        <v>1.9E-2</v>
      </c>
      <c r="D1575" t="s">
        <v>23</v>
      </c>
      <c r="E1575" t="s">
        <v>3</v>
      </c>
      <c r="F1575" t="s">
        <v>24</v>
      </c>
      <c r="H1575">
        <v>999.99900000000002</v>
      </c>
      <c r="I1575" t="s">
        <v>461</v>
      </c>
      <c r="K1575">
        <v>106028856</v>
      </c>
      <c r="L1575" s="2">
        <v>43754</v>
      </c>
      <c r="M1575">
        <v>20</v>
      </c>
      <c r="N1575">
        <v>1</v>
      </c>
      <c r="O1575">
        <v>4</v>
      </c>
      <c r="P1575">
        <v>4</v>
      </c>
      <c r="Q1575" t="s">
        <v>21</v>
      </c>
    </row>
    <row r="1576" spans="1:17" x14ac:dyDescent="0.55000000000000004">
      <c r="A1576">
        <v>0</v>
      </c>
      <c r="B1576" t="s">
        <v>103</v>
      </c>
      <c r="C1576">
        <v>1.9E-2</v>
      </c>
      <c r="D1576" t="s">
        <v>23</v>
      </c>
      <c r="E1576" t="s">
        <v>3</v>
      </c>
      <c r="F1576" t="s">
        <v>24</v>
      </c>
      <c r="H1576">
        <v>999.99900000000002</v>
      </c>
      <c r="I1576" t="s">
        <v>461</v>
      </c>
      <c r="K1576">
        <v>105582656</v>
      </c>
      <c r="L1576" s="2">
        <v>43333</v>
      </c>
      <c r="M1576">
        <v>19</v>
      </c>
      <c r="N1576">
        <v>1</v>
      </c>
      <c r="O1576">
        <v>4</v>
      </c>
      <c r="P1576">
        <v>1</v>
      </c>
      <c r="Q1576" t="s">
        <v>21</v>
      </c>
    </row>
    <row r="1577" spans="1:17" x14ac:dyDescent="0.55000000000000004">
      <c r="A1577">
        <v>0</v>
      </c>
      <c r="B1577" t="s">
        <v>138</v>
      </c>
      <c r="C1577">
        <v>4.0000000000000001E-3</v>
      </c>
      <c r="D1577" t="s">
        <v>23</v>
      </c>
      <c r="E1577" t="s">
        <v>3</v>
      </c>
      <c r="F1577" t="s">
        <v>24</v>
      </c>
      <c r="H1577">
        <v>999.99900000000002</v>
      </c>
      <c r="I1577" t="s">
        <v>461</v>
      </c>
      <c r="K1577">
        <v>105646934</v>
      </c>
      <c r="L1577" s="2">
        <v>43395</v>
      </c>
      <c r="M1577">
        <v>24</v>
      </c>
      <c r="N1577">
        <v>1</v>
      </c>
      <c r="O1577">
        <v>4</v>
      </c>
      <c r="P1577">
        <v>1</v>
      </c>
      <c r="Q1577" t="s">
        <v>21</v>
      </c>
    </row>
    <row r="1578" spans="1:17" x14ac:dyDescent="0.55000000000000004">
      <c r="A1578">
        <v>0</v>
      </c>
      <c r="B1578" t="s">
        <v>104</v>
      </c>
      <c r="C1578">
        <v>8.0000000000000002E-3</v>
      </c>
      <c r="D1578" t="s">
        <v>23</v>
      </c>
      <c r="E1578" t="s">
        <v>3</v>
      </c>
      <c r="F1578" t="s">
        <v>75</v>
      </c>
      <c r="H1578">
        <v>999.99900000000002</v>
      </c>
      <c r="I1578" t="s">
        <v>461</v>
      </c>
      <c r="K1578">
        <v>105104553</v>
      </c>
      <c r="L1578" s="2">
        <v>42874</v>
      </c>
      <c r="M1578">
        <v>19</v>
      </c>
      <c r="N1578">
        <v>1</v>
      </c>
      <c r="O1578">
        <v>4</v>
      </c>
      <c r="P1578">
        <v>1</v>
      </c>
      <c r="Q1578" t="s">
        <v>21</v>
      </c>
    </row>
    <row r="1579" spans="1:17" x14ac:dyDescent="0.55000000000000004">
      <c r="A1579">
        <v>0</v>
      </c>
      <c r="B1579" t="s">
        <v>137</v>
      </c>
      <c r="C1579">
        <v>8.9999999999999993E-3</v>
      </c>
      <c r="D1579" t="s">
        <v>23</v>
      </c>
      <c r="E1579" t="s">
        <v>3</v>
      </c>
      <c r="H1579">
        <v>999.99900000000002</v>
      </c>
      <c r="I1579" t="s">
        <v>461</v>
      </c>
      <c r="K1579">
        <v>106160407</v>
      </c>
      <c r="L1579" s="2">
        <v>43875</v>
      </c>
      <c r="M1579">
        <v>20</v>
      </c>
      <c r="N1579">
        <v>1</v>
      </c>
      <c r="O1579">
        <v>4</v>
      </c>
      <c r="P1579">
        <v>1</v>
      </c>
      <c r="Q1579" t="s">
        <v>21</v>
      </c>
    </row>
    <row r="1580" spans="1:17" x14ac:dyDescent="0.55000000000000004">
      <c r="A1580">
        <v>0</v>
      </c>
      <c r="B1580" t="s">
        <v>65</v>
      </c>
      <c r="C1580">
        <v>8.0000000000000002E-3</v>
      </c>
      <c r="D1580" t="s">
        <v>30</v>
      </c>
      <c r="E1580" t="s">
        <v>1</v>
      </c>
      <c r="F1580" t="s">
        <v>24</v>
      </c>
      <c r="H1580">
        <v>999.99900000000002</v>
      </c>
      <c r="I1580" t="s">
        <v>461</v>
      </c>
      <c r="K1580">
        <v>105013009</v>
      </c>
      <c r="L1580" s="2">
        <v>42774</v>
      </c>
      <c r="M1580">
        <v>20</v>
      </c>
      <c r="N1580">
        <v>2</v>
      </c>
      <c r="O1580">
        <v>5</v>
      </c>
      <c r="P1580">
        <v>5</v>
      </c>
      <c r="Q1580" t="s">
        <v>21</v>
      </c>
    </row>
    <row r="1581" spans="1:17" x14ac:dyDescent="0.55000000000000004">
      <c r="A1581">
        <v>0</v>
      </c>
      <c r="B1581" t="s">
        <v>133</v>
      </c>
      <c r="C1581">
        <v>1.9E-2</v>
      </c>
      <c r="D1581" t="s">
        <v>30</v>
      </c>
      <c r="E1581" t="s">
        <v>1</v>
      </c>
      <c r="F1581" t="s">
        <v>24</v>
      </c>
      <c r="H1581">
        <v>999.99900000000002</v>
      </c>
      <c r="I1581" t="s">
        <v>461</v>
      </c>
      <c r="K1581">
        <v>105529020</v>
      </c>
      <c r="L1581" s="2">
        <v>43281</v>
      </c>
      <c r="M1581">
        <v>20</v>
      </c>
      <c r="N1581">
        <v>1</v>
      </c>
      <c r="O1581">
        <v>4</v>
      </c>
      <c r="P1581">
        <v>1</v>
      </c>
    </row>
    <row r="1582" spans="1:17" x14ac:dyDescent="0.55000000000000004">
      <c r="A1582">
        <v>0</v>
      </c>
      <c r="B1582" t="s">
        <v>141</v>
      </c>
      <c r="C1582">
        <v>1.9E-2</v>
      </c>
      <c r="D1582" t="s">
        <v>30</v>
      </c>
      <c r="E1582" t="s">
        <v>1</v>
      </c>
      <c r="F1582" t="s">
        <v>24</v>
      </c>
      <c r="H1582">
        <v>999.99900000000002</v>
      </c>
      <c r="I1582" t="s">
        <v>461</v>
      </c>
      <c r="K1582">
        <v>105505168</v>
      </c>
      <c r="L1582" s="2">
        <v>43251</v>
      </c>
      <c r="M1582">
        <v>31</v>
      </c>
      <c r="N1582">
        <v>1</v>
      </c>
      <c r="O1582">
        <v>4</v>
      </c>
      <c r="P1582">
        <v>1</v>
      </c>
      <c r="Q1582" t="s">
        <v>21</v>
      </c>
    </row>
    <row r="1583" spans="1:17" x14ac:dyDescent="0.55000000000000004">
      <c r="A1583">
        <v>0</v>
      </c>
      <c r="B1583" t="s">
        <v>142</v>
      </c>
      <c r="C1583">
        <v>8.9999999999999993E-3</v>
      </c>
      <c r="D1583" t="s">
        <v>30</v>
      </c>
      <c r="E1583" t="s">
        <v>1</v>
      </c>
      <c r="F1583" t="s">
        <v>24</v>
      </c>
      <c r="H1583">
        <v>999.99900000000002</v>
      </c>
      <c r="I1583" t="s">
        <v>461</v>
      </c>
      <c r="K1583">
        <v>106029665</v>
      </c>
      <c r="L1583" s="2">
        <v>43741</v>
      </c>
      <c r="M1583">
        <v>19</v>
      </c>
      <c r="N1583">
        <v>1</v>
      </c>
      <c r="O1583">
        <v>4</v>
      </c>
      <c r="P1583">
        <v>1</v>
      </c>
      <c r="Q1583" t="s">
        <v>45</v>
      </c>
    </row>
    <row r="1584" spans="1:17" x14ac:dyDescent="0.55000000000000004">
      <c r="A1584">
        <v>224</v>
      </c>
      <c r="B1584" t="s">
        <v>130</v>
      </c>
      <c r="C1584">
        <v>4.0000000000000001E-3</v>
      </c>
      <c r="D1584" t="s">
        <v>30</v>
      </c>
      <c r="E1584" t="s">
        <v>1</v>
      </c>
      <c r="F1584" t="s">
        <v>24</v>
      </c>
      <c r="H1584">
        <v>999.99900000000002</v>
      </c>
      <c r="I1584" t="s">
        <v>461</v>
      </c>
      <c r="K1584">
        <v>105414747</v>
      </c>
      <c r="L1584" s="2">
        <v>43175</v>
      </c>
      <c r="M1584">
        <v>32</v>
      </c>
      <c r="N1584">
        <v>1</v>
      </c>
      <c r="O1584">
        <v>4</v>
      </c>
      <c r="P1584">
        <v>1</v>
      </c>
      <c r="Q1584" t="s">
        <v>21</v>
      </c>
    </row>
    <row r="1585" spans="1:17" x14ac:dyDescent="0.55000000000000004">
      <c r="A1585">
        <v>430</v>
      </c>
      <c r="B1585" t="s">
        <v>29</v>
      </c>
      <c r="C1585">
        <v>2E-3</v>
      </c>
      <c r="D1585" t="s">
        <v>30</v>
      </c>
      <c r="E1585" t="s">
        <v>1</v>
      </c>
      <c r="F1585" t="s">
        <v>24</v>
      </c>
      <c r="H1585">
        <v>999.99900000000002</v>
      </c>
      <c r="I1585" t="s">
        <v>461</v>
      </c>
      <c r="K1585">
        <v>105538489</v>
      </c>
      <c r="L1585" s="2">
        <v>43291</v>
      </c>
      <c r="M1585">
        <v>25</v>
      </c>
      <c r="N1585">
        <v>1</v>
      </c>
      <c r="O1585">
        <v>4</v>
      </c>
      <c r="P1585">
        <v>1</v>
      </c>
      <c r="Q1585" t="s">
        <v>21</v>
      </c>
    </row>
    <row r="1586" spans="1:17" x14ac:dyDescent="0.55000000000000004">
      <c r="A1586">
        <v>430</v>
      </c>
      <c r="B1586" t="s">
        <v>113</v>
      </c>
      <c r="C1586">
        <v>1.4E-2</v>
      </c>
      <c r="D1586" t="s">
        <v>30</v>
      </c>
      <c r="E1586" t="s">
        <v>1</v>
      </c>
      <c r="F1586" t="s">
        <v>24</v>
      </c>
      <c r="H1586">
        <v>999.99900000000002</v>
      </c>
      <c r="I1586" t="s">
        <v>461</v>
      </c>
      <c r="K1586">
        <v>106419771</v>
      </c>
      <c r="L1586" s="2">
        <v>44157</v>
      </c>
      <c r="M1586">
        <v>20</v>
      </c>
      <c r="N1586">
        <v>1</v>
      </c>
      <c r="O1586">
        <v>4</v>
      </c>
      <c r="P1586">
        <v>1</v>
      </c>
      <c r="Q1586" t="s">
        <v>21</v>
      </c>
    </row>
    <row r="1587" spans="1:17" x14ac:dyDescent="0.55000000000000004">
      <c r="A1587">
        <v>430</v>
      </c>
      <c r="B1587" t="s">
        <v>147</v>
      </c>
      <c r="C1587">
        <v>8.9999999999999993E-3</v>
      </c>
      <c r="D1587" t="s">
        <v>30</v>
      </c>
      <c r="E1587" t="s">
        <v>1</v>
      </c>
      <c r="F1587" t="s">
        <v>24</v>
      </c>
      <c r="H1587">
        <v>999.99900000000002</v>
      </c>
      <c r="I1587" t="s">
        <v>461</v>
      </c>
      <c r="K1587">
        <v>106545949</v>
      </c>
      <c r="L1587" s="2">
        <v>44296</v>
      </c>
      <c r="M1587">
        <v>31</v>
      </c>
      <c r="N1587">
        <v>2</v>
      </c>
      <c r="O1587">
        <v>4</v>
      </c>
      <c r="P1587">
        <v>4</v>
      </c>
      <c r="Q1587" t="s">
        <v>21</v>
      </c>
    </row>
    <row r="1588" spans="1:17" x14ac:dyDescent="0.55000000000000004">
      <c r="A1588">
        <v>430</v>
      </c>
      <c r="B1588" t="s">
        <v>148</v>
      </c>
      <c r="C1588">
        <v>1.9E-2</v>
      </c>
      <c r="D1588" t="s">
        <v>30</v>
      </c>
      <c r="E1588" t="s">
        <v>1</v>
      </c>
      <c r="F1588" t="s">
        <v>24</v>
      </c>
      <c r="H1588">
        <v>999.99900000000002</v>
      </c>
      <c r="I1588" t="s">
        <v>461</v>
      </c>
      <c r="K1588">
        <v>105204436</v>
      </c>
      <c r="L1588" s="2">
        <v>42973</v>
      </c>
      <c r="M1588">
        <v>31</v>
      </c>
      <c r="N1588">
        <v>1</v>
      </c>
      <c r="O1588">
        <v>4</v>
      </c>
      <c r="P1588">
        <v>4</v>
      </c>
      <c r="Q1588" t="s">
        <v>21</v>
      </c>
    </row>
    <row r="1589" spans="1:17" x14ac:dyDescent="0.55000000000000004">
      <c r="A1589">
        <v>498</v>
      </c>
      <c r="B1589" t="s">
        <v>117</v>
      </c>
      <c r="C1589">
        <v>1.2E-2</v>
      </c>
      <c r="D1589" t="s">
        <v>68</v>
      </c>
      <c r="E1589" t="s">
        <v>1</v>
      </c>
      <c r="F1589" t="s">
        <v>24</v>
      </c>
      <c r="H1589">
        <v>999.99900000000002</v>
      </c>
      <c r="I1589" t="s">
        <v>461</v>
      </c>
      <c r="K1589">
        <v>104939048</v>
      </c>
      <c r="L1589" s="2">
        <v>42690</v>
      </c>
      <c r="M1589">
        <v>30</v>
      </c>
      <c r="N1589">
        <v>1</v>
      </c>
      <c r="O1589">
        <v>0</v>
      </c>
      <c r="P1589">
        <v>2</v>
      </c>
      <c r="Q1589" t="s">
        <v>21</v>
      </c>
    </row>
    <row r="1590" spans="1:17" x14ac:dyDescent="0.55000000000000004">
      <c r="A1590">
        <v>414</v>
      </c>
      <c r="B1590" t="s">
        <v>97</v>
      </c>
      <c r="C1590">
        <v>8.9999999999999993E-3</v>
      </c>
      <c r="D1590" t="s">
        <v>18</v>
      </c>
      <c r="E1590" t="s">
        <v>1</v>
      </c>
      <c r="F1590" t="s">
        <v>24</v>
      </c>
      <c r="H1590">
        <v>999.99900000000002</v>
      </c>
      <c r="I1590" t="s">
        <v>461</v>
      </c>
      <c r="K1590">
        <v>106096206</v>
      </c>
      <c r="L1590" s="2">
        <v>43812</v>
      </c>
      <c r="M1590">
        <v>31</v>
      </c>
      <c r="N1590">
        <v>2</v>
      </c>
      <c r="O1590">
        <v>4</v>
      </c>
      <c r="P1590">
        <v>2</v>
      </c>
      <c r="Q1590" t="s">
        <v>21</v>
      </c>
    </row>
    <row r="1591" spans="1:17" x14ac:dyDescent="0.55000000000000004">
      <c r="A1591">
        <v>0</v>
      </c>
      <c r="B1591" t="s">
        <v>33</v>
      </c>
      <c r="C1591">
        <v>1.0999999999999999E-2</v>
      </c>
      <c r="D1591" t="s">
        <v>23</v>
      </c>
      <c r="E1591" t="s">
        <v>1</v>
      </c>
      <c r="F1591" t="s">
        <v>24</v>
      </c>
      <c r="H1591">
        <v>999.99900000000002</v>
      </c>
      <c r="I1591" t="s">
        <v>461</v>
      </c>
      <c r="K1591">
        <v>106126694</v>
      </c>
      <c r="L1591" s="2">
        <v>43839</v>
      </c>
      <c r="M1591">
        <v>20</v>
      </c>
      <c r="N1591">
        <v>1</v>
      </c>
      <c r="O1591">
        <v>5</v>
      </c>
      <c r="P1591">
        <v>5</v>
      </c>
      <c r="Q1591" t="s">
        <v>21</v>
      </c>
    </row>
    <row r="1592" spans="1:17" x14ac:dyDescent="0.55000000000000004">
      <c r="A1592">
        <v>0</v>
      </c>
      <c r="B1592" t="s">
        <v>111</v>
      </c>
      <c r="C1592">
        <v>5.0000000000000001E-3</v>
      </c>
      <c r="D1592" t="s">
        <v>23</v>
      </c>
      <c r="E1592" t="s">
        <v>1</v>
      </c>
      <c r="F1592" t="s">
        <v>24</v>
      </c>
      <c r="H1592">
        <v>999.99900000000002</v>
      </c>
      <c r="I1592" t="s">
        <v>461</v>
      </c>
      <c r="K1592">
        <v>105234447</v>
      </c>
      <c r="L1592" s="2">
        <v>43004</v>
      </c>
      <c r="M1592">
        <v>20</v>
      </c>
      <c r="N1592">
        <v>1</v>
      </c>
      <c r="O1592">
        <v>4</v>
      </c>
      <c r="P1592">
        <v>1</v>
      </c>
    </row>
    <row r="1593" spans="1:17" x14ac:dyDescent="0.55000000000000004">
      <c r="A1593">
        <v>0</v>
      </c>
      <c r="B1593" t="s">
        <v>111</v>
      </c>
      <c r="C1593">
        <v>8.9999999999999993E-3</v>
      </c>
      <c r="D1593" t="s">
        <v>23</v>
      </c>
      <c r="E1593" t="s">
        <v>1</v>
      </c>
      <c r="F1593" t="s">
        <v>24</v>
      </c>
      <c r="H1593">
        <v>999.99900000000002</v>
      </c>
      <c r="I1593" t="s">
        <v>461</v>
      </c>
      <c r="K1593">
        <v>105369145</v>
      </c>
      <c r="L1593" s="2">
        <v>43132</v>
      </c>
      <c r="M1593">
        <v>31</v>
      </c>
      <c r="N1593">
        <v>1</v>
      </c>
      <c r="O1593">
        <v>4</v>
      </c>
      <c r="P1593">
        <v>1</v>
      </c>
      <c r="Q1593" t="s">
        <v>21</v>
      </c>
    </row>
    <row r="1594" spans="1:17" x14ac:dyDescent="0.55000000000000004">
      <c r="A1594">
        <v>0</v>
      </c>
      <c r="B1594" t="s">
        <v>121</v>
      </c>
      <c r="C1594">
        <v>1.9E-2</v>
      </c>
      <c r="D1594" t="s">
        <v>23</v>
      </c>
      <c r="E1594" t="s">
        <v>1</v>
      </c>
      <c r="F1594" t="s">
        <v>24</v>
      </c>
      <c r="H1594">
        <v>999.99900000000002</v>
      </c>
      <c r="I1594" t="s">
        <v>461</v>
      </c>
      <c r="K1594">
        <v>105293890</v>
      </c>
      <c r="L1594" s="2">
        <v>43058</v>
      </c>
      <c r="M1594">
        <v>20</v>
      </c>
      <c r="N1594">
        <v>1</v>
      </c>
      <c r="O1594">
        <v>4</v>
      </c>
      <c r="P1594">
        <v>1</v>
      </c>
      <c r="Q1594" t="s">
        <v>21</v>
      </c>
    </row>
    <row r="1595" spans="1:17" x14ac:dyDescent="0.55000000000000004">
      <c r="A1595">
        <v>430</v>
      </c>
      <c r="B1595" t="s">
        <v>114</v>
      </c>
      <c r="C1595">
        <v>1E-3</v>
      </c>
      <c r="D1595" t="s">
        <v>23</v>
      </c>
      <c r="E1595" t="s">
        <v>1</v>
      </c>
      <c r="F1595" t="s">
        <v>24</v>
      </c>
      <c r="H1595">
        <v>999.99900000000002</v>
      </c>
      <c r="I1595" t="s">
        <v>461</v>
      </c>
      <c r="K1595">
        <v>106069912</v>
      </c>
      <c r="L1595" s="2">
        <v>43785</v>
      </c>
      <c r="M1595">
        <v>31</v>
      </c>
      <c r="N1595">
        <v>1</v>
      </c>
      <c r="O1595">
        <v>4</v>
      </c>
      <c r="P1595">
        <v>1</v>
      </c>
      <c r="Q1595" t="s">
        <v>21</v>
      </c>
    </row>
    <row r="1596" spans="1:17" x14ac:dyDescent="0.55000000000000004">
      <c r="A1596">
        <v>430</v>
      </c>
      <c r="B1596" t="s">
        <v>115</v>
      </c>
      <c r="C1596">
        <v>8.9999999999999993E-3</v>
      </c>
      <c r="D1596" t="s">
        <v>23</v>
      </c>
      <c r="E1596" t="s">
        <v>1</v>
      </c>
      <c r="F1596" t="s">
        <v>24</v>
      </c>
      <c r="H1596">
        <v>999.99900000000002</v>
      </c>
      <c r="I1596" t="s">
        <v>461</v>
      </c>
      <c r="K1596">
        <v>105391973</v>
      </c>
      <c r="L1596" s="2">
        <v>43155</v>
      </c>
      <c r="M1596">
        <v>20</v>
      </c>
      <c r="N1596">
        <v>1</v>
      </c>
      <c r="O1596">
        <v>4</v>
      </c>
      <c r="P1596">
        <v>1</v>
      </c>
    </row>
    <row r="1597" spans="1:17" x14ac:dyDescent="0.55000000000000004">
      <c r="A1597">
        <v>430</v>
      </c>
      <c r="B1597" t="s">
        <v>115</v>
      </c>
      <c r="C1597">
        <v>1.4E-2</v>
      </c>
      <c r="D1597" t="s">
        <v>23</v>
      </c>
      <c r="E1597" t="s">
        <v>1</v>
      </c>
      <c r="F1597" t="s">
        <v>24</v>
      </c>
      <c r="H1597">
        <v>999.99900000000002</v>
      </c>
      <c r="I1597" t="s">
        <v>461</v>
      </c>
      <c r="K1597">
        <v>105663105</v>
      </c>
      <c r="L1597" s="2">
        <v>43409</v>
      </c>
      <c r="M1597">
        <v>19</v>
      </c>
      <c r="N1597">
        <v>1</v>
      </c>
      <c r="O1597">
        <v>4</v>
      </c>
      <c r="P1597">
        <v>1</v>
      </c>
      <c r="Q1597" t="s">
        <v>21</v>
      </c>
    </row>
    <row r="1598" spans="1:17" x14ac:dyDescent="0.55000000000000004">
      <c r="A1598">
        <v>430</v>
      </c>
      <c r="B1598" t="s">
        <v>116</v>
      </c>
      <c r="C1598">
        <v>5.0000000000000001E-3</v>
      </c>
      <c r="D1598" t="s">
        <v>23</v>
      </c>
      <c r="E1598" t="s">
        <v>1</v>
      </c>
      <c r="F1598" t="s">
        <v>24</v>
      </c>
      <c r="H1598">
        <v>999.99900000000002</v>
      </c>
      <c r="I1598" t="s">
        <v>461</v>
      </c>
      <c r="K1598">
        <v>106143555</v>
      </c>
      <c r="L1598" s="2">
        <v>43862</v>
      </c>
      <c r="M1598">
        <v>20</v>
      </c>
      <c r="N1598">
        <v>1</v>
      </c>
      <c r="O1598">
        <v>4</v>
      </c>
      <c r="P1598">
        <v>1</v>
      </c>
      <c r="Q1598" t="s">
        <v>21</v>
      </c>
    </row>
    <row r="1599" spans="1:17" x14ac:dyDescent="0.55000000000000004">
      <c r="A1599">
        <v>430</v>
      </c>
      <c r="B1599" t="s">
        <v>126</v>
      </c>
      <c r="C1599">
        <v>6.0000000000000001E-3</v>
      </c>
      <c r="D1599" t="s">
        <v>23</v>
      </c>
      <c r="E1599" t="s">
        <v>1</v>
      </c>
      <c r="F1599" t="s">
        <v>24</v>
      </c>
      <c r="H1599">
        <v>999.99900000000002</v>
      </c>
      <c r="I1599" t="s">
        <v>461</v>
      </c>
      <c r="K1599">
        <v>105308295</v>
      </c>
      <c r="L1599" s="2">
        <v>43067</v>
      </c>
      <c r="M1599">
        <v>20</v>
      </c>
      <c r="N1599">
        <v>1</v>
      </c>
      <c r="O1599">
        <v>4</v>
      </c>
      <c r="P1599">
        <v>1</v>
      </c>
      <c r="Q1599" t="s">
        <v>21</v>
      </c>
    </row>
    <row r="1600" spans="1:17" x14ac:dyDescent="0.55000000000000004">
      <c r="A1600">
        <v>430</v>
      </c>
      <c r="B1600" t="s">
        <v>131</v>
      </c>
      <c r="C1600">
        <v>1.9E-2</v>
      </c>
      <c r="D1600" t="s">
        <v>23</v>
      </c>
      <c r="E1600" t="s">
        <v>1</v>
      </c>
      <c r="F1600" t="s">
        <v>24</v>
      </c>
      <c r="H1600">
        <v>999.99900000000002</v>
      </c>
      <c r="I1600" t="s">
        <v>461</v>
      </c>
      <c r="K1600">
        <v>106571664</v>
      </c>
      <c r="L1600" s="2">
        <v>44324</v>
      </c>
      <c r="M1600">
        <v>31</v>
      </c>
      <c r="N1600">
        <v>1</v>
      </c>
      <c r="O1600">
        <v>4</v>
      </c>
      <c r="P1600">
        <v>1</v>
      </c>
      <c r="Q1600" t="s">
        <v>21</v>
      </c>
    </row>
    <row r="1601" spans="1:17" x14ac:dyDescent="0.55000000000000004">
      <c r="A1601">
        <v>430</v>
      </c>
      <c r="B1601" t="s">
        <v>132</v>
      </c>
      <c r="C1601">
        <v>6.0000000000000001E-3</v>
      </c>
      <c r="D1601" t="s">
        <v>23</v>
      </c>
      <c r="E1601" t="s">
        <v>1</v>
      </c>
      <c r="F1601" t="s">
        <v>24</v>
      </c>
      <c r="H1601">
        <v>999.99900000000002</v>
      </c>
      <c r="I1601" t="s">
        <v>461</v>
      </c>
      <c r="K1601">
        <v>105838653</v>
      </c>
      <c r="L1601" s="2">
        <v>43573</v>
      </c>
      <c r="M1601">
        <v>31</v>
      </c>
      <c r="N1601">
        <v>1</v>
      </c>
      <c r="O1601">
        <v>4</v>
      </c>
      <c r="P1601">
        <v>5</v>
      </c>
      <c r="Q1601" t="s">
        <v>21</v>
      </c>
    </row>
    <row r="1602" spans="1:17" x14ac:dyDescent="0.55000000000000004">
      <c r="A1602">
        <v>430</v>
      </c>
      <c r="B1602" t="s">
        <v>132</v>
      </c>
      <c r="C1602">
        <v>8.9999999999999993E-3</v>
      </c>
      <c r="D1602" t="s">
        <v>23</v>
      </c>
      <c r="E1602" t="s">
        <v>1</v>
      </c>
      <c r="F1602" t="s">
        <v>24</v>
      </c>
      <c r="H1602">
        <v>999.99900000000002</v>
      </c>
      <c r="I1602" t="s">
        <v>461</v>
      </c>
      <c r="K1602">
        <v>104924700</v>
      </c>
      <c r="L1602" s="2">
        <v>42691</v>
      </c>
      <c r="M1602">
        <v>31</v>
      </c>
      <c r="N1602">
        <v>1</v>
      </c>
      <c r="O1602">
        <v>0</v>
      </c>
      <c r="P1602">
        <v>1</v>
      </c>
      <c r="Q1602" t="s">
        <v>21</v>
      </c>
    </row>
    <row r="1603" spans="1:17" x14ac:dyDescent="0.55000000000000004">
      <c r="A1603">
        <v>498</v>
      </c>
      <c r="B1603" t="s">
        <v>96</v>
      </c>
      <c r="C1603">
        <v>2E-3</v>
      </c>
      <c r="D1603" t="s">
        <v>30</v>
      </c>
      <c r="E1603" t="s">
        <v>1</v>
      </c>
      <c r="F1603" t="s">
        <v>65</v>
      </c>
      <c r="H1603">
        <v>999.99900000000002</v>
      </c>
      <c r="I1603" t="s">
        <v>461</v>
      </c>
      <c r="K1603">
        <v>105493383</v>
      </c>
      <c r="L1603" s="2">
        <v>43244</v>
      </c>
      <c r="M1603">
        <v>28</v>
      </c>
      <c r="N1603">
        <v>1</v>
      </c>
      <c r="O1603">
        <v>8</v>
      </c>
      <c r="P1603">
        <v>1</v>
      </c>
      <c r="Q1603" t="s">
        <v>21</v>
      </c>
    </row>
    <row r="1604" spans="1:17" x14ac:dyDescent="0.55000000000000004">
      <c r="A1604">
        <v>430</v>
      </c>
      <c r="B1604" t="s">
        <v>112</v>
      </c>
      <c r="C1604">
        <v>1.4E-2</v>
      </c>
      <c r="D1604" t="s">
        <v>30</v>
      </c>
      <c r="E1604" t="s">
        <v>1</v>
      </c>
      <c r="F1604" t="s">
        <v>75</v>
      </c>
      <c r="H1604">
        <v>999.99900000000002</v>
      </c>
      <c r="I1604" t="s">
        <v>461</v>
      </c>
      <c r="K1604">
        <v>106137202</v>
      </c>
      <c r="L1604" s="2">
        <v>43856</v>
      </c>
      <c r="M1604">
        <v>31</v>
      </c>
      <c r="N1604">
        <v>1</v>
      </c>
      <c r="O1604">
        <v>4</v>
      </c>
      <c r="P1604">
        <v>1</v>
      </c>
      <c r="Q1604" t="s">
        <v>21</v>
      </c>
    </row>
    <row r="1605" spans="1:17" x14ac:dyDescent="0.55000000000000004">
      <c r="A1605">
        <v>498</v>
      </c>
      <c r="B1605" t="s">
        <v>96</v>
      </c>
      <c r="C1605">
        <v>6.0000000000000001E-3</v>
      </c>
      <c r="D1605" t="s">
        <v>30</v>
      </c>
      <c r="E1605" t="s">
        <v>1</v>
      </c>
      <c r="F1605" t="s">
        <v>75</v>
      </c>
      <c r="H1605">
        <v>999.99900000000002</v>
      </c>
      <c r="I1605" t="s">
        <v>461</v>
      </c>
      <c r="K1605">
        <v>105493390</v>
      </c>
      <c r="L1605" s="2">
        <v>43243</v>
      </c>
      <c r="M1605">
        <v>31</v>
      </c>
      <c r="N1605">
        <v>1</v>
      </c>
      <c r="O1605">
        <v>8</v>
      </c>
      <c r="P1605">
        <v>1</v>
      </c>
      <c r="Q1605" t="s">
        <v>21</v>
      </c>
    </row>
    <row r="1606" spans="1:17" x14ac:dyDescent="0.55000000000000004">
      <c r="A1606">
        <v>0</v>
      </c>
      <c r="B1606" t="s">
        <v>111</v>
      </c>
      <c r="C1606">
        <v>6.0000000000000001E-3</v>
      </c>
      <c r="D1606" t="s">
        <v>23</v>
      </c>
      <c r="E1606" t="s">
        <v>1</v>
      </c>
      <c r="F1606" t="s">
        <v>75</v>
      </c>
      <c r="H1606">
        <v>999.99900000000002</v>
      </c>
      <c r="I1606" t="s">
        <v>461</v>
      </c>
      <c r="K1606">
        <v>105927904</v>
      </c>
      <c r="L1606" s="2">
        <v>43662</v>
      </c>
      <c r="M1606">
        <v>31</v>
      </c>
      <c r="N1606">
        <v>1</v>
      </c>
      <c r="O1606">
        <v>4</v>
      </c>
      <c r="P1606">
        <v>1</v>
      </c>
      <c r="Q1606" t="s">
        <v>15</v>
      </c>
    </row>
    <row r="1607" spans="1:17" x14ac:dyDescent="0.55000000000000004">
      <c r="A1607">
        <v>0</v>
      </c>
      <c r="B1607" t="s">
        <v>134</v>
      </c>
      <c r="C1607">
        <v>0</v>
      </c>
      <c r="E1607" t="s">
        <v>1</v>
      </c>
      <c r="F1607" t="s">
        <v>135</v>
      </c>
      <c r="H1607">
        <v>999.99900000000002</v>
      </c>
      <c r="I1607" t="s">
        <v>461</v>
      </c>
      <c r="K1607">
        <v>106084407</v>
      </c>
      <c r="L1607" s="2">
        <v>43801</v>
      </c>
      <c r="M1607">
        <v>20</v>
      </c>
      <c r="N1607">
        <v>1</v>
      </c>
      <c r="O1607">
        <v>4</v>
      </c>
      <c r="P1607">
        <v>1</v>
      </c>
      <c r="Q1607" t="s">
        <v>21</v>
      </c>
    </row>
    <row r="1608" spans="1:17" x14ac:dyDescent="0.55000000000000004">
      <c r="A1608">
        <v>0</v>
      </c>
      <c r="B1608" t="s">
        <v>143</v>
      </c>
      <c r="C1608">
        <v>4.0000000000000001E-3</v>
      </c>
      <c r="D1608" t="s">
        <v>23</v>
      </c>
      <c r="E1608" t="s">
        <v>1</v>
      </c>
      <c r="F1608" t="s">
        <v>144</v>
      </c>
      <c r="H1608">
        <v>999.99900000000002</v>
      </c>
      <c r="I1608" t="s">
        <v>461</v>
      </c>
      <c r="K1608">
        <v>106251529</v>
      </c>
      <c r="L1608" s="2">
        <v>43994</v>
      </c>
      <c r="M1608">
        <v>31</v>
      </c>
      <c r="N1608">
        <v>1</v>
      </c>
      <c r="O1608">
        <v>0</v>
      </c>
      <c r="P1608">
        <v>1</v>
      </c>
      <c r="Q1608" t="s">
        <v>15</v>
      </c>
    </row>
    <row r="1609" spans="1:17" x14ac:dyDescent="0.55000000000000004">
      <c r="A1609">
        <v>0</v>
      </c>
      <c r="B1609" t="s">
        <v>145</v>
      </c>
      <c r="C1609">
        <v>2E-3</v>
      </c>
      <c r="D1609" t="s">
        <v>23</v>
      </c>
      <c r="E1609" t="s">
        <v>1</v>
      </c>
      <c r="F1609" t="s">
        <v>144</v>
      </c>
      <c r="H1609">
        <v>999.99900000000002</v>
      </c>
      <c r="I1609" t="s">
        <v>461</v>
      </c>
      <c r="K1609">
        <v>105591585</v>
      </c>
      <c r="L1609" s="2">
        <v>43343</v>
      </c>
      <c r="M1609">
        <v>31</v>
      </c>
      <c r="N1609">
        <v>1</v>
      </c>
      <c r="O1609">
        <v>4</v>
      </c>
      <c r="P1609">
        <v>1</v>
      </c>
      <c r="Q1609" t="s">
        <v>21</v>
      </c>
    </row>
    <row r="1610" spans="1:17" x14ac:dyDescent="0.55000000000000004">
      <c r="A1610">
        <v>0</v>
      </c>
      <c r="B1610" t="s">
        <v>106</v>
      </c>
      <c r="C1610">
        <v>0</v>
      </c>
      <c r="E1610" t="s">
        <v>1</v>
      </c>
      <c r="F1610" t="s">
        <v>107</v>
      </c>
      <c r="H1610">
        <v>999.99900000000002</v>
      </c>
      <c r="I1610" t="s">
        <v>461</v>
      </c>
      <c r="K1610">
        <v>106467749</v>
      </c>
      <c r="L1610" s="2">
        <v>44215</v>
      </c>
      <c r="M1610">
        <v>19</v>
      </c>
      <c r="N1610">
        <v>1</v>
      </c>
      <c r="O1610">
        <v>0</v>
      </c>
      <c r="P1610">
        <v>1</v>
      </c>
      <c r="Q1610" t="s">
        <v>21</v>
      </c>
    </row>
    <row r="1611" spans="1:17" x14ac:dyDescent="0.55000000000000004">
      <c r="A1611">
        <v>498</v>
      </c>
      <c r="B1611" t="s">
        <v>72</v>
      </c>
      <c r="C1611">
        <v>0</v>
      </c>
      <c r="E1611" t="s">
        <v>4</v>
      </c>
      <c r="F1611" t="s">
        <v>82</v>
      </c>
      <c r="H1611">
        <v>999.99900000000002</v>
      </c>
      <c r="I1611" t="s">
        <v>461</v>
      </c>
      <c r="K1611">
        <v>106165445</v>
      </c>
      <c r="L1611" s="2">
        <v>43837</v>
      </c>
      <c r="M1611">
        <v>31</v>
      </c>
      <c r="N1611">
        <v>1</v>
      </c>
      <c r="O1611">
        <v>0</v>
      </c>
      <c r="P1611">
        <v>4</v>
      </c>
      <c r="Q1611" t="s">
        <v>21</v>
      </c>
    </row>
    <row r="1612" spans="1:17" x14ac:dyDescent="0.55000000000000004">
      <c r="A1612">
        <v>498</v>
      </c>
      <c r="B1612" t="s">
        <v>90</v>
      </c>
      <c r="C1612">
        <v>0</v>
      </c>
      <c r="E1612" t="s">
        <v>4</v>
      </c>
      <c r="F1612" t="s">
        <v>91</v>
      </c>
      <c r="H1612">
        <v>999.99900000000002</v>
      </c>
      <c r="I1612" t="s">
        <v>461</v>
      </c>
      <c r="K1612">
        <v>106515671</v>
      </c>
      <c r="L1612" s="2">
        <v>44225</v>
      </c>
      <c r="M1612">
        <v>28</v>
      </c>
      <c r="N1612">
        <v>1</v>
      </c>
      <c r="O1612">
        <v>0</v>
      </c>
      <c r="P1612">
        <v>1</v>
      </c>
    </row>
    <row r="1613" spans="1:17" x14ac:dyDescent="0.55000000000000004">
      <c r="A1613">
        <v>498</v>
      </c>
      <c r="B1613" t="s">
        <v>34</v>
      </c>
      <c r="C1613">
        <v>2E-3</v>
      </c>
      <c r="D1613" t="s">
        <v>23</v>
      </c>
      <c r="E1613" t="s">
        <v>4</v>
      </c>
      <c r="F1613" t="s">
        <v>35</v>
      </c>
      <c r="H1613">
        <v>999.99900000000002</v>
      </c>
      <c r="I1613" t="s">
        <v>461</v>
      </c>
      <c r="K1613">
        <v>106025889</v>
      </c>
      <c r="L1613" s="2">
        <v>43736</v>
      </c>
      <c r="M1613">
        <v>23</v>
      </c>
      <c r="N1613">
        <v>1</v>
      </c>
      <c r="O1613">
        <v>0</v>
      </c>
      <c r="P1613">
        <v>1</v>
      </c>
      <c r="Q1613" t="s">
        <v>15</v>
      </c>
    </row>
    <row r="1614" spans="1:17" x14ac:dyDescent="0.55000000000000004">
      <c r="A1614">
        <v>498</v>
      </c>
      <c r="B1614" t="s">
        <v>19</v>
      </c>
      <c r="C1614">
        <v>0</v>
      </c>
      <c r="E1614" t="s">
        <v>4</v>
      </c>
      <c r="F1614" t="s">
        <v>20</v>
      </c>
      <c r="H1614">
        <v>999.99900000000002</v>
      </c>
      <c r="I1614" t="s">
        <v>461</v>
      </c>
      <c r="K1614">
        <v>105962417</v>
      </c>
      <c r="L1614" s="2">
        <v>43689</v>
      </c>
      <c r="M1614">
        <v>1</v>
      </c>
      <c r="N1614">
        <v>1</v>
      </c>
      <c r="O1614">
        <v>0</v>
      </c>
      <c r="P1614">
        <v>1</v>
      </c>
      <c r="Q1614" t="s">
        <v>21</v>
      </c>
    </row>
    <row r="1615" spans="1:17" x14ac:dyDescent="0.55000000000000004">
      <c r="A1615">
        <v>498</v>
      </c>
      <c r="B1615" t="s">
        <v>92</v>
      </c>
      <c r="C1615">
        <v>8.9999999999999993E-3</v>
      </c>
      <c r="D1615" t="s">
        <v>30</v>
      </c>
      <c r="E1615" t="s">
        <v>4</v>
      </c>
      <c r="F1615" t="s">
        <v>94</v>
      </c>
      <c r="H1615">
        <v>999.99900000000002</v>
      </c>
      <c r="I1615" t="s">
        <v>461</v>
      </c>
      <c r="K1615">
        <v>105481794</v>
      </c>
      <c r="L1615" s="2">
        <v>43230</v>
      </c>
      <c r="M1615">
        <v>30</v>
      </c>
      <c r="N1615">
        <v>1</v>
      </c>
      <c r="O1615">
        <v>0</v>
      </c>
      <c r="P1615">
        <v>1</v>
      </c>
      <c r="Q1615" t="s">
        <v>21</v>
      </c>
    </row>
    <row r="1616" spans="1:17" x14ac:dyDescent="0.55000000000000004">
      <c r="A1616">
        <v>498</v>
      </c>
      <c r="B1616" t="s">
        <v>92</v>
      </c>
      <c r="C1616">
        <v>1.9E-2</v>
      </c>
      <c r="D1616" t="s">
        <v>30</v>
      </c>
      <c r="E1616" t="s">
        <v>4</v>
      </c>
      <c r="F1616" t="s">
        <v>94</v>
      </c>
      <c r="H1616">
        <v>999.99900000000002</v>
      </c>
      <c r="I1616" t="s">
        <v>461</v>
      </c>
      <c r="K1616">
        <v>105159677</v>
      </c>
      <c r="L1616" s="2">
        <v>42916</v>
      </c>
      <c r="M1616">
        <v>30</v>
      </c>
      <c r="N1616">
        <v>1</v>
      </c>
      <c r="O1616">
        <v>0</v>
      </c>
      <c r="P1616">
        <v>1</v>
      </c>
      <c r="Q1616" t="s">
        <v>21</v>
      </c>
    </row>
    <row r="1617" spans="1:17" x14ac:dyDescent="0.55000000000000004">
      <c r="A1617">
        <v>498</v>
      </c>
      <c r="B1617" t="s">
        <v>92</v>
      </c>
      <c r="C1617">
        <v>0</v>
      </c>
      <c r="E1617" t="s">
        <v>4</v>
      </c>
      <c r="F1617" t="s">
        <v>93</v>
      </c>
      <c r="H1617">
        <v>999.99900000000002</v>
      </c>
      <c r="I1617" t="s">
        <v>461</v>
      </c>
      <c r="K1617">
        <v>105510136</v>
      </c>
      <c r="L1617" s="2">
        <v>43252</v>
      </c>
      <c r="M1617">
        <v>31</v>
      </c>
      <c r="N1617">
        <v>1</v>
      </c>
      <c r="O1617">
        <v>0</v>
      </c>
      <c r="P1617">
        <v>1</v>
      </c>
      <c r="Q1617" t="s">
        <v>21</v>
      </c>
    </row>
    <row r="1618" spans="1:17" x14ac:dyDescent="0.55000000000000004">
      <c r="A1618">
        <v>498</v>
      </c>
      <c r="B1618" t="s">
        <v>92</v>
      </c>
      <c r="C1618">
        <v>2E-3</v>
      </c>
      <c r="D1618" t="s">
        <v>30</v>
      </c>
      <c r="E1618" t="s">
        <v>4</v>
      </c>
      <c r="F1618" t="s">
        <v>24</v>
      </c>
      <c r="H1618">
        <v>999.99900000000002</v>
      </c>
      <c r="I1618" t="s">
        <v>461</v>
      </c>
      <c r="K1618">
        <v>105657324</v>
      </c>
      <c r="L1618" s="2">
        <v>43396</v>
      </c>
      <c r="M1618">
        <v>31</v>
      </c>
      <c r="N1618">
        <v>1</v>
      </c>
      <c r="O1618">
        <v>4</v>
      </c>
      <c r="P1618">
        <v>1</v>
      </c>
      <c r="Q1618" t="s">
        <v>21</v>
      </c>
    </row>
    <row r="1619" spans="1:17" x14ac:dyDescent="0.55000000000000004">
      <c r="A1619">
        <v>498</v>
      </c>
      <c r="B1619" t="s">
        <v>95</v>
      </c>
      <c r="C1619">
        <v>1.9E-2</v>
      </c>
      <c r="D1619" t="s">
        <v>30</v>
      </c>
      <c r="E1619" t="s">
        <v>4</v>
      </c>
      <c r="F1619" t="s">
        <v>24</v>
      </c>
      <c r="H1619">
        <v>999.99900000000002</v>
      </c>
      <c r="I1619" t="s">
        <v>461</v>
      </c>
      <c r="K1619">
        <v>105062292</v>
      </c>
      <c r="L1619" s="2">
        <v>42826</v>
      </c>
      <c r="M1619">
        <v>32</v>
      </c>
      <c r="N1619">
        <v>1</v>
      </c>
      <c r="O1619">
        <v>0</v>
      </c>
      <c r="P1619">
        <v>4</v>
      </c>
      <c r="Q1619" t="s">
        <v>21</v>
      </c>
    </row>
    <row r="1620" spans="1:17" x14ac:dyDescent="0.55000000000000004">
      <c r="A1620">
        <v>498</v>
      </c>
      <c r="B1620" t="s">
        <v>72</v>
      </c>
      <c r="C1620">
        <v>8.9999999999999993E-3</v>
      </c>
      <c r="D1620" t="s">
        <v>23</v>
      </c>
      <c r="E1620" t="s">
        <v>4</v>
      </c>
      <c r="F1620" t="s">
        <v>24</v>
      </c>
      <c r="H1620">
        <v>999.99900000000002</v>
      </c>
      <c r="I1620" t="s">
        <v>461</v>
      </c>
      <c r="K1620">
        <v>105861381</v>
      </c>
      <c r="L1620" s="2">
        <v>43579</v>
      </c>
      <c r="M1620">
        <v>31</v>
      </c>
      <c r="N1620">
        <v>1</v>
      </c>
      <c r="O1620">
        <v>0</v>
      </c>
      <c r="P1620">
        <v>1</v>
      </c>
      <c r="Q1620" t="s">
        <v>15</v>
      </c>
    </row>
    <row r="1621" spans="1:17" x14ac:dyDescent="0.55000000000000004">
      <c r="A1621">
        <v>498</v>
      </c>
      <c r="B1621" t="s">
        <v>72</v>
      </c>
      <c r="C1621">
        <v>8.9999999999999993E-3</v>
      </c>
      <c r="D1621" t="s">
        <v>23</v>
      </c>
      <c r="E1621" t="s">
        <v>4</v>
      </c>
      <c r="F1621" t="s">
        <v>24</v>
      </c>
      <c r="H1621">
        <v>999.99900000000002</v>
      </c>
      <c r="I1621" t="s">
        <v>461</v>
      </c>
      <c r="K1621">
        <v>105079743</v>
      </c>
      <c r="L1621" s="2">
        <v>42845</v>
      </c>
      <c r="M1621">
        <v>30</v>
      </c>
      <c r="N1621">
        <v>1</v>
      </c>
      <c r="O1621">
        <v>0</v>
      </c>
      <c r="P1621">
        <v>1</v>
      </c>
      <c r="Q1621" t="s">
        <v>21</v>
      </c>
    </row>
    <row r="1622" spans="1:17" x14ac:dyDescent="0.55000000000000004">
      <c r="A1622">
        <v>498</v>
      </c>
      <c r="B1622" t="s">
        <v>88</v>
      </c>
      <c r="C1622">
        <v>0</v>
      </c>
      <c r="E1622" t="s">
        <v>4</v>
      </c>
      <c r="F1622" t="s">
        <v>70</v>
      </c>
      <c r="H1622">
        <v>999.99900000000002</v>
      </c>
      <c r="I1622" t="s">
        <v>461</v>
      </c>
      <c r="K1622">
        <v>105488082</v>
      </c>
      <c r="L1622" s="2">
        <v>43237</v>
      </c>
      <c r="M1622">
        <v>19</v>
      </c>
      <c r="N1622">
        <v>1</v>
      </c>
      <c r="O1622">
        <v>0</v>
      </c>
      <c r="P1622">
        <v>1</v>
      </c>
      <c r="Q1622" t="s">
        <v>21</v>
      </c>
    </row>
    <row r="1623" spans="1:17" x14ac:dyDescent="0.55000000000000004">
      <c r="A1623">
        <v>498</v>
      </c>
      <c r="B1623" t="s">
        <v>110</v>
      </c>
      <c r="C1623">
        <v>7.0000000000000001E-3</v>
      </c>
      <c r="D1623" t="s">
        <v>30</v>
      </c>
      <c r="E1623" t="s">
        <v>4</v>
      </c>
      <c r="F1623" t="s">
        <v>28</v>
      </c>
      <c r="H1623">
        <v>999.99900000000002</v>
      </c>
      <c r="I1623" t="s">
        <v>461</v>
      </c>
      <c r="K1623">
        <v>105435202</v>
      </c>
      <c r="L1623" s="2">
        <v>43167</v>
      </c>
      <c r="M1623">
        <v>31</v>
      </c>
      <c r="N1623">
        <v>1</v>
      </c>
      <c r="O1623">
        <v>0</v>
      </c>
      <c r="P1623">
        <v>4</v>
      </c>
      <c r="Q1623" t="s">
        <v>21</v>
      </c>
    </row>
    <row r="1624" spans="1:17" x14ac:dyDescent="0.55000000000000004">
      <c r="A1624">
        <v>498</v>
      </c>
      <c r="B1624" t="s">
        <v>98</v>
      </c>
      <c r="C1624">
        <v>1.9E-2</v>
      </c>
      <c r="D1624" t="s">
        <v>18</v>
      </c>
      <c r="E1624" t="s">
        <v>4</v>
      </c>
      <c r="F1624" t="s">
        <v>99</v>
      </c>
      <c r="H1624">
        <v>999.99900000000002</v>
      </c>
      <c r="I1624" t="s">
        <v>461</v>
      </c>
      <c r="K1624">
        <v>105573864</v>
      </c>
      <c r="L1624" s="2">
        <v>43312</v>
      </c>
      <c r="M1624">
        <v>30</v>
      </c>
      <c r="N1624">
        <v>1</v>
      </c>
      <c r="O1624">
        <v>0</v>
      </c>
      <c r="P1624">
        <v>1</v>
      </c>
      <c r="Q1624" t="s">
        <v>21</v>
      </c>
    </row>
    <row r="1625" spans="1:17" x14ac:dyDescent="0.55000000000000004">
      <c r="A1625">
        <v>498</v>
      </c>
      <c r="B1625" t="s">
        <v>78</v>
      </c>
      <c r="C1625">
        <v>6.0000000000000001E-3</v>
      </c>
      <c r="D1625" t="s">
        <v>30</v>
      </c>
      <c r="E1625" t="s">
        <v>4</v>
      </c>
      <c r="F1625" t="s">
        <v>77</v>
      </c>
      <c r="H1625">
        <v>999.99900000000002</v>
      </c>
      <c r="I1625" t="s">
        <v>461</v>
      </c>
      <c r="K1625">
        <v>106375139</v>
      </c>
      <c r="L1625" s="2">
        <v>44103</v>
      </c>
      <c r="M1625">
        <v>32</v>
      </c>
      <c r="N1625">
        <v>2</v>
      </c>
      <c r="O1625">
        <v>0</v>
      </c>
      <c r="P1625">
        <v>1</v>
      </c>
      <c r="Q1625" t="s">
        <v>21</v>
      </c>
    </row>
    <row r="1626" spans="1:17" x14ac:dyDescent="0.55000000000000004">
      <c r="A1626">
        <v>498</v>
      </c>
      <c r="B1626" t="s">
        <v>76</v>
      </c>
      <c r="C1626">
        <v>1.9E-2</v>
      </c>
      <c r="D1626" t="s">
        <v>23</v>
      </c>
      <c r="E1626" t="s">
        <v>4</v>
      </c>
      <c r="F1626" t="s">
        <v>77</v>
      </c>
      <c r="H1626">
        <v>999.99900000000002</v>
      </c>
      <c r="I1626" t="s">
        <v>461</v>
      </c>
      <c r="K1626">
        <v>105510165</v>
      </c>
      <c r="L1626" s="2">
        <v>43258</v>
      </c>
      <c r="M1626">
        <v>30</v>
      </c>
      <c r="N1626">
        <v>1</v>
      </c>
      <c r="O1626">
        <v>0</v>
      </c>
      <c r="P1626">
        <v>1</v>
      </c>
      <c r="Q1626" t="s">
        <v>21</v>
      </c>
    </row>
    <row r="1627" spans="1:17" x14ac:dyDescent="0.55000000000000004">
      <c r="A1627">
        <v>498</v>
      </c>
      <c r="B1627" t="s">
        <v>74</v>
      </c>
      <c r="C1627">
        <v>2.1000000000000001E-2</v>
      </c>
      <c r="D1627" t="s">
        <v>23</v>
      </c>
      <c r="E1627" t="s">
        <v>4</v>
      </c>
      <c r="F1627" t="s">
        <v>75</v>
      </c>
      <c r="H1627">
        <v>999.99900000000002</v>
      </c>
      <c r="I1627" t="s">
        <v>461</v>
      </c>
      <c r="K1627">
        <v>105578810</v>
      </c>
      <c r="L1627" s="2">
        <v>43322</v>
      </c>
      <c r="M1627">
        <v>19</v>
      </c>
      <c r="N1627">
        <v>2</v>
      </c>
      <c r="O1627">
        <v>0</v>
      </c>
      <c r="P1627">
        <v>4</v>
      </c>
      <c r="Q1627" t="s">
        <v>21</v>
      </c>
    </row>
    <row r="1628" spans="1:17" x14ac:dyDescent="0.55000000000000004">
      <c r="A1628">
        <v>498</v>
      </c>
      <c r="B1628" t="s">
        <v>72</v>
      </c>
      <c r="C1628">
        <v>0</v>
      </c>
      <c r="E1628" t="s">
        <v>4</v>
      </c>
      <c r="F1628" t="s">
        <v>75</v>
      </c>
      <c r="H1628">
        <v>999.99900000000002</v>
      </c>
      <c r="I1628" t="s">
        <v>461</v>
      </c>
      <c r="K1628">
        <v>106472029</v>
      </c>
      <c r="L1628" s="2">
        <v>44188</v>
      </c>
      <c r="M1628">
        <v>30</v>
      </c>
      <c r="N1628">
        <v>1</v>
      </c>
      <c r="P1628">
        <v>4</v>
      </c>
      <c r="Q1628" t="s">
        <v>21</v>
      </c>
    </row>
    <row r="1629" spans="1:17" x14ac:dyDescent="0.55000000000000004">
      <c r="A1629">
        <v>498</v>
      </c>
      <c r="B1629" t="s">
        <v>83</v>
      </c>
      <c r="C1629">
        <v>0</v>
      </c>
      <c r="E1629" t="s">
        <v>4</v>
      </c>
      <c r="F1629" t="s">
        <v>84</v>
      </c>
      <c r="H1629">
        <v>999.99900000000002</v>
      </c>
      <c r="I1629" t="s">
        <v>461</v>
      </c>
      <c r="K1629">
        <v>105148644</v>
      </c>
      <c r="L1629" s="2">
        <v>42908</v>
      </c>
      <c r="M1629">
        <v>31</v>
      </c>
      <c r="N1629">
        <v>1</v>
      </c>
      <c r="O1629">
        <v>0</v>
      </c>
      <c r="P1629">
        <v>1</v>
      </c>
      <c r="Q1629" t="s">
        <v>21</v>
      </c>
    </row>
    <row r="1630" spans="1:17" x14ac:dyDescent="0.55000000000000004">
      <c r="A1630">
        <v>498</v>
      </c>
      <c r="B1630" t="s">
        <v>87</v>
      </c>
      <c r="C1630">
        <v>0</v>
      </c>
      <c r="E1630" t="s">
        <v>4</v>
      </c>
      <c r="H1630">
        <v>999.99900000000002</v>
      </c>
      <c r="I1630" t="s">
        <v>461</v>
      </c>
      <c r="K1630">
        <v>106635424</v>
      </c>
      <c r="L1630" s="2">
        <v>44332</v>
      </c>
      <c r="M1630">
        <v>19</v>
      </c>
      <c r="N1630">
        <v>1</v>
      </c>
      <c r="O1630">
        <v>0</v>
      </c>
      <c r="P1630">
        <v>1</v>
      </c>
      <c r="Q1630" t="s">
        <v>21</v>
      </c>
    </row>
    <row r="1631" spans="1:17" x14ac:dyDescent="0.55000000000000004">
      <c r="A1631">
        <v>0</v>
      </c>
      <c r="B1631" t="s">
        <v>0</v>
      </c>
      <c r="C1631">
        <v>0</v>
      </c>
      <c r="E1631" t="s">
        <v>38</v>
      </c>
      <c r="F1631" t="s">
        <v>39</v>
      </c>
      <c r="H1631">
        <v>999.99900000000002</v>
      </c>
      <c r="I1631" t="s">
        <v>461</v>
      </c>
      <c r="K1631">
        <v>106189539</v>
      </c>
      <c r="L1631" s="2">
        <v>43908</v>
      </c>
      <c r="M1631">
        <v>30</v>
      </c>
      <c r="N1631">
        <v>1</v>
      </c>
      <c r="O1631">
        <v>4</v>
      </c>
      <c r="P1631">
        <v>1</v>
      </c>
      <c r="Q1631" t="s">
        <v>21</v>
      </c>
    </row>
    <row r="1632" spans="1:17" x14ac:dyDescent="0.55000000000000004">
      <c r="A1632">
        <v>498</v>
      </c>
      <c r="B1632" t="s">
        <v>4</v>
      </c>
      <c r="C1632">
        <v>0</v>
      </c>
      <c r="E1632" t="s">
        <v>72</v>
      </c>
      <c r="F1632" t="s">
        <v>67</v>
      </c>
      <c r="H1632">
        <v>999.99900000000002</v>
      </c>
      <c r="I1632" t="s">
        <v>461</v>
      </c>
      <c r="K1632">
        <v>106461577</v>
      </c>
      <c r="L1632" s="2">
        <v>44174</v>
      </c>
      <c r="M1632">
        <v>28</v>
      </c>
      <c r="N1632">
        <v>1</v>
      </c>
      <c r="P1632">
        <v>3</v>
      </c>
      <c r="Q1632" t="s">
        <v>15</v>
      </c>
    </row>
    <row r="1633" spans="1:17" x14ac:dyDescent="0.55000000000000004">
      <c r="A1633">
        <v>414</v>
      </c>
      <c r="B1633" t="s">
        <v>0</v>
      </c>
      <c r="C1633">
        <v>0</v>
      </c>
      <c r="E1633" t="s">
        <v>40</v>
      </c>
      <c r="F1633" t="s">
        <v>1</v>
      </c>
      <c r="H1633">
        <v>999.99900000000002</v>
      </c>
      <c r="I1633" t="s">
        <v>461</v>
      </c>
      <c r="K1633">
        <v>105002000</v>
      </c>
      <c r="L1633" s="2">
        <v>42772</v>
      </c>
      <c r="M1633">
        <v>24</v>
      </c>
      <c r="N1633">
        <v>1</v>
      </c>
      <c r="O1633">
        <v>4</v>
      </c>
      <c r="P1633">
        <v>1</v>
      </c>
      <c r="Q1633" t="s">
        <v>15</v>
      </c>
    </row>
    <row r="1634" spans="1:17" x14ac:dyDescent="0.55000000000000004">
      <c r="A1634">
        <v>224</v>
      </c>
      <c r="B1634" t="s">
        <v>1</v>
      </c>
      <c r="C1634">
        <v>0</v>
      </c>
      <c r="E1634" t="s">
        <v>55</v>
      </c>
      <c r="F1634" t="s">
        <v>56</v>
      </c>
      <c r="H1634">
        <v>999.99900000000002</v>
      </c>
      <c r="I1634" t="s">
        <v>461</v>
      </c>
      <c r="K1634">
        <v>105986159</v>
      </c>
      <c r="L1634" s="2">
        <v>43718</v>
      </c>
      <c r="M1634">
        <v>32</v>
      </c>
      <c r="N1634">
        <v>1</v>
      </c>
      <c r="O1634">
        <v>4</v>
      </c>
      <c r="P1634">
        <v>1</v>
      </c>
      <c r="Q1634" t="s">
        <v>21</v>
      </c>
    </row>
    <row r="1635" spans="1:17" x14ac:dyDescent="0.55000000000000004">
      <c r="A1635">
        <v>0</v>
      </c>
      <c r="B1635" t="s">
        <v>1</v>
      </c>
      <c r="C1635">
        <v>0</v>
      </c>
      <c r="E1635" t="s">
        <v>57</v>
      </c>
      <c r="F1635" t="s">
        <v>58</v>
      </c>
      <c r="H1635">
        <v>999.99900000000002</v>
      </c>
      <c r="I1635" t="s">
        <v>461</v>
      </c>
      <c r="K1635">
        <v>106465245</v>
      </c>
      <c r="L1635" s="2">
        <v>44210</v>
      </c>
      <c r="M1635">
        <v>23</v>
      </c>
      <c r="N1635">
        <v>1</v>
      </c>
      <c r="O1635">
        <v>4</v>
      </c>
      <c r="P1635">
        <v>1</v>
      </c>
      <c r="Q1635" t="s">
        <v>21</v>
      </c>
    </row>
    <row r="1636" spans="1:17" x14ac:dyDescent="0.55000000000000004">
      <c r="A1636">
        <v>0</v>
      </c>
      <c r="B1636" t="s">
        <v>0</v>
      </c>
      <c r="C1636">
        <v>0</v>
      </c>
      <c r="E1636" t="s">
        <v>41</v>
      </c>
      <c r="F1636" t="s">
        <v>3</v>
      </c>
      <c r="H1636">
        <v>999.99900000000002</v>
      </c>
      <c r="I1636" t="s">
        <v>461</v>
      </c>
      <c r="K1636">
        <v>105042019</v>
      </c>
      <c r="L1636" s="2">
        <v>42809</v>
      </c>
      <c r="M1636">
        <v>26</v>
      </c>
      <c r="N1636">
        <v>1</v>
      </c>
      <c r="O1636">
        <v>4</v>
      </c>
      <c r="P1636">
        <v>1</v>
      </c>
      <c r="Q1636" t="s">
        <v>21</v>
      </c>
    </row>
    <row r="1637" spans="1:17" x14ac:dyDescent="0.55000000000000004">
      <c r="A1637">
        <v>0</v>
      </c>
      <c r="B1637" t="s">
        <v>1</v>
      </c>
      <c r="C1637">
        <v>0</v>
      </c>
      <c r="E1637" t="s">
        <v>59</v>
      </c>
      <c r="F1637" t="s">
        <v>60</v>
      </c>
      <c r="H1637">
        <v>999.99900000000002</v>
      </c>
      <c r="I1637" t="s">
        <v>461</v>
      </c>
      <c r="K1637">
        <v>106331979</v>
      </c>
      <c r="L1637" s="2">
        <v>44079</v>
      </c>
      <c r="M1637">
        <v>21</v>
      </c>
      <c r="N1637">
        <v>1</v>
      </c>
      <c r="O1637">
        <v>4</v>
      </c>
      <c r="P1637">
        <v>1</v>
      </c>
      <c r="Q1637" t="s">
        <v>15</v>
      </c>
    </row>
    <row r="1638" spans="1:17" x14ac:dyDescent="0.55000000000000004">
      <c r="A1638">
        <v>498</v>
      </c>
      <c r="B1638" t="s">
        <v>0</v>
      </c>
      <c r="C1638">
        <v>0</v>
      </c>
      <c r="E1638" t="s">
        <v>42</v>
      </c>
      <c r="F1638" t="s">
        <v>43</v>
      </c>
      <c r="H1638">
        <v>999.99900000000002</v>
      </c>
      <c r="I1638" t="s">
        <v>461</v>
      </c>
      <c r="K1638">
        <v>105321646</v>
      </c>
      <c r="L1638" s="2">
        <v>43068</v>
      </c>
      <c r="M1638">
        <v>30</v>
      </c>
      <c r="N1638">
        <v>1</v>
      </c>
      <c r="O1638">
        <v>7</v>
      </c>
      <c r="P1638">
        <v>4</v>
      </c>
      <c r="Q1638" t="s">
        <v>15</v>
      </c>
    </row>
    <row r="1639" spans="1:17" x14ac:dyDescent="0.55000000000000004">
      <c r="A1639">
        <v>414</v>
      </c>
      <c r="B1639" t="s">
        <v>1</v>
      </c>
      <c r="C1639">
        <v>0</v>
      </c>
      <c r="E1639" t="s">
        <v>61</v>
      </c>
      <c r="F1639" t="s">
        <v>62</v>
      </c>
      <c r="H1639">
        <v>999.99900000000002</v>
      </c>
      <c r="I1639" t="s">
        <v>461</v>
      </c>
      <c r="K1639">
        <v>105591575</v>
      </c>
      <c r="L1639" s="2">
        <v>43343</v>
      </c>
      <c r="M1639">
        <v>26</v>
      </c>
      <c r="N1639">
        <v>1</v>
      </c>
      <c r="O1639">
        <v>8</v>
      </c>
      <c r="P1639">
        <v>1</v>
      </c>
      <c r="Q1639" t="s">
        <v>21</v>
      </c>
    </row>
    <row r="1640" spans="1:17" x14ac:dyDescent="0.55000000000000004">
      <c r="A1640">
        <v>498</v>
      </c>
      <c r="B1640" t="s">
        <v>108</v>
      </c>
      <c r="C1640">
        <v>0</v>
      </c>
      <c r="E1640" t="s">
        <v>109</v>
      </c>
      <c r="F1640" t="s">
        <v>28</v>
      </c>
      <c r="H1640">
        <v>999.99900000000002</v>
      </c>
      <c r="I1640" t="s">
        <v>461</v>
      </c>
      <c r="K1640">
        <v>106597828</v>
      </c>
      <c r="L1640" s="2">
        <v>44306</v>
      </c>
      <c r="M1640">
        <v>30</v>
      </c>
      <c r="N1640">
        <v>1</v>
      </c>
      <c r="P1640">
        <v>1</v>
      </c>
      <c r="Q1640" t="s">
        <v>21</v>
      </c>
    </row>
    <row r="1641" spans="1:17" x14ac:dyDescent="0.55000000000000004">
      <c r="A1641">
        <v>498</v>
      </c>
      <c r="B1641" t="s">
        <v>149</v>
      </c>
      <c r="C1641">
        <v>0</v>
      </c>
      <c r="E1641" t="s">
        <v>150</v>
      </c>
      <c r="F1641" t="s">
        <v>151</v>
      </c>
      <c r="H1641">
        <v>999.99900000000002</v>
      </c>
      <c r="I1641" t="s">
        <v>461</v>
      </c>
      <c r="K1641">
        <v>105207971</v>
      </c>
      <c r="L1641" s="2">
        <v>42966</v>
      </c>
      <c r="M1641">
        <v>31</v>
      </c>
      <c r="N1641">
        <v>1</v>
      </c>
      <c r="O1641">
        <v>12</v>
      </c>
      <c r="P1641">
        <v>4</v>
      </c>
      <c r="Q1641" t="s">
        <v>21</v>
      </c>
    </row>
    <row r="1642" spans="1:17" x14ac:dyDescent="0.55000000000000004">
      <c r="A1642">
        <v>498</v>
      </c>
      <c r="B1642" t="s">
        <v>4</v>
      </c>
      <c r="C1642">
        <v>2E-3</v>
      </c>
      <c r="D1642" t="s">
        <v>68</v>
      </c>
      <c r="E1642" t="s">
        <v>73</v>
      </c>
      <c r="F1642" t="s">
        <v>67</v>
      </c>
      <c r="H1642">
        <v>999.99900000000002</v>
      </c>
      <c r="I1642" t="s">
        <v>461</v>
      </c>
      <c r="K1642">
        <v>106338065</v>
      </c>
      <c r="L1642" s="2">
        <v>44051</v>
      </c>
      <c r="M1642">
        <v>18</v>
      </c>
      <c r="N1642">
        <v>9</v>
      </c>
      <c r="O1642">
        <v>0</v>
      </c>
      <c r="P1642">
        <v>1</v>
      </c>
      <c r="Q1642" t="s">
        <v>45</v>
      </c>
    </row>
    <row r="1643" spans="1:17" x14ac:dyDescent="0.55000000000000004">
      <c r="A1643">
        <v>0</v>
      </c>
      <c r="B1643" t="s">
        <v>1</v>
      </c>
      <c r="C1643">
        <v>0</v>
      </c>
      <c r="E1643" t="s">
        <v>63</v>
      </c>
      <c r="F1643" t="s">
        <v>64</v>
      </c>
      <c r="H1643">
        <v>999.99900000000002</v>
      </c>
      <c r="I1643" t="s">
        <v>461</v>
      </c>
      <c r="K1643">
        <v>106011766</v>
      </c>
      <c r="L1643" s="2">
        <v>43741</v>
      </c>
      <c r="M1643">
        <v>26</v>
      </c>
      <c r="N1643">
        <v>1</v>
      </c>
      <c r="O1643">
        <v>8</v>
      </c>
      <c r="P1643">
        <v>1</v>
      </c>
      <c r="Q1643" t="s">
        <v>21</v>
      </c>
    </row>
  </sheetData>
  <sortState xmlns:xlrd2="http://schemas.microsoft.com/office/spreadsheetml/2017/richdata2" ref="A2:R94">
    <sortCondition ref="I2:I94" customList="IS,ADD,DEL,NIS"/>
    <sortCondition ref="G2:G94"/>
    <sortCondition ref="H2:H94"/>
    <sortCondition ref="E2:E9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36464-BF0B-45F4-96E9-3797810CA912}">
  <dimension ref="A1:O4412"/>
  <sheetViews>
    <sheetView topLeftCell="A1322" zoomScaleNormal="100" workbookViewId="0">
      <selection activeCell="A1336" sqref="A1336"/>
    </sheetView>
  </sheetViews>
  <sheetFormatPr defaultColWidth="8.68359375" defaultRowHeight="14.4" x14ac:dyDescent="0.55000000000000004"/>
  <cols>
    <col min="1" max="1" width="9.68359375" bestFit="1" customWidth="1"/>
    <col min="2" max="2" width="9.68359375" style="4" bestFit="1" customWidth="1"/>
    <col min="3" max="7" width="8.68359375" style="4"/>
    <col min="8" max="8" width="9.68359375" style="4" bestFit="1" customWidth="1"/>
    <col min="9" max="16384" width="8.68359375" style="4"/>
  </cols>
  <sheetData>
    <row r="1" spans="1:15" x14ac:dyDescent="0.55000000000000004">
      <c r="A1" t="s">
        <v>12</v>
      </c>
      <c r="B1" s="3" t="s">
        <v>424</v>
      </c>
      <c r="C1" s="3" t="s">
        <v>425</v>
      </c>
      <c r="D1" s="3" t="s">
        <v>426</v>
      </c>
      <c r="E1" s="3"/>
      <c r="F1" s="3"/>
      <c r="G1" s="3"/>
      <c r="H1" s="3" t="s">
        <v>424</v>
      </c>
      <c r="I1" s="3" t="s">
        <v>427</v>
      </c>
      <c r="J1" s="3" t="s">
        <v>428</v>
      </c>
      <c r="K1" s="3" t="s">
        <v>429</v>
      </c>
      <c r="L1" s="3" t="s">
        <v>430</v>
      </c>
      <c r="M1" s="3" t="s">
        <v>431</v>
      </c>
      <c r="N1" s="3" t="s">
        <v>432</v>
      </c>
      <c r="O1" s="3" t="s">
        <v>433</v>
      </c>
    </row>
    <row r="2" spans="1:15" x14ac:dyDescent="0.55000000000000004">
      <c r="A2">
        <v>105391029</v>
      </c>
      <c r="B2" s="5">
        <v>104908181</v>
      </c>
      <c r="C2" s="5" t="str">
        <f t="shared" ref="C2:C65" si="0">IF(COUNTIF($B:$B,A2)&gt;0,"IS","NIS")</f>
        <v>NIS</v>
      </c>
      <c r="D2" s="5" t="str">
        <f t="shared" ref="D2:D65" si="1">IF(COUNTIF($A:$A,B2)&gt;0,"YES","NO")</f>
        <v>YES</v>
      </c>
      <c r="E2" s="5"/>
      <c r="F2" s="5"/>
      <c r="G2" s="5"/>
      <c r="H2" s="5">
        <v>104908181</v>
      </c>
      <c r="I2" s="5">
        <v>30000180</v>
      </c>
      <c r="J2" s="5">
        <v>5</v>
      </c>
      <c r="K2" s="6">
        <v>42682</v>
      </c>
      <c r="L2" s="7">
        <v>0.79305555555555551</v>
      </c>
      <c r="M2" s="5">
        <v>30</v>
      </c>
      <c r="N2" s="5"/>
      <c r="O2" s="5"/>
    </row>
    <row r="3" spans="1:15" x14ac:dyDescent="0.55000000000000004">
      <c r="A3">
        <v>106093624</v>
      </c>
      <c r="B3" s="5">
        <v>105162557</v>
      </c>
      <c r="C3" s="5" t="str">
        <f t="shared" si="0"/>
        <v>NIS</v>
      </c>
      <c r="D3" s="5" t="str">
        <f t="shared" si="1"/>
        <v>YES</v>
      </c>
      <c r="E3" s="5"/>
      <c r="F3" s="5"/>
      <c r="G3" s="5"/>
      <c r="H3" s="5">
        <v>105162557</v>
      </c>
      <c r="I3" s="5">
        <v>40001103</v>
      </c>
      <c r="J3" s="5">
        <v>5</v>
      </c>
      <c r="K3" s="6">
        <v>42932</v>
      </c>
      <c r="L3" s="7">
        <v>0.57847222222222228</v>
      </c>
      <c r="M3" s="5">
        <v>21</v>
      </c>
      <c r="N3" s="5"/>
      <c r="O3" s="5"/>
    </row>
    <row r="4" spans="1:15" x14ac:dyDescent="0.55000000000000004">
      <c r="A4">
        <v>106162597</v>
      </c>
      <c r="B4" s="5">
        <v>105334401</v>
      </c>
      <c r="C4" s="5" t="str">
        <f t="shared" si="0"/>
        <v>NIS</v>
      </c>
      <c r="D4" s="5" t="str">
        <f t="shared" si="1"/>
        <v>YES</v>
      </c>
      <c r="E4" s="5"/>
      <c r="F4" s="5"/>
      <c r="G4" s="5"/>
      <c r="H4" s="5">
        <v>105334401</v>
      </c>
      <c r="I4" s="5">
        <v>30000180</v>
      </c>
      <c r="J4" s="5">
        <v>5</v>
      </c>
      <c r="K4" s="6">
        <v>43096</v>
      </c>
      <c r="L4" s="7">
        <v>6.1111111111111109E-2</v>
      </c>
      <c r="M4" s="5">
        <v>17</v>
      </c>
      <c r="N4" s="5"/>
      <c r="O4" s="5"/>
    </row>
    <row r="5" spans="1:15" x14ac:dyDescent="0.55000000000000004">
      <c r="A5">
        <v>106286156</v>
      </c>
      <c r="B5" s="5">
        <v>106032499</v>
      </c>
      <c r="C5" s="5" t="str">
        <f t="shared" si="0"/>
        <v>NIS</v>
      </c>
      <c r="D5" s="5" t="str">
        <f t="shared" si="1"/>
        <v>YES</v>
      </c>
      <c r="E5" s="5"/>
      <c r="F5" s="5"/>
      <c r="G5" s="5"/>
      <c r="H5" s="5">
        <v>106032499</v>
      </c>
      <c r="I5" s="5">
        <v>30000180</v>
      </c>
      <c r="J5" s="5">
        <v>5</v>
      </c>
      <c r="K5" s="6">
        <v>43752</v>
      </c>
      <c r="L5" s="7">
        <v>0.33263888888888887</v>
      </c>
      <c r="M5" s="5">
        <v>24</v>
      </c>
      <c r="N5" s="5"/>
      <c r="O5" s="5"/>
    </row>
    <row r="6" spans="1:15" x14ac:dyDescent="0.55000000000000004">
      <c r="A6">
        <v>106055128</v>
      </c>
      <c r="B6" s="5">
        <v>106234219</v>
      </c>
      <c r="C6" s="5" t="str">
        <f t="shared" si="0"/>
        <v>NIS</v>
      </c>
      <c r="D6" s="5" t="str">
        <f t="shared" si="1"/>
        <v>YES</v>
      </c>
      <c r="E6" s="5"/>
      <c r="F6" s="5"/>
      <c r="G6" s="5"/>
      <c r="H6" s="5">
        <v>106234219</v>
      </c>
      <c r="I6" s="5">
        <v>30000180</v>
      </c>
      <c r="J6" s="5">
        <v>3</v>
      </c>
      <c r="K6" s="6">
        <v>43974</v>
      </c>
      <c r="L6" s="7">
        <v>0.89652777777777781</v>
      </c>
      <c r="M6" s="5">
        <v>26</v>
      </c>
      <c r="N6" s="5"/>
      <c r="O6" s="5"/>
    </row>
    <row r="7" spans="1:15" x14ac:dyDescent="0.55000000000000004">
      <c r="A7">
        <v>104934545</v>
      </c>
      <c r="B7" s="5">
        <v>106251888</v>
      </c>
      <c r="C7" s="5" t="str">
        <f t="shared" si="0"/>
        <v>NIS</v>
      </c>
      <c r="D7" s="5" t="str">
        <f t="shared" si="1"/>
        <v>YES</v>
      </c>
      <c r="E7" s="5"/>
      <c r="F7" s="5"/>
      <c r="G7" s="5"/>
      <c r="H7" s="5">
        <v>106251888</v>
      </c>
      <c r="I7" s="5">
        <v>30000180</v>
      </c>
      <c r="J7" s="5">
        <v>5</v>
      </c>
      <c r="K7" s="6">
        <v>43998</v>
      </c>
      <c r="L7" s="7">
        <v>0.27847222222222223</v>
      </c>
      <c r="M7" s="5">
        <v>29</v>
      </c>
      <c r="N7" s="5"/>
      <c r="O7" s="5"/>
    </row>
    <row r="8" spans="1:15" x14ac:dyDescent="0.55000000000000004">
      <c r="A8">
        <v>104907318</v>
      </c>
      <c r="B8" s="5">
        <v>106423994</v>
      </c>
      <c r="C8" s="5" t="str">
        <f t="shared" si="0"/>
        <v>NIS</v>
      </c>
      <c r="D8" s="5" t="str">
        <f t="shared" si="1"/>
        <v>YES</v>
      </c>
      <c r="E8" s="5"/>
      <c r="F8" s="5"/>
      <c r="G8" s="5"/>
      <c r="H8" s="5">
        <v>106423994</v>
      </c>
      <c r="I8" s="5">
        <v>30000180</v>
      </c>
      <c r="J8" s="5">
        <v>3</v>
      </c>
      <c r="K8" s="6">
        <v>44166</v>
      </c>
      <c r="L8" s="7">
        <v>0.7368055555555556</v>
      </c>
      <c r="M8" s="5">
        <v>30</v>
      </c>
      <c r="N8" s="5"/>
      <c r="O8" s="5"/>
    </row>
    <row r="9" spans="1:15" x14ac:dyDescent="0.55000000000000004">
      <c r="A9">
        <v>105345972</v>
      </c>
      <c r="B9" s="5">
        <v>106442060</v>
      </c>
      <c r="C9" s="5" t="str">
        <f t="shared" si="0"/>
        <v>NIS</v>
      </c>
      <c r="D9" s="5" t="str">
        <f t="shared" si="1"/>
        <v>YES</v>
      </c>
      <c r="E9" s="5"/>
      <c r="F9" s="5"/>
      <c r="G9" s="5"/>
      <c r="H9" s="5">
        <v>106442060</v>
      </c>
      <c r="I9" s="5">
        <v>30000180</v>
      </c>
      <c r="J9" s="5">
        <v>5</v>
      </c>
      <c r="K9" s="6">
        <v>44184</v>
      </c>
      <c r="L9" s="7">
        <v>0.73888888888888893</v>
      </c>
      <c r="M9" s="5">
        <v>24</v>
      </c>
      <c r="N9" s="5"/>
      <c r="O9" s="5"/>
    </row>
    <row r="10" spans="1:15" x14ac:dyDescent="0.55000000000000004">
      <c r="A10">
        <v>105878517</v>
      </c>
      <c r="B10" s="5">
        <v>106482677</v>
      </c>
      <c r="C10" s="5" t="str">
        <f t="shared" si="0"/>
        <v>NIS</v>
      </c>
      <c r="D10" s="5" t="str">
        <f t="shared" si="1"/>
        <v>YES</v>
      </c>
      <c r="E10" s="5"/>
      <c r="F10" s="5"/>
      <c r="G10" s="5"/>
      <c r="H10" s="5">
        <v>106482677</v>
      </c>
      <c r="I10" s="5">
        <v>30000180</v>
      </c>
      <c r="J10" s="5">
        <v>5</v>
      </c>
      <c r="K10" s="6">
        <v>44233</v>
      </c>
      <c r="L10" s="7">
        <v>0.92708333333333337</v>
      </c>
      <c r="M10" s="5">
        <v>19</v>
      </c>
      <c r="N10" s="5"/>
      <c r="O10" s="5"/>
    </row>
    <row r="11" spans="1:15" x14ac:dyDescent="0.55000000000000004">
      <c r="A11">
        <v>105679796</v>
      </c>
      <c r="B11" s="5">
        <v>106653569</v>
      </c>
      <c r="C11" s="5" t="str">
        <f t="shared" si="0"/>
        <v>NIS</v>
      </c>
      <c r="D11" s="5" t="str">
        <f t="shared" si="1"/>
        <v>YES</v>
      </c>
      <c r="E11" s="5"/>
      <c r="F11" s="5"/>
      <c r="G11" s="5"/>
      <c r="H11" s="5">
        <v>106653569</v>
      </c>
      <c r="I11" s="5">
        <v>30000180</v>
      </c>
      <c r="J11" s="5">
        <v>5</v>
      </c>
      <c r="K11" s="6">
        <v>44411</v>
      </c>
      <c r="L11" s="7">
        <v>0.15416666666666667</v>
      </c>
      <c r="M11" s="5">
        <v>17</v>
      </c>
      <c r="N11" s="5"/>
      <c r="O11" s="5"/>
    </row>
    <row r="12" spans="1:15" x14ac:dyDescent="0.55000000000000004">
      <c r="A12">
        <v>106478858</v>
      </c>
      <c r="B12" s="5">
        <v>106691473</v>
      </c>
      <c r="C12" s="5" t="str">
        <f t="shared" si="0"/>
        <v>NIS</v>
      </c>
      <c r="D12" s="5" t="str">
        <f t="shared" si="1"/>
        <v>YES</v>
      </c>
      <c r="E12" s="5"/>
      <c r="F12" s="5"/>
      <c r="G12" s="5"/>
      <c r="H12" s="5">
        <v>106691473</v>
      </c>
      <c r="I12" s="5">
        <v>30000180</v>
      </c>
      <c r="J12" s="5">
        <v>5</v>
      </c>
      <c r="K12" s="6">
        <v>44432</v>
      </c>
      <c r="L12" s="7">
        <v>0.65625</v>
      </c>
      <c r="M12" s="5">
        <v>26</v>
      </c>
      <c r="N12" s="5"/>
      <c r="O12" s="5"/>
    </row>
    <row r="13" spans="1:15" x14ac:dyDescent="0.55000000000000004">
      <c r="A13">
        <v>105151977</v>
      </c>
      <c r="B13" s="5"/>
      <c r="C13" s="5" t="str">
        <f t="shared" si="0"/>
        <v>NIS</v>
      </c>
      <c r="D13" s="5"/>
      <c r="E13" s="5"/>
      <c r="F13" s="5"/>
      <c r="G13" s="5"/>
      <c r="H13" s="5"/>
      <c r="I13" s="5"/>
      <c r="J13" s="5"/>
      <c r="K13" s="6"/>
      <c r="L13" s="7"/>
      <c r="M13" s="5"/>
      <c r="N13" s="5"/>
      <c r="O13" s="5"/>
    </row>
    <row r="14" spans="1:15" x14ac:dyDescent="0.55000000000000004">
      <c r="A14">
        <v>105384257</v>
      </c>
      <c r="B14" s="5"/>
      <c r="C14" s="5" t="str">
        <f t="shared" si="0"/>
        <v>NIS</v>
      </c>
      <c r="D14" s="5"/>
      <c r="E14" s="5"/>
      <c r="F14" s="5"/>
      <c r="G14" s="5"/>
      <c r="H14" s="5"/>
      <c r="I14" s="5"/>
      <c r="J14" s="5"/>
      <c r="K14" s="6"/>
      <c r="L14" s="7"/>
      <c r="M14" s="5"/>
      <c r="N14" s="5"/>
      <c r="O14" s="5"/>
    </row>
    <row r="15" spans="1:15" x14ac:dyDescent="0.55000000000000004">
      <c r="A15">
        <v>105384382</v>
      </c>
      <c r="B15" s="5"/>
      <c r="C15" s="5" t="str">
        <f t="shared" si="0"/>
        <v>NIS</v>
      </c>
      <c r="D15" s="5"/>
      <c r="E15" s="5"/>
      <c r="F15" s="5"/>
      <c r="G15" s="5"/>
      <c r="H15" s="5"/>
      <c r="I15" s="5"/>
      <c r="J15" s="5"/>
      <c r="K15" s="6"/>
      <c r="L15" s="7"/>
      <c r="M15" s="5"/>
      <c r="N15" s="5"/>
      <c r="O15" s="5"/>
    </row>
    <row r="16" spans="1:15" x14ac:dyDescent="0.55000000000000004">
      <c r="A16">
        <v>106472930</v>
      </c>
      <c r="B16" s="5"/>
      <c r="C16" s="5" t="str">
        <f t="shared" si="0"/>
        <v>NIS</v>
      </c>
      <c r="D16" s="5"/>
      <c r="E16" s="5"/>
      <c r="F16" s="5"/>
      <c r="G16" s="5"/>
      <c r="H16" s="5"/>
      <c r="I16" s="5"/>
      <c r="J16" s="5"/>
      <c r="K16" s="6"/>
      <c r="L16" s="7"/>
      <c r="M16" s="5"/>
      <c r="N16" s="5"/>
      <c r="O16" s="5"/>
    </row>
    <row r="17" spans="1:15" x14ac:dyDescent="0.55000000000000004">
      <c r="A17">
        <v>106556563</v>
      </c>
      <c r="B17" s="5"/>
      <c r="C17" s="5" t="str">
        <f t="shared" si="0"/>
        <v>NIS</v>
      </c>
      <c r="D17" s="5"/>
      <c r="E17" s="5"/>
      <c r="F17" s="5"/>
      <c r="G17" s="5"/>
      <c r="H17" s="5"/>
      <c r="I17" s="5"/>
      <c r="J17" s="5"/>
      <c r="K17" s="6"/>
      <c r="L17" s="7"/>
      <c r="M17" s="5"/>
      <c r="N17" s="5"/>
      <c r="O17" s="5"/>
    </row>
    <row r="18" spans="1:15" x14ac:dyDescent="0.55000000000000004">
      <c r="A18">
        <v>106002593</v>
      </c>
      <c r="B18" s="5"/>
      <c r="C18" s="5" t="str">
        <f t="shared" si="0"/>
        <v>NIS</v>
      </c>
      <c r="D18" s="5"/>
      <c r="E18" s="5"/>
      <c r="F18" s="5"/>
      <c r="G18" s="5"/>
      <c r="H18" s="5"/>
      <c r="I18" s="5"/>
      <c r="J18" s="5"/>
      <c r="K18" s="6"/>
      <c r="L18" s="7"/>
      <c r="M18" s="5"/>
      <c r="N18" s="5"/>
      <c r="O18" s="5"/>
    </row>
    <row r="19" spans="1:15" x14ac:dyDescent="0.55000000000000004">
      <c r="A19">
        <v>105732928</v>
      </c>
      <c r="B19" s="5"/>
      <c r="C19" s="5" t="str">
        <f t="shared" si="0"/>
        <v>NIS</v>
      </c>
      <c r="D19" s="5"/>
      <c r="E19" s="5"/>
      <c r="F19" s="5"/>
      <c r="G19" s="5"/>
      <c r="H19" s="5"/>
      <c r="I19" s="5"/>
      <c r="J19" s="5"/>
      <c r="K19" s="6"/>
      <c r="L19" s="7"/>
      <c r="M19" s="5"/>
      <c r="N19" s="5"/>
      <c r="O19" s="5"/>
    </row>
    <row r="20" spans="1:15" x14ac:dyDescent="0.55000000000000004">
      <c r="A20">
        <v>105732922</v>
      </c>
      <c r="B20" s="5"/>
      <c r="C20" s="5" t="str">
        <f t="shared" si="0"/>
        <v>NIS</v>
      </c>
      <c r="D20" s="5"/>
      <c r="E20" s="5"/>
      <c r="F20" s="5"/>
      <c r="G20" s="5"/>
      <c r="H20" s="5"/>
      <c r="I20" s="5"/>
      <c r="J20" s="5"/>
      <c r="K20" s="6"/>
      <c r="L20" s="7"/>
      <c r="M20" s="5"/>
      <c r="N20" s="5"/>
      <c r="O20" s="5"/>
    </row>
    <row r="21" spans="1:15" x14ac:dyDescent="0.55000000000000004">
      <c r="A21">
        <v>105540848</v>
      </c>
      <c r="B21" s="5"/>
      <c r="C21" s="5" t="str">
        <f t="shared" si="0"/>
        <v>NIS</v>
      </c>
      <c r="D21" s="5"/>
      <c r="E21" s="5"/>
      <c r="F21" s="5"/>
      <c r="G21" s="5"/>
      <c r="H21" s="5"/>
      <c r="I21" s="5"/>
      <c r="J21" s="5"/>
      <c r="K21" s="6"/>
      <c r="L21" s="7"/>
      <c r="M21" s="5"/>
      <c r="N21" s="5"/>
      <c r="O21" s="5"/>
    </row>
    <row r="22" spans="1:15" x14ac:dyDescent="0.55000000000000004">
      <c r="A22">
        <v>105099574</v>
      </c>
      <c r="B22" s="5"/>
      <c r="C22" s="5" t="str">
        <f t="shared" si="0"/>
        <v>NIS</v>
      </c>
      <c r="D22" s="5"/>
      <c r="E22" s="5"/>
      <c r="F22" s="5"/>
      <c r="G22" s="5"/>
      <c r="H22" s="5"/>
      <c r="I22" s="5"/>
      <c r="J22" s="5"/>
      <c r="K22" s="6"/>
      <c r="L22" s="7"/>
      <c r="M22" s="5"/>
      <c r="N22" s="5"/>
      <c r="O22" s="5"/>
    </row>
    <row r="23" spans="1:15" x14ac:dyDescent="0.55000000000000004">
      <c r="A23">
        <v>106287225</v>
      </c>
      <c r="B23" s="5"/>
      <c r="C23" s="5" t="str">
        <f t="shared" si="0"/>
        <v>NIS</v>
      </c>
      <c r="D23" s="5"/>
      <c r="E23" s="5"/>
      <c r="F23" s="5"/>
      <c r="G23" s="5"/>
      <c r="H23" s="5"/>
      <c r="I23" s="5"/>
      <c r="J23" s="5"/>
      <c r="K23" s="6"/>
      <c r="L23" s="7"/>
      <c r="M23" s="5"/>
      <c r="N23" s="5"/>
      <c r="O23" s="5"/>
    </row>
    <row r="24" spans="1:15" x14ac:dyDescent="0.55000000000000004">
      <c r="A24">
        <v>106673397</v>
      </c>
      <c r="B24" s="5"/>
      <c r="C24" s="5" t="str">
        <f t="shared" si="0"/>
        <v>NIS</v>
      </c>
      <c r="D24" s="5"/>
      <c r="E24" s="5"/>
      <c r="F24" s="5"/>
      <c r="G24" s="5"/>
      <c r="H24" s="5"/>
      <c r="I24" s="5"/>
      <c r="J24" s="5"/>
      <c r="K24" s="6"/>
      <c r="L24" s="7"/>
      <c r="M24" s="5"/>
      <c r="N24" s="5"/>
      <c r="O24" s="5"/>
    </row>
    <row r="25" spans="1:15" x14ac:dyDescent="0.55000000000000004">
      <c r="A25">
        <v>106648766</v>
      </c>
      <c r="B25" s="5"/>
      <c r="C25" s="5" t="str">
        <f t="shared" si="0"/>
        <v>NIS</v>
      </c>
      <c r="D25" s="5"/>
      <c r="E25" s="5"/>
      <c r="F25" s="5"/>
      <c r="G25" s="5"/>
      <c r="H25" s="5"/>
      <c r="I25" s="5"/>
      <c r="J25" s="5"/>
      <c r="K25" s="6"/>
      <c r="L25" s="5"/>
      <c r="M25" s="5"/>
      <c r="N25" s="5"/>
      <c r="O25" s="5"/>
    </row>
    <row r="26" spans="1:15" x14ac:dyDescent="0.55000000000000004">
      <c r="A26">
        <v>106285159</v>
      </c>
      <c r="B26" s="5"/>
      <c r="C26" s="5" t="str">
        <f t="shared" si="0"/>
        <v>NIS</v>
      </c>
      <c r="D26" s="5"/>
      <c r="E26" s="5"/>
      <c r="F26" s="5"/>
      <c r="G26" s="5"/>
      <c r="H26" s="5"/>
      <c r="I26" s="5"/>
      <c r="J26" s="5"/>
      <c r="K26" s="6"/>
      <c r="L26" s="5"/>
      <c r="M26" s="5"/>
      <c r="N26" s="5"/>
      <c r="O26" s="5"/>
    </row>
    <row r="27" spans="1:15" x14ac:dyDescent="0.55000000000000004">
      <c r="A27">
        <v>106214298</v>
      </c>
      <c r="B27" s="5"/>
      <c r="C27" s="5" t="str">
        <f t="shared" si="0"/>
        <v>NIS</v>
      </c>
      <c r="D27" s="5"/>
      <c r="E27" s="5"/>
      <c r="F27" s="5"/>
      <c r="G27" s="5"/>
      <c r="H27" s="5"/>
      <c r="I27" s="5"/>
      <c r="J27" s="5"/>
      <c r="K27" s="6"/>
      <c r="L27" s="5"/>
      <c r="M27" s="5"/>
      <c r="N27" s="5"/>
      <c r="O27" s="5"/>
    </row>
    <row r="28" spans="1:15" x14ac:dyDescent="0.55000000000000004">
      <c r="A28">
        <v>106618516</v>
      </c>
      <c r="B28" s="5"/>
      <c r="C28" s="5" t="str">
        <f t="shared" si="0"/>
        <v>NIS</v>
      </c>
      <c r="D28" s="5"/>
      <c r="E28" s="5"/>
      <c r="F28" s="5"/>
      <c r="G28" s="5"/>
      <c r="H28" s="5"/>
      <c r="I28" s="5"/>
      <c r="J28" s="5"/>
      <c r="K28" s="6"/>
      <c r="L28" s="5"/>
      <c r="M28" s="5"/>
      <c r="N28" s="5"/>
      <c r="O28" s="5"/>
    </row>
    <row r="29" spans="1:15" x14ac:dyDescent="0.55000000000000004">
      <c r="A29">
        <v>106463799</v>
      </c>
      <c r="B29" s="5"/>
      <c r="C29" s="5" t="str">
        <f t="shared" si="0"/>
        <v>NIS</v>
      </c>
      <c r="D29" s="5"/>
      <c r="E29" s="5"/>
      <c r="F29" s="5"/>
      <c r="G29" s="5"/>
      <c r="H29" s="5"/>
      <c r="I29" s="5"/>
      <c r="J29" s="5"/>
      <c r="K29" s="6"/>
      <c r="L29" s="5"/>
      <c r="M29" s="5"/>
      <c r="N29" s="5"/>
      <c r="O29" s="5"/>
    </row>
    <row r="30" spans="1:15" x14ac:dyDescent="0.55000000000000004">
      <c r="A30">
        <v>106166034</v>
      </c>
      <c r="B30" s="5"/>
      <c r="C30" s="5" t="str">
        <f t="shared" si="0"/>
        <v>NIS</v>
      </c>
      <c r="D30" s="5"/>
      <c r="E30" s="5"/>
      <c r="F30" s="5"/>
      <c r="G30" s="5"/>
      <c r="H30" s="5"/>
      <c r="I30" s="5"/>
      <c r="J30" s="5"/>
      <c r="K30" s="6"/>
      <c r="L30" s="5"/>
      <c r="M30" s="5"/>
      <c r="N30" s="5"/>
      <c r="O30" s="5"/>
    </row>
    <row r="31" spans="1:15" x14ac:dyDescent="0.55000000000000004">
      <c r="A31">
        <v>105017162</v>
      </c>
      <c r="B31" s="5"/>
      <c r="C31" s="5" t="str">
        <f t="shared" si="0"/>
        <v>NIS</v>
      </c>
      <c r="D31" s="5"/>
      <c r="E31" s="5"/>
      <c r="F31" s="5"/>
      <c r="G31" s="5"/>
      <c r="H31" s="5"/>
      <c r="I31" s="5"/>
      <c r="J31" s="5"/>
      <c r="K31" s="6"/>
      <c r="L31" s="5"/>
      <c r="M31" s="5"/>
      <c r="N31" s="5"/>
      <c r="O31" s="5"/>
    </row>
    <row r="32" spans="1:15" x14ac:dyDescent="0.55000000000000004">
      <c r="A32">
        <v>105337165</v>
      </c>
      <c r="B32" s="5"/>
      <c r="C32" s="5" t="str">
        <f t="shared" si="0"/>
        <v>NIS</v>
      </c>
      <c r="D32" s="5"/>
      <c r="E32" s="5"/>
      <c r="F32" s="5"/>
      <c r="G32" s="5"/>
      <c r="H32" s="5"/>
      <c r="I32" s="5"/>
      <c r="J32" s="5"/>
      <c r="K32" s="6"/>
      <c r="L32" s="5"/>
      <c r="M32" s="5"/>
      <c r="N32" s="5"/>
      <c r="O32" s="5"/>
    </row>
    <row r="33" spans="1:15" x14ac:dyDescent="0.55000000000000004">
      <c r="A33">
        <v>105661571</v>
      </c>
      <c r="B33" s="5"/>
      <c r="C33" s="5" t="str">
        <f t="shared" si="0"/>
        <v>NIS</v>
      </c>
      <c r="D33" s="5"/>
      <c r="E33" s="5"/>
      <c r="F33" s="5"/>
      <c r="G33" s="5"/>
      <c r="H33" s="5"/>
      <c r="I33" s="5"/>
      <c r="J33" s="5"/>
      <c r="K33" s="6"/>
      <c r="L33" s="5"/>
      <c r="M33" s="5"/>
      <c r="N33" s="5"/>
      <c r="O33" s="5"/>
    </row>
    <row r="34" spans="1:15" x14ac:dyDescent="0.55000000000000004">
      <c r="A34">
        <v>106665038</v>
      </c>
      <c r="B34" s="5"/>
      <c r="C34" s="5" t="str">
        <f t="shared" si="0"/>
        <v>NIS</v>
      </c>
      <c r="D34" s="5"/>
      <c r="E34" s="5"/>
      <c r="F34" s="5"/>
      <c r="G34" s="5"/>
      <c r="H34" s="5"/>
      <c r="I34" s="5"/>
      <c r="J34" s="5"/>
      <c r="K34" s="6"/>
      <c r="L34" s="5"/>
      <c r="M34" s="5"/>
      <c r="N34" s="5"/>
      <c r="O34" s="5"/>
    </row>
    <row r="35" spans="1:15" x14ac:dyDescent="0.55000000000000004">
      <c r="A35">
        <v>104944176</v>
      </c>
      <c r="B35" s="5"/>
      <c r="C35" s="5" t="str">
        <f t="shared" si="0"/>
        <v>NIS</v>
      </c>
      <c r="D35" s="5"/>
      <c r="E35" s="5"/>
      <c r="F35" s="5"/>
      <c r="G35" s="5"/>
      <c r="H35" s="5"/>
      <c r="I35" s="5"/>
      <c r="J35" s="5"/>
      <c r="K35" s="6"/>
      <c r="L35" s="5"/>
      <c r="M35" s="5"/>
      <c r="N35" s="5"/>
      <c r="O35" s="5"/>
    </row>
    <row r="36" spans="1:15" x14ac:dyDescent="0.55000000000000004">
      <c r="A36">
        <v>106158177</v>
      </c>
      <c r="B36" s="5"/>
      <c r="C36" s="5" t="str">
        <f t="shared" si="0"/>
        <v>NIS</v>
      </c>
      <c r="D36" s="5"/>
      <c r="E36" s="5"/>
      <c r="F36" s="5"/>
      <c r="G36" s="5"/>
      <c r="H36" s="5"/>
      <c r="I36" s="5"/>
      <c r="J36" s="5"/>
      <c r="K36" s="6"/>
      <c r="L36" s="5"/>
      <c r="M36" s="5"/>
      <c r="N36" s="5"/>
      <c r="O36" s="5"/>
    </row>
    <row r="37" spans="1:15" x14ac:dyDescent="0.55000000000000004">
      <c r="A37">
        <v>105234553</v>
      </c>
      <c r="B37" s="5"/>
      <c r="C37" s="5" t="str">
        <f t="shared" si="0"/>
        <v>NIS</v>
      </c>
      <c r="D37" s="5"/>
      <c r="E37" s="5"/>
      <c r="F37" s="5"/>
      <c r="G37" s="5"/>
      <c r="H37" s="5"/>
      <c r="I37" s="5"/>
      <c r="J37" s="5"/>
      <c r="K37" s="6"/>
      <c r="L37" s="5"/>
      <c r="M37" s="5"/>
      <c r="N37" s="5"/>
      <c r="O37" s="5"/>
    </row>
    <row r="38" spans="1:15" x14ac:dyDescent="0.55000000000000004">
      <c r="A38">
        <v>106120987</v>
      </c>
      <c r="B38" s="5"/>
      <c r="C38" s="5" t="str">
        <f t="shared" si="0"/>
        <v>NIS</v>
      </c>
      <c r="D38" s="5"/>
      <c r="E38" s="5"/>
      <c r="F38" s="5"/>
      <c r="G38" s="5"/>
      <c r="H38" s="5"/>
      <c r="I38" s="5"/>
      <c r="J38" s="5"/>
      <c r="K38" s="6"/>
      <c r="L38" s="5"/>
      <c r="M38" s="5"/>
      <c r="N38" s="5"/>
      <c r="O38" s="5"/>
    </row>
    <row r="39" spans="1:15" x14ac:dyDescent="0.55000000000000004">
      <c r="A39">
        <v>105678852</v>
      </c>
      <c r="B39" s="5"/>
      <c r="C39" s="5" t="str">
        <f t="shared" si="0"/>
        <v>NIS</v>
      </c>
      <c r="D39" s="5"/>
      <c r="E39" s="5"/>
      <c r="F39" s="5"/>
      <c r="G39" s="5"/>
      <c r="H39" s="5"/>
      <c r="I39" s="5"/>
      <c r="J39" s="5"/>
      <c r="K39" s="6"/>
      <c r="L39" s="5"/>
      <c r="M39" s="5"/>
      <c r="N39" s="5"/>
      <c r="O39" s="5"/>
    </row>
    <row r="40" spans="1:15" x14ac:dyDescent="0.55000000000000004">
      <c r="A40">
        <v>106371815</v>
      </c>
      <c r="B40" s="5"/>
      <c r="C40" s="5" t="str">
        <f t="shared" si="0"/>
        <v>NIS</v>
      </c>
      <c r="D40" s="5"/>
      <c r="E40" s="5"/>
      <c r="F40" s="5"/>
      <c r="G40" s="5"/>
      <c r="H40" s="5"/>
      <c r="I40" s="5"/>
      <c r="J40" s="5"/>
      <c r="K40" s="6"/>
      <c r="L40" s="5"/>
      <c r="M40" s="5"/>
      <c r="N40" s="5"/>
      <c r="O40" s="5"/>
    </row>
    <row r="41" spans="1:15" x14ac:dyDescent="0.55000000000000004">
      <c r="A41">
        <v>106235987</v>
      </c>
      <c r="B41" s="5"/>
      <c r="C41" s="5" t="str">
        <f t="shared" si="0"/>
        <v>NIS</v>
      </c>
      <c r="D41" s="5"/>
      <c r="E41" s="5"/>
      <c r="F41" s="5"/>
      <c r="G41" s="5"/>
      <c r="H41" s="5"/>
      <c r="I41" s="5"/>
      <c r="J41" s="5"/>
      <c r="K41" s="6"/>
      <c r="L41" s="5"/>
      <c r="M41" s="5"/>
      <c r="N41" s="5"/>
      <c r="O41" s="5"/>
    </row>
    <row r="42" spans="1:15" x14ac:dyDescent="0.55000000000000004">
      <c r="A42">
        <v>105694494</v>
      </c>
      <c r="B42" s="5"/>
      <c r="C42" s="5" t="str">
        <f t="shared" si="0"/>
        <v>NIS</v>
      </c>
      <c r="D42" s="5"/>
      <c r="E42" s="5"/>
      <c r="F42" s="5"/>
      <c r="G42" s="5"/>
      <c r="H42" s="5"/>
      <c r="I42" s="5"/>
      <c r="J42" s="5"/>
      <c r="K42" s="6"/>
      <c r="L42" s="5"/>
      <c r="M42" s="5"/>
      <c r="N42" s="5"/>
      <c r="O42" s="5"/>
    </row>
    <row r="43" spans="1:15" x14ac:dyDescent="0.55000000000000004">
      <c r="A43">
        <v>105801362</v>
      </c>
      <c r="B43" s="5"/>
      <c r="C43" s="5" t="str">
        <f t="shared" si="0"/>
        <v>NIS</v>
      </c>
      <c r="D43" s="5"/>
      <c r="E43" s="5"/>
      <c r="F43" s="5"/>
      <c r="G43" s="5"/>
      <c r="H43" s="5"/>
      <c r="I43" s="5"/>
      <c r="J43" s="5"/>
      <c r="K43" s="6"/>
      <c r="L43" s="5"/>
      <c r="M43" s="5"/>
      <c r="N43" s="5"/>
      <c r="O43" s="5"/>
    </row>
    <row r="44" spans="1:15" x14ac:dyDescent="0.55000000000000004">
      <c r="A44">
        <v>105648550</v>
      </c>
      <c r="B44" s="5"/>
      <c r="C44" s="5" t="str">
        <f t="shared" si="0"/>
        <v>NIS</v>
      </c>
      <c r="D44" s="5"/>
      <c r="E44" s="5"/>
      <c r="F44" s="5"/>
      <c r="G44" s="5"/>
      <c r="H44" s="5"/>
      <c r="I44" s="5"/>
      <c r="J44" s="5"/>
      <c r="K44" s="6"/>
      <c r="L44" s="5"/>
      <c r="M44" s="5"/>
      <c r="N44" s="5"/>
      <c r="O44" s="5"/>
    </row>
    <row r="45" spans="1:15" x14ac:dyDescent="0.55000000000000004">
      <c r="A45">
        <v>105145284</v>
      </c>
      <c r="B45" s="5"/>
      <c r="C45" s="5" t="str">
        <f t="shared" si="0"/>
        <v>NIS</v>
      </c>
      <c r="D45" s="5"/>
      <c r="E45" s="5"/>
      <c r="F45" s="5"/>
      <c r="G45" s="5"/>
      <c r="H45" s="5"/>
      <c r="I45" s="5"/>
      <c r="J45" s="5"/>
      <c r="K45" s="6"/>
      <c r="L45" s="5"/>
      <c r="M45" s="5"/>
      <c r="N45" s="5"/>
      <c r="O45" s="5"/>
    </row>
    <row r="46" spans="1:15" x14ac:dyDescent="0.55000000000000004">
      <c r="A46">
        <v>105298974</v>
      </c>
      <c r="B46" s="5"/>
      <c r="C46" s="5" t="str">
        <f t="shared" si="0"/>
        <v>NIS</v>
      </c>
      <c r="D46" s="5"/>
      <c r="E46" s="5"/>
      <c r="F46" s="5"/>
      <c r="G46" s="5"/>
      <c r="H46" s="5"/>
      <c r="I46" s="5"/>
      <c r="J46" s="5"/>
      <c r="K46" s="6"/>
      <c r="L46" s="5"/>
      <c r="M46" s="5"/>
      <c r="N46" s="5"/>
      <c r="O46" s="5"/>
    </row>
    <row r="47" spans="1:15" x14ac:dyDescent="0.55000000000000004">
      <c r="A47">
        <v>105210702</v>
      </c>
      <c r="B47" s="5"/>
      <c r="C47" s="5" t="str">
        <f t="shared" si="0"/>
        <v>NIS</v>
      </c>
      <c r="D47" s="5"/>
      <c r="E47" s="5"/>
      <c r="F47" s="5"/>
      <c r="G47" s="5"/>
      <c r="H47" s="5"/>
      <c r="I47" s="5"/>
      <c r="J47" s="5"/>
      <c r="K47" s="6"/>
      <c r="L47" s="5"/>
      <c r="M47" s="5"/>
      <c r="N47" s="5"/>
      <c r="O47" s="5"/>
    </row>
    <row r="48" spans="1:15" x14ac:dyDescent="0.55000000000000004">
      <c r="A48">
        <v>106592846</v>
      </c>
      <c r="B48" s="5"/>
      <c r="C48" s="5" t="str">
        <f t="shared" si="0"/>
        <v>NIS</v>
      </c>
      <c r="D48" s="5"/>
      <c r="E48" s="5"/>
      <c r="F48" s="5"/>
      <c r="G48" s="5"/>
      <c r="H48" s="5"/>
      <c r="I48" s="5"/>
      <c r="J48" s="5"/>
      <c r="K48" s="6"/>
      <c r="L48" s="5"/>
      <c r="M48" s="5"/>
      <c r="N48" s="5"/>
      <c r="O48" s="5"/>
    </row>
    <row r="49" spans="1:15" x14ac:dyDescent="0.55000000000000004">
      <c r="A49">
        <v>106033256</v>
      </c>
      <c r="B49" s="5"/>
      <c r="C49" s="5" t="str">
        <f t="shared" si="0"/>
        <v>NIS</v>
      </c>
      <c r="D49" s="5"/>
      <c r="E49" s="5"/>
      <c r="F49" s="5"/>
      <c r="G49" s="5"/>
      <c r="H49" s="5"/>
      <c r="I49" s="5"/>
      <c r="J49" s="5"/>
      <c r="K49" s="6"/>
      <c r="L49" s="5"/>
      <c r="M49" s="5"/>
      <c r="N49" s="5"/>
      <c r="O49" s="5"/>
    </row>
    <row r="50" spans="1:15" x14ac:dyDescent="0.55000000000000004">
      <c r="A50">
        <v>105385228</v>
      </c>
      <c r="B50" s="5"/>
      <c r="C50" s="5" t="str">
        <f t="shared" si="0"/>
        <v>NIS</v>
      </c>
      <c r="D50" s="5"/>
      <c r="E50" s="5"/>
      <c r="F50" s="5"/>
      <c r="G50" s="5"/>
      <c r="H50" s="5"/>
      <c r="I50" s="5"/>
      <c r="J50" s="5"/>
      <c r="K50" s="6"/>
      <c r="L50" s="5"/>
      <c r="M50" s="5"/>
      <c r="N50" s="5"/>
      <c r="O50" s="5"/>
    </row>
    <row r="51" spans="1:15" x14ac:dyDescent="0.55000000000000004">
      <c r="A51">
        <v>106474149</v>
      </c>
      <c r="B51" s="5"/>
      <c r="C51" s="5" t="str">
        <f t="shared" si="0"/>
        <v>NIS</v>
      </c>
      <c r="D51" s="5"/>
      <c r="E51" s="5"/>
      <c r="F51" s="5"/>
      <c r="G51" s="5"/>
      <c r="H51" s="5"/>
      <c r="I51" s="5"/>
      <c r="J51" s="5"/>
      <c r="K51" s="6"/>
      <c r="L51" s="5"/>
      <c r="M51" s="5"/>
      <c r="N51" s="5"/>
      <c r="O51" s="5"/>
    </row>
    <row r="52" spans="1:15" x14ac:dyDescent="0.55000000000000004">
      <c r="A52">
        <v>106231541</v>
      </c>
      <c r="B52" s="5"/>
      <c r="C52" s="5" t="str">
        <f t="shared" si="0"/>
        <v>NIS</v>
      </c>
      <c r="D52" s="5"/>
      <c r="E52" s="5"/>
      <c r="F52" s="5"/>
      <c r="G52" s="5"/>
      <c r="H52" s="5"/>
      <c r="I52" s="5"/>
      <c r="J52" s="5"/>
      <c r="K52" s="6"/>
      <c r="L52" s="5"/>
      <c r="M52" s="5"/>
      <c r="N52" s="5"/>
      <c r="O52" s="5"/>
    </row>
    <row r="53" spans="1:15" x14ac:dyDescent="0.55000000000000004">
      <c r="A53">
        <v>105564308</v>
      </c>
      <c r="B53" s="5"/>
      <c r="C53" s="5" t="str">
        <f t="shared" si="0"/>
        <v>NIS</v>
      </c>
      <c r="D53" s="5"/>
      <c r="E53" s="5"/>
      <c r="F53" s="5"/>
      <c r="G53" s="5"/>
      <c r="H53" s="5"/>
      <c r="I53" s="5"/>
      <c r="J53" s="5"/>
      <c r="K53" s="6"/>
      <c r="L53" s="5"/>
      <c r="M53" s="5"/>
      <c r="N53" s="5"/>
      <c r="O53" s="5"/>
    </row>
    <row r="54" spans="1:15" x14ac:dyDescent="0.55000000000000004">
      <c r="A54">
        <v>106220177</v>
      </c>
      <c r="B54" s="5"/>
      <c r="C54" s="5" t="str">
        <f t="shared" si="0"/>
        <v>NIS</v>
      </c>
      <c r="D54" s="5"/>
      <c r="E54" s="5"/>
      <c r="F54" s="5"/>
      <c r="G54" s="5"/>
      <c r="H54" s="5"/>
      <c r="I54" s="5"/>
      <c r="J54" s="5"/>
      <c r="K54" s="6"/>
      <c r="L54" s="5"/>
      <c r="M54" s="5"/>
      <c r="N54" s="5"/>
      <c r="O54" s="5"/>
    </row>
    <row r="55" spans="1:15" x14ac:dyDescent="0.55000000000000004">
      <c r="A55">
        <v>106323076</v>
      </c>
      <c r="B55" s="5"/>
      <c r="C55" s="5" t="str">
        <f t="shared" si="0"/>
        <v>NIS</v>
      </c>
      <c r="D55" s="5"/>
      <c r="E55" s="5"/>
      <c r="F55" s="5"/>
      <c r="G55" s="5"/>
      <c r="H55" s="5"/>
      <c r="I55" s="5"/>
      <c r="J55" s="5"/>
      <c r="K55" s="6"/>
      <c r="L55" s="5"/>
      <c r="M55" s="5"/>
      <c r="N55" s="5"/>
      <c r="O55" s="5"/>
    </row>
    <row r="56" spans="1:15" x14ac:dyDescent="0.55000000000000004">
      <c r="A56">
        <v>106435081</v>
      </c>
      <c r="B56" s="5"/>
      <c r="C56" s="5" t="str">
        <f t="shared" si="0"/>
        <v>NIS</v>
      </c>
      <c r="D56" s="5"/>
      <c r="E56" s="5"/>
      <c r="F56" s="5"/>
      <c r="G56" s="5"/>
      <c r="H56" s="5"/>
      <c r="I56" s="5"/>
      <c r="J56" s="5"/>
      <c r="K56" s="6"/>
      <c r="L56" s="5"/>
      <c r="M56" s="5"/>
      <c r="N56" s="5"/>
      <c r="O56" s="5"/>
    </row>
    <row r="57" spans="1:15" x14ac:dyDescent="0.55000000000000004">
      <c r="A57">
        <v>105977620</v>
      </c>
      <c r="B57" s="5"/>
      <c r="C57" s="5" t="str">
        <f t="shared" si="0"/>
        <v>NIS</v>
      </c>
      <c r="D57" s="5"/>
      <c r="E57" s="5"/>
      <c r="F57" s="5"/>
      <c r="G57" s="5"/>
      <c r="H57" s="5"/>
      <c r="I57" s="5"/>
      <c r="J57" s="5"/>
      <c r="K57" s="6"/>
      <c r="L57" s="5"/>
      <c r="M57" s="5"/>
      <c r="N57" s="5"/>
      <c r="O57" s="5"/>
    </row>
    <row r="58" spans="1:15" x14ac:dyDescent="0.55000000000000004">
      <c r="A58">
        <v>106398742</v>
      </c>
      <c r="B58" s="5"/>
      <c r="C58" s="5" t="str">
        <f t="shared" si="0"/>
        <v>NIS</v>
      </c>
      <c r="D58" s="5"/>
      <c r="E58" s="5"/>
      <c r="F58" s="5"/>
      <c r="G58" s="5"/>
      <c r="H58" s="5"/>
      <c r="I58" s="5"/>
      <c r="J58" s="5"/>
      <c r="K58" s="6"/>
      <c r="L58" s="5"/>
      <c r="M58" s="5"/>
      <c r="N58" s="5"/>
      <c r="O58" s="5"/>
    </row>
    <row r="59" spans="1:15" x14ac:dyDescent="0.55000000000000004">
      <c r="A59">
        <v>105565995</v>
      </c>
      <c r="B59" s="5"/>
      <c r="C59" s="5" t="str">
        <f t="shared" si="0"/>
        <v>NIS</v>
      </c>
      <c r="D59" s="5"/>
      <c r="E59" s="5"/>
      <c r="F59" s="5"/>
      <c r="G59" s="5"/>
      <c r="H59" s="5"/>
      <c r="I59" s="5"/>
      <c r="J59" s="5"/>
      <c r="K59" s="6"/>
      <c r="L59" s="5"/>
      <c r="M59" s="5"/>
      <c r="N59" s="5"/>
      <c r="O59" s="5"/>
    </row>
    <row r="60" spans="1:15" x14ac:dyDescent="0.55000000000000004">
      <c r="A60">
        <v>105916632</v>
      </c>
      <c r="B60" s="5"/>
      <c r="C60" s="5" t="str">
        <f t="shared" si="0"/>
        <v>NIS</v>
      </c>
      <c r="D60" s="5"/>
      <c r="E60" s="5"/>
      <c r="F60" s="5"/>
      <c r="G60" s="5"/>
      <c r="H60" s="5"/>
      <c r="I60" s="5"/>
      <c r="J60" s="5"/>
      <c r="K60" s="6"/>
      <c r="L60" s="5"/>
      <c r="M60" s="5"/>
      <c r="N60" s="5"/>
      <c r="O60" s="5"/>
    </row>
    <row r="61" spans="1:15" x14ac:dyDescent="0.55000000000000004">
      <c r="A61">
        <v>106400881</v>
      </c>
      <c r="B61" s="5"/>
      <c r="C61" s="5" t="str">
        <f t="shared" si="0"/>
        <v>NIS</v>
      </c>
      <c r="D61" s="5"/>
      <c r="E61" s="5"/>
      <c r="F61" s="5"/>
      <c r="G61" s="5"/>
      <c r="H61" s="5"/>
      <c r="I61" s="5"/>
      <c r="J61" s="5"/>
      <c r="K61" s="6"/>
      <c r="L61" s="5"/>
      <c r="M61" s="5"/>
      <c r="N61" s="5"/>
      <c r="O61" s="5"/>
    </row>
    <row r="62" spans="1:15" x14ac:dyDescent="0.55000000000000004">
      <c r="A62">
        <v>106231335</v>
      </c>
      <c r="B62" s="5"/>
      <c r="C62" s="5" t="str">
        <f t="shared" si="0"/>
        <v>NIS</v>
      </c>
      <c r="D62" s="5"/>
      <c r="E62" s="5"/>
      <c r="F62" s="5"/>
      <c r="G62" s="5"/>
      <c r="H62" s="5"/>
      <c r="I62" s="5"/>
      <c r="J62" s="5"/>
      <c r="K62" s="6"/>
      <c r="L62" s="5"/>
      <c r="M62" s="5"/>
      <c r="N62" s="5"/>
      <c r="O62" s="5"/>
    </row>
    <row r="63" spans="1:15" x14ac:dyDescent="0.55000000000000004">
      <c r="A63">
        <v>105437961</v>
      </c>
      <c r="B63" s="5"/>
      <c r="C63" s="5" t="str">
        <f t="shared" si="0"/>
        <v>NIS</v>
      </c>
      <c r="D63" s="5"/>
      <c r="E63" s="5"/>
      <c r="F63" s="5"/>
      <c r="G63" s="5"/>
      <c r="H63" s="5"/>
      <c r="I63" s="5"/>
      <c r="J63" s="5"/>
      <c r="K63" s="6"/>
      <c r="L63" s="5"/>
      <c r="M63" s="5"/>
      <c r="N63" s="5"/>
      <c r="O63" s="5"/>
    </row>
    <row r="64" spans="1:15" x14ac:dyDescent="0.55000000000000004">
      <c r="A64">
        <v>106421331</v>
      </c>
      <c r="B64" s="5"/>
      <c r="C64" s="5" t="str">
        <f t="shared" si="0"/>
        <v>NIS</v>
      </c>
      <c r="D64" s="5"/>
      <c r="E64" s="5"/>
      <c r="F64" s="5"/>
      <c r="G64" s="5"/>
      <c r="H64" s="5"/>
      <c r="I64" s="5"/>
      <c r="J64" s="5"/>
      <c r="K64" s="6"/>
      <c r="L64" s="5"/>
      <c r="M64" s="5"/>
      <c r="N64" s="5"/>
      <c r="O64" s="5"/>
    </row>
    <row r="65" spans="1:15" x14ac:dyDescent="0.55000000000000004">
      <c r="A65">
        <v>105168536</v>
      </c>
      <c r="B65" s="5"/>
      <c r="C65" s="5" t="str">
        <f t="shared" si="0"/>
        <v>NIS</v>
      </c>
      <c r="D65" s="5"/>
      <c r="E65" s="5"/>
      <c r="F65" s="5"/>
      <c r="G65" s="5"/>
      <c r="H65" s="5"/>
      <c r="I65" s="5"/>
      <c r="J65" s="5"/>
      <c r="K65" s="6"/>
      <c r="L65" s="5"/>
      <c r="M65" s="5"/>
      <c r="N65" s="5"/>
      <c r="O65" s="5"/>
    </row>
    <row r="66" spans="1:15" x14ac:dyDescent="0.55000000000000004">
      <c r="A66">
        <v>105523508</v>
      </c>
      <c r="B66" s="5"/>
      <c r="C66" s="5" t="str">
        <f t="shared" ref="C66:C129" si="2">IF(COUNTIF($B:$B,A66)&gt;0,"IS","NIS")</f>
        <v>NIS</v>
      </c>
      <c r="D66" s="5"/>
      <c r="E66" s="5"/>
      <c r="F66" s="5"/>
      <c r="G66" s="5"/>
      <c r="H66" s="5"/>
      <c r="I66" s="5"/>
      <c r="J66" s="5"/>
      <c r="K66" s="6"/>
      <c r="L66" s="5"/>
      <c r="M66" s="5"/>
      <c r="N66" s="5"/>
      <c r="O66" s="5"/>
    </row>
    <row r="67" spans="1:15" x14ac:dyDescent="0.55000000000000004">
      <c r="A67">
        <v>105638910</v>
      </c>
      <c r="B67" s="5"/>
      <c r="C67" s="5" t="str">
        <f t="shared" si="2"/>
        <v>NIS</v>
      </c>
      <c r="D67" s="5"/>
      <c r="E67" s="5"/>
      <c r="F67" s="5"/>
      <c r="G67" s="5"/>
      <c r="H67" s="5"/>
      <c r="I67" s="5"/>
      <c r="J67" s="5"/>
      <c r="K67" s="6"/>
      <c r="L67" s="5"/>
      <c r="M67" s="5"/>
      <c r="N67" s="5"/>
      <c r="O67" s="5"/>
    </row>
    <row r="68" spans="1:15" x14ac:dyDescent="0.55000000000000004">
      <c r="A68">
        <v>106239552</v>
      </c>
      <c r="B68" s="5"/>
      <c r="C68" s="5" t="str">
        <f t="shared" si="2"/>
        <v>NIS</v>
      </c>
      <c r="D68" s="5"/>
      <c r="E68" s="5"/>
      <c r="F68" s="5"/>
      <c r="G68" s="5"/>
      <c r="H68" s="5"/>
      <c r="I68" s="5"/>
      <c r="J68" s="5"/>
      <c r="K68" s="6"/>
      <c r="L68" s="5"/>
      <c r="M68" s="5"/>
      <c r="N68" s="5"/>
      <c r="O68" s="5"/>
    </row>
    <row r="69" spans="1:15" x14ac:dyDescent="0.55000000000000004">
      <c r="A69">
        <v>105702681</v>
      </c>
      <c r="B69" s="5"/>
      <c r="C69" s="5" t="str">
        <f t="shared" si="2"/>
        <v>NIS</v>
      </c>
      <c r="D69" s="5"/>
      <c r="E69" s="5"/>
      <c r="F69" s="5"/>
      <c r="G69" s="5"/>
      <c r="H69" s="5"/>
      <c r="I69" s="5"/>
      <c r="J69" s="5"/>
      <c r="K69" s="6"/>
      <c r="L69" s="5"/>
      <c r="M69" s="5"/>
      <c r="N69" s="5"/>
      <c r="O69" s="5"/>
    </row>
    <row r="70" spans="1:15" x14ac:dyDescent="0.55000000000000004">
      <c r="A70">
        <v>105896708</v>
      </c>
      <c r="B70" s="5"/>
      <c r="C70" s="5" t="str">
        <f t="shared" si="2"/>
        <v>NIS</v>
      </c>
      <c r="D70" s="5"/>
      <c r="E70" s="5"/>
      <c r="F70" s="5"/>
      <c r="G70" s="5"/>
      <c r="H70" s="5"/>
      <c r="I70" s="5"/>
      <c r="J70" s="5"/>
      <c r="K70" s="6"/>
      <c r="L70" s="5"/>
      <c r="M70" s="5"/>
      <c r="N70" s="5"/>
      <c r="O70" s="5"/>
    </row>
    <row r="71" spans="1:15" x14ac:dyDescent="0.55000000000000004">
      <c r="A71">
        <v>105210876</v>
      </c>
      <c r="B71" s="5"/>
      <c r="C71" s="5" t="str">
        <f t="shared" si="2"/>
        <v>NIS</v>
      </c>
      <c r="D71" s="5"/>
      <c r="E71" s="5"/>
      <c r="F71" s="5"/>
      <c r="G71" s="5"/>
      <c r="H71" s="5"/>
      <c r="I71" s="5"/>
      <c r="J71" s="5"/>
      <c r="K71" s="6"/>
      <c r="L71" s="5"/>
      <c r="M71" s="5"/>
      <c r="N71" s="5"/>
      <c r="O71" s="5"/>
    </row>
    <row r="72" spans="1:15" x14ac:dyDescent="0.55000000000000004">
      <c r="A72">
        <v>104897042</v>
      </c>
      <c r="B72" s="5"/>
      <c r="C72" s="5" t="str">
        <f t="shared" si="2"/>
        <v>NIS</v>
      </c>
      <c r="D72" s="5"/>
      <c r="E72" s="5"/>
      <c r="F72" s="5"/>
      <c r="G72" s="5"/>
      <c r="H72" s="5"/>
      <c r="I72" s="5"/>
      <c r="J72" s="5"/>
      <c r="K72" s="6"/>
      <c r="L72" s="5"/>
      <c r="M72" s="5"/>
      <c r="N72" s="5"/>
      <c r="O72" s="5"/>
    </row>
    <row r="73" spans="1:15" x14ac:dyDescent="0.55000000000000004">
      <c r="A73">
        <v>104873149</v>
      </c>
      <c r="B73" s="5"/>
      <c r="C73" s="5" t="str">
        <f t="shared" si="2"/>
        <v>NIS</v>
      </c>
      <c r="D73" s="5"/>
      <c r="E73" s="5"/>
      <c r="F73" s="5"/>
      <c r="G73" s="5"/>
      <c r="H73" s="5"/>
      <c r="I73" s="5"/>
      <c r="J73" s="5"/>
      <c r="K73" s="6"/>
      <c r="L73" s="5"/>
      <c r="M73" s="5"/>
      <c r="N73" s="5"/>
      <c r="O73" s="5"/>
    </row>
    <row r="74" spans="1:15" x14ac:dyDescent="0.55000000000000004">
      <c r="A74">
        <v>105724023</v>
      </c>
      <c r="B74" s="5"/>
      <c r="C74" s="5" t="str">
        <f t="shared" si="2"/>
        <v>NIS</v>
      </c>
      <c r="D74" s="5"/>
      <c r="E74" s="5"/>
      <c r="F74" s="5"/>
      <c r="G74" s="5"/>
      <c r="H74" s="5"/>
      <c r="I74" s="5"/>
      <c r="J74" s="5"/>
      <c r="K74" s="6"/>
      <c r="L74" s="5"/>
      <c r="M74" s="5"/>
      <c r="N74" s="5"/>
      <c r="O74" s="5"/>
    </row>
    <row r="75" spans="1:15" x14ac:dyDescent="0.55000000000000004">
      <c r="A75">
        <v>106010623</v>
      </c>
      <c r="B75" s="5"/>
      <c r="C75" s="5" t="str">
        <f t="shared" si="2"/>
        <v>NIS</v>
      </c>
      <c r="D75" s="5"/>
      <c r="E75" s="5"/>
      <c r="F75" s="5"/>
      <c r="G75" s="5"/>
      <c r="H75" s="5"/>
      <c r="I75" s="5"/>
      <c r="J75" s="5"/>
      <c r="K75" s="6"/>
      <c r="L75" s="5"/>
      <c r="M75" s="5"/>
      <c r="N75" s="5"/>
      <c r="O75" s="5"/>
    </row>
    <row r="76" spans="1:15" x14ac:dyDescent="0.55000000000000004">
      <c r="A76">
        <v>105031820</v>
      </c>
      <c r="B76" s="5"/>
      <c r="C76" s="5" t="str">
        <f t="shared" si="2"/>
        <v>NIS</v>
      </c>
      <c r="D76" s="5"/>
      <c r="E76" s="5"/>
      <c r="F76" s="5"/>
      <c r="G76" s="5"/>
      <c r="H76" s="5"/>
      <c r="I76" s="5"/>
      <c r="J76" s="5"/>
      <c r="K76" s="6"/>
      <c r="L76" s="5"/>
      <c r="M76" s="5"/>
      <c r="N76" s="5"/>
      <c r="O76" s="5"/>
    </row>
    <row r="77" spans="1:15" x14ac:dyDescent="0.55000000000000004">
      <c r="A77">
        <v>105924988</v>
      </c>
      <c r="B77" s="5"/>
      <c r="C77" s="5" t="str">
        <f t="shared" si="2"/>
        <v>NIS</v>
      </c>
      <c r="D77" s="5"/>
      <c r="E77" s="5"/>
      <c r="F77" s="5"/>
      <c r="G77" s="5"/>
      <c r="H77" s="5"/>
      <c r="I77" s="5"/>
      <c r="J77" s="5"/>
      <c r="K77" s="6"/>
      <c r="L77" s="5"/>
      <c r="M77" s="5"/>
      <c r="N77" s="5"/>
      <c r="O77" s="5"/>
    </row>
    <row r="78" spans="1:15" x14ac:dyDescent="0.55000000000000004">
      <c r="A78">
        <v>105312488</v>
      </c>
      <c r="B78" s="5"/>
      <c r="C78" s="5" t="str">
        <f t="shared" si="2"/>
        <v>NIS</v>
      </c>
      <c r="D78" s="5"/>
      <c r="E78" s="5"/>
      <c r="F78" s="5"/>
      <c r="G78" s="5"/>
      <c r="H78" s="5"/>
      <c r="I78" s="5"/>
      <c r="J78" s="5"/>
      <c r="K78" s="6"/>
      <c r="L78" s="5"/>
      <c r="M78" s="5"/>
      <c r="N78" s="5"/>
      <c r="O78" s="5"/>
    </row>
    <row r="79" spans="1:15" x14ac:dyDescent="0.55000000000000004">
      <c r="A79">
        <v>105967555</v>
      </c>
      <c r="B79" s="5"/>
      <c r="C79" s="5" t="str">
        <f t="shared" si="2"/>
        <v>NIS</v>
      </c>
      <c r="D79" s="5"/>
      <c r="E79" s="5"/>
      <c r="F79" s="5"/>
      <c r="G79" s="5"/>
      <c r="H79" s="5"/>
      <c r="I79" s="5"/>
      <c r="J79" s="5"/>
      <c r="K79" s="6"/>
      <c r="L79" s="5"/>
      <c r="M79" s="5"/>
      <c r="N79" s="5"/>
      <c r="O79" s="5"/>
    </row>
    <row r="80" spans="1:15" x14ac:dyDescent="0.55000000000000004">
      <c r="A80">
        <v>106666358</v>
      </c>
      <c r="B80" s="5"/>
      <c r="C80" s="5" t="str">
        <f t="shared" si="2"/>
        <v>NIS</v>
      </c>
      <c r="D80" s="5"/>
      <c r="E80" s="5"/>
      <c r="F80" s="5"/>
      <c r="G80" s="5"/>
      <c r="H80" s="5"/>
      <c r="I80" s="5"/>
      <c r="J80" s="5"/>
      <c r="K80" s="6"/>
      <c r="L80" s="5"/>
      <c r="M80" s="5"/>
      <c r="N80" s="5"/>
      <c r="O80" s="5"/>
    </row>
    <row r="81" spans="1:15" x14ac:dyDescent="0.55000000000000004">
      <c r="A81">
        <v>106407346</v>
      </c>
      <c r="B81" s="5"/>
      <c r="C81" s="5" t="str">
        <f t="shared" si="2"/>
        <v>NIS</v>
      </c>
      <c r="D81" s="5"/>
      <c r="E81" s="5"/>
      <c r="F81" s="5"/>
      <c r="G81" s="5"/>
      <c r="H81" s="5"/>
      <c r="I81" s="5"/>
      <c r="J81" s="5"/>
      <c r="K81" s="6"/>
      <c r="L81" s="5"/>
      <c r="M81" s="5"/>
      <c r="N81" s="5"/>
      <c r="O81" s="5"/>
    </row>
    <row r="82" spans="1:15" x14ac:dyDescent="0.55000000000000004">
      <c r="A82">
        <v>105324897</v>
      </c>
      <c r="B82" s="5"/>
      <c r="C82" s="5" t="str">
        <f t="shared" si="2"/>
        <v>NIS</v>
      </c>
      <c r="D82" s="5"/>
      <c r="E82" s="5"/>
      <c r="F82" s="5"/>
      <c r="G82" s="5"/>
      <c r="H82" s="5"/>
      <c r="I82" s="5"/>
      <c r="J82" s="5"/>
      <c r="K82" s="6"/>
      <c r="L82" s="5"/>
      <c r="M82" s="5"/>
      <c r="N82" s="5"/>
      <c r="O82" s="5"/>
    </row>
    <row r="83" spans="1:15" x14ac:dyDescent="0.55000000000000004">
      <c r="A83">
        <v>104965741</v>
      </c>
      <c r="B83" s="5"/>
      <c r="C83" s="5" t="str">
        <f t="shared" si="2"/>
        <v>NIS</v>
      </c>
      <c r="D83" s="5"/>
      <c r="E83" s="5"/>
      <c r="F83" s="5"/>
      <c r="G83" s="5"/>
      <c r="H83" s="5"/>
      <c r="I83" s="5"/>
      <c r="J83" s="5"/>
      <c r="K83" s="6"/>
      <c r="L83" s="5"/>
      <c r="M83" s="5"/>
      <c r="N83" s="5"/>
      <c r="O83" s="5"/>
    </row>
    <row r="84" spans="1:15" x14ac:dyDescent="0.55000000000000004">
      <c r="A84">
        <v>105135737</v>
      </c>
      <c r="B84" s="5"/>
      <c r="C84" s="5" t="str">
        <f t="shared" si="2"/>
        <v>NIS</v>
      </c>
      <c r="D84" s="5"/>
      <c r="E84" s="5"/>
      <c r="F84" s="5"/>
      <c r="G84" s="5"/>
      <c r="H84" s="5"/>
      <c r="I84" s="5"/>
      <c r="J84" s="5"/>
      <c r="K84" s="6"/>
      <c r="L84" s="5"/>
      <c r="M84" s="5"/>
      <c r="N84" s="5"/>
      <c r="O84" s="5"/>
    </row>
    <row r="85" spans="1:15" x14ac:dyDescent="0.55000000000000004">
      <c r="A85">
        <v>105234527</v>
      </c>
      <c r="B85" s="5"/>
      <c r="C85" s="5" t="str">
        <f t="shared" si="2"/>
        <v>NIS</v>
      </c>
      <c r="D85" s="5"/>
      <c r="E85" s="5"/>
      <c r="F85" s="5"/>
      <c r="G85" s="5"/>
      <c r="H85" s="5"/>
      <c r="I85" s="5"/>
      <c r="J85" s="5"/>
      <c r="K85" s="6"/>
      <c r="L85" s="5"/>
      <c r="M85" s="5"/>
      <c r="N85" s="5"/>
      <c r="O85" s="5"/>
    </row>
    <row r="86" spans="1:15" x14ac:dyDescent="0.55000000000000004">
      <c r="A86">
        <v>106625274</v>
      </c>
      <c r="B86" s="5"/>
      <c r="C86" s="5" t="str">
        <f t="shared" si="2"/>
        <v>NIS</v>
      </c>
      <c r="D86" s="5"/>
      <c r="E86" s="5"/>
      <c r="F86" s="5"/>
      <c r="G86" s="5"/>
      <c r="H86" s="5"/>
      <c r="I86" s="5"/>
      <c r="J86" s="5"/>
      <c r="K86" s="6"/>
      <c r="L86" s="5"/>
      <c r="M86" s="5"/>
      <c r="N86" s="5"/>
      <c r="O86" s="5"/>
    </row>
    <row r="87" spans="1:15" x14ac:dyDescent="0.55000000000000004">
      <c r="A87">
        <v>105776148</v>
      </c>
      <c r="B87" s="5"/>
      <c r="C87" s="5" t="str">
        <f t="shared" si="2"/>
        <v>NIS</v>
      </c>
      <c r="D87" s="5"/>
      <c r="E87" s="5"/>
      <c r="F87" s="5"/>
      <c r="G87" s="5"/>
      <c r="H87" s="5"/>
      <c r="I87" s="5"/>
      <c r="J87" s="5"/>
      <c r="K87" s="6"/>
      <c r="L87" s="5"/>
      <c r="M87" s="5"/>
      <c r="N87" s="5"/>
      <c r="O87" s="5"/>
    </row>
    <row r="88" spans="1:15" x14ac:dyDescent="0.55000000000000004">
      <c r="A88">
        <v>106284963</v>
      </c>
      <c r="B88" s="5"/>
      <c r="C88" s="5" t="str">
        <f t="shared" si="2"/>
        <v>NIS</v>
      </c>
      <c r="D88" s="5"/>
      <c r="E88" s="5"/>
      <c r="F88" s="5"/>
      <c r="G88" s="5"/>
      <c r="H88" s="5"/>
      <c r="I88" s="5"/>
      <c r="J88" s="5"/>
      <c r="K88" s="6"/>
      <c r="L88" s="5"/>
      <c r="M88" s="5"/>
      <c r="N88" s="5"/>
      <c r="O88" s="5"/>
    </row>
    <row r="89" spans="1:15" x14ac:dyDescent="0.55000000000000004">
      <c r="A89">
        <v>104965219</v>
      </c>
      <c r="B89" s="5"/>
      <c r="C89" s="5" t="str">
        <f t="shared" si="2"/>
        <v>NIS</v>
      </c>
      <c r="D89" s="5"/>
      <c r="E89" s="5"/>
      <c r="F89" s="5"/>
      <c r="G89" s="5"/>
      <c r="H89" s="5"/>
      <c r="I89" s="5"/>
      <c r="J89" s="5"/>
      <c r="K89" s="6"/>
      <c r="L89" s="5"/>
      <c r="M89" s="5"/>
      <c r="N89" s="5"/>
      <c r="O89" s="5"/>
    </row>
    <row r="90" spans="1:15" x14ac:dyDescent="0.55000000000000004">
      <c r="A90">
        <v>105423495</v>
      </c>
      <c r="B90" s="5"/>
      <c r="C90" s="5" t="str">
        <f t="shared" si="2"/>
        <v>NIS</v>
      </c>
      <c r="D90" s="5"/>
      <c r="E90" s="5"/>
      <c r="F90" s="5"/>
      <c r="G90" s="5"/>
      <c r="H90" s="5"/>
      <c r="I90" s="5"/>
      <c r="J90" s="5"/>
      <c r="K90" s="6"/>
      <c r="L90" s="5"/>
      <c r="M90" s="5"/>
      <c r="N90" s="5"/>
      <c r="O90" s="5"/>
    </row>
    <row r="91" spans="1:15" x14ac:dyDescent="0.55000000000000004">
      <c r="A91">
        <v>104956727</v>
      </c>
      <c r="B91" s="5"/>
      <c r="C91" s="5" t="str">
        <f t="shared" si="2"/>
        <v>NIS</v>
      </c>
      <c r="D91" s="5"/>
      <c r="E91" s="5"/>
      <c r="F91" s="5"/>
      <c r="G91" s="5"/>
      <c r="H91" s="5"/>
      <c r="I91" s="5"/>
      <c r="J91" s="5"/>
      <c r="K91" s="6"/>
      <c r="L91" s="5"/>
      <c r="M91" s="5"/>
      <c r="N91" s="5"/>
      <c r="O91" s="5"/>
    </row>
    <row r="92" spans="1:15" x14ac:dyDescent="0.55000000000000004">
      <c r="A92">
        <v>105804316</v>
      </c>
      <c r="B92" s="5"/>
      <c r="C92" s="5" t="str">
        <f t="shared" si="2"/>
        <v>NIS</v>
      </c>
      <c r="D92" s="5"/>
      <c r="E92" s="5"/>
      <c r="F92" s="5"/>
      <c r="G92" s="5"/>
      <c r="H92" s="5"/>
      <c r="I92" s="5"/>
      <c r="J92" s="5"/>
      <c r="K92" s="6"/>
      <c r="L92" s="5"/>
      <c r="M92" s="5"/>
      <c r="N92" s="5"/>
      <c r="O92" s="5"/>
    </row>
    <row r="93" spans="1:15" x14ac:dyDescent="0.55000000000000004">
      <c r="A93">
        <v>106580994</v>
      </c>
      <c r="B93" s="5"/>
      <c r="C93" s="5" t="str">
        <f t="shared" si="2"/>
        <v>NIS</v>
      </c>
      <c r="D93" s="5"/>
      <c r="E93" s="5"/>
      <c r="F93" s="5"/>
      <c r="G93" s="5"/>
      <c r="H93" s="5"/>
      <c r="I93" s="5"/>
      <c r="J93" s="5"/>
      <c r="K93" s="6"/>
      <c r="L93" s="5"/>
      <c r="M93" s="5"/>
      <c r="N93" s="5"/>
      <c r="O93" s="5"/>
    </row>
    <row r="94" spans="1:15" x14ac:dyDescent="0.55000000000000004">
      <c r="A94">
        <v>106507554</v>
      </c>
      <c r="B94" s="5"/>
      <c r="C94" s="5" t="str">
        <f t="shared" si="2"/>
        <v>NIS</v>
      </c>
      <c r="D94" s="5"/>
      <c r="E94" s="5"/>
      <c r="F94" s="5"/>
      <c r="G94" s="5"/>
      <c r="H94" s="5"/>
      <c r="I94" s="5"/>
      <c r="J94" s="5"/>
      <c r="K94" s="6"/>
      <c r="L94" s="5"/>
      <c r="M94" s="5"/>
      <c r="N94" s="5"/>
      <c r="O94" s="5"/>
    </row>
    <row r="95" spans="1:15" x14ac:dyDescent="0.55000000000000004">
      <c r="A95">
        <v>105768395</v>
      </c>
      <c r="B95" s="5"/>
      <c r="C95" s="5" t="str">
        <f t="shared" si="2"/>
        <v>NIS</v>
      </c>
      <c r="D95" s="5"/>
      <c r="E95" s="5"/>
      <c r="F95" s="5"/>
      <c r="G95" s="5"/>
      <c r="H95" s="5"/>
      <c r="I95" s="5"/>
      <c r="J95" s="5"/>
      <c r="K95" s="6"/>
      <c r="L95" s="5"/>
      <c r="M95" s="5"/>
      <c r="N95" s="5"/>
      <c r="O95" s="5"/>
    </row>
    <row r="96" spans="1:15" x14ac:dyDescent="0.55000000000000004">
      <c r="A96">
        <v>104838040</v>
      </c>
      <c r="B96" s="5"/>
      <c r="C96" s="5" t="str">
        <f t="shared" si="2"/>
        <v>NIS</v>
      </c>
      <c r="D96" s="5"/>
      <c r="E96" s="5"/>
      <c r="F96" s="5"/>
      <c r="G96" s="5"/>
      <c r="H96" s="5"/>
      <c r="I96" s="5"/>
      <c r="J96" s="5"/>
      <c r="K96" s="6"/>
      <c r="L96" s="5"/>
      <c r="M96" s="5"/>
      <c r="N96" s="5"/>
      <c r="O96" s="5"/>
    </row>
    <row r="97" spans="1:15" x14ac:dyDescent="0.55000000000000004">
      <c r="A97">
        <v>106671984</v>
      </c>
      <c r="B97" s="5"/>
      <c r="C97" s="5" t="str">
        <f t="shared" si="2"/>
        <v>NIS</v>
      </c>
      <c r="D97" s="5"/>
      <c r="E97" s="5"/>
      <c r="F97" s="5"/>
      <c r="G97" s="5"/>
      <c r="H97" s="5"/>
      <c r="I97" s="5"/>
      <c r="J97" s="5"/>
      <c r="K97" s="6"/>
      <c r="L97" s="5"/>
      <c r="M97" s="5"/>
      <c r="N97" s="5"/>
      <c r="O97" s="5"/>
    </row>
    <row r="98" spans="1:15" x14ac:dyDescent="0.55000000000000004">
      <c r="A98">
        <v>105384957</v>
      </c>
      <c r="B98" s="5"/>
      <c r="C98" s="5" t="str">
        <f t="shared" si="2"/>
        <v>NIS</v>
      </c>
      <c r="D98" s="5"/>
      <c r="E98" s="5"/>
      <c r="F98" s="5"/>
      <c r="G98" s="5"/>
      <c r="H98" s="5"/>
      <c r="I98" s="5"/>
      <c r="J98" s="5"/>
      <c r="K98" s="6"/>
      <c r="L98" s="5"/>
      <c r="M98" s="5"/>
      <c r="N98" s="5"/>
      <c r="O98" s="5"/>
    </row>
    <row r="99" spans="1:15" x14ac:dyDescent="0.55000000000000004">
      <c r="A99">
        <v>105329422</v>
      </c>
      <c r="B99" s="5"/>
      <c r="C99" s="5" t="str">
        <f t="shared" si="2"/>
        <v>NIS</v>
      </c>
      <c r="D99" s="5"/>
      <c r="E99" s="5"/>
      <c r="F99" s="5"/>
      <c r="G99" s="5"/>
      <c r="H99" s="5"/>
      <c r="I99" s="5"/>
      <c r="J99" s="5"/>
      <c r="K99" s="6"/>
      <c r="L99" s="5"/>
      <c r="M99" s="5"/>
      <c r="N99" s="5"/>
      <c r="O99" s="5"/>
    </row>
    <row r="100" spans="1:15" x14ac:dyDescent="0.55000000000000004">
      <c r="A100">
        <v>106400310</v>
      </c>
      <c r="B100" s="5"/>
      <c r="C100" s="5" t="str">
        <f t="shared" si="2"/>
        <v>NIS</v>
      </c>
      <c r="D100" s="5"/>
      <c r="E100" s="5"/>
      <c r="F100" s="5"/>
      <c r="G100" s="5"/>
      <c r="H100" s="5"/>
      <c r="I100" s="5"/>
      <c r="J100" s="5"/>
      <c r="K100" s="6"/>
      <c r="L100" s="5"/>
      <c r="M100" s="5"/>
      <c r="N100" s="5"/>
      <c r="O100" s="5"/>
    </row>
    <row r="101" spans="1:15" x14ac:dyDescent="0.55000000000000004">
      <c r="A101">
        <v>105945353</v>
      </c>
      <c r="B101" s="5"/>
      <c r="C101" s="5" t="str">
        <f t="shared" si="2"/>
        <v>NIS</v>
      </c>
      <c r="D101" s="5"/>
      <c r="E101" s="5"/>
      <c r="F101" s="5"/>
      <c r="G101" s="5"/>
      <c r="H101" s="5"/>
      <c r="I101" s="5"/>
      <c r="J101" s="5"/>
      <c r="K101" s="6"/>
      <c r="L101" s="5"/>
      <c r="M101" s="5"/>
      <c r="N101" s="5"/>
      <c r="O101" s="5"/>
    </row>
    <row r="102" spans="1:15" x14ac:dyDescent="0.55000000000000004">
      <c r="A102">
        <v>105175373</v>
      </c>
      <c r="B102" s="5"/>
      <c r="C102" s="5" t="str">
        <f t="shared" si="2"/>
        <v>NIS</v>
      </c>
      <c r="D102" s="5"/>
      <c r="E102" s="5"/>
      <c r="F102" s="5"/>
      <c r="G102" s="5"/>
      <c r="H102" s="5"/>
      <c r="I102" s="5"/>
      <c r="J102" s="5"/>
      <c r="K102" s="6"/>
      <c r="L102" s="5"/>
      <c r="M102" s="5"/>
      <c r="N102" s="5"/>
      <c r="O102" s="5"/>
    </row>
    <row r="103" spans="1:15" x14ac:dyDescent="0.55000000000000004">
      <c r="A103">
        <v>105244994</v>
      </c>
      <c r="B103" s="5"/>
      <c r="C103" s="5" t="str">
        <f t="shared" si="2"/>
        <v>NIS</v>
      </c>
      <c r="D103" s="5"/>
      <c r="E103" s="5"/>
      <c r="F103" s="5"/>
      <c r="G103" s="5"/>
      <c r="H103" s="5"/>
      <c r="I103" s="5"/>
      <c r="J103" s="5"/>
      <c r="K103" s="6"/>
      <c r="L103" s="5"/>
      <c r="M103" s="5"/>
      <c r="N103" s="5"/>
      <c r="O103" s="5"/>
    </row>
    <row r="104" spans="1:15" x14ac:dyDescent="0.55000000000000004">
      <c r="A104">
        <v>105538418</v>
      </c>
      <c r="B104" s="5"/>
      <c r="C104" s="5" t="str">
        <f t="shared" si="2"/>
        <v>NIS</v>
      </c>
      <c r="D104" s="5"/>
      <c r="E104" s="5"/>
      <c r="F104" s="5"/>
      <c r="G104" s="5"/>
      <c r="H104" s="5"/>
      <c r="I104" s="5"/>
      <c r="J104" s="5"/>
      <c r="K104" s="6"/>
      <c r="L104" s="5"/>
      <c r="M104" s="5"/>
      <c r="N104" s="5"/>
      <c r="O104" s="5"/>
    </row>
    <row r="105" spans="1:15" x14ac:dyDescent="0.55000000000000004">
      <c r="A105">
        <v>105700765</v>
      </c>
      <c r="B105" s="5"/>
      <c r="C105" s="5" t="str">
        <f t="shared" si="2"/>
        <v>NIS</v>
      </c>
      <c r="D105" s="5"/>
      <c r="E105" s="5"/>
      <c r="F105" s="5"/>
      <c r="G105" s="5"/>
      <c r="H105" s="5"/>
      <c r="I105" s="5"/>
      <c r="J105" s="5"/>
      <c r="K105" s="6"/>
      <c r="L105" s="5"/>
      <c r="M105" s="5"/>
      <c r="N105" s="5"/>
      <c r="O105" s="5"/>
    </row>
    <row r="106" spans="1:15" x14ac:dyDescent="0.55000000000000004">
      <c r="A106">
        <v>105626863</v>
      </c>
      <c r="B106" s="5"/>
      <c r="C106" s="5" t="str">
        <f t="shared" si="2"/>
        <v>NIS</v>
      </c>
      <c r="D106" s="5"/>
      <c r="E106" s="5"/>
      <c r="F106" s="5"/>
      <c r="G106" s="5"/>
      <c r="H106" s="5"/>
      <c r="I106" s="5"/>
      <c r="J106" s="5"/>
      <c r="K106" s="6"/>
      <c r="L106" s="5"/>
      <c r="M106" s="5"/>
      <c r="N106" s="5"/>
      <c r="O106" s="5"/>
    </row>
    <row r="107" spans="1:15" x14ac:dyDescent="0.55000000000000004">
      <c r="A107">
        <v>105400724</v>
      </c>
      <c r="B107" s="5"/>
      <c r="C107" s="5" t="str">
        <f t="shared" si="2"/>
        <v>NIS</v>
      </c>
      <c r="D107" s="5"/>
      <c r="E107" s="5"/>
      <c r="F107" s="5"/>
      <c r="G107" s="5"/>
      <c r="H107" s="5"/>
      <c r="I107" s="5"/>
      <c r="J107" s="5"/>
      <c r="K107" s="6"/>
      <c r="L107" s="5"/>
      <c r="M107" s="5"/>
      <c r="N107" s="5"/>
      <c r="O107" s="5"/>
    </row>
    <row r="108" spans="1:15" x14ac:dyDescent="0.55000000000000004">
      <c r="A108">
        <v>106432632</v>
      </c>
      <c r="B108" s="5"/>
      <c r="C108" s="5" t="str">
        <f t="shared" si="2"/>
        <v>NIS</v>
      </c>
      <c r="D108" s="5"/>
      <c r="E108" s="5"/>
      <c r="F108" s="5"/>
      <c r="G108" s="5"/>
      <c r="H108" s="5"/>
      <c r="I108" s="5"/>
      <c r="J108" s="5"/>
      <c r="K108" s="6"/>
      <c r="L108" s="5"/>
      <c r="M108" s="5"/>
      <c r="N108" s="5"/>
      <c r="O108" s="5"/>
    </row>
    <row r="109" spans="1:15" x14ac:dyDescent="0.55000000000000004">
      <c r="A109">
        <v>106524672</v>
      </c>
      <c r="B109" s="5"/>
      <c r="C109" s="5" t="str">
        <f t="shared" si="2"/>
        <v>NIS</v>
      </c>
      <c r="D109" s="5"/>
      <c r="E109" s="5"/>
      <c r="F109" s="5"/>
      <c r="G109" s="5"/>
      <c r="H109" s="5"/>
      <c r="I109" s="5"/>
      <c r="J109" s="5"/>
      <c r="K109" s="6"/>
      <c r="L109" s="5"/>
      <c r="M109" s="5"/>
      <c r="N109" s="5"/>
      <c r="O109" s="5"/>
    </row>
    <row r="110" spans="1:15" x14ac:dyDescent="0.55000000000000004">
      <c r="A110">
        <v>105350359</v>
      </c>
      <c r="B110" s="5"/>
      <c r="C110" s="5" t="str">
        <f t="shared" si="2"/>
        <v>NIS</v>
      </c>
      <c r="D110" s="5"/>
      <c r="E110" s="5"/>
      <c r="F110" s="5"/>
      <c r="G110" s="5"/>
      <c r="H110" s="5"/>
      <c r="I110" s="5"/>
      <c r="J110" s="5"/>
      <c r="K110" s="6"/>
      <c r="L110" s="5"/>
      <c r="M110" s="5"/>
      <c r="N110" s="5"/>
      <c r="O110" s="5"/>
    </row>
    <row r="111" spans="1:15" x14ac:dyDescent="0.55000000000000004">
      <c r="A111">
        <v>106435273</v>
      </c>
      <c r="B111" s="5"/>
      <c r="C111" s="5" t="str">
        <f t="shared" si="2"/>
        <v>NIS</v>
      </c>
      <c r="D111" s="5"/>
      <c r="E111" s="5"/>
      <c r="F111" s="5"/>
      <c r="G111" s="5"/>
      <c r="H111" s="5"/>
      <c r="I111" s="5"/>
      <c r="J111" s="5"/>
      <c r="K111" s="6"/>
      <c r="L111" s="5"/>
      <c r="M111" s="5"/>
      <c r="N111" s="5"/>
      <c r="O111" s="5"/>
    </row>
    <row r="112" spans="1:15" x14ac:dyDescent="0.55000000000000004">
      <c r="A112">
        <v>104838095</v>
      </c>
      <c r="B112" s="5"/>
      <c r="C112" s="5" t="str">
        <f t="shared" si="2"/>
        <v>NIS</v>
      </c>
      <c r="D112" s="5"/>
      <c r="E112" s="5"/>
      <c r="F112" s="5"/>
      <c r="G112" s="5"/>
      <c r="H112" s="5"/>
      <c r="I112" s="5"/>
      <c r="J112" s="5"/>
      <c r="K112" s="6"/>
      <c r="L112" s="5"/>
      <c r="M112" s="5"/>
      <c r="N112" s="5"/>
      <c r="O112" s="5"/>
    </row>
    <row r="113" spans="1:15" x14ac:dyDescent="0.55000000000000004">
      <c r="A113">
        <v>106311047</v>
      </c>
      <c r="B113" s="5"/>
      <c r="C113" s="5" t="str">
        <f t="shared" si="2"/>
        <v>NIS</v>
      </c>
      <c r="D113" s="5"/>
      <c r="E113" s="5"/>
      <c r="F113" s="5"/>
      <c r="G113" s="5"/>
      <c r="H113" s="5"/>
      <c r="I113" s="5"/>
      <c r="J113" s="5"/>
      <c r="K113" s="6"/>
      <c r="L113" s="5"/>
      <c r="M113" s="5"/>
      <c r="N113" s="5"/>
      <c r="O113" s="5"/>
    </row>
    <row r="114" spans="1:15" x14ac:dyDescent="0.55000000000000004">
      <c r="A114">
        <v>106440758</v>
      </c>
      <c r="B114" s="5"/>
      <c r="C114" s="5" t="str">
        <f t="shared" si="2"/>
        <v>NIS</v>
      </c>
      <c r="D114" s="5"/>
      <c r="E114" s="5"/>
      <c r="F114" s="5"/>
      <c r="G114" s="5"/>
      <c r="H114" s="5"/>
      <c r="I114" s="5"/>
      <c r="J114" s="5"/>
      <c r="K114" s="6"/>
      <c r="L114" s="5"/>
      <c r="M114" s="5"/>
      <c r="N114" s="5"/>
      <c r="O114" s="5"/>
    </row>
    <row r="115" spans="1:15" x14ac:dyDescent="0.55000000000000004">
      <c r="A115">
        <v>106573611</v>
      </c>
      <c r="B115" s="5"/>
      <c r="C115" s="5" t="str">
        <f t="shared" si="2"/>
        <v>NIS</v>
      </c>
      <c r="D115" s="5"/>
      <c r="E115" s="5"/>
      <c r="F115" s="5"/>
      <c r="G115" s="5"/>
      <c r="H115" s="5"/>
      <c r="I115" s="5"/>
      <c r="J115" s="5"/>
      <c r="K115" s="6"/>
      <c r="L115" s="5"/>
      <c r="M115" s="5"/>
      <c r="N115" s="5"/>
      <c r="O115" s="5"/>
    </row>
    <row r="116" spans="1:15" x14ac:dyDescent="0.55000000000000004">
      <c r="A116">
        <v>104965157</v>
      </c>
      <c r="B116" s="5"/>
      <c r="C116" s="5" t="str">
        <f t="shared" si="2"/>
        <v>NIS</v>
      </c>
      <c r="D116" s="5"/>
      <c r="E116" s="5"/>
      <c r="F116" s="5"/>
      <c r="G116" s="5"/>
      <c r="H116" s="5"/>
      <c r="I116" s="5"/>
      <c r="J116" s="5"/>
      <c r="K116" s="6"/>
      <c r="L116" s="5"/>
      <c r="M116" s="5"/>
      <c r="N116" s="5"/>
      <c r="O116" s="5"/>
    </row>
    <row r="117" spans="1:15" x14ac:dyDescent="0.55000000000000004">
      <c r="A117">
        <v>106305983</v>
      </c>
      <c r="B117" s="5"/>
      <c r="C117" s="5" t="str">
        <f t="shared" si="2"/>
        <v>NIS</v>
      </c>
      <c r="D117" s="5"/>
      <c r="E117" s="5"/>
      <c r="F117" s="5"/>
      <c r="G117" s="5"/>
      <c r="H117" s="5"/>
      <c r="I117" s="5"/>
      <c r="J117" s="5"/>
      <c r="K117" s="6"/>
      <c r="L117" s="5"/>
      <c r="M117" s="5"/>
      <c r="N117" s="5"/>
      <c r="O117" s="5"/>
    </row>
    <row r="118" spans="1:15" x14ac:dyDescent="0.55000000000000004">
      <c r="A118">
        <v>105622727</v>
      </c>
      <c r="B118" s="5"/>
      <c r="C118" s="5" t="str">
        <f t="shared" si="2"/>
        <v>NIS</v>
      </c>
      <c r="D118" s="5"/>
      <c r="E118" s="5"/>
      <c r="F118" s="5"/>
      <c r="G118" s="5"/>
      <c r="H118" s="5"/>
      <c r="I118" s="5"/>
      <c r="J118" s="5"/>
      <c r="K118" s="6"/>
      <c r="L118" s="5"/>
      <c r="M118" s="5"/>
      <c r="N118" s="5"/>
      <c r="O118" s="5"/>
    </row>
    <row r="119" spans="1:15" x14ac:dyDescent="0.55000000000000004">
      <c r="A119">
        <v>104866074</v>
      </c>
      <c r="B119" s="5"/>
      <c r="C119" s="5" t="str">
        <f t="shared" si="2"/>
        <v>NIS</v>
      </c>
      <c r="D119" s="5"/>
      <c r="E119" s="5"/>
      <c r="F119" s="5"/>
      <c r="G119" s="5"/>
      <c r="H119" s="5"/>
      <c r="I119" s="5"/>
      <c r="J119" s="5"/>
      <c r="K119" s="6"/>
      <c r="L119" s="5"/>
      <c r="M119" s="5"/>
      <c r="N119" s="5"/>
      <c r="O119" s="5"/>
    </row>
    <row r="120" spans="1:15" x14ac:dyDescent="0.55000000000000004">
      <c r="A120">
        <v>106301590</v>
      </c>
      <c r="B120" s="5"/>
      <c r="C120" s="5" t="str">
        <f t="shared" si="2"/>
        <v>NIS</v>
      </c>
      <c r="D120" s="5"/>
      <c r="E120" s="5"/>
      <c r="F120" s="5"/>
      <c r="G120" s="5"/>
      <c r="H120" s="5"/>
      <c r="I120" s="5"/>
      <c r="J120" s="5"/>
      <c r="K120" s="6"/>
      <c r="L120" s="5"/>
      <c r="M120" s="5"/>
      <c r="N120" s="5"/>
      <c r="O120" s="5"/>
    </row>
    <row r="121" spans="1:15" x14ac:dyDescent="0.55000000000000004">
      <c r="A121">
        <v>106177994</v>
      </c>
      <c r="B121" s="5"/>
      <c r="C121" s="5" t="str">
        <f t="shared" si="2"/>
        <v>NIS</v>
      </c>
      <c r="D121" s="5"/>
      <c r="E121" s="5"/>
      <c r="F121" s="5"/>
      <c r="G121" s="5"/>
      <c r="H121" s="5"/>
      <c r="I121" s="5"/>
      <c r="J121" s="5"/>
      <c r="K121" s="6"/>
      <c r="L121" s="5"/>
      <c r="M121" s="5"/>
      <c r="N121" s="5"/>
      <c r="O121" s="5"/>
    </row>
    <row r="122" spans="1:15" x14ac:dyDescent="0.55000000000000004">
      <c r="A122">
        <v>106035698</v>
      </c>
      <c r="B122" s="5"/>
      <c r="C122" s="5" t="str">
        <f t="shared" si="2"/>
        <v>NIS</v>
      </c>
      <c r="D122" s="5"/>
      <c r="E122" s="5"/>
      <c r="F122" s="5"/>
      <c r="G122" s="5"/>
      <c r="H122" s="5"/>
      <c r="I122" s="5"/>
      <c r="J122" s="5"/>
      <c r="K122" s="6"/>
      <c r="L122" s="5"/>
      <c r="M122" s="5"/>
      <c r="N122" s="5"/>
      <c r="O122" s="5"/>
    </row>
    <row r="123" spans="1:15" x14ac:dyDescent="0.55000000000000004">
      <c r="A123">
        <v>104912533</v>
      </c>
      <c r="B123" s="5"/>
      <c r="C123" s="5" t="str">
        <f t="shared" si="2"/>
        <v>NIS</v>
      </c>
      <c r="D123" s="5"/>
      <c r="E123" s="5"/>
      <c r="F123" s="5"/>
      <c r="G123" s="5"/>
      <c r="H123" s="5"/>
      <c r="I123" s="5"/>
      <c r="J123" s="5"/>
      <c r="K123" s="6"/>
      <c r="L123" s="5"/>
      <c r="M123" s="5"/>
      <c r="N123" s="5"/>
      <c r="O123" s="5"/>
    </row>
    <row r="124" spans="1:15" x14ac:dyDescent="0.55000000000000004">
      <c r="A124">
        <v>106451930</v>
      </c>
      <c r="B124" s="5"/>
      <c r="C124" s="5" t="str">
        <f t="shared" si="2"/>
        <v>NIS</v>
      </c>
      <c r="D124" s="5"/>
      <c r="E124" s="5"/>
      <c r="F124" s="5"/>
      <c r="G124" s="5"/>
      <c r="H124" s="5"/>
      <c r="I124" s="5"/>
      <c r="J124" s="5"/>
      <c r="K124" s="6"/>
      <c r="L124" s="5"/>
      <c r="M124" s="5"/>
      <c r="N124" s="5"/>
      <c r="O124" s="5"/>
    </row>
    <row r="125" spans="1:15" x14ac:dyDescent="0.55000000000000004">
      <c r="A125">
        <v>106333878</v>
      </c>
      <c r="B125" s="5"/>
      <c r="C125" s="5" t="str">
        <f t="shared" si="2"/>
        <v>NIS</v>
      </c>
      <c r="D125" s="5"/>
      <c r="E125" s="5"/>
      <c r="F125" s="5"/>
      <c r="G125" s="5"/>
      <c r="H125" s="5"/>
      <c r="I125" s="5"/>
      <c r="J125" s="5"/>
      <c r="K125" s="6"/>
      <c r="L125" s="5"/>
      <c r="M125" s="5"/>
      <c r="N125" s="5"/>
      <c r="O125" s="5"/>
    </row>
    <row r="126" spans="1:15" x14ac:dyDescent="0.55000000000000004">
      <c r="A126">
        <v>105807133</v>
      </c>
      <c r="B126" s="5"/>
      <c r="C126" s="5" t="str">
        <f t="shared" si="2"/>
        <v>NIS</v>
      </c>
      <c r="D126" s="5"/>
      <c r="E126" s="5"/>
      <c r="F126" s="5"/>
      <c r="G126" s="5"/>
      <c r="H126" s="5"/>
      <c r="I126" s="5"/>
      <c r="J126" s="5"/>
      <c r="K126" s="6"/>
      <c r="L126" s="5"/>
      <c r="M126" s="5"/>
      <c r="N126" s="5"/>
      <c r="O126" s="5"/>
    </row>
    <row r="127" spans="1:15" x14ac:dyDescent="0.55000000000000004">
      <c r="A127">
        <v>104908762</v>
      </c>
      <c r="B127" s="5"/>
      <c r="C127" s="5" t="str">
        <f t="shared" si="2"/>
        <v>NIS</v>
      </c>
      <c r="D127" s="5"/>
      <c r="E127" s="5"/>
      <c r="F127" s="5"/>
      <c r="G127" s="5"/>
      <c r="H127" s="5"/>
      <c r="I127" s="5"/>
      <c r="J127" s="5"/>
      <c r="K127" s="6"/>
      <c r="L127" s="5"/>
      <c r="M127" s="5"/>
      <c r="N127" s="5"/>
      <c r="O127" s="5"/>
    </row>
    <row r="128" spans="1:15" x14ac:dyDescent="0.55000000000000004">
      <c r="A128">
        <v>106503746</v>
      </c>
      <c r="B128" s="5"/>
      <c r="C128" s="5" t="str">
        <f t="shared" si="2"/>
        <v>NIS</v>
      </c>
      <c r="D128" s="5"/>
      <c r="E128" s="5"/>
      <c r="F128" s="5"/>
      <c r="G128" s="5"/>
      <c r="H128" s="5"/>
      <c r="I128" s="5"/>
      <c r="J128" s="5"/>
      <c r="K128" s="6"/>
      <c r="L128" s="5"/>
      <c r="M128" s="5"/>
      <c r="N128" s="5"/>
      <c r="O128" s="5"/>
    </row>
    <row r="129" spans="1:15" x14ac:dyDescent="0.55000000000000004">
      <c r="A129">
        <v>106450279</v>
      </c>
      <c r="B129" s="5"/>
      <c r="C129" s="5" t="str">
        <f t="shared" si="2"/>
        <v>NIS</v>
      </c>
      <c r="D129" s="5"/>
      <c r="E129" s="5"/>
      <c r="F129" s="5"/>
      <c r="G129" s="5"/>
      <c r="H129" s="5"/>
      <c r="I129" s="5"/>
      <c r="J129" s="5"/>
      <c r="K129" s="6"/>
      <c r="L129" s="5"/>
      <c r="M129" s="5"/>
      <c r="N129" s="5"/>
      <c r="O129" s="5"/>
    </row>
    <row r="130" spans="1:15" x14ac:dyDescent="0.55000000000000004">
      <c r="A130">
        <v>106208300</v>
      </c>
      <c r="B130" s="5"/>
      <c r="C130" s="5" t="str">
        <f t="shared" ref="C130:C193" si="3">IF(COUNTIF($B:$B,A130)&gt;0,"IS","NIS")</f>
        <v>NIS</v>
      </c>
      <c r="D130" s="5"/>
      <c r="E130" s="5"/>
      <c r="F130" s="5"/>
      <c r="G130" s="5"/>
      <c r="H130" s="5"/>
      <c r="I130" s="5"/>
      <c r="J130" s="5"/>
      <c r="K130" s="6"/>
      <c r="L130" s="5"/>
      <c r="M130" s="5"/>
      <c r="N130" s="5"/>
      <c r="O130" s="5"/>
    </row>
    <row r="131" spans="1:15" x14ac:dyDescent="0.55000000000000004">
      <c r="A131">
        <v>106018164</v>
      </c>
      <c r="B131" s="5"/>
      <c r="C131" s="5" t="str">
        <f t="shared" si="3"/>
        <v>NIS</v>
      </c>
      <c r="D131" s="5"/>
      <c r="E131" s="5"/>
      <c r="F131" s="5"/>
      <c r="G131" s="5"/>
      <c r="H131" s="5"/>
      <c r="I131" s="5"/>
      <c r="J131" s="5"/>
      <c r="K131" s="6"/>
      <c r="L131" s="5"/>
      <c r="M131" s="5"/>
      <c r="N131" s="5"/>
      <c r="O131" s="5"/>
    </row>
    <row r="132" spans="1:15" x14ac:dyDescent="0.55000000000000004">
      <c r="A132">
        <v>106157983</v>
      </c>
      <c r="B132" s="5"/>
      <c r="C132" s="5" t="str">
        <f t="shared" si="3"/>
        <v>NIS</v>
      </c>
      <c r="D132" s="5"/>
      <c r="E132" s="5"/>
      <c r="F132" s="5"/>
      <c r="G132" s="5"/>
      <c r="H132" s="5"/>
      <c r="I132" s="5"/>
      <c r="J132" s="5"/>
      <c r="K132" s="6"/>
      <c r="L132" s="5"/>
      <c r="M132" s="5"/>
      <c r="N132" s="5"/>
      <c r="O132" s="5"/>
    </row>
    <row r="133" spans="1:15" x14ac:dyDescent="0.55000000000000004">
      <c r="A133">
        <v>105027948</v>
      </c>
      <c r="B133" s="5"/>
      <c r="C133" s="5" t="str">
        <f t="shared" si="3"/>
        <v>NIS</v>
      </c>
      <c r="D133" s="5"/>
      <c r="E133" s="5"/>
      <c r="F133" s="5"/>
      <c r="G133" s="5"/>
      <c r="H133" s="5"/>
      <c r="I133" s="5"/>
      <c r="J133" s="5"/>
      <c r="K133" s="6"/>
      <c r="L133" s="5"/>
      <c r="M133" s="5"/>
      <c r="N133" s="5"/>
      <c r="O133" s="5"/>
    </row>
    <row r="134" spans="1:15" x14ac:dyDescent="0.55000000000000004">
      <c r="A134">
        <v>105634786</v>
      </c>
      <c r="B134" s="5"/>
      <c r="C134" s="5" t="str">
        <f t="shared" si="3"/>
        <v>NIS</v>
      </c>
      <c r="D134" s="5"/>
      <c r="E134" s="5"/>
      <c r="F134" s="5"/>
      <c r="G134" s="5"/>
      <c r="H134" s="5"/>
      <c r="I134" s="5"/>
      <c r="J134" s="5"/>
      <c r="K134" s="6"/>
      <c r="L134" s="5"/>
      <c r="M134" s="5"/>
      <c r="N134" s="5"/>
      <c r="O134" s="5"/>
    </row>
    <row r="135" spans="1:15" x14ac:dyDescent="0.55000000000000004">
      <c r="A135">
        <v>105661575</v>
      </c>
      <c r="B135" s="5"/>
      <c r="C135" s="5" t="str">
        <f t="shared" si="3"/>
        <v>NIS</v>
      </c>
      <c r="D135" s="5"/>
      <c r="E135" s="5"/>
      <c r="F135" s="5"/>
      <c r="G135" s="5"/>
      <c r="H135" s="5"/>
      <c r="I135" s="5"/>
      <c r="J135" s="5"/>
      <c r="K135" s="6"/>
      <c r="L135" s="5"/>
      <c r="M135" s="5"/>
      <c r="N135" s="5"/>
      <c r="O135" s="5"/>
    </row>
    <row r="136" spans="1:15" x14ac:dyDescent="0.55000000000000004">
      <c r="A136">
        <v>106361021</v>
      </c>
      <c r="B136" s="5"/>
      <c r="C136" s="5" t="str">
        <f t="shared" si="3"/>
        <v>NIS</v>
      </c>
      <c r="D136" s="5"/>
      <c r="E136" s="5"/>
      <c r="F136" s="5"/>
      <c r="G136" s="5"/>
      <c r="H136" s="5"/>
      <c r="I136" s="5"/>
      <c r="J136" s="5"/>
      <c r="K136" s="6"/>
      <c r="L136" s="5"/>
      <c r="M136" s="5"/>
      <c r="N136" s="5"/>
      <c r="O136" s="5"/>
    </row>
    <row r="137" spans="1:15" x14ac:dyDescent="0.55000000000000004">
      <c r="A137">
        <v>106126696</v>
      </c>
      <c r="B137" s="5"/>
      <c r="C137" s="5" t="str">
        <f t="shared" si="3"/>
        <v>NIS</v>
      </c>
      <c r="D137" s="5"/>
      <c r="E137" s="5"/>
      <c r="F137" s="5"/>
      <c r="G137" s="5"/>
      <c r="H137" s="5"/>
      <c r="I137" s="5"/>
      <c r="J137" s="5"/>
      <c r="K137" s="6"/>
      <c r="L137" s="5"/>
      <c r="M137" s="5"/>
      <c r="N137" s="5"/>
      <c r="O137" s="5"/>
    </row>
    <row r="138" spans="1:15" x14ac:dyDescent="0.55000000000000004">
      <c r="A138">
        <v>106653488</v>
      </c>
      <c r="B138" s="5"/>
      <c r="C138" s="5" t="str">
        <f t="shared" si="3"/>
        <v>NIS</v>
      </c>
      <c r="D138" s="5"/>
      <c r="E138" s="5"/>
      <c r="F138" s="5"/>
      <c r="G138" s="5"/>
      <c r="H138" s="5"/>
      <c r="I138" s="5"/>
      <c r="J138" s="5"/>
      <c r="K138" s="6"/>
      <c r="L138" s="5"/>
      <c r="M138" s="5"/>
      <c r="N138" s="5"/>
      <c r="O138" s="5"/>
    </row>
    <row r="139" spans="1:15" x14ac:dyDescent="0.55000000000000004">
      <c r="A139">
        <v>105749221</v>
      </c>
      <c r="B139" s="5"/>
      <c r="C139" s="5" t="str">
        <f t="shared" si="3"/>
        <v>NIS</v>
      </c>
      <c r="D139" s="5"/>
      <c r="E139" s="5"/>
      <c r="F139" s="5"/>
      <c r="G139" s="5"/>
      <c r="H139" s="5"/>
      <c r="I139" s="5"/>
      <c r="J139" s="5"/>
      <c r="K139" s="6"/>
      <c r="L139" s="5"/>
      <c r="M139" s="5"/>
      <c r="N139" s="5"/>
      <c r="O139" s="5"/>
    </row>
    <row r="140" spans="1:15" x14ac:dyDescent="0.55000000000000004">
      <c r="A140">
        <v>106669332</v>
      </c>
      <c r="B140" s="5"/>
      <c r="C140" s="5" t="str">
        <f t="shared" si="3"/>
        <v>NIS</v>
      </c>
      <c r="D140" s="5"/>
      <c r="E140" s="5"/>
      <c r="F140" s="5"/>
      <c r="G140" s="5"/>
      <c r="H140" s="5"/>
      <c r="I140" s="5"/>
      <c r="J140" s="5"/>
      <c r="K140" s="6"/>
      <c r="L140" s="5"/>
      <c r="M140" s="5"/>
      <c r="N140" s="5"/>
      <c r="O140" s="5"/>
    </row>
    <row r="141" spans="1:15" x14ac:dyDescent="0.55000000000000004">
      <c r="A141">
        <v>106224677</v>
      </c>
      <c r="B141" s="5"/>
      <c r="C141" s="5" t="str">
        <f t="shared" si="3"/>
        <v>NIS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</row>
    <row r="142" spans="1:15" x14ac:dyDescent="0.55000000000000004">
      <c r="A142">
        <v>105950369</v>
      </c>
      <c r="B142" s="5"/>
      <c r="C142" s="5" t="str">
        <f t="shared" si="3"/>
        <v>NIS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</row>
    <row r="143" spans="1:15" x14ac:dyDescent="0.55000000000000004">
      <c r="A143">
        <v>105254846</v>
      </c>
      <c r="B143" s="5"/>
      <c r="C143" s="5" t="str">
        <f t="shared" si="3"/>
        <v>NIS</v>
      </c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</row>
    <row r="144" spans="1:15" x14ac:dyDescent="0.55000000000000004">
      <c r="A144">
        <v>104891898</v>
      </c>
      <c r="B144" s="5"/>
      <c r="C144" s="5" t="str">
        <f t="shared" si="3"/>
        <v>NIS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</row>
    <row r="145" spans="1:15" x14ac:dyDescent="0.55000000000000004">
      <c r="A145">
        <v>106428444</v>
      </c>
      <c r="B145" s="5"/>
      <c r="C145" s="5" t="str">
        <f t="shared" si="3"/>
        <v>NIS</v>
      </c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</row>
    <row r="146" spans="1:15" x14ac:dyDescent="0.55000000000000004">
      <c r="A146">
        <v>106245262</v>
      </c>
      <c r="B146" s="5"/>
      <c r="C146" s="5" t="str">
        <f t="shared" si="3"/>
        <v>NIS</v>
      </c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</row>
    <row r="147" spans="1:15" x14ac:dyDescent="0.55000000000000004">
      <c r="A147">
        <v>106540912</v>
      </c>
      <c r="B147" s="5"/>
      <c r="C147" s="5" t="str">
        <f t="shared" si="3"/>
        <v>NIS</v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</row>
    <row r="148" spans="1:15" x14ac:dyDescent="0.55000000000000004">
      <c r="A148">
        <v>105812045</v>
      </c>
      <c r="B148" s="5"/>
      <c r="C148" s="5" t="str">
        <f t="shared" si="3"/>
        <v>NIS</v>
      </c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</row>
    <row r="149" spans="1:15" x14ac:dyDescent="0.55000000000000004">
      <c r="A149">
        <v>106339613</v>
      </c>
      <c r="B149" s="5"/>
      <c r="C149" s="5" t="str">
        <f t="shared" si="3"/>
        <v>NIS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</row>
    <row r="150" spans="1:15" x14ac:dyDescent="0.55000000000000004">
      <c r="A150">
        <v>104920845</v>
      </c>
      <c r="B150" s="5"/>
      <c r="C150" s="5" t="str">
        <f t="shared" si="3"/>
        <v>NIS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</row>
    <row r="151" spans="1:15" x14ac:dyDescent="0.55000000000000004">
      <c r="A151">
        <v>105518588</v>
      </c>
      <c r="B151" s="5"/>
      <c r="C151" s="5" t="str">
        <f t="shared" si="3"/>
        <v>NIS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</row>
    <row r="152" spans="1:15" x14ac:dyDescent="0.55000000000000004">
      <c r="A152">
        <v>105139082</v>
      </c>
      <c r="B152" s="5"/>
      <c r="C152" s="5" t="str">
        <f t="shared" si="3"/>
        <v>NIS</v>
      </c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</row>
    <row r="153" spans="1:15" x14ac:dyDescent="0.55000000000000004">
      <c r="A153">
        <v>106189793</v>
      </c>
      <c r="B153" s="5"/>
      <c r="C153" s="5" t="str">
        <f t="shared" si="3"/>
        <v>NIS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</row>
    <row r="154" spans="1:15" x14ac:dyDescent="0.55000000000000004">
      <c r="A154">
        <v>105404664</v>
      </c>
      <c r="B154" s="5"/>
      <c r="C154" s="5" t="str">
        <f t="shared" si="3"/>
        <v>NIS</v>
      </c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</row>
    <row r="155" spans="1:15" x14ac:dyDescent="0.55000000000000004">
      <c r="A155">
        <v>106504783</v>
      </c>
      <c r="B155" s="5"/>
      <c r="C155" s="5" t="str">
        <f t="shared" si="3"/>
        <v>NIS</v>
      </c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</row>
    <row r="156" spans="1:15" x14ac:dyDescent="0.55000000000000004">
      <c r="A156">
        <v>106146333</v>
      </c>
      <c r="B156" s="5"/>
      <c r="C156" s="5" t="str">
        <f t="shared" si="3"/>
        <v>NIS</v>
      </c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</row>
    <row r="157" spans="1:15" x14ac:dyDescent="0.55000000000000004">
      <c r="A157">
        <v>105312514</v>
      </c>
      <c r="B157" s="5"/>
      <c r="C157" s="5" t="str">
        <f t="shared" si="3"/>
        <v>NIS</v>
      </c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</row>
    <row r="158" spans="1:15" x14ac:dyDescent="0.55000000000000004">
      <c r="A158">
        <v>106455250</v>
      </c>
      <c r="B158" s="5"/>
      <c r="C158" s="5" t="str">
        <f t="shared" si="3"/>
        <v>NIS</v>
      </c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</row>
    <row r="159" spans="1:15" x14ac:dyDescent="0.55000000000000004">
      <c r="A159">
        <v>106468483</v>
      </c>
      <c r="B159" s="5"/>
      <c r="C159" s="5" t="str">
        <f t="shared" si="3"/>
        <v>NIS</v>
      </c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</row>
    <row r="160" spans="1:15" x14ac:dyDescent="0.55000000000000004">
      <c r="A160">
        <v>106572140</v>
      </c>
      <c r="B160" s="5"/>
      <c r="C160" s="5" t="str">
        <f t="shared" si="3"/>
        <v>NIS</v>
      </c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</row>
    <row r="161" spans="1:15" x14ac:dyDescent="0.55000000000000004">
      <c r="A161">
        <v>105722085</v>
      </c>
      <c r="B161" s="5"/>
      <c r="C161" s="5" t="str">
        <f t="shared" si="3"/>
        <v>NIS</v>
      </c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</row>
    <row r="162" spans="1:15" x14ac:dyDescent="0.55000000000000004">
      <c r="A162">
        <v>106220163</v>
      </c>
      <c r="B162" s="5"/>
      <c r="C162" s="5" t="str">
        <f t="shared" si="3"/>
        <v>NIS</v>
      </c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</row>
    <row r="163" spans="1:15" x14ac:dyDescent="0.55000000000000004">
      <c r="A163">
        <v>105607057</v>
      </c>
      <c r="B163" s="5"/>
      <c r="C163" s="5" t="str">
        <f t="shared" si="3"/>
        <v>NIS</v>
      </c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</row>
    <row r="164" spans="1:15" x14ac:dyDescent="0.55000000000000004">
      <c r="A164">
        <v>106086872</v>
      </c>
      <c r="B164" s="5"/>
      <c r="C164" s="5" t="str">
        <f t="shared" si="3"/>
        <v>NIS</v>
      </c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</row>
    <row r="165" spans="1:15" x14ac:dyDescent="0.55000000000000004">
      <c r="A165">
        <v>106495501</v>
      </c>
      <c r="B165" s="5"/>
      <c r="C165" s="5" t="str">
        <f t="shared" si="3"/>
        <v>NIS</v>
      </c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</row>
    <row r="166" spans="1:15" x14ac:dyDescent="0.55000000000000004">
      <c r="A166">
        <v>106610778</v>
      </c>
      <c r="B166" s="5"/>
      <c r="C166" s="5" t="str">
        <f t="shared" si="3"/>
        <v>NIS</v>
      </c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</row>
    <row r="167" spans="1:15" x14ac:dyDescent="0.55000000000000004">
      <c r="A167">
        <v>106478904</v>
      </c>
      <c r="B167" s="5"/>
      <c r="C167" s="5" t="str">
        <f t="shared" si="3"/>
        <v>NIS</v>
      </c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</row>
    <row r="168" spans="1:15" x14ac:dyDescent="0.55000000000000004">
      <c r="A168">
        <v>106427913</v>
      </c>
      <c r="B168" s="5"/>
      <c r="C168" s="5" t="str">
        <f t="shared" si="3"/>
        <v>NIS</v>
      </c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</row>
    <row r="169" spans="1:15" x14ac:dyDescent="0.55000000000000004">
      <c r="A169">
        <v>106056320</v>
      </c>
      <c r="B169" s="5"/>
      <c r="C169" s="5" t="str">
        <f t="shared" si="3"/>
        <v>NIS</v>
      </c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</row>
    <row r="170" spans="1:15" x14ac:dyDescent="0.55000000000000004">
      <c r="A170">
        <v>105713074</v>
      </c>
      <c r="B170" s="5"/>
      <c r="C170" s="5" t="str">
        <f t="shared" si="3"/>
        <v>NIS</v>
      </c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</row>
    <row r="171" spans="1:15" x14ac:dyDescent="0.55000000000000004">
      <c r="A171">
        <v>106597502</v>
      </c>
      <c r="B171" s="5"/>
      <c r="C171" s="5" t="str">
        <f t="shared" si="3"/>
        <v>NIS</v>
      </c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</row>
    <row r="172" spans="1:15" x14ac:dyDescent="0.55000000000000004">
      <c r="A172">
        <v>106597378</v>
      </c>
      <c r="B172" s="5"/>
      <c r="C172" s="5" t="str">
        <f t="shared" si="3"/>
        <v>NIS</v>
      </c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</row>
    <row r="173" spans="1:15" x14ac:dyDescent="0.55000000000000004">
      <c r="A173">
        <v>106665097</v>
      </c>
      <c r="B173" s="5"/>
      <c r="C173" s="5" t="str">
        <f t="shared" si="3"/>
        <v>NIS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</row>
    <row r="174" spans="1:15" x14ac:dyDescent="0.55000000000000004">
      <c r="A174">
        <v>104843782</v>
      </c>
      <c r="B174" s="5"/>
      <c r="C174" s="5" t="str">
        <f t="shared" si="3"/>
        <v>NIS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</row>
    <row r="175" spans="1:15" x14ac:dyDescent="0.55000000000000004">
      <c r="A175">
        <v>105181657</v>
      </c>
      <c r="B175" s="5"/>
      <c r="C175" s="5" t="str">
        <f t="shared" si="3"/>
        <v>NIS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</row>
    <row r="176" spans="1:15" x14ac:dyDescent="0.55000000000000004">
      <c r="A176">
        <v>105685678</v>
      </c>
      <c r="B176" s="5"/>
      <c r="C176" s="5" t="str">
        <f t="shared" si="3"/>
        <v>NIS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</row>
    <row r="177" spans="1:15" x14ac:dyDescent="0.55000000000000004">
      <c r="A177">
        <v>105658475</v>
      </c>
      <c r="B177" s="5"/>
      <c r="C177" s="5" t="str">
        <f t="shared" si="3"/>
        <v>NIS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</row>
    <row r="178" spans="1:15" x14ac:dyDescent="0.55000000000000004">
      <c r="A178">
        <v>105660617</v>
      </c>
      <c r="B178" s="5"/>
      <c r="C178" s="5" t="str">
        <f t="shared" si="3"/>
        <v>NIS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</row>
    <row r="179" spans="1:15" x14ac:dyDescent="0.55000000000000004">
      <c r="A179">
        <v>105514395</v>
      </c>
      <c r="B179" s="5"/>
      <c r="C179" s="5" t="str">
        <f t="shared" si="3"/>
        <v>NIS</v>
      </c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</row>
    <row r="180" spans="1:15" x14ac:dyDescent="0.55000000000000004">
      <c r="A180">
        <v>105331465</v>
      </c>
      <c r="B180" s="5"/>
      <c r="C180" s="5" t="str">
        <f t="shared" si="3"/>
        <v>NIS</v>
      </c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</row>
    <row r="181" spans="1:15" x14ac:dyDescent="0.55000000000000004">
      <c r="A181">
        <v>105300152</v>
      </c>
      <c r="B181" s="5"/>
      <c r="C181" s="5" t="str">
        <f t="shared" si="3"/>
        <v>NIS</v>
      </c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</row>
    <row r="182" spans="1:15" x14ac:dyDescent="0.55000000000000004">
      <c r="A182">
        <v>106460747</v>
      </c>
      <c r="B182" s="5"/>
      <c r="C182" s="5" t="str">
        <f t="shared" si="3"/>
        <v>NIS</v>
      </c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</row>
    <row r="183" spans="1:15" x14ac:dyDescent="0.55000000000000004">
      <c r="A183">
        <v>105608329</v>
      </c>
      <c r="B183" s="5"/>
      <c r="C183" s="5" t="str">
        <f t="shared" si="3"/>
        <v>NIS</v>
      </c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</row>
    <row r="184" spans="1:15" x14ac:dyDescent="0.55000000000000004">
      <c r="A184">
        <v>105185301</v>
      </c>
      <c r="B184" s="5"/>
      <c r="C184" s="5" t="str">
        <f t="shared" si="3"/>
        <v>NIS</v>
      </c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</row>
    <row r="185" spans="1:15" x14ac:dyDescent="0.55000000000000004">
      <c r="A185">
        <v>105994404</v>
      </c>
      <c r="B185" s="5"/>
      <c r="C185" s="5" t="str">
        <f t="shared" si="3"/>
        <v>NIS</v>
      </c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</row>
    <row r="186" spans="1:15" x14ac:dyDescent="0.55000000000000004">
      <c r="A186">
        <v>105721541</v>
      </c>
      <c r="B186" s="5"/>
      <c r="C186" s="5" t="str">
        <f t="shared" si="3"/>
        <v>NIS</v>
      </c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</row>
    <row r="187" spans="1:15" x14ac:dyDescent="0.55000000000000004">
      <c r="A187">
        <v>105924827</v>
      </c>
      <c r="B187" s="5"/>
      <c r="C187" s="5" t="str">
        <f t="shared" si="3"/>
        <v>NIS</v>
      </c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</row>
    <row r="188" spans="1:15" x14ac:dyDescent="0.55000000000000004">
      <c r="A188">
        <v>106677968</v>
      </c>
      <c r="B188" s="5"/>
      <c r="C188" s="5" t="str">
        <f t="shared" si="3"/>
        <v>NIS</v>
      </c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</row>
    <row r="189" spans="1:15" x14ac:dyDescent="0.55000000000000004">
      <c r="A189">
        <v>105755373</v>
      </c>
      <c r="B189" s="5"/>
      <c r="C189" s="5" t="str">
        <f t="shared" si="3"/>
        <v>NIS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</row>
    <row r="190" spans="1:15" x14ac:dyDescent="0.55000000000000004">
      <c r="A190">
        <v>106574813</v>
      </c>
      <c r="B190" s="5"/>
      <c r="C190" s="5" t="str">
        <f t="shared" si="3"/>
        <v>NIS</v>
      </c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</row>
    <row r="191" spans="1:15" x14ac:dyDescent="0.55000000000000004">
      <c r="A191">
        <v>104960912</v>
      </c>
      <c r="B191" s="5"/>
      <c r="C191" s="5" t="str">
        <f t="shared" si="3"/>
        <v>NIS</v>
      </c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</row>
    <row r="192" spans="1:15" x14ac:dyDescent="0.55000000000000004">
      <c r="A192">
        <v>105623496</v>
      </c>
      <c r="B192" s="5"/>
      <c r="C192" s="5" t="str">
        <f t="shared" si="3"/>
        <v>NIS</v>
      </c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</row>
    <row r="193" spans="1:15" x14ac:dyDescent="0.55000000000000004">
      <c r="A193">
        <v>105222793</v>
      </c>
      <c r="B193" s="5"/>
      <c r="C193" s="5" t="str">
        <f t="shared" si="3"/>
        <v>NIS</v>
      </c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</row>
    <row r="194" spans="1:15" x14ac:dyDescent="0.55000000000000004">
      <c r="A194">
        <v>105312453</v>
      </c>
      <c r="B194" s="5"/>
      <c r="C194" s="5" t="str">
        <f t="shared" ref="C194:C257" si="4">IF(COUNTIF($B:$B,A194)&gt;0,"IS","NIS")</f>
        <v>NIS</v>
      </c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</row>
    <row r="195" spans="1:15" x14ac:dyDescent="0.55000000000000004">
      <c r="A195">
        <v>104926692</v>
      </c>
      <c r="B195" s="5"/>
      <c r="C195" s="5" t="str">
        <f t="shared" si="4"/>
        <v>NIS</v>
      </c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</row>
    <row r="196" spans="1:15" x14ac:dyDescent="0.55000000000000004">
      <c r="A196">
        <v>104853056</v>
      </c>
      <c r="B196" s="5"/>
      <c r="C196" s="5" t="str">
        <f t="shared" si="4"/>
        <v>NIS</v>
      </c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</row>
    <row r="197" spans="1:15" x14ac:dyDescent="0.55000000000000004">
      <c r="A197">
        <v>106481898</v>
      </c>
      <c r="B197" s="5"/>
      <c r="C197" s="5" t="str">
        <f t="shared" si="4"/>
        <v>NIS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</row>
    <row r="198" spans="1:15" x14ac:dyDescent="0.55000000000000004">
      <c r="A198">
        <v>104890868</v>
      </c>
      <c r="B198" s="5"/>
      <c r="C198" s="5" t="str">
        <f t="shared" si="4"/>
        <v>NIS</v>
      </c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</row>
    <row r="199" spans="1:15" x14ac:dyDescent="0.55000000000000004">
      <c r="A199">
        <v>106467747</v>
      </c>
      <c r="B199" s="5"/>
      <c r="C199" s="5" t="str">
        <f t="shared" si="4"/>
        <v>NIS</v>
      </c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</row>
    <row r="200" spans="1:15" x14ac:dyDescent="0.55000000000000004">
      <c r="A200">
        <v>105853443</v>
      </c>
      <c r="B200" s="5"/>
      <c r="C200" s="5" t="str">
        <f t="shared" si="4"/>
        <v>NIS</v>
      </c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</row>
    <row r="201" spans="1:15" x14ac:dyDescent="0.55000000000000004">
      <c r="A201">
        <v>105162438</v>
      </c>
      <c r="B201" s="5"/>
      <c r="C201" s="5" t="str">
        <f t="shared" si="4"/>
        <v>NIS</v>
      </c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</row>
    <row r="202" spans="1:15" x14ac:dyDescent="0.55000000000000004">
      <c r="A202">
        <v>105438292</v>
      </c>
      <c r="B202" s="5"/>
      <c r="C202" s="5" t="str">
        <f t="shared" si="4"/>
        <v>NIS</v>
      </c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</row>
    <row r="203" spans="1:15" x14ac:dyDescent="0.55000000000000004">
      <c r="A203">
        <v>106398815</v>
      </c>
      <c r="B203" s="5"/>
      <c r="C203" s="5" t="str">
        <f t="shared" si="4"/>
        <v>NIS</v>
      </c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</row>
    <row r="204" spans="1:15" x14ac:dyDescent="0.55000000000000004">
      <c r="A204">
        <v>104843855</v>
      </c>
      <c r="B204" s="5"/>
      <c r="C204" s="5" t="str">
        <f t="shared" si="4"/>
        <v>NIS</v>
      </c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</row>
    <row r="205" spans="1:15" x14ac:dyDescent="0.55000000000000004">
      <c r="A205">
        <v>105457585</v>
      </c>
      <c r="B205" s="5"/>
      <c r="C205" s="5" t="str">
        <f t="shared" si="4"/>
        <v>NIS</v>
      </c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</row>
    <row r="206" spans="1:15" x14ac:dyDescent="0.55000000000000004">
      <c r="A206">
        <v>106035801</v>
      </c>
      <c r="B206" s="5"/>
      <c r="C206" s="5" t="str">
        <f t="shared" si="4"/>
        <v>NIS</v>
      </c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</row>
    <row r="207" spans="1:15" x14ac:dyDescent="0.55000000000000004">
      <c r="A207">
        <v>106360350</v>
      </c>
      <c r="B207" s="5"/>
      <c r="C207" s="5" t="str">
        <f t="shared" si="4"/>
        <v>NIS</v>
      </c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</row>
    <row r="208" spans="1:15" x14ac:dyDescent="0.55000000000000004">
      <c r="A208">
        <v>106129401</v>
      </c>
      <c r="B208" s="5"/>
      <c r="C208" s="5" t="str">
        <f t="shared" si="4"/>
        <v>NIS</v>
      </c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</row>
    <row r="209" spans="1:15" x14ac:dyDescent="0.55000000000000004">
      <c r="A209">
        <v>106507609</v>
      </c>
      <c r="B209" s="5"/>
      <c r="C209" s="5" t="str">
        <f t="shared" si="4"/>
        <v>NIS</v>
      </c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</row>
    <row r="210" spans="1:15" x14ac:dyDescent="0.55000000000000004">
      <c r="A210">
        <v>106528289</v>
      </c>
      <c r="B210" s="5"/>
      <c r="C210" s="5" t="str">
        <f t="shared" si="4"/>
        <v>NIS</v>
      </c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</row>
    <row r="211" spans="1:15" x14ac:dyDescent="0.55000000000000004">
      <c r="A211">
        <v>106412195</v>
      </c>
      <c r="B211" s="5"/>
      <c r="C211" s="5" t="str">
        <f t="shared" si="4"/>
        <v>NIS</v>
      </c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</row>
    <row r="212" spans="1:15" x14ac:dyDescent="0.55000000000000004">
      <c r="A212">
        <v>105624267</v>
      </c>
      <c r="B212" s="5"/>
      <c r="C212" s="5" t="str">
        <f t="shared" si="4"/>
        <v>NIS</v>
      </c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</row>
    <row r="213" spans="1:15" x14ac:dyDescent="0.55000000000000004">
      <c r="A213">
        <v>106621873</v>
      </c>
      <c r="B213" s="5"/>
      <c r="C213" s="5" t="str">
        <f t="shared" si="4"/>
        <v>NIS</v>
      </c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</row>
    <row r="214" spans="1:15" x14ac:dyDescent="0.55000000000000004">
      <c r="A214">
        <v>105749217</v>
      </c>
      <c r="B214" s="5"/>
      <c r="C214" s="5" t="str">
        <f t="shared" si="4"/>
        <v>NIS</v>
      </c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</row>
    <row r="215" spans="1:15" x14ac:dyDescent="0.55000000000000004">
      <c r="A215">
        <v>106241704</v>
      </c>
      <c r="B215" s="5"/>
      <c r="C215" s="5" t="str">
        <f t="shared" si="4"/>
        <v>NIS</v>
      </c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</row>
    <row r="216" spans="1:15" x14ac:dyDescent="0.55000000000000004">
      <c r="A216">
        <v>105930206</v>
      </c>
      <c r="B216" s="5"/>
      <c r="C216" s="5" t="str">
        <f t="shared" si="4"/>
        <v>NIS</v>
      </c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</row>
    <row r="217" spans="1:15" x14ac:dyDescent="0.55000000000000004">
      <c r="A217">
        <v>106251622</v>
      </c>
      <c r="B217" s="5"/>
      <c r="C217" s="5" t="str">
        <f t="shared" si="4"/>
        <v>NIS</v>
      </c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</row>
    <row r="218" spans="1:15" x14ac:dyDescent="0.55000000000000004">
      <c r="A218">
        <v>104908833</v>
      </c>
      <c r="B218" s="5"/>
      <c r="C218" s="5" t="str">
        <f t="shared" si="4"/>
        <v>NIS</v>
      </c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</row>
    <row r="219" spans="1:15" x14ac:dyDescent="0.55000000000000004">
      <c r="A219">
        <v>106480708</v>
      </c>
      <c r="B219" s="5"/>
      <c r="C219" s="5" t="str">
        <f t="shared" si="4"/>
        <v>NIS</v>
      </c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</row>
    <row r="220" spans="1:15" x14ac:dyDescent="0.55000000000000004">
      <c r="A220">
        <v>105790006</v>
      </c>
      <c r="B220" s="5"/>
      <c r="C220" s="5" t="str">
        <f t="shared" si="4"/>
        <v>NIS</v>
      </c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</row>
    <row r="221" spans="1:15" x14ac:dyDescent="0.55000000000000004">
      <c r="A221">
        <v>105818255</v>
      </c>
      <c r="B221" s="5"/>
      <c r="C221" s="5" t="str">
        <f t="shared" si="4"/>
        <v>NIS</v>
      </c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</row>
    <row r="222" spans="1:15" x14ac:dyDescent="0.55000000000000004">
      <c r="A222">
        <v>106428132</v>
      </c>
      <c r="B222" s="5"/>
      <c r="C222" s="5" t="str">
        <f t="shared" si="4"/>
        <v>NIS</v>
      </c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</row>
    <row r="223" spans="1:15" x14ac:dyDescent="0.55000000000000004">
      <c r="A223">
        <v>105979241</v>
      </c>
      <c r="B223" s="5"/>
      <c r="C223" s="5" t="str">
        <f t="shared" si="4"/>
        <v>NIS</v>
      </c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</row>
    <row r="224" spans="1:15" x14ac:dyDescent="0.55000000000000004">
      <c r="A224">
        <v>106319477</v>
      </c>
      <c r="B224" s="5"/>
      <c r="C224" s="5" t="str">
        <f t="shared" si="4"/>
        <v>NIS</v>
      </c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</row>
    <row r="225" spans="1:15" x14ac:dyDescent="0.55000000000000004">
      <c r="A225">
        <v>106427910</v>
      </c>
      <c r="B225" s="5"/>
      <c r="C225" s="5" t="str">
        <f t="shared" si="4"/>
        <v>NIS</v>
      </c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</row>
    <row r="226" spans="1:15" x14ac:dyDescent="0.55000000000000004">
      <c r="A226">
        <v>106251485</v>
      </c>
      <c r="B226" s="5"/>
      <c r="C226" s="5" t="str">
        <f t="shared" si="4"/>
        <v>NIS</v>
      </c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</row>
    <row r="227" spans="1:15" x14ac:dyDescent="0.55000000000000004">
      <c r="A227">
        <v>105477360</v>
      </c>
      <c r="B227" s="5"/>
      <c r="C227" s="5" t="str">
        <f t="shared" si="4"/>
        <v>NIS</v>
      </c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</row>
    <row r="228" spans="1:15" x14ac:dyDescent="0.55000000000000004">
      <c r="A228">
        <v>104900718</v>
      </c>
      <c r="B228" s="5"/>
      <c r="C228" s="5" t="str">
        <f t="shared" si="4"/>
        <v>NIS</v>
      </c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</row>
    <row r="229" spans="1:15" x14ac:dyDescent="0.55000000000000004">
      <c r="A229">
        <v>105980684</v>
      </c>
      <c r="B229" s="5"/>
      <c r="C229" s="5" t="str">
        <f t="shared" si="4"/>
        <v>NIS</v>
      </c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</row>
    <row r="230" spans="1:15" x14ac:dyDescent="0.55000000000000004">
      <c r="A230">
        <v>105334401</v>
      </c>
      <c r="B230" s="5"/>
      <c r="C230" s="5" t="str">
        <f t="shared" si="4"/>
        <v>IS</v>
      </c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</row>
    <row r="231" spans="1:15" x14ac:dyDescent="0.55000000000000004">
      <c r="A231">
        <v>106251888</v>
      </c>
      <c r="B231" s="5"/>
      <c r="C231" s="5" t="str">
        <f t="shared" si="4"/>
        <v>IS</v>
      </c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</row>
    <row r="232" spans="1:15" x14ac:dyDescent="0.55000000000000004">
      <c r="A232">
        <v>106482677</v>
      </c>
      <c r="B232" s="5"/>
      <c r="C232" s="5" t="str">
        <f t="shared" si="4"/>
        <v>IS</v>
      </c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</row>
    <row r="233" spans="1:15" x14ac:dyDescent="0.55000000000000004">
      <c r="A233">
        <v>106442060</v>
      </c>
      <c r="B233" s="5"/>
      <c r="C233" s="5" t="str">
        <f t="shared" si="4"/>
        <v>IS</v>
      </c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</row>
    <row r="234" spans="1:15" x14ac:dyDescent="0.55000000000000004">
      <c r="A234">
        <v>106423994</v>
      </c>
      <c r="B234" s="5"/>
      <c r="C234" s="5" t="str">
        <f t="shared" si="4"/>
        <v>IS</v>
      </c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</row>
    <row r="235" spans="1:15" x14ac:dyDescent="0.55000000000000004">
      <c r="A235">
        <v>106691473</v>
      </c>
      <c r="B235" s="5"/>
      <c r="C235" s="5" t="str">
        <f t="shared" si="4"/>
        <v>IS</v>
      </c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</row>
    <row r="236" spans="1:15" x14ac:dyDescent="0.55000000000000004">
      <c r="A236">
        <v>104908181</v>
      </c>
      <c r="B236" s="5"/>
      <c r="C236" s="5" t="str">
        <f t="shared" si="4"/>
        <v>IS</v>
      </c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</row>
    <row r="237" spans="1:15" x14ac:dyDescent="0.55000000000000004">
      <c r="A237">
        <v>106032499</v>
      </c>
      <c r="B237" s="5"/>
      <c r="C237" s="5" t="str">
        <f t="shared" si="4"/>
        <v>IS</v>
      </c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</row>
    <row r="238" spans="1:15" x14ac:dyDescent="0.55000000000000004">
      <c r="A238">
        <v>106234219</v>
      </c>
      <c r="B238" s="5"/>
      <c r="C238" s="5" t="str">
        <f t="shared" si="4"/>
        <v>IS</v>
      </c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</row>
    <row r="239" spans="1:15" x14ac:dyDescent="0.55000000000000004">
      <c r="A239">
        <v>106653569</v>
      </c>
      <c r="B239" s="5"/>
      <c r="C239" s="5" t="str">
        <f t="shared" si="4"/>
        <v>IS</v>
      </c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</row>
    <row r="240" spans="1:15" x14ac:dyDescent="0.55000000000000004">
      <c r="A240">
        <v>105686495</v>
      </c>
      <c r="B240" s="5"/>
      <c r="C240" s="5" t="str">
        <f t="shared" si="4"/>
        <v>NIS</v>
      </c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</row>
    <row r="241" spans="1:15" x14ac:dyDescent="0.55000000000000004">
      <c r="A241">
        <v>105096805</v>
      </c>
      <c r="B241" s="5"/>
      <c r="C241" s="5" t="str">
        <f t="shared" si="4"/>
        <v>NIS</v>
      </c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</row>
    <row r="242" spans="1:15" x14ac:dyDescent="0.55000000000000004">
      <c r="A242">
        <v>105454582</v>
      </c>
      <c r="B242" s="5"/>
      <c r="C242" s="5" t="str">
        <f t="shared" si="4"/>
        <v>NIS</v>
      </c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</row>
    <row r="243" spans="1:15" x14ac:dyDescent="0.55000000000000004">
      <c r="A243">
        <v>106284846</v>
      </c>
      <c r="B243" s="5"/>
      <c r="C243" s="5" t="str">
        <f t="shared" si="4"/>
        <v>NIS</v>
      </c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</row>
    <row r="244" spans="1:15" x14ac:dyDescent="0.55000000000000004">
      <c r="A244">
        <v>106029936</v>
      </c>
      <c r="B244" s="5"/>
      <c r="C244" s="5" t="str">
        <f t="shared" si="4"/>
        <v>NIS</v>
      </c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</row>
    <row r="245" spans="1:15" x14ac:dyDescent="0.55000000000000004">
      <c r="A245">
        <v>105403429</v>
      </c>
      <c r="B245" s="5"/>
      <c r="C245" s="5" t="str">
        <f t="shared" si="4"/>
        <v>NIS</v>
      </c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</row>
    <row r="246" spans="1:15" x14ac:dyDescent="0.55000000000000004">
      <c r="A246">
        <v>106234323</v>
      </c>
      <c r="B246" s="5"/>
      <c r="C246" s="5" t="str">
        <f t="shared" si="4"/>
        <v>NIS</v>
      </c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</row>
    <row r="247" spans="1:15" x14ac:dyDescent="0.55000000000000004">
      <c r="A247">
        <v>106065068</v>
      </c>
      <c r="B247" s="5"/>
      <c r="C247" s="5" t="str">
        <f t="shared" si="4"/>
        <v>NIS</v>
      </c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</row>
    <row r="248" spans="1:15" x14ac:dyDescent="0.55000000000000004">
      <c r="A248">
        <v>106041041</v>
      </c>
      <c r="B248" s="5"/>
      <c r="C248" s="5" t="str">
        <f t="shared" si="4"/>
        <v>NIS</v>
      </c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</row>
    <row r="249" spans="1:15" x14ac:dyDescent="0.55000000000000004">
      <c r="A249">
        <v>105623379</v>
      </c>
      <c r="B249" s="5"/>
      <c r="C249" s="5" t="str">
        <f t="shared" si="4"/>
        <v>NIS</v>
      </c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</row>
    <row r="250" spans="1:15" x14ac:dyDescent="0.55000000000000004">
      <c r="A250">
        <v>105520552</v>
      </c>
      <c r="B250" s="5"/>
      <c r="C250" s="5" t="str">
        <f t="shared" si="4"/>
        <v>NIS</v>
      </c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</row>
    <row r="251" spans="1:15" x14ac:dyDescent="0.55000000000000004">
      <c r="A251">
        <v>105284007</v>
      </c>
      <c r="B251" s="5"/>
      <c r="C251" s="5" t="str">
        <f t="shared" si="4"/>
        <v>NIS</v>
      </c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</row>
    <row r="252" spans="1:15" x14ac:dyDescent="0.55000000000000004">
      <c r="A252">
        <v>105755156</v>
      </c>
      <c r="B252" s="5"/>
      <c r="C252" s="5" t="str">
        <f t="shared" si="4"/>
        <v>NIS</v>
      </c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</row>
    <row r="253" spans="1:15" x14ac:dyDescent="0.55000000000000004">
      <c r="A253">
        <v>106669314</v>
      </c>
      <c r="B253" s="5"/>
      <c r="C253" s="5" t="str">
        <f t="shared" si="4"/>
        <v>NIS</v>
      </c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</row>
    <row r="254" spans="1:15" x14ac:dyDescent="0.55000000000000004">
      <c r="A254">
        <v>105394895</v>
      </c>
      <c r="B254" s="5"/>
      <c r="C254" s="5" t="str">
        <f t="shared" si="4"/>
        <v>NIS</v>
      </c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</row>
    <row r="255" spans="1:15" x14ac:dyDescent="0.55000000000000004">
      <c r="A255">
        <v>106441027</v>
      </c>
      <c r="B255" s="5"/>
      <c r="C255" s="5" t="str">
        <f t="shared" si="4"/>
        <v>NIS</v>
      </c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</row>
    <row r="256" spans="1:15" x14ac:dyDescent="0.55000000000000004">
      <c r="A256">
        <v>105471327</v>
      </c>
      <c r="B256" s="5"/>
      <c r="C256" s="5" t="str">
        <f t="shared" si="4"/>
        <v>NIS</v>
      </c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</row>
    <row r="257" spans="1:15" x14ac:dyDescent="0.55000000000000004">
      <c r="A257">
        <v>106103269</v>
      </c>
      <c r="B257" s="5"/>
      <c r="C257" s="5" t="str">
        <f t="shared" si="4"/>
        <v>NIS</v>
      </c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</row>
    <row r="258" spans="1:15" x14ac:dyDescent="0.55000000000000004">
      <c r="A258">
        <v>104926204</v>
      </c>
      <c r="B258" s="5"/>
      <c r="C258" s="5" t="str">
        <f t="shared" ref="C258:C321" si="5">IF(COUNTIF($B:$B,A258)&gt;0,"IS","NIS")</f>
        <v>NIS</v>
      </c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</row>
    <row r="259" spans="1:15" x14ac:dyDescent="0.55000000000000004">
      <c r="A259">
        <v>104938727</v>
      </c>
      <c r="B259" s="5"/>
      <c r="C259" s="5" t="str">
        <f t="shared" si="5"/>
        <v>NIS</v>
      </c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</row>
    <row r="260" spans="1:15" x14ac:dyDescent="0.55000000000000004">
      <c r="A260">
        <v>106423998</v>
      </c>
      <c r="B260" s="5"/>
      <c r="C260" s="5" t="str">
        <f t="shared" si="5"/>
        <v>NIS</v>
      </c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</row>
    <row r="261" spans="1:15" x14ac:dyDescent="0.55000000000000004">
      <c r="A261">
        <v>105484300</v>
      </c>
      <c r="B261" s="5"/>
      <c r="C261" s="5" t="str">
        <f t="shared" si="5"/>
        <v>NIS</v>
      </c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</row>
    <row r="262" spans="1:15" x14ac:dyDescent="0.55000000000000004">
      <c r="A262">
        <v>104944737</v>
      </c>
      <c r="B262" s="5"/>
      <c r="C262" s="5" t="str">
        <f t="shared" si="5"/>
        <v>NIS</v>
      </c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</row>
    <row r="263" spans="1:15" x14ac:dyDescent="0.55000000000000004">
      <c r="A263">
        <v>105722111</v>
      </c>
      <c r="B263" s="5"/>
      <c r="C263" s="5" t="str">
        <f t="shared" si="5"/>
        <v>NIS</v>
      </c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</row>
    <row r="264" spans="1:15" x14ac:dyDescent="0.55000000000000004">
      <c r="A264">
        <v>105115703</v>
      </c>
      <c r="B264" s="5"/>
      <c r="C264" s="5" t="str">
        <f t="shared" si="5"/>
        <v>NIS</v>
      </c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</row>
    <row r="265" spans="1:15" x14ac:dyDescent="0.55000000000000004">
      <c r="A265">
        <v>105244252</v>
      </c>
      <c r="B265" s="5"/>
      <c r="C265" s="5" t="str">
        <f t="shared" si="5"/>
        <v>NIS</v>
      </c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</row>
    <row r="266" spans="1:15" x14ac:dyDescent="0.55000000000000004">
      <c r="A266">
        <v>106677674</v>
      </c>
      <c r="B266" s="5"/>
      <c r="C266" s="5" t="str">
        <f t="shared" si="5"/>
        <v>NIS</v>
      </c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</row>
    <row r="267" spans="1:15" x14ac:dyDescent="0.55000000000000004">
      <c r="A267">
        <v>104954122</v>
      </c>
      <c r="B267" s="5"/>
      <c r="C267" s="5" t="str">
        <f t="shared" si="5"/>
        <v>NIS</v>
      </c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 spans="1:15" x14ac:dyDescent="0.55000000000000004">
      <c r="A268">
        <v>106265420</v>
      </c>
      <c r="B268" s="5"/>
      <c r="C268" s="5" t="str">
        <f t="shared" si="5"/>
        <v>NIS</v>
      </c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</row>
    <row r="269" spans="1:15" x14ac:dyDescent="0.55000000000000004">
      <c r="A269">
        <v>106338237</v>
      </c>
      <c r="B269" s="5"/>
      <c r="C269" s="5" t="str">
        <f t="shared" si="5"/>
        <v>NIS</v>
      </c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</row>
    <row r="270" spans="1:15" x14ac:dyDescent="0.55000000000000004">
      <c r="A270">
        <v>104978386</v>
      </c>
      <c r="B270" s="5"/>
      <c r="C270" s="5" t="str">
        <f t="shared" si="5"/>
        <v>NIS</v>
      </c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</row>
    <row r="271" spans="1:15" x14ac:dyDescent="0.55000000000000004">
      <c r="A271">
        <v>106239189</v>
      </c>
      <c r="B271" s="5"/>
      <c r="C271" s="5" t="str">
        <f t="shared" si="5"/>
        <v>NIS</v>
      </c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</row>
    <row r="272" spans="1:15" x14ac:dyDescent="0.55000000000000004">
      <c r="A272">
        <v>104979318</v>
      </c>
      <c r="B272" s="5"/>
      <c r="C272" s="5" t="str">
        <f t="shared" si="5"/>
        <v>NIS</v>
      </c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</row>
    <row r="273" spans="1:15" x14ac:dyDescent="0.55000000000000004">
      <c r="A273">
        <v>106580931</v>
      </c>
      <c r="B273" s="5"/>
      <c r="C273" s="5" t="str">
        <f t="shared" si="5"/>
        <v>NIS</v>
      </c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</row>
    <row r="274" spans="1:15" x14ac:dyDescent="0.55000000000000004">
      <c r="A274">
        <v>105430272</v>
      </c>
      <c r="B274" s="5"/>
      <c r="C274" s="5" t="str">
        <f t="shared" si="5"/>
        <v>NIS</v>
      </c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</row>
    <row r="275" spans="1:15" x14ac:dyDescent="0.55000000000000004">
      <c r="A275">
        <v>106654034</v>
      </c>
      <c r="B275" s="5"/>
      <c r="C275" s="5" t="str">
        <f t="shared" si="5"/>
        <v>NIS</v>
      </c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</row>
    <row r="276" spans="1:15" x14ac:dyDescent="0.55000000000000004">
      <c r="A276">
        <v>104896983</v>
      </c>
      <c r="B276" s="5"/>
      <c r="C276" s="5" t="str">
        <f t="shared" si="5"/>
        <v>NIS</v>
      </c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</row>
    <row r="277" spans="1:15" x14ac:dyDescent="0.55000000000000004">
      <c r="A277">
        <v>104838245</v>
      </c>
      <c r="B277" s="5"/>
      <c r="C277" s="5" t="str">
        <f t="shared" si="5"/>
        <v>NIS</v>
      </c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</row>
    <row r="278" spans="1:15" x14ac:dyDescent="0.55000000000000004">
      <c r="A278">
        <v>104891925</v>
      </c>
      <c r="B278" s="5"/>
      <c r="C278" s="5" t="str">
        <f t="shared" si="5"/>
        <v>NIS</v>
      </c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</row>
    <row r="279" spans="1:15" x14ac:dyDescent="0.55000000000000004">
      <c r="A279">
        <v>106222537</v>
      </c>
      <c r="B279" s="5"/>
      <c r="C279" s="5" t="str">
        <f t="shared" si="5"/>
        <v>NIS</v>
      </c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</row>
    <row r="280" spans="1:15" x14ac:dyDescent="0.55000000000000004">
      <c r="A280">
        <v>105869215</v>
      </c>
      <c r="B280" s="5"/>
      <c r="C280" s="5" t="str">
        <f t="shared" si="5"/>
        <v>NIS</v>
      </c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</row>
    <row r="281" spans="1:15" x14ac:dyDescent="0.55000000000000004">
      <c r="A281">
        <v>104931677</v>
      </c>
      <c r="B281" s="5"/>
      <c r="C281" s="5" t="str">
        <f t="shared" si="5"/>
        <v>NIS</v>
      </c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</row>
    <row r="282" spans="1:15" x14ac:dyDescent="0.55000000000000004">
      <c r="A282">
        <v>104922583</v>
      </c>
      <c r="B282" s="5"/>
      <c r="C282" s="5" t="str">
        <f t="shared" si="5"/>
        <v>NIS</v>
      </c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</row>
    <row r="283" spans="1:15" x14ac:dyDescent="0.55000000000000004">
      <c r="A283">
        <v>106055984</v>
      </c>
      <c r="B283" s="5"/>
      <c r="C283" s="5" t="str">
        <f t="shared" si="5"/>
        <v>NIS</v>
      </c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</row>
    <row r="284" spans="1:15" x14ac:dyDescent="0.55000000000000004">
      <c r="A284">
        <v>105924760</v>
      </c>
      <c r="B284" s="5"/>
      <c r="C284" s="5" t="str">
        <f t="shared" si="5"/>
        <v>NIS</v>
      </c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</row>
    <row r="285" spans="1:15" x14ac:dyDescent="0.55000000000000004">
      <c r="A285">
        <v>105394968</v>
      </c>
      <c r="B285" s="5"/>
      <c r="C285" s="5" t="str">
        <f t="shared" si="5"/>
        <v>NIS</v>
      </c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</row>
    <row r="286" spans="1:15" x14ac:dyDescent="0.55000000000000004">
      <c r="A286">
        <v>105283969</v>
      </c>
      <c r="B286" s="5"/>
      <c r="C286" s="5" t="str">
        <f t="shared" si="5"/>
        <v>NIS</v>
      </c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</row>
    <row r="287" spans="1:15" x14ac:dyDescent="0.55000000000000004">
      <c r="A287">
        <v>106444027</v>
      </c>
      <c r="B287" s="5"/>
      <c r="C287" s="5" t="str">
        <f t="shared" si="5"/>
        <v>NIS</v>
      </c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</row>
    <row r="288" spans="1:15" x14ac:dyDescent="0.55000000000000004">
      <c r="A288">
        <v>106080665</v>
      </c>
      <c r="B288" s="5"/>
      <c r="C288" s="5" t="str">
        <f t="shared" si="5"/>
        <v>NIS</v>
      </c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</row>
    <row r="289" spans="1:15" x14ac:dyDescent="0.55000000000000004">
      <c r="A289">
        <v>105749323</v>
      </c>
      <c r="B289" s="5"/>
      <c r="C289" s="5" t="str">
        <f t="shared" si="5"/>
        <v>NIS</v>
      </c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</row>
    <row r="290" spans="1:15" x14ac:dyDescent="0.55000000000000004">
      <c r="A290">
        <v>106348946</v>
      </c>
      <c r="B290" s="5"/>
      <c r="C290" s="5" t="str">
        <f t="shared" si="5"/>
        <v>NIS</v>
      </c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</row>
    <row r="291" spans="1:15" x14ac:dyDescent="0.55000000000000004">
      <c r="A291">
        <v>105667280</v>
      </c>
      <c r="B291" s="5"/>
      <c r="C291" s="5" t="str">
        <f t="shared" si="5"/>
        <v>NIS</v>
      </c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</row>
    <row r="292" spans="1:15" x14ac:dyDescent="0.55000000000000004">
      <c r="A292">
        <v>105528094</v>
      </c>
      <c r="B292" s="5"/>
      <c r="C292" s="5" t="str">
        <f t="shared" si="5"/>
        <v>NIS</v>
      </c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</row>
    <row r="293" spans="1:15" x14ac:dyDescent="0.55000000000000004">
      <c r="A293">
        <v>104955638</v>
      </c>
      <c r="B293" s="5"/>
      <c r="C293" s="5" t="str">
        <f t="shared" si="5"/>
        <v>NIS</v>
      </c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</row>
    <row r="294" spans="1:15" x14ac:dyDescent="0.55000000000000004">
      <c r="A294">
        <v>105606685</v>
      </c>
      <c r="B294" s="5"/>
      <c r="C294" s="5" t="str">
        <f t="shared" si="5"/>
        <v>NIS</v>
      </c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</row>
    <row r="295" spans="1:15" x14ac:dyDescent="0.55000000000000004">
      <c r="A295">
        <v>105896711</v>
      </c>
      <c r="B295" s="5"/>
      <c r="C295" s="5" t="str">
        <f t="shared" si="5"/>
        <v>NIS</v>
      </c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</row>
    <row r="296" spans="1:15" x14ac:dyDescent="0.55000000000000004">
      <c r="A296">
        <v>105604483</v>
      </c>
      <c r="B296" s="5"/>
      <c r="C296" s="5" t="str">
        <f t="shared" si="5"/>
        <v>NIS</v>
      </c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</row>
    <row r="297" spans="1:15" x14ac:dyDescent="0.55000000000000004">
      <c r="A297">
        <v>105584015</v>
      </c>
      <c r="B297" s="5"/>
      <c r="C297" s="5" t="str">
        <f t="shared" si="5"/>
        <v>NIS</v>
      </c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</row>
    <row r="298" spans="1:15" x14ac:dyDescent="0.55000000000000004">
      <c r="A298">
        <v>106662769</v>
      </c>
      <c r="B298" s="5"/>
      <c r="C298" s="5" t="str">
        <f t="shared" si="5"/>
        <v>NIS</v>
      </c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</row>
    <row r="299" spans="1:15" x14ac:dyDescent="0.55000000000000004">
      <c r="A299">
        <v>106615630</v>
      </c>
      <c r="B299" s="5"/>
      <c r="C299" s="5" t="str">
        <f t="shared" si="5"/>
        <v>NIS</v>
      </c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</row>
    <row r="300" spans="1:15" x14ac:dyDescent="0.55000000000000004">
      <c r="A300">
        <v>106426282</v>
      </c>
      <c r="B300" s="5"/>
      <c r="C300" s="5" t="str">
        <f t="shared" si="5"/>
        <v>NIS</v>
      </c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</row>
    <row r="301" spans="1:15" x14ac:dyDescent="0.55000000000000004">
      <c r="A301">
        <v>106226480</v>
      </c>
      <c r="B301" s="5"/>
      <c r="C301" s="5" t="str">
        <f t="shared" si="5"/>
        <v>NIS</v>
      </c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</row>
    <row r="302" spans="1:15" x14ac:dyDescent="0.55000000000000004">
      <c r="A302">
        <v>106065048</v>
      </c>
      <c r="B302" s="5"/>
      <c r="C302" s="5" t="str">
        <f t="shared" si="5"/>
        <v>NIS</v>
      </c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</row>
    <row r="303" spans="1:15" x14ac:dyDescent="0.55000000000000004">
      <c r="A303">
        <v>106005327</v>
      </c>
      <c r="B303" s="5"/>
      <c r="C303" s="5" t="str">
        <f t="shared" si="5"/>
        <v>NIS</v>
      </c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</row>
    <row r="304" spans="1:15" x14ac:dyDescent="0.55000000000000004">
      <c r="A304">
        <v>104942282</v>
      </c>
      <c r="B304" s="5"/>
      <c r="C304" s="5" t="str">
        <f t="shared" si="5"/>
        <v>NIS</v>
      </c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</row>
    <row r="305" spans="1:15" x14ac:dyDescent="0.55000000000000004">
      <c r="A305">
        <v>105414364</v>
      </c>
      <c r="B305" s="5"/>
      <c r="C305" s="5" t="str">
        <f t="shared" si="5"/>
        <v>NIS</v>
      </c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</row>
    <row r="306" spans="1:15" x14ac:dyDescent="0.55000000000000004">
      <c r="A306">
        <v>105336924</v>
      </c>
      <c r="B306" s="5"/>
      <c r="C306" s="5" t="str">
        <f t="shared" si="5"/>
        <v>NIS</v>
      </c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</row>
    <row r="307" spans="1:15" x14ac:dyDescent="0.55000000000000004">
      <c r="A307">
        <v>105226983</v>
      </c>
      <c r="B307" s="5"/>
      <c r="C307" s="5" t="str">
        <f t="shared" si="5"/>
        <v>NIS</v>
      </c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</row>
    <row r="308" spans="1:15" x14ac:dyDescent="0.55000000000000004">
      <c r="A308">
        <v>105512526</v>
      </c>
      <c r="B308" s="5"/>
      <c r="C308" s="5" t="str">
        <f t="shared" si="5"/>
        <v>NIS</v>
      </c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</row>
    <row r="309" spans="1:15" x14ac:dyDescent="0.55000000000000004">
      <c r="A309">
        <v>106082770</v>
      </c>
      <c r="B309" s="5"/>
      <c r="C309" s="5" t="str">
        <f t="shared" si="5"/>
        <v>NIS</v>
      </c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</row>
    <row r="310" spans="1:15" x14ac:dyDescent="0.55000000000000004">
      <c r="A310">
        <v>106103385</v>
      </c>
      <c r="B310" s="5"/>
      <c r="C310" s="5" t="str">
        <f t="shared" si="5"/>
        <v>NIS</v>
      </c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</row>
    <row r="311" spans="1:15" x14ac:dyDescent="0.55000000000000004">
      <c r="A311">
        <v>106407465</v>
      </c>
      <c r="B311" s="5"/>
      <c r="C311" s="5" t="str">
        <f t="shared" si="5"/>
        <v>NIS</v>
      </c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</row>
    <row r="312" spans="1:15" x14ac:dyDescent="0.55000000000000004">
      <c r="A312">
        <v>105989835</v>
      </c>
      <c r="B312" s="5"/>
      <c r="C312" s="5" t="str">
        <f t="shared" si="5"/>
        <v>NIS</v>
      </c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</row>
    <row r="313" spans="1:15" x14ac:dyDescent="0.55000000000000004">
      <c r="A313">
        <v>104979628</v>
      </c>
      <c r="B313" s="5"/>
      <c r="C313" s="5" t="str">
        <f t="shared" si="5"/>
        <v>NIS</v>
      </c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</row>
    <row r="314" spans="1:15" x14ac:dyDescent="0.55000000000000004">
      <c r="A314">
        <v>105587953</v>
      </c>
      <c r="B314" s="5"/>
      <c r="C314" s="5" t="str">
        <f t="shared" si="5"/>
        <v>NIS</v>
      </c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</row>
    <row r="315" spans="1:15" x14ac:dyDescent="0.55000000000000004">
      <c r="A315">
        <v>106243542</v>
      </c>
      <c r="B315" s="5"/>
      <c r="C315" s="5" t="str">
        <f t="shared" si="5"/>
        <v>NIS</v>
      </c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</row>
    <row r="316" spans="1:15" x14ac:dyDescent="0.55000000000000004">
      <c r="A316">
        <v>105638912</v>
      </c>
      <c r="B316" s="5"/>
      <c r="C316" s="5" t="str">
        <f t="shared" si="5"/>
        <v>NIS</v>
      </c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</row>
    <row r="317" spans="1:15" x14ac:dyDescent="0.55000000000000004">
      <c r="A317">
        <v>105113325</v>
      </c>
      <c r="B317" s="5"/>
      <c r="C317" s="5" t="str">
        <f t="shared" si="5"/>
        <v>NIS</v>
      </c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</row>
    <row r="318" spans="1:15" x14ac:dyDescent="0.55000000000000004">
      <c r="A318">
        <v>106181673</v>
      </c>
      <c r="B318" s="5"/>
      <c r="C318" s="5" t="str">
        <f t="shared" si="5"/>
        <v>NIS</v>
      </c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</row>
    <row r="319" spans="1:15" x14ac:dyDescent="0.55000000000000004">
      <c r="A319">
        <v>105869315</v>
      </c>
      <c r="B319" s="5"/>
      <c r="C319" s="5" t="str">
        <f t="shared" si="5"/>
        <v>NIS</v>
      </c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</row>
    <row r="320" spans="1:15" x14ac:dyDescent="0.55000000000000004">
      <c r="A320">
        <v>106638794</v>
      </c>
      <c r="B320" s="5"/>
      <c r="C320" s="5" t="str">
        <f t="shared" si="5"/>
        <v>NIS</v>
      </c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</row>
    <row r="321" spans="1:15" x14ac:dyDescent="0.55000000000000004">
      <c r="A321">
        <v>106569535</v>
      </c>
      <c r="B321" s="5"/>
      <c r="C321" s="5" t="str">
        <f t="shared" si="5"/>
        <v>NIS</v>
      </c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</row>
    <row r="322" spans="1:15" x14ac:dyDescent="0.55000000000000004">
      <c r="A322">
        <v>105983817</v>
      </c>
      <c r="B322" s="5"/>
      <c r="C322" s="5" t="str">
        <f t="shared" ref="C322:C385" si="6">IF(COUNTIF($B:$B,A322)&gt;0,"IS","NIS")</f>
        <v>NIS</v>
      </c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</row>
    <row r="323" spans="1:15" x14ac:dyDescent="0.55000000000000004">
      <c r="A323">
        <v>105069163</v>
      </c>
      <c r="B323" s="5"/>
      <c r="C323" s="5" t="str">
        <f t="shared" si="6"/>
        <v>NIS</v>
      </c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</row>
    <row r="324" spans="1:15" x14ac:dyDescent="0.55000000000000004">
      <c r="A324">
        <v>106665112</v>
      </c>
      <c r="B324" s="5"/>
      <c r="C324" s="5" t="str">
        <f t="shared" si="6"/>
        <v>NIS</v>
      </c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</row>
    <row r="325" spans="1:15" x14ac:dyDescent="0.55000000000000004">
      <c r="A325">
        <v>106511537</v>
      </c>
      <c r="B325" s="5"/>
      <c r="C325" s="5" t="str">
        <f t="shared" si="6"/>
        <v>NIS</v>
      </c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</row>
    <row r="326" spans="1:15" x14ac:dyDescent="0.55000000000000004">
      <c r="A326">
        <v>104922659</v>
      </c>
      <c r="B326" s="5"/>
      <c r="C326" s="5" t="str">
        <f t="shared" si="6"/>
        <v>NIS</v>
      </c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</row>
    <row r="327" spans="1:15" x14ac:dyDescent="0.55000000000000004">
      <c r="A327">
        <v>105063114</v>
      </c>
      <c r="B327" s="5"/>
      <c r="C327" s="5" t="str">
        <f t="shared" si="6"/>
        <v>NIS</v>
      </c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</row>
    <row r="328" spans="1:15" x14ac:dyDescent="0.55000000000000004">
      <c r="A328">
        <v>104922656</v>
      </c>
      <c r="B328" s="5"/>
      <c r="C328" s="5" t="str">
        <f t="shared" si="6"/>
        <v>NIS</v>
      </c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</row>
    <row r="329" spans="1:15" x14ac:dyDescent="0.55000000000000004">
      <c r="A329">
        <v>105407184</v>
      </c>
      <c r="B329" s="5"/>
      <c r="C329" s="5" t="str">
        <f t="shared" si="6"/>
        <v>NIS</v>
      </c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</row>
    <row r="330" spans="1:15" x14ac:dyDescent="0.55000000000000004">
      <c r="A330">
        <v>105560618</v>
      </c>
      <c r="B330" s="5"/>
      <c r="C330" s="5" t="str">
        <f t="shared" si="6"/>
        <v>NIS</v>
      </c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</row>
    <row r="331" spans="1:15" x14ac:dyDescent="0.55000000000000004">
      <c r="A331">
        <v>106186585</v>
      </c>
      <c r="B331" s="5"/>
      <c r="C331" s="5" t="str">
        <f t="shared" si="6"/>
        <v>NIS</v>
      </c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</row>
    <row r="332" spans="1:15" x14ac:dyDescent="0.55000000000000004">
      <c r="A332">
        <v>105624897</v>
      </c>
      <c r="B332" s="5"/>
      <c r="C332" s="5" t="str">
        <f t="shared" si="6"/>
        <v>NIS</v>
      </c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</row>
    <row r="333" spans="1:15" x14ac:dyDescent="0.55000000000000004">
      <c r="A333">
        <v>105148082</v>
      </c>
      <c r="B333" s="5"/>
      <c r="C333" s="5" t="str">
        <f t="shared" si="6"/>
        <v>NIS</v>
      </c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</row>
    <row r="334" spans="1:15" x14ac:dyDescent="0.55000000000000004">
      <c r="A334">
        <v>104920446</v>
      </c>
      <c r="B334" s="5"/>
      <c r="C334" s="5" t="str">
        <f t="shared" si="6"/>
        <v>NIS</v>
      </c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</row>
    <row r="335" spans="1:15" x14ac:dyDescent="0.55000000000000004">
      <c r="A335">
        <v>105292193</v>
      </c>
      <c r="B335" s="5"/>
      <c r="C335" s="5" t="str">
        <f t="shared" si="6"/>
        <v>NIS</v>
      </c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</row>
    <row r="336" spans="1:15" x14ac:dyDescent="0.55000000000000004">
      <c r="A336">
        <v>106187656</v>
      </c>
      <c r="B336" s="5"/>
      <c r="C336" s="5" t="str">
        <f t="shared" si="6"/>
        <v>NIS</v>
      </c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</row>
    <row r="337" spans="1:15" x14ac:dyDescent="0.55000000000000004">
      <c r="A337">
        <v>106548974</v>
      </c>
      <c r="B337" s="5"/>
      <c r="C337" s="5" t="str">
        <f t="shared" si="6"/>
        <v>NIS</v>
      </c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</row>
    <row r="338" spans="1:15" x14ac:dyDescent="0.55000000000000004">
      <c r="A338">
        <v>105848595</v>
      </c>
      <c r="B338" s="5"/>
      <c r="C338" s="5" t="str">
        <f t="shared" si="6"/>
        <v>NIS</v>
      </c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</row>
    <row r="339" spans="1:15" x14ac:dyDescent="0.55000000000000004">
      <c r="A339">
        <v>106576736</v>
      </c>
      <c r="B339" s="5"/>
      <c r="C339" s="5" t="str">
        <f t="shared" si="6"/>
        <v>NIS</v>
      </c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</row>
    <row r="340" spans="1:15" x14ac:dyDescent="0.55000000000000004">
      <c r="A340">
        <v>106725692</v>
      </c>
      <c r="B340" s="5"/>
      <c r="C340" s="5" t="str">
        <f t="shared" si="6"/>
        <v>NIS</v>
      </c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</row>
    <row r="341" spans="1:15" x14ac:dyDescent="0.55000000000000004">
      <c r="A341">
        <v>105449716</v>
      </c>
      <c r="B341" s="5"/>
      <c r="C341" s="5" t="str">
        <f t="shared" si="6"/>
        <v>NIS</v>
      </c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</row>
    <row r="342" spans="1:15" x14ac:dyDescent="0.55000000000000004">
      <c r="A342">
        <v>105034285</v>
      </c>
      <c r="B342" s="5"/>
      <c r="C342" s="5" t="str">
        <f t="shared" si="6"/>
        <v>NIS</v>
      </c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</row>
    <row r="343" spans="1:15" x14ac:dyDescent="0.55000000000000004">
      <c r="A343">
        <v>105420861</v>
      </c>
      <c r="B343" s="5"/>
      <c r="C343" s="5" t="str">
        <f t="shared" si="6"/>
        <v>NIS</v>
      </c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</row>
    <row r="344" spans="1:15" x14ac:dyDescent="0.55000000000000004">
      <c r="A344">
        <v>104932869</v>
      </c>
      <c r="B344" s="5"/>
      <c r="C344" s="5" t="str">
        <f t="shared" si="6"/>
        <v>NIS</v>
      </c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</row>
    <row r="345" spans="1:15" x14ac:dyDescent="0.55000000000000004">
      <c r="A345">
        <v>106280825</v>
      </c>
      <c r="B345" s="5"/>
      <c r="C345" s="5" t="str">
        <f t="shared" si="6"/>
        <v>NIS</v>
      </c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</row>
    <row r="346" spans="1:15" x14ac:dyDescent="0.55000000000000004">
      <c r="A346">
        <v>105391030</v>
      </c>
      <c r="B346" s="5"/>
      <c r="C346" s="5" t="str">
        <f t="shared" si="6"/>
        <v>NIS</v>
      </c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</row>
    <row r="347" spans="1:15" x14ac:dyDescent="0.55000000000000004">
      <c r="A347">
        <v>105930834</v>
      </c>
      <c r="B347" s="5"/>
      <c r="C347" s="5" t="str">
        <f t="shared" si="6"/>
        <v>NIS</v>
      </c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</row>
    <row r="348" spans="1:15" x14ac:dyDescent="0.55000000000000004">
      <c r="A348">
        <v>106635445</v>
      </c>
      <c r="B348" s="5"/>
      <c r="C348" s="5" t="str">
        <f t="shared" si="6"/>
        <v>NIS</v>
      </c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</row>
    <row r="349" spans="1:15" x14ac:dyDescent="0.55000000000000004">
      <c r="A349">
        <v>105148586</v>
      </c>
      <c r="B349" s="5"/>
      <c r="C349" s="5" t="str">
        <f t="shared" si="6"/>
        <v>NIS</v>
      </c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</row>
    <row r="350" spans="1:15" x14ac:dyDescent="0.55000000000000004">
      <c r="A350">
        <v>105190186</v>
      </c>
      <c r="B350" s="5"/>
      <c r="C350" s="5" t="str">
        <f t="shared" si="6"/>
        <v>NIS</v>
      </c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</row>
    <row r="351" spans="1:15" x14ac:dyDescent="0.55000000000000004">
      <c r="A351">
        <v>104912740</v>
      </c>
      <c r="B351" s="5"/>
      <c r="C351" s="5" t="str">
        <f t="shared" si="6"/>
        <v>NIS</v>
      </c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</row>
    <row r="352" spans="1:15" x14ac:dyDescent="0.55000000000000004">
      <c r="A352">
        <v>105215057</v>
      </c>
      <c r="B352" s="5"/>
      <c r="C352" s="5" t="str">
        <f t="shared" si="6"/>
        <v>NIS</v>
      </c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</row>
    <row r="353" spans="1:15" x14ac:dyDescent="0.55000000000000004">
      <c r="A353">
        <v>105252214</v>
      </c>
      <c r="B353" s="5"/>
      <c r="C353" s="5" t="str">
        <f t="shared" si="6"/>
        <v>NIS</v>
      </c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</row>
    <row r="354" spans="1:15" x14ac:dyDescent="0.55000000000000004">
      <c r="A354">
        <v>106527454</v>
      </c>
      <c r="B354" s="5"/>
      <c r="C354" s="5" t="str">
        <f t="shared" si="6"/>
        <v>NIS</v>
      </c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</row>
    <row r="355" spans="1:15" x14ac:dyDescent="0.55000000000000004">
      <c r="A355">
        <v>106673423</v>
      </c>
      <c r="B355" s="5"/>
      <c r="C355" s="5" t="str">
        <f t="shared" si="6"/>
        <v>NIS</v>
      </c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</row>
    <row r="356" spans="1:15" x14ac:dyDescent="0.55000000000000004">
      <c r="A356">
        <v>106523232</v>
      </c>
      <c r="B356" s="5"/>
      <c r="C356" s="5" t="str">
        <f t="shared" si="6"/>
        <v>NIS</v>
      </c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</row>
    <row r="357" spans="1:15" x14ac:dyDescent="0.55000000000000004">
      <c r="A357">
        <v>105982982</v>
      </c>
      <c r="B357" s="5"/>
      <c r="C357" s="5" t="str">
        <f t="shared" si="6"/>
        <v>NIS</v>
      </c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</row>
    <row r="358" spans="1:15" x14ac:dyDescent="0.55000000000000004">
      <c r="A358">
        <v>105183967</v>
      </c>
      <c r="B358" s="5"/>
      <c r="C358" s="5" t="str">
        <f t="shared" si="6"/>
        <v>NIS</v>
      </c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</row>
    <row r="359" spans="1:15" x14ac:dyDescent="0.55000000000000004">
      <c r="A359">
        <v>106537170</v>
      </c>
      <c r="B359" s="5"/>
      <c r="C359" s="5" t="str">
        <f t="shared" si="6"/>
        <v>NIS</v>
      </c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</row>
    <row r="360" spans="1:15" x14ac:dyDescent="0.55000000000000004">
      <c r="A360">
        <v>106402981</v>
      </c>
      <c r="B360" s="5"/>
      <c r="C360" s="5" t="str">
        <f t="shared" si="6"/>
        <v>NIS</v>
      </c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</row>
    <row r="361" spans="1:15" x14ac:dyDescent="0.55000000000000004">
      <c r="A361">
        <v>105461722</v>
      </c>
      <c r="B361" s="5"/>
      <c r="C361" s="5" t="str">
        <f t="shared" si="6"/>
        <v>NIS</v>
      </c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</row>
    <row r="362" spans="1:15" x14ac:dyDescent="0.55000000000000004">
      <c r="A362">
        <v>105878138</v>
      </c>
      <c r="B362" s="5"/>
      <c r="C362" s="5" t="str">
        <f t="shared" si="6"/>
        <v>NIS</v>
      </c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</row>
    <row r="363" spans="1:15" x14ac:dyDescent="0.55000000000000004">
      <c r="A363">
        <v>106628831</v>
      </c>
      <c r="B363" s="5"/>
      <c r="C363" s="5" t="str">
        <f t="shared" si="6"/>
        <v>NIS</v>
      </c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</row>
    <row r="364" spans="1:15" x14ac:dyDescent="0.55000000000000004">
      <c r="A364">
        <v>104953873</v>
      </c>
      <c r="B364" s="5"/>
      <c r="C364" s="5" t="str">
        <f t="shared" si="6"/>
        <v>NIS</v>
      </c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</row>
    <row r="365" spans="1:15" x14ac:dyDescent="0.55000000000000004">
      <c r="A365">
        <v>105053804</v>
      </c>
      <c r="B365" s="5"/>
      <c r="C365" s="5" t="str">
        <f t="shared" si="6"/>
        <v>NIS</v>
      </c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</row>
    <row r="366" spans="1:15" x14ac:dyDescent="0.55000000000000004">
      <c r="A366">
        <v>106635418</v>
      </c>
      <c r="B366" s="5"/>
      <c r="C366" s="5" t="str">
        <f t="shared" si="6"/>
        <v>NIS</v>
      </c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</row>
    <row r="367" spans="1:15" x14ac:dyDescent="0.55000000000000004">
      <c r="A367">
        <v>106425262</v>
      </c>
      <c r="B367" s="5"/>
      <c r="C367" s="5" t="str">
        <f t="shared" si="6"/>
        <v>NIS</v>
      </c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</row>
    <row r="368" spans="1:15" x14ac:dyDescent="0.55000000000000004">
      <c r="A368">
        <v>106021253</v>
      </c>
      <c r="B368" s="5"/>
      <c r="C368" s="5" t="str">
        <f t="shared" si="6"/>
        <v>NIS</v>
      </c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</row>
    <row r="369" spans="1:15" x14ac:dyDescent="0.55000000000000004">
      <c r="A369">
        <v>106606622</v>
      </c>
      <c r="B369" s="5"/>
      <c r="C369" s="5" t="str">
        <f t="shared" si="6"/>
        <v>NIS</v>
      </c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</row>
    <row r="370" spans="1:15" x14ac:dyDescent="0.55000000000000004">
      <c r="A370">
        <v>105891225</v>
      </c>
      <c r="B370" s="5"/>
      <c r="C370" s="5" t="str">
        <f t="shared" si="6"/>
        <v>NIS</v>
      </c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</row>
    <row r="371" spans="1:15" x14ac:dyDescent="0.55000000000000004">
      <c r="A371">
        <v>104960050</v>
      </c>
      <c r="B371" s="5"/>
      <c r="C371" s="5" t="str">
        <f t="shared" si="6"/>
        <v>NIS</v>
      </c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</row>
    <row r="372" spans="1:15" x14ac:dyDescent="0.55000000000000004">
      <c r="A372">
        <v>106277468</v>
      </c>
      <c r="B372" s="5"/>
      <c r="C372" s="5" t="str">
        <f t="shared" si="6"/>
        <v>NIS</v>
      </c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</row>
    <row r="373" spans="1:15" x14ac:dyDescent="0.55000000000000004">
      <c r="A373">
        <v>106053265</v>
      </c>
      <c r="B373" s="5"/>
      <c r="C373" s="5" t="str">
        <f t="shared" si="6"/>
        <v>NIS</v>
      </c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</row>
    <row r="374" spans="1:15" x14ac:dyDescent="0.55000000000000004">
      <c r="A374">
        <v>105930813</v>
      </c>
      <c r="B374" s="5"/>
      <c r="C374" s="5" t="str">
        <f t="shared" si="6"/>
        <v>NIS</v>
      </c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</row>
    <row r="375" spans="1:15" x14ac:dyDescent="0.55000000000000004">
      <c r="A375">
        <v>104939160</v>
      </c>
      <c r="B375" s="5"/>
      <c r="C375" s="5" t="str">
        <f t="shared" si="6"/>
        <v>NIS</v>
      </c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</row>
    <row r="376" spans="1:15" x14ac:dyDescent="0.55000000000000004">
      <c r="A376">
        <v>106425264</v>
      </c>
      <c r="B376" s="5"/>
      <c r="C376" s="5" t="str">
        <f t="shared" si="6"/>
        <v>NIS</v>
      </c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</row>
    <row r="377" spans="1:15" x14ac:dyDescent="0.55000000000000004">
      <c r="A377">
        <v>105988858</v>
      </c>
      <c r="B377" s="5"/>
      <c r="C377" s="5" t="str">
        <f t="shared" si="6"/>
        <v>NIS</v>
      </c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</row>
    <row r="378" spans="1:15" x14ac:dyDescent="0.55000000000000004">
      <c r="A378">
        <v>106274731</v>
      </c>
      <c r="B378" s="5"/>
      <c r="C378" s="5" t="str">
        <f t="shared" si="6"/>
        <v>NIS</v>
      </c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</row>
    <row r="379" spans="1:15" x14ac:dyDescent="0.55000000000000004">
      <c r="A379">
        <v>106169430</v>
      </c>
      <c r="B379" s="5"/>
      <c r="C379" s="5" t="str">
        <f t="shared" si="6"/>
        <v>NIS</v>
      </c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</row>
    <row r="380" spans="1:15" x14ac:dyDescent="0.55000000000000004">
      <c r="A380">
        <v>106621531</v>
      </c>
      <c r="B380" s="5"/>
      <c r="C380" s="5" t="str">
        <f t="shared" si="6"/>
        <v>NIS</v>
      </c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</row>
    <row r="381" spans="1:15" x14ac:dyDescent="0.55000000000000004">
      <c r="A381">
        <v>105341060</v>
      </c>
      <c r="B381" s="5"/>
      <c r="C381" s="5" t="str">
        <f t="shared" si="6"/>
        <v>NIS</v>
      </c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</row>
    <row r="382" spans="1:15" x14ac:dyDescent="0.55000000000000004">
      <c r="A382">
        <v>105461702</v>
      </c>
      <c r="B382" s="5"/>
      <c r="C382" s="5" t="str">
        <f t="shared" si="6"/>
        <v>NIS</v>
      </c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</row>
    <row r="383" spans="1:15" x14ac:dyDescent="0.55000000000000004">
      <c r="A383">
        <v>106344775</v>
      </c>
      <c r="B383" s="5"/>
      <c r="C383" s="5" t="str">
        <f t="shared" si="6"/>
        <v>NIS</v>
      </c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</row>
    <row r="384" spans="1:15" x14ac:dyDescent="0.55000000000000004">
      <c r="A384">
        <v>105510141</v>
      </c>
      <c r="B384" s="5"/>
      <c r="C384" s="5" t="str">
        <f t="shared" si="6"/>
        <v>NIS</v>
      </c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</row>
    <row r="385" spans="1:15" x14ac:dyDescent="0.55000000000000004">
      <c r="A385">
        <v>106662128</v>
      </c>
      <c r="B385" s="5"/>
      <c r="C385" s="5" t="str">
        <f t="shared" si="6"/>
        <v>NIS</v>
      </c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</row>
    <row r="386" spans="1:15" x14ac:dyDescent="0.55000000000000004">
      <c r="A386">
        <v>105273982</v>
      </c>
      <c r="B386" s="5"/>
      <c r="C386" s="5" t="str">
        <f t="shared" ref="C386:C449" si="7">IF(COUNTIF($B:$B,A386)&gt;0,"IS","NIS")</f>
        <v>NIS</v>
      </c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</row>
    <row r="387" spans="1:15" x14ac:dyDescent="0.55000000000000004">
      <c r="A387">
        <v>105228643</v>
      </c>
      <c r="B387" s="5"/>
      <c r="C387" s="5" t="str">
        <f t="shared" si="7"/>
        <v>NIS</v>
      </c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</row>
    <row r="388" spans="1:15" x14ac:dyDescent="0.55000000000000004">
      <c r="A388">
        <v>105640235</v>
      </c>
      <c r="B388" s="5"/>
      <c r="C388" s="5" t="str">
        <f t="shared" si="7"/>
        <v>NIS</v>
      </c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</row>
    <row r="389" spans="1:15" x14ac:dyDescent="0.55000000000000004">
      <c r="A389">
        <v>104912708</v>
      </c>
      <c r="B389" s="5"/>
      <c r="C389" s="5" t="str">
        <f t="shared" si="7"/>
        <v>NIS</v>
      </c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</row>
    <row r="390" spans="1:15" x14ac:dyDescent="0.55000000000000004">
      <c r="A390">
        <v>106472072</v>
      </c>
      <c r="B390" s="5"/>
      <c r="C390" s="5" t="str">
        <f t="shared" si="7"/>
        <v>NIS</v>
      </c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</row>
    <row r="391" spans="1:15" x14ac:dyDescent="0.55000000000000004">
      <c r="A391">
        <v>105864899</v>
      </c>
      <c r="B391" s="5"/>
      <c r="C391" s="5" t="str">
        <f t="shared" si="7"/>
        <v>NIS</v>
      </c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</row>
    <row r="392" spans="1:15" x14ac:dyDescent="0.55000000000000004">
      <c r="A392">
        <v>105979520</v>
      </c>
      <c r="B392" s="5"/>
      <c r="C392" s="5" t="str">
        <f t="shared" si="7"/>
        <v>NIS</v>
      </c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</row>
    <row r="393" spans="1:15" x14ac:dyDescent="0.55000000000000004">
      <c r="A393">
        <v>105787737</v>
      </c>
      <c r="B393" s="5"/>
      <c r="C393" s="5" t="str">
        <f t="shared" si="7"/>
        <v>NIS</v>
      </c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</row>
    <row r="394" spans="1:15" x14ac:dyDescent="0.55000000000000004">
      <c r="A394">
        <v>106298234</v>
      </c>
      <c r="B394" s="5"/>
      <c r="C394" s="5" t="str">
        <f t="shared" si="7"/>
        <v>NIS</v>
      </c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</row>
    <row r="395" spans="1:15" x14ac:dyDescent="0.55000000000000004">
      <c r="A395">
        <v>104980768</v>
      </c>
      <c r="B395" s="5"/>
      <c r="C395" s="5" t="str">
        <f t="shared" si="7"/>
        <v>NIS</v>
      </c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</row>
    <row r="396" spans="1:15" x14ac:dyDescent="0.55000000000000004">
      <c r="A396">
        <v>106368236</v>
      </c>
      <c r="B396" s="5"/>
      <c r="C396" s="5" t="str">
        <f t="shared" si="7"/>
        <v>NIS</v>
      </c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</row>
    <row r="397" spans="1:15" x14ac:dyDescent="0.55000000000000004">
      <c r="A397">
        <v>105367316</v>
      </c>
      <c r="B397" s="5"/>
      <c r="C397" s="5" t="str">
        <f t="shared" si="7"/>
        <v>NIS</v>
      </c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</row>
    <row r="398" spans="1:15" x14ac:dyDescent="0.55000000000000004">
      <c r="A398">
        <v>105787728</v>
      </c>
      <c r="B398" s="5"/>
      <c r="C398" s="5" t="str">
        <f t="shared" si="7"/>
        <v>NIS</v>
      </c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</row>
    <row r="399" spans="1:15" x14ac:dyDescent="0.55000000000000004">
      <c r="A399">
        <v>106344774</v>
      </c>
      <c r="B399" s="5"/>
      <c r="C399" s="5" t="str">
        <f t="shared" si="7"/>
        <v>NIS</v>
      </c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</row>
    <row r="400" spans="1:15" x14ac:dyDescent="0.55000000000000004">
      <c r="A400">
        <v>105327400</v>
      </c>
      <c r="B400" s="5"/>
      <c r="C400" s="5" t="str">
        <f t="shared" si="7"/>
        <v>NIS</v>
      </c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</row>
    <row r="401" spans="1:15" x14ac:dyDescent="0.55000000000000004">
      <c r="A401">
        <v>105391025</v>
      </c>
      <c r="B401" s="5"/>
      <c r="C401" s="5" t="str">
        <f t="shared" si="7"/>
        <v>NIS</v>
      </c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</row>
    <row r="402" spans="1:15" x14ac:dyDescent="0.55000000000000004">
      <c r="A402">
        <v>105481789</v>
      </c>
      <c r="B402" s="5"/>
      <c r="C402" s="5" t="str">
        <f t="shared" si="7"/>
        <v>NIS</v>
      </c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</row>
    <row r="403" spans="1:15" x14ac:dyDescent="0.55000000000000004">
      <c r="A403">
        <v>105472656</v>
      </c>
      <c r="B403" s="5"/>
      <c r="C403" s="5" t="str">
        <f t="shared" si="7"/>
        <v>NIS</v>
      </c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</row>
    <row r="404" spans="1:15" x14ac:dyDescent="0.55000000000000004">
      <c r="A404">
        <v>106285206</v>
      </c>
      <c r="B404" s="5"/>
      <c r="C404" s="5" t="str">
        <f t="shared" si="7"/>
        <v>NIS</v>
      </c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</row>
    <row r="405" spans="1:15" x14ac:dyDescent="0.55000000000000004">
      <c r="A405">
        <v>104912235</v>
      </c>
      <c r="B405" s="5"/>
      <c r="C405" s="5" t="str">
        <f t="shared" si="7"/>
        <v>NIS</v>
      </c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</row>
    <row r="406" spans="1:15" x14ac:dyDescent="0.55000000000000004">
      <c r="A406">
        <v>105148583</v>
      </c>
      <c r="B406" s="5"/>
      <c r="C406" s="5" t="str">
        <f t="shared" si="7"/>
        <v>NIS</v>
      </c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</row>
    <row r="407" spans="1:15" x14ac:dyDescent="0.55000000000000004">
      <c r="A407">
        <v>106165458</v>
      </c>
      <c r="B407" s="5"/>
      <c r="C407" s="5" t="str">
        <f t="shared" si="7"/>
        <v>NIS</v>
      </c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</row>
    <row r="408" spans="1:15" x14ac:dyDescent="0.55000000000000004">
      <c r="A408">
        <v>106402985</v>
      </c>
      <c r="B408" s="5"/>
      <c r="C408" s="5" t="str">
        <f t="shared" si="7"/>
        <v>NIS</v>
      </c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</row>
    <row r="409" spans="1:15" x14ac:dyDescent="0.55000000000000004">
      <c r="A409">
        <v>105424555</v>
      </c>
      <c r="B409" s="5"/>
      <c r="C409" s="5" t="str">
        <f t="shared" si="7"/>
        <v>NIS</v>
      </c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</row>
    <row r="410" spans="1:15" x14ac:dyDescent="0.55000000000000004">
      <c r="A410">
        <v>105016592</v>
      </c>
      <c r="B410" s="5"/>
      <c r="C410" s="5" t="str">
        <f t="shared" si="7"/>
        <v>NIS</v>
      </c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</row>
    <row r="411" spans="1:15" x14ac:dyDescent="0.55000000000000004">
      <c r="A411">
        <v>105020472</v>
      </c>
      <c r="B411" s="5"/>
      <c r="C411" s="5" t="str">
        <f t="shared" si="7"/>
        <v>NIS</v>
      </c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</row>
    <row r="412" spans="1:15" x14ac:dyDescent="0.55000000000000004">
      <c r="A412">
        <v>105854618</v>
      </c>
      <c r="B412" s="5"/>
      <c r="C412" s="5" t="str">
        <f t="shared" si="7"/>
        <v>NIS</v>
      </c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</row>
    <row r="413" spans="1:15" x14ac:dyDescent="0.55000000000000004">
      <c r="A413">
        <v>105586868</v>
      </c>
      <c r="B413" s="5"/>
      <c r="C413" s="5" t="str">
        <f t="shared" si="7"/>
        <v>NIS</v>
      </c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</row>
    <row r="414" spans="1:15" x14ac:dyDescent="0.55000000000000004">
      <c r="A414">
        <v>104950121</v>
      </c>
      <c r="B414" s="5"/>
      <c r="C414" s="5" t="str">
        <f t="shared" si="7"/>
        <v>NIS</v>
      </c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</row>
    <row r="415" spans="1:15" x14ac:dyDescent="0.55000000000000004">
      <c r="A415">
        <v>104988829</v>
      </c>
      <c r="B415" s="5"/>
      <c r="C415" s="5" t="str">
        <f t="shared" si="7"/>
        <v>NIS</v>
      </c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</row>
    <row r="416" spans="1:15" x14ac:dyDescent="0.55000000000000004">
      <c r="A416">
        <v>104912256</v>
      </c>
      <c r="B416" s="5"/>
      <c r="C416" s="5" t="str">
        <f t="shared" si="7"/>
        <v>NIS</v>
      </c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</row>
    <row r="417" spans="1:15" x14ac:dyDescent="0.55000000000000004">
      <c r="A417">
        <v>105154460</v>
      </c>
      <c r="B417" s="5"/>
      <c r="C417" s="5" t="str">
        <f t="shared" si="7"/>
        <v>NIS</v>
      </c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</row>
    <row r="418" spans="1:15" x14ac:dyDescent="0.55000000000000004">
      <c r="A418">
        <v>106211832</v>
      </c>
      <c r="B418" s="5"/>
      <c r="C418" s="5" t="str">
        <f t="shared" si="7"/>
        <v>NIS</v>
      </c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</row>
    <row r="419" spans="1:15" x14ac:dyDescent="0.55000000000000004">
      <c r="A419">
        <v>105439170</v>
      </c>
      <c r="B419" s="5"/>
      <c r="C419" s="5" t="str">
        <f t="shared" si="7"/>
        <v>NIS</v>
      </c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</row>
    <row r="420" spans="1:15" x14ac:dyDescent="0.55000000000000004">
      <c r="A420">
        <v>104860401</v>
      </c>
      <c r="B420" s="5"/>
      <c r="C420" s="5" t="str">
        <f t="shared" si="7"/>
        <v>NIS</v>
      </c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</row>
    <row r="421" spans="1:15" x14ac:dyDescent="0.55000000000000004">
      <c r="A421">
        <v>105736445</v>
      </c>
      <c r="B421" s="5"/>
      <c r="C421" s="5" t="str">
        <f t="shared" si="7"/>
        <v>NIS</v>
      </c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</row>
    <row r="422" spans="1:15" x14ac:dyDescent="0.55000000000000004">
      <c r="A422">
        <v>105190252</v>
      </c>
      <c r="B422" s="5"/>
      <c r="C422" s="5" t="str">
        <f t="shared" si="7"/>
        <v>NIS</v>
      </c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</row>
    <row r="423" spans="1:15" x14ac:dyDescent="0.55000000000000004">
      <c r="A423">
        <v>106366194</v>
      </c>
      <c r="B423" s="5"/>
      <c r="C423" s="5" t="str">
        <f t="shared" si="7"/>
        <v>NIS</v>
      </c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</row>
    <row r="424" spans="1:15" x14ac:dyDescent="0.55000000000000004">
      <c r="A424">
        <v>104983764</v>
      </c>
      <c r="B424" s="5"/>
      <c r="C424" s="5" t="str">
        <f t="shared" si="7"/>
        <v>NIS</v>
      </c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</row>
    <row r="425" spans="1:15" x14ac:dyDescent="0.55000000000000004">
      <c r="A425">
        <v>105631923</v>
      </c>
      <c r="B425" s="5"/>
      <c r="C425" s="5" t="str">
        <f t="shared" si="7"/>
        <v>NIS</v>
      </c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</row>
    <row r="426" spans="1:15" x14ac:dyDescent="0.55000000000000004">
      <c r="A426">
        <v>105982984</v>
      </c>
      <c r="B426" s="5"/>
      <c r="C426" s="5" t="str">
        <f t="shared" si="7"/>
        <v>NIS</v>
      </c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</row>
    <row r="427" spans="1:15" x14ac:dyDescent="0.55000000000000004">
      <c r="A427">
        <v>105238944</v>
      </c>
      <c r="B427" s="5"/>
      <c r="C427" s="5" t="str">
        <f t="shared" si="7"/>
        <v>NIS</v>
      </c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</row>
    <row r="428" spans="1:15" x14ac:dyDescent="0.55000000000000004">
      <c r="A428">
        <v>105948733</v>
      </c>
      <c r="B428" s="5"/>
      <c r="C428" s="5" t="str">
        <f t="shared" si="7"/>
        <v>NIS</v>
      </c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</row>
    <row r="429" spans="1:15" x14ac:dyDescent="0.55000000000000004">
      <c r="A429">
        <v>105220678</v>
      </c>
      <c r="B429" s="5"/>
      <c r="C429" s="5" t="str">
        <f t="shared" si="7"/>
        <v>NIS</v>
      </c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</row>
    <row r="430" spans="1:15" x14ac:dyDescent="0.55000000000000004">
      <c r="A430">
        <v>105806199</v>
      </c>
      <c r="B430" s="5"/>
      <c r="C430" s="5" t="str">
        <f t="shared" si="7"/>
        <v>NIS</v>
      </c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</row>
    <row r="431" spans="1:15" x14ac:dyDescent="0.55000000000000004">
      <c r="A431">
        <v>105270074</v>
      </c>
      <c r="B431" s="5"/>
      <c r="C431" s="5" t="str">
        <f t="shared" si="7"/>
        <v>NIS</v>
      </c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</row>
    <row r="432" spans="1:15" x14ac:dyDescent="0.55000000000000004">
      <c r="A432">
        <v>106538000</v>
      </c>
      <c r="B432" s="5"/>
      <c r="C432" s="5" t="str">
        <f t="shared" si="7"/>
        <v>NIS</v>
      </c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</row>
    <row r="433" spans="1:15" x14ac:dyDescent="0.55000000000000004">
      <c r="A433">
        <v>105958128</v>
      </c>
      <c r="B433" s="5"/>
      <c r="C433" s="5" t="str">
        <f t="shared" si="7"/>
        <v>NIS</v>
      </c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</row>
    <row r="434" spans="1:15" x14ac:dyDescent="0.55000000000000004">
      <c r="A434">
        <v>105948731</v>
      </c>
      <c r="B434" s="5"/>
      <c r="C434" s="5" t="str">
        <f t="shared" si="7"/>
        <v>NIS</v>
      </c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</row>
    <row r="435" spans="1:15" x14ac:dyDescent="0.55000000000000004">
      <c r="A435">
        <v>106119149</v>
      </c>
      <c r="B435" s="5"/>
      <c r="C435" s="5" t="str">
        <f t="shared" si="7"/>
        <v>NIS</v>
      </c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</row>
    <row r="436" spans="1:15" x14ac:dyDescent="0.55000000000000004">
      <c r="A436">
        <v>105957018</v>
      </c>
      <c r="B436" s="5"/>
      <c r="C436" s="5" t="str">
        <f t="shared" si="7"/>
        <v>NIS</v>
      </c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</row>
    <row r="437" spans="1:15" x14ac:dyDescent="0.55000000000000004">
      <c r="A437">
        <v>105544118</v>
      </c>
      <c r="B437" s="5"/>
      <c r="C437" s="5" t="str">
        <f t="shared" si="7"/>
        <v>NIS</v>
      </c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</row>
    <row r="438" spans="1:15" x14ac:dyDescent="0.55000000000000004">
      <c r="A438">
        <v>104875022</v>
      </c>
      <c r="B438" s="5"/>
      <c r="C438" s="5" t="str">
        <f t="shared" si="7"/>
        <v>NIS</v>
      </c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</row>
    <row r="439" spans="1:15" x14ac:dyDescent="0.55000000000000004">
      <c r="A439">
        <v>106037842</v>
      </c>
      <c r="B439" s="5"/>
      <c r="C439" s="5" t="str">
        <f t="shared" si="7"/>
        <v>NIS</v>
      </c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</row>
    <row r="440" spans="1:15" x14ac:dyDescent="0.55000000000000004">
      <c r="A440">
        <v>106150273</v>
      </c>
      <c r="B440" s="5"/>
      <c r="C440" s="5" t="str">
        <f t="shared" si="7"/>
        <v>NIS</v>
      </c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</row>
    <row r="441" spans="1:15" x14ac:dyDescent="0.55000000000000004">
      <c r="A441">
        <v>104892467</v>
      </c>
      <c r="B441" s="5"/>
      <c r="C441" s="5" t="str">
        <f t="shared" si="7"/>
        <v>NIS</v>
      </c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</row>
    <row r="442" spans="1:15" x14ac:dyDescent="0.55000000000000004">
      <c r="A442">
        <v>105631978</v>
      </c>
      <c r="B442" s="5"/>
      <c r="C442" s="5" t="str">
        <f t="shared" si="7"/>
        <v>NIS</v>
      </c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</row>
    <row r="443" spans="1:15" x14ac:dyDescent="0.55000000000000004">
      <c r="A443">
        <v>106597839</v>
      </c>
      <c r="B443" s="5"/>
      <c r="C443" s="5" t="str">
        <f t="shared" si="7"/>
        <v>NIS</v>
      </c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</row>
    <row r="444" spans="1:15" x14ac:dyDescent="0.55000000000000004">
      <c r="A444">
        <v>106717098</v>
      </c>
      <c r="B444" s="5"/>
      <c r="C444" s="5" t="str">
        <f t="shared" si="7"/>
        <v>NIS</v>
      </c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</row>
    <row r="445" spans="1:15" x14ac:dyDescent="0.55000000000000004">
      <c r="A445">
        <v>106338095</v>
      </c>
      <c r="B445" s="5"/>
      <c r="C445" s="5" t="str">
        <f t="shared" si="7"/>
        <v>NIS</v>
      </c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</row>
    <row r="446" spans="1:15" x14ac:dyDescent="0.55000000000000004">
      <c r="A446">
        <v>106422556</v>
      </c>
      <c r="B446" s="5"/>
      <c r="C446" s="5" t="str">
        <f t="shared" si="7"/>
        <v>NIS</v>
      </c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</row>
    <row r="447" spans="1:15" x14ac:dyDescent="0.55000000000000004">
      <c r="A447">
        <v>106673452</v>
      </c>
      <c r="B447" s="5"/>
      <c r="C447" s="5" t="str">
        <f t="shared" si="7"/>
        <v>NIS</v>
      </c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</row>
    <row r="448" spans="1:15" x14ac:dyDescent="0.55000000000000004">
      <c r="A448">
        <v>105127021</v>
      </c>
      <c r="B448" s="5"/>
      <c r="C448" s="5" t="str">
        <f t="shared" si="7"/>
        <v>NIS</v>
      </c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</row>
    <row r="449" spans="1:15" x14ac:dyDescent="0.55000000000000004">
      <c r="A449">
        <v>105677733</v>
      </c>
      <c r="B449" s="5"/>
      <c r="C449" s="5" t="str">
        <f t="shared" si="7"/>
        <v>NIS</v>
      </c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</row>
    <row r="450" spans="1:15" x14ac:dyDescent="0.55000000000000004">
      <c r="A450">
        <v>106413180</v>
      </c>
      <c r="B450" s="5"/>
      <c r="C450" s="5" t="str">
        <f t="shared" ref="C450:C513" si="8">IF(COUNTIF($B:$B,A450)&gt;0,"IS","NIS")</f>
        <v>NIS</v>
      </c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</row>
    <row r="451" spans="1:15" x14ac:dyDescent="0.55000000000000004">
      <c r="A451">
        <v>106516935</v>
      </c>
      <c r="B451" s="5"/>
      <c r="C451" s="5" t="str">
        <f t="shared" si="8"/>
        <v>NIS</v>
      </c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</row>
    <row r="452" spans="1:15" x14ac:dyDescent="0.55000000000000004">
      <c r="A452">
        <v>106394547</v>
      </c>
      <c r="B452" s="5"/>
      <c r="C452" s="5" t="str">
        <f t="shared" si="8"/>
        <v>NIS</v>
      </c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</row>
    <row r="453" spans="1:15" x14ac:dyDescent="0.55000000000000004">
      <c r="A453">
        <v>106381056</v>
      </c>
      <c r="B453" s="5"/>
      <c r="C453" s="5" t="str">
        <f t="shared" si="8"/>
        <v>NIS</v>
      </c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</row>
    <row r="454" spans="1:15" x14ac:dyDescent="0.55000000000000004">
      <c r="A454">
        <v>105148614</v>
      </c>
      <c r="B454" s="5"/>
      <c r="C454" s="5" t="str">
        <f t="shared" si="8"/>
        <v>NIS</v>
      </c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</row>
    <row r="455" spans="1:15" x14ac:dyDescent="0.55000000000000004">
      <c r="A455">
        <v>105552901</v>
      </c>
      <c r="B455" s="5"/>
      <c r="C455" s="5" t="str">
        <f t="shared" si="8"/>
        <v>NIS</v>
      </c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</row>
    <row r="456" spans="1:15" x14ac:dyDescent="0.55000000000000004">
      <c r="A456">
        <v>105553012</v>
      </c>
      <c r="B456" s="5"/>
      <c r="C456" s="5" t="str">
        <f t="shared" si="8"/>
        <v>NIS</v>
      </c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</row>
    <row r="457" spans="1:15" x14ac:dyDescent="0.55000000000000004">
      <c r="A457">
        <v>105106404</v>
      </c>
      <c r="B457" s="5"/>
      <c r="C457" s="5" t="str">
        <f t="shared" si="8"/>
        <v>NIS</v>
      </c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</row>
    <row r="458" spans="1:15" x14ac:dyDescent="0.55000000000000004">
      <c r="A458">
        <v>105647909</v>
      </c>
      <c r="B458" s="5"/>
      <c r="C458" s="5" t="str">
        <f t="shared" si="8"/>
        <v>NIS</v>
      </c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</row>
    <row r="459" spans="1:15" x14ac:dyDescent="0.55000000000000004">
      <c r="A459">
        <v>106083108</v>
      </c>
      <c r="B459" s="5"/>
      <c r="C459" s="5" t="str">
        <f t="shared" si="8"/>
        <v>NIS</v>
      </c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</row>
    <row r="460" spans="1:15" x14ac:dyDescent="0.55000000000000004">
      <c r="A460">
        <v>106119869</v>
      </c>
      <c r="B460" s="5"/>
      <c r="C460" s="5" t="str">
        <f t="shared" si="8"/>
        <v>NIS</v>
      </c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</row>
    <row r="461" spans="1:15" x14ac:dyDescent="0.55000000000000004">
      <c r="A461">
        <v>105294321</v>
      </c>
      <c r="B461" s="5"/>
      <c r="C461" s="5" t="str">
        <f t="shared" si="8"/>
        <v>NIS</v>
      </c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</row>
    <row r="462" spans="1:15" x14ac:dyDescent="0.55000000000000004">
      <c r="A462">
        <v>105127035</v>
      </c>
      <c r="B462" s="5"/>
      <c r="C462" s="5" t="str">
        <f t="shared" si="8"/>
        <v>NIS</v>
      </c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</row>
    <row r="463" spans="1:15" x14ac:dyDescent="0.55000000000000004">
      <c r="A463">
        <v>106381087</v>
      </c>
      <c r="B463" s="5"/>
      <c r="C463" s="5" t="str">
        <f t="shared" si="8"/>
        <v>NIS</v>
      </c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</row>
    <row r="464" spans="1:15" x14ac:dyDescent="0.55000000000000004">
      <c r="A464">
        <v>106728310</v>
      </c>
      <c r="B464" s="5"/>
      <c r="C464" s="5" t="str">
        <f t="shared" si="8"/>
        <v>NIS</v>
      </c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</row>
    <row r="465" spans="1:15" x14ac:dyDescent="0.55000000000000004">
      <c r="A465">
        <v>105106402</v>
      </c>
      <c r="B465" s="5"/>
      <c r="C465" s="5" t="str">
        <f t="shared" si="8"/>
        <v>NIS</v>
      </c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</row>
    <row r="466" spans="1:15" x14ac:dyDescent="0.55000000000000004">
      <c r="A466">
        <v>105948723</v>
      </c>
      <c r="B466" s="5"/>
      <c r="C466" s="5" t="str">
        <f t="shared" si="8"/>
        <v>NIS</v>
      </c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</row>
    <row r="467" spans="1:15" x14ac:dyDescent="0.55000000000000004">
      <c r="A467">
        <v>106153298</v>
      </c>
      <c r="B467" s="5"/>
      <c r="C467" s="5" t="str">
        <f t="shared" si="8"/>
        <v>NIS</v>
      </c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</row>
    <row r="468" spans="1:15" x14ac:dyDescent="0.55000000000000004">
      <c r="A468">
        <v>105762474</v>
      </c>
      <c r="B468" s="5"/>
      <c r="C468" s="5" t="str">
        <f t="shared" si="8"/>
        <v>NIS</v>
      </c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</row>
    <row r="469" spans="1:15" x14ac:dyDescent="0.55000000000000004">
      <c r="A469">
        <v>105148643</v>
      </c>
      <c r="B469" s="5"/>
      <c r="C469" s="5" t="str">
        <f t="shared" si="8"/>
        <v>NIS</v>
      </c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</row>
    <row r="470" spans="1:15" x14ac:dyDescent="0.55000000000000004">
      <c r="A470">
        <v>105773617</v>
      </c>
      <c r="B470" s="5"/>
      <c r="C470" s="5" t="str">
        <f t="shared" si="8"/>
        <v>NIS</v>
      </c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</row>
    <row r="471" spans="1:15" x14ac:dyDescent="0.55000000000000004">
      <c r="A471">
        <v>104953208</v>
      </c>
      <c r="B471" s="5"/>
      <c r="C471" s="5" t="str">
        <f t="shared" si="8"/>
        <v>NIS</v>
      </c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</row>
    <row r="472" spans="1:15" x14ac:dyDescent="0.55000000000000004">
      <c r="A472">
        <v>105040711</v>
      </c>
      <c r="B472" s="5"/>
      <c r="C472" s="5" t="str">
        <f t="shared" si="8"/>
        <v>NIS</v>
      </c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</row>
    <row r="473" spans="1:15" x14ac:dyDescent="0.55000000000000004">
      <c r="A473">
        <v>106441535</v>
      </c>
      <c r="B473" s="5"/>
      <c r="C473" s="5" t="str">
        <f t="shared" si="8"/>
        <v>NIS</v>
      </c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</row>
    <row r="474" spans="1:15" x14ac:dyDescent="0.55000000000000004">
      <c r="A474">
        <v>106023585</v>
      </c>
      <c r="B474" s="5"/>
      <c r="C474" s="5" t="str">
        <f t="shared" si="8"/>
        <v>NIS</v>
      </c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</row>
    <row r="475" spans="1:15" x14ac:dyDescent="0.55000000000000004">
      <c r="A475">
        <v>105246913</v>
      </c>
      <c r="B475" s="5"/>
      <c r="C475" s="5" t="str">
        <f t="shared" si="8"/>
        <v>NIS</v>
      </c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</row>
    <row r="476" spans="1:15" x14ac:dyDescent="0.55000000000000004">
      <c r="A476">
        <v>105865522</v>
      </c>
      <c r="B476" s="5"/>
      <c r="C476" s="5" t="str">
        <f t="shared" si="8"/>
        <v>NIS</v>
      </c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</row>
    <row r="477" spans="1:15" x14ac:dyDescent="0.55000000000000004">
      <c r="A477">
        <v>104868954</v>
      </c>
      <c r="B477" s="5"/>
      <c r="C477" s="5" t="str">
        <f t="shared" si="8"/>
        <v>NIS</v>
      </c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</row>
    <row r="478" spans="1:15" x14ac:dyDescent="0.55000000000000004">
      <c r="A478">
        <v>106280955</v>
      </c>
      <c r="B478" s="5"/>
      <c r="C478" s="5" t="str">
        <f t="shared" si="8"/>
        <v>NIS</v>
      </c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</row>
    <row r="479" spans="1:15" x14ac:dyDescent="0.55000000000000004">
      <c r="A479">
        <v>105236189</v>
      </c>
      <c r="B479" s="5"/>
      <c r="C479" s="5" t="str">
        <f t="shared" si="8"/>
        <v>NIS</v>
      </c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</row>
    <row r="480" spans="1:15" x14ac:dyDescent="0.55000000000000004">
      <c r="A480">
        <v>104868956</v>
      </c>
      <c r="B480" s="5"/>
      <c r="C480" s="5" t="str">
        <f t="shared" si="8"/>
        <v>NIS</v>
      </c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</row>
    <row r="481" spans="1:15" x14ac:dyDescent="0.55000000000000004">
      <c r="A481">
        <v>105904607</v>
      </c>
      <c r="B481" s="5"/>
      <c r="C481" s="5" t="str">
        <f t="shared" si="8"/>
        <v>NIS</v>
      </c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</row>
    <row r="482" spans="1:15" x14ac:dyDescent="0.55000000000000004">
      <c r="A482">
        <v>105159527</v>
      </c>
      <c r="B482" s="5"/>
      <c r="C482" s="5" t="str">
        <f t="shared" si="8"/>
        <v>NIS</v>
      </c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</row>
    <row r="483" spans="1:15" x14ac:dyDescent="0.55000000000000004">
      <c r="A483">
        <v>106083128</v>
      </c>
      <c r="B483" s="5"/>
      <c r="C483" s="5" t="str">
        <f t="shared" si="8"/>
        <v>NIS</v>
      </c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</row>
    <row r="484" spans="1:15" x14ac:dyDescent="0.55000000000000004">
      <c r="A484">
        <v>105126576</v>
      </c>
      <c r="B484" s="5"/>
      <c r="C484" s="5" t="str">
        <f t="shared" si="8"/>
        <v>NIS</v>
      </c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</row>
    <row r="485" spans="1:15" x14ac:dyDescent="0.55000000000000004">
      <c r="A485">
        <v>105615369</v>
      </c>
      <c r="B485" s="5"/>
      <c r="C485" s="5" t="str">
        <f t="shared" si="8"/>
        <v>NIS</v>
      </c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</row>
    <row r="486" spans="1:15" x14ac:dyDescent="0.55000000000000004">
      <c r="A486">
        <v>105435187</v>
      </c>
      <c r="B486" s="5"/>
      <c r="C486" s="5" t="str">
        <f t="shared" si="8"/>
        <v>NIS</v>
      </c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</row>
    <row r="487" spans="1:15" x14ac:dyDescent="0.55000000000000004">
      <c r="A487">
        <v>106100046</v>
      </c>
      <c r="B487" s="5"/>
      <c r="C487" s="5" t="str">
        <f t="shared" si="8"/>
        <v>NIS</v>
      </c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</row>
    <row r="488" spans="1:15" x14ac:dyDescent="0.55000000000000004">
      <c r="A488">
        <v>104970688</v>
      </c>
      <c r="B488" s="5"/>
      <c r="C488" s="5" t="str">
        <f t="shared" si="8"/>
        <v>NIS</v>
      </c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</row>
    <row r="489" spans="1:15" x14ac:dyDescent="0.55000000000000004">
      <c r="A489">
        <v>105252216</v>
      </c>
      <c r="B489" s="5"/>
      <c r="C489" s="5" t="str">
        <f t="shared" si="8"/>
        <v>NIS</v>
      </c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</row>
    <row r="490" spans="1:15" x14ac:dyDescent="0.55000000000000004">
      <c r="A490">
        <v>106529083</v>
      </c>
      <c r="B490" s="5"/>
      <c r="C490" s="5" t="str">
        <f t="shared" si="8"/>
        <v>NIS</v>
      </c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</row>
    <row r="491" spans="1:15" x14ac:dyDescent="0.55000000000000004">
      <c r="A491">
        <v>105321640</v>
      </c>
      <c r="B491" s="5"/>
      <c r="C491" s="5" t="str">
        <f t="shared" si="8"/>
        <v>NIS</v>
      </c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</row>
    <row r="492" spans="1:15" x14ac:dyDescent="0.55000000000000004">
      <c r="A492">
        <v>105439155</v>
      </c>
      <c r="B492" s="5"/>
      <c r="C492" s="5" t="str">
        <f t="shared" si="8"/>
        <v>NIS</v>
      </c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</row>
    <row r="493" spans="1:15" x14ac:dyDescent="0.55000000000000004">
      <c r="A493">
        <v>106442688</v>
      </c>
      <c r="B493" s="5"/>
      <c r="C493" s="5" t="str">
        <f t="shared" si="8"/>
        <v>NIS</v>
      </c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</row>
    <row r="494" spans="1:15" x14ac:dyDescent="0.55000000000000004">
      <c r="A494">
        <v>106012487</v>
      </c>
      <c r="B494" s="5"/>
      <c r="C494" s="5" t="str">
        <f t="shared" si="8"/>
        <v>NIS</v>
      </c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</row>
    <row r="495" spans="1:15" x14ac:dyDescent="0.55000000000000004">
      <c r="A495">
        <v>106325590</v>
      </c>
      <c r="B495" s="5"/>
      <c r="C495" s="5" t="str">
        <f t="shared" si="8"/>
        <v>NIS</v>
      </c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</row>
    <row r="496" spans="1:15" x14ac:dyDescent="0.55000000000000004">
      <c r="A496">
        <v>105948736</v>
      </c>
      <c r="B496" s="5"/>
      <c r="C496" s="5" t="str">
        <f t="shared" si="8"/>
        <v>NIS</v>
      </c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</row>
    <row r="497" spans="1:15" x14ac:dyDescent="0.55000000000000004">
      <c r="A497">
        <v>105184013</v>
      </c>
      <c r="B497" s="5"/>
      <c r="C497" s="5" t="str">
        <f t="shared" si="8"/>
        <v>NIS</v>
      </c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</row>
    <row r="498" spans="1:15" x14ac:dyDescent="0.55000000000000004">
      <c r="A498">
        <v>106285365</v>
      </c>
      <c r="B498" s="5"/>
      <c r="C498" s="5" t="str">
        <f t="shared" si="8"/>
        <v>NIS</v>
      </c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</row>
    <row r="499" spans="1:15" x14ac:dyDescent="0.55000000000000004">
      <c r="A499">
        <v>105736460</v>
      </c>
      <c r="B499" s="5"/>
      <c r="C499" s="5" t="str">
        <f t="shared" si="8"/>
        <v>NIS</v>
      </c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</row>
    <row r="500" spans="1:15" x14ac:dyDescent="0.55000000000000004">
      <c r="A500">
        <v>106628056</v>
      </c>
      <c r="B500" s="5"/>
      <c r="C500" s="5" t="str">
        <f t="shared" si="8"/>
        <v>NIS</v>
      </c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</row>
    <row r="501" spans="1:15" x14ac:dyDescent="0.55000000000000004">
      <c r="A501">
        <v>106607082</v>
      </c>
      <c r="B501" s="5"/>
      <c r="C501" s="5" t="str">
        <f t="shared" si="8"/>
        <v>NIS</v>
      </c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</row>
    <row r="502" spans="1:15" x14ac:dyDescent="0.55000000000000004">
      <c r="A502">
        <v>105878139</v>
      </c>
      <c r="B502" s="5"/>
      <c r="C502" s="5" t="str">
        <f t="shared" si="8"/>
        <v>NIS</v>
      </c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</row>
    <row r="503" spans="1:15" x14ac:dyDescent="0.55000000000000004">
      <c r="A503">
        <v>106556560</v>
      </c>
      <c r="B503" s="5"/>
      <c r="C503" s="5" t="str">
        <f t="shared" si="8"/>
        <v>NIS</v>
      </c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</row>
    <row r="504" spans="1:15" x14ac:dyDescent="0.55000000000000004">
      <c r="A504">
        <v>105510140</v>
      </c>
      <c r="B504" s="5"/>
      <c r="C504" s="5" t="str">
        <f t="shared" si="8"/>
        <v>NIS</v>
      </c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</row>
    <row r="505" spans="1:15" x14ac:dyDescent="0.55000000000000004">
      <c r="A505">
        <v>104860415</v>
      </c>
      <c r="B505" s="5"/>
      <c r="C505" s="5" t="str">
        <f t="shared" si="8"/>
        <v>NIS</v>
      </c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</row>
    <row r="506" spans="1:15" x14ac:dyDescent="0.55000000000000004">
      <c r="A506">
        <v>106083784</v>
      </c>
      <c r="B506" s="5"/>
      <c r="C506" s="5" t="str">
        <f t="shared" si="8"/>
        <v>NIS</v>
      </c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</row>
    <row r="507" spans="1:15" x14ac:dyDescent="0.55000000000000004">
      <c r="A507">
        <v>105097863</v>
      </c>
      <c r="B507" s="5"/>
      <c r="C507" s="5" t="str">
        <f t="shared" si="8"/>
        <v>NIS</v>
      </c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</row>
    <row r="508" spans="1:15" x14ac:dyDescent="0.55000000000000004">
      <c r="A508">
        <v>105615365</v>
      </c>
      <c r="B508" s="5"/>
      <c r="C508" s="5" t="str">
        <f t="shared" si="8"/>
        <v>NIS</v>
      </c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</row>
    <row r="509" spans="1:15" x14ac:dyDescent="0.55000000000000004">
      <c r="A509">
        <v>106287223</v>
      </c>
      <c r="B509" s="5"/>
      <c r="C509" s="5" t="str">
        <f t="shared" si="8"/>
        <v>NIS</v>
      </c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</row>
    <row r="510" spans="1:15" x14ac:dyDescent="0.55000000000000004">
      <c r="A510">
        <v>105471770</v>
      </c>
      <c r="B510" s="5"/>
      <c r="C510" s="5" t="str">
        <f t="shared" si="8"/>
        <v>NIS</v>
      </c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</row>
    <row r="511" spans="1:15" x14ac:dyDescent="0.55000000000000004">
      <c r="A511">
        <v>105880356</v>
      </c>
      <c r="B511" s="5"/>
      <c r="C511" s="5" t="str">
        <f t="shared" si="8"/>
        <v>NIS</v>
      </c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</row>
    <row r="512" spans="1:15" x14ac:dyDescent="0.55000000000000004">
      <c r="A512">
        <v>105321643</v>
      </c>
      <c r="B512" s="5"/>
      <c r="C512" s="5" t="str">
        <f t="shared" si="8"/>
        <v>NIS</v>
      </c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</row>
    <row r="513" spans="1:15" x14ac:dyDescent="0.55000000000000004">
      <c r="A513">
        <v>105075916</v>
      </c>
      <c r="B513" s="5"/>
      <c r="C513" s="5" t="str">
        <f t="shared" si="8"/>
        <v>NIS</v>
      </c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</row>
    <row r="514" spans="1:15" x14ac:dyDescent="0.55000000000000004">
      <c r="A514">
        <v>106324805</v>
      </c>
      <c r="B514" s="5"/>
      <c r="C514" s="5" t="str">
        <f t="shared" ref="C514:C577" si="9">IF(COUNTIF($B:$B,A514)&gt;0,"IS","NIS")</f>
        <v>NIS</v>
      </c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</row>
    <row r="515" spans="1:15" x14ac:dyDescent="0.55000000000000004">
      <c r="A515">
        <v>105048769</v>
      </c>
      <c r="B515" s="5"/>
      <c r="C515" s="5" t="str">
        <f t="shared" si="9"/>
        <v>NIS</v>
      </c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</row>
    <row r="516" spans="1:15" x14ac:dyDescent="0.55000000000000004">
      <c r="A516">
        <v>106516684</v>
      </c>
      <c r="B516" s="5"/>
      <c r="C516" s="5" t="str">
        <f t="shared" si="9"/>
        <v>NIS</v>
      </c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</row>
    <row r="517" spans="1:15" x14ac:dyDescent="0.55000000000000004">
      <c r="A517">
        <v>104893158</v>
      </c>
      <c r="B517" s="5"/>
      <c r="C517" s="5" t="str">
        <f t="shared" si="9"/>
        <v>NIS</v>
      </c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</row>
    <row r="518" spans="1:15" x14ac:dyDescent="0.55000000000000004">
      <c r="A518">
        <v>106390219</v>
      </c>
      <c r="B518" s="5"/>
      <c r="C518" s="5" t="str">
        <f t="shared" si="9"/>
        <v>NIS</v>
      </c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</row>
    <row r="519" spans="1:15" x14ac:dyDescent="0.55000000000000004">
      <c r="A519">
        <v>106053238</v>
      </c>
      <c r="B519" s="5"/>
      <c r="C519" s="5" t="str">
        <f t="shared" si="9"/>
        <v>NIS</v>
      </c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</row>
    <row r="520" spans="1:15" x14ac:dyDescent="0.55000000000000004">
      <c r="A520">
        <v>106011222</v>
      </c>
      <c r="B520" s="5"/>
      <c r="C520" s="5" t="str">
        <f t="shared" si="9"/>
        <v>NIS</v>
      </c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</row>
    <row r="521" spans="1:15" x14ac:dyDescent="0.55000000000000004">
      <c r="A521">
        <v>104893557</v>
      </c>
      <c r="B521" s="5"/>
      <c r="C521" s="5" t="str">
        <f t="shared" si="9"/>
        <v>NIS</v>
      </c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</row>
    <row r="522" spans="1:15" x14ac:dyDescent="0.55000000000000004">
      <c r="A522">
        <v>105114809</v>
      </c>
      <c r="B522" s="5"/>
      <c r="C522" s="5" t="str">
        <f t="shared" si="9"/>
        <v>NIS</v>
      </c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</row>
    <row r="523" spans="1:15" x14ac:dyDescent="0.55000000000000004">
      <c r="A523">
        <v>105367322</v>
      </c>
      <c r="B523" s="5"/>
      <c r="C523" s="5" t="str">
        <f t="shared" si="9"/>
        <v>NIS</v>
      </c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</row>
    <row r="524" spans="1:15" x14ac:dyDescent="0.55000000000000004">
      <c r="A524">
        <v>105238958</v>
      </c>
      <c r="B524" s="5"/>
      <c r="C524" s="5" t="str">
        <f t="shared" si="9"/>
        <v>NIS</v>
      </c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</row>
    <row r="525" spans="1:15" x14ac:dyDescent="0.55000000000000004">
      <c r="A525">
        <v>105576311</v>
      </c>
      <c r="B525" s="5"/>
      <c r="C525" s="5" t="str">
        <f t="shared" si="9"/>
        <v>NIS</v>
      </c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</row>
    <row r="526" spans="1:15" x14ac:dyDescent="0.55000000000000004">
      <c r="A526">
        <v>104875015</v>
      </c>
      <c r="B526" s="5"/>
      <c r="C526" s="5" t="str">
        <f t="shared" si="9"/>
        <v>NIS</v>
      </c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</row>
    <row r="527" spans="1:15" x14ac:dyDescent="0.55000000000000004">
      <c r="A527">
        <v>105440637</v>
      </c>
      <c r="B527" s="5"/>
      <c r="C527" s="5" t="str">
        <f t="shared" si="9"/>
        <v>NIS</v>
      </c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</row>
    <row r="528" spans="1:15" x14ac:dyDescent="0.55000000000000004">
      <c r="A528">
        <v>106394541</v>
      </c>
      <c r="B528" s="5"/>
      <c r="C528" s="5" t="str">
        <f t="shared" si="9"/>
        <v>NIS</v>
      </c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</row>
    <row r="529" spans="1:15" x14ac:dyDescent="0.55000000000000004">
      <c r="A529">
        <v>106234820</v>
      </c>
      <c r="B529" s="5"/>
      <c r="C529" s="5" t="str">
        <f t="shared" si="9"/>
        <v>NIS</v>
      </c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</row>
    <row r="530" spans="1:15" x14ac:dyDescent="0.55000000000000004">
      <c r="A530">
        <v>105977354</v>
      </c>
      <c r="B530" s="5"/>
      <c r="C530" s="5" t="str">
        <f t="shared" si="9"/>
        <v>NIS</v>
      </c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</row>
    <row r="531" spans="1:15" x14ac:dyDescent="0.55000000000000004">
      <c r="A531">
        <v>105615348</v>
      </c>
      <c r="B531" s="5"/>
      <c r="C531" s="5" t="str">
        <f t="shared" si="9"/>
        <v>NIS</v>
      </c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</row>
    <row r="532" spans="1:15" x14ac:dyDescent="0.55000000000000004">
      <c r="A532">
        <v>105020463</v>
      </c>
      <c r="B532" s="5"/>
      <c r="C532" s="5" t="str">
        <f t="shared" si="9"/>
        <v>NIS</v>
      </c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</row>
    <row r="533" spans="1:15" x14ac:dyDescent="0.55000000000000004">
      <c r="A533">
        <v>106344810</v>
      </c>
      <c r="B533" s="5"/>
      <c r="C533" s="5" t="str">
        <f t="shared" si="9"/>
        <v>NIS</v>
      </c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</row>
    <row r="534" spans="1:15" x14ac:dyDescent="0.55000000000000004">
      <c r="A534">
        <v>105252221</v>
      </c>
      <c r="B534" s="5"/>
      <c r="C534" s="5" t="str">
        <f t="shared" si="9"/>
        <v>NIS</v>
      </c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</row>
    <row r="535" spans="1:15" x14ac:dyDescent="0.55000000000000004">
      <c r="A535">
        <v>105274003</v>
      </c>
      <c r="B535" s="5"/>
      <c r="C535" s="5" t="str">
        <f t="shared" si="9"/>
        <v>NIS</v>
      </c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</row>
    <row r="536" spans="1:15" x14ac:dyDescent="0.55000000000000004">
      <c r="A536">
        <v>105035457</v>
      </c>
      <c r="B536" s="5"/>
      <c r="C536" s="5" t="str">
        <f t="shared" si="9"/>
        <v>NIS</v>
      </c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</row>
    <row r="537" spans="1:15" x14ac:dyDescent="0.55000000000000004">
      <c r="A537">
        <v>106216804</v>
      </c>
      <c r="B537" s="5"/>
      <c r="C537" s="5" t="str">
        <f t="shared" si="9"/>
        <v>NIS</v>
      </c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</row>
    <row r="538" spans="1:15" x14ac:dyDescent="0.55000000000000004">
      <c r="A538">
        <v>105631988</v>
      </c>
      <c r="B538" s="5"/>
      <c r="C538" s="5" t="str">
        <f t="shared" si="9"/>
        <v>NIS</v>
      </c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</row>
    <row r="539" spans="1:15" x14ac:dyDescent="0.55000000000000004">
      <c r="A539">
        <v>105471769</v>
      </c>
      <c r="B539" s="5"/>
      <c r="C539" s="5" t="str">
        <f t="shared" si="9"/>
        <v>NIS</v>
      </c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</row>
    <row r="540" spans="1:15" x14ac:dyDescent="0.55000000000000004">
      <c r="A540">
        <v>105759526</v>
      </c>
      <c r="B540" s="5"/>
      <c r="C540" s="5" t="str">
        <f t="shared" si="9"/>
        <v>NIS</v>
      </c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</row>
    <row r="541" spans="1:15" x14ac:dyDescent="0.55000000000000004">
      <c r="A541">
        <v>105677727</v>
      </c>
      <c r="B541" s="5"/>
      <c r="C541" s="5" t="str">
        <f t="shared" si="9"/>
        <v>NIS</v>
      </c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</row>
    <row r="542" spans="1:15" x14ac:dyDescent="0.55000000000000004">
      <c r="A542">
        <v>106667223</v>
      </c>
      <c r="B542" s="5"/>
      <c r="C542" s="5" t="str">
        <f t="shared" si="9"/>
        <v>NIS</v>
      </c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</row>
    <row r="543" spans="1:15" x14ac:dyDescent="0.55000000000000004">
      <c r="A543">
        <v>106726069</v>
      </c>
      <c r="B543" s="5"/>
      <c r="C543" s="5" t="str">
        <f t="shared" si="9"/>
        <v>NIS</v>
      </c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</row>
    <row r="544" spans="1:15" x14ac:dyDescent="0.55000000000000004">
      <c r="A544">
        <v>106375161</v>
      </c>
      <c r="B544" s="5"/>
      <c r="C544" s="5" t="str">
        <f t="shared" si="9"/>
        <v>NIS</v>
      </c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</row>
    <row r="545" spans="1:15" x14ac:dyDescent="0.55000000000000004">
      <c r="A545">
        <v>106280818</v>
      </c>
      <c r="B545" s="5"/>
      <c r="C545" s="5" t="str">
        <f t="shared" si="9"/>
        <v>NIS</v>
      </c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</row>
    <row r="546" spans="1:15" x14ac:dyDescent="0.55000000000000004">
      <c r="A546">
        <v>106435721</v>
      </c>
      <c r="B546" s="5"/>
      <c r="C546" s="5" t="str">
        <f t="shared" si="9"/>
        <v>NIS</v>
      </c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</row>
    <row r="547" spans="1:15" x14ac:dyDescent="0.55000000000000004">
      <c r="A547">
        <v>105763168</v>
      </c>
      <c r="B547" s="5"/>
      <c r="C547" s="5" t="str">
        <f t="shared" si="9"/>
        <v>NIS</v>
      </c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</row>
    <row r="548" spans="1:15" x14ac:dyDescent="0.55000000000000004">
      <c r="A548">
        <v>105134563</v>
      </c>
      <c r="B548" s="5"/>
      <c r="C548" s="5" t="str">
        <f t="shared" si="9"/>
        <v>NIS</v>
      </c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</row>
    <row r="549" spans="1:15" x14ac:dyDescent="0.55000000000000004">
      <c r="A549">
        <v>105148609</v>
      </c>
      <c r="B549" s="5"/>
      <c r="C549" s="5" t="str">
        <f t="shared" si="9"/>
        <v>NIS</v>
      </c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</row>
    <row r="550" spans="1:15" x14ac:dyDescent="0.55000000000000004">
      <c r="A550">
        <v>104878198</v>
      </c>
      <c r="B550" s="5"/>
      <c r="C550" s="5" t="str">
        <f t="shared" si="9"/>
        <v>NIS</v>
      </c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</row>
    <row r="551" spans="1:15" x14ac:dyDescent="0.55000000000000004">
      <c r="A551">
        <v>105813539</v>
      </c>
      <c r="B551" s="5"/>
      <c r="C551" s="5" t="str">
        <f t="shared" si="9"/>
        <v>NIS</v>
      </c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</row>
    <row r="552" spans="1:15" x14ac:dyDescent="0.55000000000000004">
      <c r="A552">
        <v>106037963</v>
      </c>
      <c r="B552" s="5"/>
      <c r="C552" s="5" t="str">
        <f t="shared" si="9"/>
        <v>NIS</v>
      </c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</row>
    <row r="553" spans="1:15" x14ac:dyDescent="0.55000000000000004">
      <c r="A553">
        <v>106324817</v>
      </c>
      <c r="B553" s="5"/>
      <c r="C553" s="5" t="str">
        <f t="shared" si="9"/>
        <v>NIS</v>
      </c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</row>
    <row r="554" spans="1:15" x14ac:dyDescent="0.55000000000000004">
      <c r="A554">
        <v>105355784</v>
      </c>
      <c r="B554" s="5"/>
      <c r="C554" s="5" t="str">
        <f t="shared" si="9"/>
        <v>NIS</v>
      </c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</row>
    <row r="555" spans="1:15" x14ac:dyDescent="0.55000000000000004">
      <c r="A555">
        <v>105355788</v>
      </c>
      <c r="B555" s="5"/>
      <c r="C555" s="5" t="str">
        <f t="shared" si="9"/>
        <v>NIS</v>
      </c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</row>
    <row r="556" spans="1:15" x14ac:dyDescent="0.55000000000000004">
      <c r="A556">
        <v>105020465</v>
      </c>
      <c r="B556" s="5"/>
      <c r="C556" s="5" t="str">
        <f t="shared" si="9"/>
        <v>NIS</v>
      </c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</row>
    <row r="557" spans="1:15" x14ac:dyDescent="0.55000000000000004">
      <c r="A557">
        <v>105017415</v>
      </c>
      <c r="B557" s="5"/>
      <c r="C557" s="5" t="str">
        <f t="shared" si="9"/>
        <v>NIS</v>
      </c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</row>
    <row r="558" spans="1:15" x14ac:dyDescent="0.55000000000000004">
      <c r="A558">
        <v>104988836</v>
      </c>
      <c r="B558" s="5"/>
      <c r="C558" s="5" t="str">
        <f t="shared" si="9"/>
        <v>NIS</v>
      </c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</row>
    <row r="559" spans="1:15" x14ac:dyDescent="0.55000000000000004">
      <c r="A559">
        <v>106375142</v>
      </c>
      <c r="B559" s="5"/>
      <c r="C559" s="5" t="str">
        <f t="shared" si="9"/>
        <v>NIS</v>
      </c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</row>
    <row r="560" spans="1:15" x14ac:dyDescent="0.55000000000000004">
      <c r="A560">
        <v>106648745</v>
      </c>
      <c r="B560" s="5"/>
      <c r="C560" s="5" t="str">
        <f t="shared" si="9"/>
        <v>NIS</v>
      </c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</row>
    <row r="561" spans="1:15" x14ac:dyDescent="0.55000000000000004">
      <c r="A561">
        <v>105647910</v>
      </c>
      <c r="B561" s="5"/>
      <c r="C561" s="5" t="str">
        <f t="shared" si="9"/>
        <v>NIS</v>
      </c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</row>
    <row r="562" spans="1:15" x14ac:dyDescent="0.55000000000000004">
      <c r="A562">
        <v>106228526</v>
      </c>
      <c r="B562" s="5"/>
      <c r="C562" s="5" t="str">
        <f t="shared" si="9"/>
        <v>NIS</v>
      </c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</row>
    <row r="563" spans="1:15" x14ac:dyDescent="0.55000000000000004">
      <c r="A563">
        <v>105766785</v>
      </c>
      <c r="B563" s="5"/>
      <c r="C563" s="5" t="str">
        <f t="shared" si="9"/>
        <v>NIS</v>
      </c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</row>
    <row r="564" spans="1:15" x14ac:dyDescent="0.55000000000000004">
      <c r="A564">
        <v>105845636</v>
      </c>
      <c r="B564" s="5"/>
      <c r="C564" s="5" t="str">
        <f t="shared" si="9"/>
        <v>NIS</v>
      </c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</row>
    <row r="565" spans="1:15" x14ac:dyDescent="0.55000000000000004">
      <c r="A565">
        <v>106635419</v>
      </c>
      <c r="B565" s="5"/>
      <c r="C565" s="5" t="str">
        <f t="shared" si="9"/>
        <v>NIS</v>
      </c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</row>
    <row r="566" spans="1:15" x14ac:dyDescent="0.55000000000000004">
      <c r="A566">
        <v>105355062</v>
      </c>
      <c r="B566" s="5"/>
      <c r="C566" s="5" t="str">
        <f t="shared" si="9"/>
        <v>NIS</v>
      </c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</row>
    <row r="567" spans="1:15" x14ac:dyDescent="0.55000000000000004">
      <c r="A567">
        <v>105114804</v>
      </c>
      <c r="B567" s="5"/>
      <c r="C567" s="5" t="str">
        <f t="shared" si="9"/>
        <v>NIS</v>
      </c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</row>
    <row r="568" spans="1:15" x14ac:dyDescent="0.55000000000000004">
      <c r="A568">
        <v>105150012</v>
      </c>
      <c r="B568" s="5"/>
      <c r="C568" s="5" t="str">
        <f t="shared" si="9"/>
        <v>NIS</v>
      </c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</row>
    <row r="569" spans="1:15" x14ac:dyDescent="0.55000000000000004">
      <c r="A569">
        <v>106482759</v>
      </c>
      <c r="B569" s="5"/>
      <c r="C569" s="5" t="str">
        <f t="shared" si="9"/>
        <v>NIS</v>
      </c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</row>
    <row r="570" spans="1:15" x14ac:dyDescent="0.55000000000000004">
      <c r="A570">
        <v>105651054</v>
      </c>
      <c r="B570" s="5"/>
      <c r="C570" s="5" t="str">
        <f t="shared" si="9"/>
        <v>NIS</v>
      </c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</row>
    <row r="571" spans="1:15" x14ac:dyDescent="0.55000000000000004">
      <c r="A571">
        <v>105544120</v>
      </c>
      <c r="B571" s="5"/>
      <c r="C571" s="5" t="str">
        <f t="shared" si="9"/>
        <v>NIS</v>
      </c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</row>
    <row r="572" spans="1:15" x14ac:dyDescent="0.55000000000000004">
      <c r="A572">
        <v>104921320</v>
      </c>
      <c r="B572" s="5"/>
      <c r="C572" s="5" t="str">
        <f t="shared" si="9"/>
        <v>NIS</v>
      </c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</row>
    <row r="573" spans="1:15" x14ac:dyDescent="0.55000000000000004">
      <c r="A573">
        <v>106296388</v>
      </c>
      <c r="B573" s="5"/>
      <c r="C573" s="5" t="str">
        <f t="shared" si="9"/>
        <v>NIS</v>
      </c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</row>
    <row r="574" spans="1:15" x14ac:dyDescent="0.55000000000000004">
      <c r="A574">
        <v>106655133</v>
      </c>
      <c r="B574" s="5"/>
      <c r="C574" s="5" t="str">
        <f t="shared" si="9"/>
        <v>NIS</v>
      </c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</row>
    <row r="575" spans="1:15" x14ac:dyDescent="0.55000000000000004">
      <c r="A575">
        <v>105759503</v>
      </c>
      <c r="B575" s="5"/>
      <c r="C575" s="5" t="str">
        <f t="shared" si="9"/>
        <v>NIS</v>
      </c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</row>
    <row r="576" spans="1:15" x14ac:dyDescent="0.55000000000000004">
      <c r="A576">
        <v>106628135</v>
      </c>
      <c r="B576" s="5"/>
      <c r="C576" s="5" t="str">
        <f t="shared" si="9"/>
        <v>NIS</v>
      </c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</row>
    <row r="577" spans="1:15" x14ac:dyDescent="0.55000000000000004">
      <c r="A577">
        <v>106366189</v>
      </c>
      <c r="B577" s="5"/>
      <c r="C577" s="5" t="str">
        <f t="shared" si="9"/>
        <v>NIS</v>
      </c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</row>
    <row r="578" spans="1:15" x14ac:dyDescent="0.55000000000000004">
      <c r="A578">
        <v>105582004</v>
      </c>
      <c r="B578" s="5"/>
      <c r="C578" s="5" t="str">
        <f t="shared" ref="C578:C641" si="10">IF(COUNTIF($B:$B,A578)&gt;0,"IS","NIS")</f>
        <v>NIS</v>
      </c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</row>
    <row r="579" spans="1:15" x14ac:dyDescent="0.55000000000000004">
      <c r="A579">
        <v>106141070</v>
      </c>
      <c r="B579" s="5"/>
      <c r="C579" s="5" t="str">
        <f t="shared" si="10"/>
        <v>NIS</v>
      </c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</row>
    <row r="580" spans="1:15" x14ac:dyDescent="0.55000000000000004">
      <c r="A580">
        <v>105439169</v>
      </c>
      <c r="B580" s="5"/>
      <c r="C580" s="5" t="str">
        <f t="shared" si="10"/>
        <v>NIS</v>
      </c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</row>
    <row r="581" spans="1:15" x14ac:dyDescent="0.55000000000000004">
      <c r="A581">
        <v>106153299</v>
      </c>
      <c r="B581" s="5"/>
      <c r="C581" s="5" t="str">
        <f t="shared" si="10"/>
        <v>NIS</v>
      </c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</row>
    <row r="582" spans="1:15" x14ac:dyDescent="0.55000000000000004">
      <c r="A582">
        <v>105236157</v>
      </c>
      <c r="B582" s="5"/>
      <c r="C582" s="5" t="str">
        <f t="shared" si="10"/>
        <v>NIS</v>
      </c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</row>
    <row r="583" spans="1:15" x14ac:dyDescent="0.55000000000000004">
      <c r="A583">
        <v>104939099</v>
      </c>
      <c r="B583" s="5"/>
      <c r="C583" s="5" t="str">
        <f t="shared" si="10"/>
        <v>NIS</v>
      </c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</row>
    <row r="584" spans="1:15" x14ac:dyDescent="0.55000000000000004">
      <c r="A584">
        <v>105461696</v>
      </c>
      <c r="B584" s="5"/>
      <c r="C584" s="5" t="str">
        <f t="shared" si="10"/>
        <v>NIS</v>
      </c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</row>
    <row r="585" spans="1:15" x14ac:dyDescent="0.55000000000000004">
      <c r="A585">
        <v>105461699</v>
      </c>
      <c r="B585" s="5"/>
      <c r="C585" s="5" t="str">
        <f t="shared" si="10"/>
        <v>NIS</v>
      </c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</row>
    <row r="586" spans="1:15" x14ac:dyDescent="0.55000000000000004">
      <c r="A586">
        <v>106519110</v>
      </c>
      <c r="B586" s="5"/>
      <c r="C586" s="5" t="str">
        <f t="shared" si="10"/>
        <v>NIS</v>
      </c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</row>
    <row r="587" spans="1:15" x14ac:dyDescent="0.55000000000000004">
      <c r="A587">
        <v>105159132</v>
      </c>
      <c r="B587" s="5"/>
      <c r="C587" s="5" t="str">
        <f t="shared" si="10"/>
        <v>NIS</v>
      </c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</row>
    <row r="588" spans="1:15" x14ac:dyDescent="0.55000000000000004">
      <c r="A588">
        <v>106351697</v>
      </c>
      <c r="B588" s="5"/>
      <c r="C588" s="5" t="str">
        <f t="shared" si="10"/>
        <v>NIS</v>
      </c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</row>
    <row r="589" spans="1:15" x14ac:dyDescent="0.55000000000000004">
      <c r="A589">
        <v>105123841</v>
      </c>
      <c r="B589" s="5"/>
      <c r="C589" s="5" t="str">
        <f t="shared" si="10"/>
        <v>NIS</v>
      </c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</row>
    <row r="590" spans="1:15" x14ac:dyDescent="0.55000000000000004">
      <c r="A590">
        <v>105586867</v>
      </c>
      <c r="B590" s="5"/>
      <c r="C590" s="5" t="str">
        <f t="shared" si="10"/>
        <v>NIS</v>
      </c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</row>
    <row r="591" spans="1:15" x14ac:dyDescent="0.55000000000000004">
      <c r="A591">
        <v>104868716</v>
      </c>
      <c r="B591" s="5"/>
      <c r="C591" s="5" t="str">
        <f t="shared" si="10"/>
        <v>NIS</v>
      </c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</row>
    <row r="592" spans="1:15" x14ac:dyDescent="0.55000000000000004">
      <c r="A592">
        <v>105481766</v>
      </c>
      <c r="B592" s="5"/>
      <c r="C592" s="5" t="str">
        <f t="shared" si="10"/>
        <v>NIS</v>
      </c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</row>
    <row r="593" spans="1:15" x14ac:dyDescent="0.55000000000000004">
      <c r="A593">
        <v>106101241</v>
      </c>
      <c r="B593" s="5"/>
      <c r="C593" s="5" t="str">
        <f t="shared" si="10"/>
        <v>NIS</v>
      </c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</row>
    <row r="594" spans="1:15" x14ac:dyDescent="0.55000000000000004">
      <c r="A594">
        <v>105804645</v>
      </c>
      <c r="B594" s="5"/>
      <c r="C594" s="5" t="str">
        <f t="shared" si="10"/>
        <v>NIS</v>
      </c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</row>
    <row r="595" spans="1:15" x14ac:dyDescent="0.55000000000000004">
      <c r="A595">
        <v>105215230</v>
      </c>
      <c r="B595" s="5"/>
      <c r="C595" s="5" t="str">
        <f t="shared" si="10"/>
        <v>NIS</v>
      </c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</row>
    <row r="596" spans="1:15" x14ac:dyDescent="0.55000000000000004">
      <c r="A596">
        <v>105679536</v>
      </c>
      <c r="B596" s="5"/>
      <c r="C596" s="5" t="str">
        <f t="shared" si="10"/>
        <v>NIS</v>
      </c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</row>
    <row r="597" spans="1:15" x14ac:dyDescent="0.55000000000000004">
      <c r="A597">
        <v>105845619</v>
      </c>
      <c r="B597" s="5"/>
      <c r="C597" s="5" t="str">
        <f t="shared" si="10"/>
        <v>NIS</v>
      </c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</row>
    <row r="598" spans="1:15" x14ac:dyDescent="0.55000000000000004">
      <c r="A598">
        <v>105815996</v>
      </c>
      <c r="B598" s="5"/>
      <c r="C598" s="5" t="str">
        <f t="shared" si="10"/>
        <v>NIS</v>
      </c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</row>
    <row r="599" spans="1:15" x14ac:dyDescent="0.55000000000000004">
      <c r="A599">
        <v>105350921</v>
      </c>
      <c r="B599" s="5"/>
      <c r="C599" s="5" t="str">
        <f t="shared" si="10"/>
        <v>NIS</v>
      </c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</row>
    <row r="600" spans="1:15" x14ac:dyDescent="0.55000000000000004">
      <c r="A600">
        <v>106370281</v>
      </c>
      <c r="B600" s="5"/>
      <c r="C600" s="5" t="str">
        <f t="shared" si="10"/>
        <v>NIS</v>
      </c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</row>
    <row r="601" spans="1:15" x14ac:dyDescent="0.55000000000000004">
      <c r="A601">
        <v>105388649</v>
      </c>
      <c r="B601" s="5"/>
      <c r="C601" s="5" t="str">
        <f t="shared" si="10"/>
        <v>NIS</v>
      </c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</row>
    <row r="602" spans="1:15" x14ac:dyDescent="0.55000000000000004">
      <c r="A602">
        <v>106447030</v>
      </c>
      <c r="B602" s="5"/>
      <c r="C602" s="5" t="str">
        <f t="shared" si="10"/>
        <v>NIS</v>
      </c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</row>
    <row r="603" spans="1:15" x14ac:dyDescent="0.55000000000000004">
      <c r="A603">
        <v>105708309</v>
      </c>
      <c r="B603" s="5"/>
      <c r="C603" s="5" t="str">
        <f t="shared" si="10"/>
        <v>NIS</v>
      </c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</row>
    <row r="604" spans="1:15" x14ac:dyDescent="0.55000000000000004">
      <c r="A604">
        <v>106336845</v>
      </c>
      <c r="B604" s="5"/>
      <c r="C604" s="5" t="str">
        <f t="shared" si="10"/>
        <v>NIS</v>
      </c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</row>
    <row r="605" spans="1:15" x14ac:dyDescent="0.55000000000000004">
      <c r="A605">
        <v>104853063</v>
      </c>
      <c r="B605" s="5"/>
      <c r="C605" s="5" t="str">
        <f t="shared" si="10"/>
        <v>NIS</v>
      </c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</row>
    <row r="606" spans="1:15" x14ac:dyDescent="0.55000000000000004">
      <c r="A606">
        <v>105318056</v>
      </c>
      <c r="B606" s="5"/>
      <c r="C606" s="5" t="str">
        <f t="shared" si="10"/>
        <v>NIS</v>
      </c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</row>
    <row r="607" spans="1:15" x14ac:dyDescent="0.55000000000000004">
      <c r="A607">
        <v>106009223</v>
      </c>
      <c r="B607" s="5"/>
      <c r="C607" s="5" t="str">
        <f t="shared" si="10"/>
        <v>NIS</v>
      </c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</row>
    <row r="608" spans="1:15" x14ac:dyDescent="0.55000000000000004">
      <c r="A608">
        <v>105787744</v>
      </c>
      <c r="B608" s="5"/>
      <c r="C608" s="5" t="str">
        <f t="shared" si="10"/>
        <v>NIS</v>
      </c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</row>
    <row r="609" spans="1:15" x14ac:dyDescent="0.55000000000000004">
      <c r="A609">
        <v>105911160</v>
      </c>
      <c r="B609" s="5"/>
      <c r="C609" s="5" t="str">
        <f t="shared" si="10"/>
        <v>NIS</v>
      </c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</row>
    <row r="610" spans="1:15" x14ac:dyDescent="0.55000000000000004">
      <c r="A610">
        <v>105284199</v>
      </c>
      <c r="B610" s="5"/>
      <c r="C610" s="5" t="str">
        <f t="shared" si="10"/>
        <v>NIS</v>
      </c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</row>
    <row r="611" spans="1:15" x14ac:dyDescent="0.55000000000000004">
      <c r="A611">
        <v>106032498</v>
      </c>
      <c r="B611" s="5"/>
      <c r="C611" s="5" t="str">
        <f t="shared" si="10"/>
        <v>NIS</v>
      </c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</row>
    <row r="612" spans="1:15" x14ac:dyDescent="0.55000000000000004">
      <c r="A612">
        <v>106582260</v>
      </c>
      <c r="B612" s="5"/>
      <c r="C612" s="5" t="str">
        <f t="shared" si="10"/>
        <v>NIS</v>
      </c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</row>
    <row r="613" spans="1:15" x14ac:dyDescent="0.55000000000000004">
      <c r="A613">
        <v>104920286</v>
      </c>
      <c r="B613" s="5"/>
      <c r="C613" s="5" t="str">
        <f t="shared" si="10"/>
        <v>NIS</v>
      </c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</row>
    <row r="614" spans="1:15" x14ac:dyDescent="0.55000000000000004">
      <c r="A614">
        <v>106033253</v>
      </c>
      <c r="B614" s="5"/>
      <c r="C614" s="5" t="str">
        <f t="shared" si="10"/>
        <v>NIS</v>
      </c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</row>
    <row r="615" spans="1:15" x14ac:dyDescent="0.55000000000000004">
      <c r="A615">
        <v>106072934</v>
      </c>
      <c r="B615" s="5"/>
      <c r="C615" s="5" t="str">
        <f t="shared" si="10"/>
        <v>NIS</v>
      </c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</row>
    <row r="616" spans="1:15" x14ac:dyDescent="0.55000000000000004">
      <c r="A616">
        <v>106653524</v>
      </c>
      <c r="B616" s="5"/>
      <c r="C616" s="5" t="str">
        <f t="shared" si="10"/>
        <v>NIS</v>
      </c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</row>
    <row r="617" spans="1:15" x14ac:dyDescent="0.55000000000000004">
      <c r="A617">
        <v>105350967</v>
      </c>
      <c r="B617" s="5"/>
      <c r="C617" s="5" t="str">
        <f t="shared" si="10"/>
        <v>NIS</v>
      </c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</row>
    <row r="618" spans="1:15" x14ac:dyDescent="0.55000000000000004">
      <c r="A618">
        <v>106493676</v>
      </c>
      <c r="B618" s="5"/>
      <c r="C618" s="5" t="str">
        <f t="shared" si="10"/>
        <v>NIS</v>
      </c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</row>
    <row r="619" spans="1:15" x14ac:dyDescent="0.55000000000000004">
      <c r="A619">
        <v>104926318</v>
      </c>
      <c r="B619" s="5"/>
      <c r="C619" s="5" t="str">
        <f t="shared" si="10"/>
        <v>NIS</v>
      </c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</row>
    <row r="620" spans="1:15" x14ac:dyDescent="0.55000000000000004">
      <c r="A620">
        <v>106289113</v>
      </c>
      <c r="B620" s="5"/>
      <c r="C620" s="5" t="str">
        <f t="shared" si="10"/>
        <v>NIS</v>
      </c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</row>
    <row r="621" spans="1:15" x14ac:dyDescent="0.55000000000000004">
      <c r="A621">
        <v>106690052</v>
      </c>
      <c r="B621" s="5"/>
      <c r="C621" s="5" t="str">
        <f t="shared" si="10"/>
        <v>NIS</v>
      </c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</row>
    <row r="622" spans="1:15" x14ac:dyDescent="0.55000000000000004">
      <c r="A622">
        <v>105686028</v>
      </c>
      <c r="B622" s="5"/>
      <c r="C622" s="5" t="str">
        <f t="shared" si="10"/>
        <v>NIS</v>
      </c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</row>
    <row r="623" spans="1:15" x14ac:dyDescent="0.55000000000000004">
      <c r="A623">
        <v>105084088</v>
      </c>
      <c r="B623" s="5"/>
      <c r="C623" s="5" t="str">
        <f t="shared" si="10"/>
        <v>NIS</v>
      </c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</row>
    <row r="624" spans="1:15" x14ac:dyDescent="0.55000000000000004">
      <c r="A624">
        <v>106039073</v>
      </c>
      <c r="B624" s="5"/>
      <c r="C624" s="5" t="str">
        <f t="shared" si="10"/>
        <v>NIS</v>
      </c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</row>
    <row r="625" spans="1:15" x14ac:dyDescent="0.55000000000000004">
      <c r="A625">
        <v>105435222</v>
      </c>
      <c r="B625" s="5"/>
      <c r="C625" s="5" t="str">
        <f t="shared" si="10"/>
        <v>NIS</v>
      </c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</row>
    <row r="626" spans="1:15" x14ac:dyDescent="0.55000000000000004">
      <c r="A626">
        <v>105958125</v>
      </c>
      <c r="B626" s="5"/>
      <c r="C626" s="5" t="str">
        <f t="shared" si="10"/>
        <v>NIS</v>
      </c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</row>
    <row r="627" spans="1:15" x14ac:dyDescent="0.55000000000000004">
      <c r="A627">
        <v>104912589</v>
      </c>
      <c r="B627" s="5"/>
      <c r="C627" s="5" t="str">
        <f t="shared" si="10"/>
        <v>NIS</v>
      </c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</row>
    <row r="628" spans="1:15" x14ac:dyDescent="0.55000000000000004">
      <c r="A628">
        <v>105566668</v>
      </c>
      <c r="B628" s="5"/>
      <c r="C628" s="5" t="str">
        <f t="shared" si="10"/>
        <v>NIS</v>
      </c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</row>
    <row r="629" spans="1:15" x14ac:dyDescent="0.55000000000000004">
      <c r="A629">
        <v>106076193</v>
      </c>
      <c r="B629" s="5"/>
      <c r="C629" s="5" t="str">
        <f t="shared" si="10"/>
        <v>NIS</v>
      </c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</row>
    <row r="630" spans="1:15" x14ac:dyDescent="0.55000000000000004">
      <c r="A630">
        <v>106725793</v>
      </c>
      <c r="B630" s="5"/>
      <c r="C630" s="5" t="str">
        <f t="shared" si="10"/>
        <v>NIS</v>
      </c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</row>
    <row r="631" spans="1:15" x14ac:dyDescent="0.55000000000000004">
      <c r="A631">
        <v>105958132</v>
      </c>
      <c r="B631" s="5"/>
      <c r="C631" s="5" t="str">
        <f t="shared" si="10"/>
        <v>NIS</v>
      </c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</row>
    <row r="632" spans="1:15" x14ac:dyDescent="0.55000000000000004">
      <c r="A632">
        <v>106461072</v>
      </c>
      <c r="B632" s="5"/>
      <c r="C632" s="5" t="str">
        <f t="shared" si="10"/>
        <v>NIS</v>
      </c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</row>
    <row r="633" spans="1:15" x14ac:dyDescent="0.55000000000000004">
      <c r="A633">
        <v>105982608</v>
      </c>
      <c r="B633" s="5"/>
      <c r="C633" s="5" t="str">
        <f t="shared" si="10"/>
        <v>NIS</v>
      </c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</row>
    <row r="634" spans="1:15" x14ac:dyDescent="0.55000000000000004">
      <c r="A634">
        <v>106234549</v>
      </c>
      <c r="B634" s="5"/>
      <c r="C634" s="5" t="str">
        <f t="shared" si="10"/>
        <v>NIS</v>
      </c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</row>
    <row r="635" spans="1:15" x14ac:dyDescent="0.55000000000000004">
      <c r="A635">
        <v>105651048</v>
      </c>
      <c r="B635" s="5"/>
      <c r="C635" s="5" t="str">
        <f t="shared" si="10"/>
        <v>NIS</v>
      </c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</row>
    <row r="636" spans="1:15" x14ac:dyDescent="0.55000000000000004">
      <c r="A636">
        <v>105565330</v>
      </c>
      <c r="B636" s="5"/>
      <c r="C636" s="5" t="str">
        <f t="shared" si="10"/>
        <v>NIS</v>
      </c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</row>
    <row r="637" spans="1:15" x14ac:dyDescent="0.55000000000000004">
      <c r="A637">
        <v>105011662</v>
      </c>
      <c r="B637" s="5"/>
      <c r="C637" s="5" t="str">
        <f t="shared" si="10"/>
        <v>NIS</v>
      </c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</row>
    <row r="638" spans="1:15" x14ac:dyDescent="0.55000000000000004">
      <c r="A638">
        <v>106210270</v>
      </c>
      <c r="B638" s="5"/>
      <c r="C638" s="5" t="str">
        <f t="shared" si="10"/>
        <v>NIS</v>
      </c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</row>
    <row r="639" spans="1:15" x14ac:dyDescent="0.55000000000000004">
      <c r="A639">
        <v>105687240</v>
      </c>
      <c r="B639" s="5"/>
      <c r="C639" s="5" t="str">
        <f t="shared" si="10"/>
        <v>NIS</v>
      </c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</row>
    <row r="640" spans="1:15" x14ac:dyDescent="0.55000000000000004">
      <c r="A640">
        <v>104939156</v>
      </c>
      <c r="B640" s="5"/>
      <c r="C640" s="5" t="str">
        <f t="shared" si="10"/>
        <v>NIS</v>
      </c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</row>
    <row r="641" spans="1:15" x14ac:dyDescent="0.55000000000000004">
      <c r="A641">
        <v>106655560</v>
      </c>
      <c r="B641" s="5"/>
      <c r="C641" s="5" t="str">
        <f t="shared" si="10"/>
        <v>NIS</v>
      </c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</row>
    <row r="642" spans="1:15" x14ac:dyDescent="0.55000000000000004">
      <c r="A642">
        <v>105206303</v>
      </c>
      <c r="B642" s="5"/>
      <c r="C642" s="5" t="str">
        <f t="shared" ref="C642:C705" si="11">IF(COUNTIF($B:$B,A642)&gt;0,"IS","NIS")</f>
        <v>NIS</v>
      </c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</row>
    <row r="643" spans="1:15" x14ac:dyDescent="0.55000000000000004">
      <c r="A643">
        <v>106435754</v>
      </c>
      <c r="B643" s="5"/>
      <c r="C643" s="5" t="str">
        <f t="shared" si="11"/>
        <v>NIS</v>
      </c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</row>
    <row r="644" spans="1:15" x14ac:dyDescent="0.55000000000000004">
      <c r="A644">
        <v>106274718</v>
      </c>
      <c r="B644" s="5"/>
      <c r="C644" s="5" t="str">
        <f t="shared" si="11"/>
        <v>NIS</v>
      </c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</row>
    <row r="645" spans="1:15" x14ac:dyDescent="0.55000000000000004">
      <c r="A645">
        <v>105798128</v>
      </c>
      <c r="B645" s="5"/>
      <c r="C645" s="5" t="str">
        <f t="shared" si="11"/>
        <v>NIS</v>
      </c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</row>
    <row r="646" spans="1:15" x14ac:dyDescent="0.55000000000000004">
      <c r="A646">
        <v>105294319</v>
      </c>
      <c r="B646" s="5"/>
      <c r="C646" s="5" t="str">
        <f t="shared" si="11"/>
        <v>NIS</v>
      </c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</row>
    <row r="647" spans="1:15" x14ac:dyDescent="0.55000000000000004">
      <c r="A647">
        <v>106253726</v>
      </c>
      <c r="B647" s="5"/>
      <c r="C647" s="5" t="str">
        <f t="shared" si="11"/>
        <v>NIS</v>
      </c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</row>
    <row r="648" spans="1:15" x14ac:dyDescent="0.55000000000000004">
      <c r="A648">
        <v>104883655</v>
      </c>
      <c r="B648" s="5"/>
      <c r="C648" s="5" t="str">
        <f t="shared" si="11"/>
        <v>NIS</v>
      </c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</row>
    <row r="649" spans="1:15" x14ac:dyDescent="0.55000000000000004">
      <c r="A649">
        <v>106199585</v>
      </c>
      <c r="B649" s="5"/>
      <c r="C649" s="5" t="str">
        <f t="shared" si="11"/>
        <v>NIS</v>
      </c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</row>
    <row r="650" spans="1:15" x14ac:dyDescent="0.55000000000000004">
      <c r="A650">
        <v>106351803</v>
      </c>
      <c r="B650" s="5"/>
      <c r="C650" s="5" t="str">
        <f t="shared" si="11"/>
        <v>NIS</v>
      </c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</row>
    <row r="651" spans="1:15" x14ac:dyDescent="0.55000000000000004">
      <c r="A651">
        <v>104999210</v>
      </c>
      <c r="B651" s="5"/>
      <c r="C651" s="5" t="str">
        <f t="shared" si="11"/>
        <v>NIS</v>
      </c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</row>
    <row r="652" spans="1:15" x14ac:dyDescent="0.55000000000000004">
      <c r="A652">
        <v>105625164</v>
      </c>
      <c r="B652" s="5"/>
      <c r="C652" s="5" t="str">
        <f t="shared" si="11"/>
        <v>NIS</v>
      </c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</row>
    <row r="653" spans="1:15" x14ac:dyDescent="0.55000000000000004">
      <c r="A653">
        <v>105007216</v>
      </c>
      <c r="B653" s="5"/>
      <c r="C653" s="5" t="str">
        <f t="shared" si="11"/>
        <v>NIS</v>
      </c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</row>
    <row r="654" spans="1:15" x14ac:dyDescent="0.55000000000000004">
      <c r="A654">
        <v>104982642</v>
      </c>
      <c r="B654" s="5"/>
      <c r="C654" s="5" t="str">
        <f t="shared" si="11"/>
        <v>NIS</v>
      </c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</row>
    <row r="655" spans="1:15" x14ac:dyDescent="0.55000000000000004">
      <c r="A655">
        <v>105766087</v>
      </c>
      <c r="B655" s="5"/>
      <c r="C655" s="5" t="str">
        <f t="shared" si="11"/>
        <v>NIS</v>
      </c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</row>
    <row r="656" spans="1:15" x14ac:dyDescent="0.55000000000000004">
      <c r="A656">
        <v>105285077</v>
      </c>
      <c r="B656" s="5"/>
      <c r="C656" s="5" t="str">
        <f t="shared" si="11"/>
        <v>NIS</v>
      </c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</row>
    <row r="657" spans="1:15" x14ac:dyDescent="0.55000000000000004">
      <c r="A657">
        <v>105138242</v>
      </c>
      <c r="B657" s="5"/>
      <c r="C657" s="5" t="str">
        <f t="shared" si="11"/>
        <v>NIS</v>
      </c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</row>
    <row r="658" spans="1:15" x14ac:dyDescent="0.55000000000000004">
      <c r="A658">
        <v>105711373</v>
      </c>
      <c r="B658" s="5"/>
      <c r="C658" s="5" t="str">
        <f t="shared" si="11"/>
        <v>NIS</v>
      </c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</row>
    <row r="659" spans="1:15" x14ac:dyDescent="0.55000000000000004">
      <c r="A659">
        <v>105093066</v>
      </c>
      <c r="B659" s="5"/>
      <c r="C659" s="5" t="str">
        <f t="shared" si="11"/>
        <v>NIS</v>
      </c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</row>
    <row r="660" spans="1:15" x14ac:dyDescent="0.55000000000000004">
      <c r="A660">
        <v>105561110</v>
      </c>
      <c r="B660" s="5"/>
      <c r="C660" s="5" t="str">
        <f t="shared" si="11"/>
        <v>NIS</v>
      </c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</row>
    <row r="661" spans="1:15" x14ac:dyDescent="0.55000000000000004">
      <c r="A661">
        <v>105243816</v>
      </c>
      <c r="B661" s="5"/>
      <c r="C661" s="5" t="str">
        <f t="shared" si="11"/>
        <v>NIS</v>
      </c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</row>
    <row r="662" spans="1:15" x14ac:dyDescent="0.55000000000000004">
      <c r="A662">
        <v>105119687</v>
      </c>
      <c r="B662" s="5"/>
      <c r="C662" s="5" t="str">
        <f t="shared" si="11"/>
        <v>NIS</v>
      </c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</row>
    <row r="663" spans="1:15" x14ac:dyDescent="0.55000000000000004">
      <c r="A663">
        <v>106328722</v>
      </c>
      <c r="B663" s="5"/>
      <c r="C663" s="5" t="str">
        <f t="shared" si="11"/>
        <v>NIS</v>
      </c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</row>
    <row r="664" spans="1:15" x14ac:dyDescent="0.55000000000000004">
      <c r="A664">
        <v>105311250</v>
      </c>
      <c r="B664" s="5"/>
      <c r="C664" s="5" t="str">
        <f t="shared" si="11"/>
        <v>NIS</v>
      </c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</row>
    <row r="665" spans="1:15" x14ac:dyDescent="0.55000000000000004">
      <c r="A665">
        <v>105140787</v>
      </c>
      <c r="B665" s="5"/>
      <c r="C665" s="5" t="str">
        <f t="shared" si="11"/>
        <v>NIS</v>
      </c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</row>
    <row r="666" spans="1:15" x14ac:dyDescent="0.55000000000000004">
      <c r="A666">
        <v>106131518</v>
      </c>
      <c r="B666" s="5"/>
      <c r="C666" s="5" t="str">
        <f t="shared" si="11"/>
        <v>NIS</v>
      </c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</row>
    <row r="667" spans="1:15" x14ac:dyDescent="0.55000000000000004">
      <c r="A667">
        <v>105058669</v>
      </c>
      <c r="B667" s="5"/>
      <c r="C667" s="5" t="str">
        <f t="shared" si="11"/>
        <v>NIS</v>
      </c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</row>
    <row r="668" spans="1:15" x14ac:dyDescent="0.55000000000000004">
      <c r="A668">
        <v>105536943</v>
      </c>
      <c r="B668" s="5"/>
      <c r="C668" s="5" t="str">
        <f t="shared" si="11"/>
        <v>NIS</v>
      </c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</row>
    <row r="669" spans="1:15" x14ac:dyDescent="0.55000000000000004">
      <c r="A669">
        <v>104944730</v>
      </c>
      <c r="B669" s="5"/>
      <c r="C669" s="5" t="str">
        <f t="shared" si="11"/>
        <v>NIS</v>
      </c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</row>
    <row r="670" spans="1:15" x14ac:dyDescent="0.55000000000000004">
      <c r="A670">
        <v>105673203</v>
      </c>
      <c r="B670" s="5"/>
      <c r="C670" s="5" t="str">
        <f t="shared" si="11"/>
        <v>NIS</v>
      </c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</row>
    <row r="671" spans="1:15" x14ac:dyDescent="0.55000000000000004">
      <c r="A671">
        <v>105563808</v>
      </c>
      <c r="B671" s="5"/>
      <c r="C671" s="5" t="str">
        <f t="shared" si="11"/>
        <v>NIS</v>
      </c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</row>
    <row r="672" spans="1:15" x14ac:dyDescent="0.55000000000000004">
      <c r="A672">
        <v>106169364</v>
      </c>
      <c r="B672" s="5"/>
      <c r="C672" s="5" t="str">
        <f t="shared" si="11"/>
        <v>NIS</v>
      </c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</row>
    <row r="673" spans="1:15" x14ac:dyDescent="0.55000000000000004">
      <c r="A673">
        <v>105335533</v>
      </c>
      <c r="B673" s="5"/>
      <c r="C673" s="5" t="str">
        <f t="shared" si="11"/>
        <v>NIS</v>
      </c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</row>
    <row r="674" spans="1:15" x14ac:dyDescent="0.55000000000000004">
      <c r="A674">
        <v>105591587</v>
      </c>
      <c r="B674" s="5"/>
      <c r="C674" s="5" t="str">
        <f t="shared" si="11"/>
        <v>NIS</v>
      </c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</row>
    <row r="675" spans="1:15" x14ac:dyDescent="0.55000000000000004">
      <c r="A675">
        <v>105370706</v>
      </c>
      <c r="B675" s="5"/>
      <c r="C675" s="5" t="str">
        <f t="shared" si="11"/>
        <v>NIS</v>
      </c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</row>
    <row r="676" spans="1:15" x14ac:dyDescent="0.55000000000000004">
      <c r="A676">
        <v>106039484</v>
      </c>
      <c r="B676" s="5"/>
      <c r="C676" s="5" t="str">
        <f t="shared" si="11"/>
        <v>NIS</v>
      </c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</row>
    <row r="677" spans="1:15" x14ac:dyDescent="0.55000000000000004">
      <c r="A677">
        <v>105020736</v>
      </c>
      <c r="B677" s="5"/>
      <c r="C677" s="5" t="str">
        <f t="shared" si="11"/>
        <v>NIS</v>
      </c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</row>
    <row r="678" spans="1:15" x14ac:dyDescent="0.55000000000000004">
      <c r="A678">
        <v>105678841</v>
      </c>
      <c r="B678" s="5"/>
      <c r="C678" s="5" t="str">
        <f t="shared" si="11"/>
        <v>NIS</v>
      </c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</row>
    <row r="679" spans="1:15" x14ac:dyDescent="0.55000000000000004">
      <c r="A679">
        <v>106340792</v>
      </c>
      <c r="B679" s="5"/>
      <c r="C679" s="5" t="str">
        <f t="shared" si="11"/>
        <v>NIS</v>
      </c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</row>
    <row r="680" spans="1:15" x14ac:dyDescent="0.55000000000000004">
      <c r="A680">
        <v>105766218</v>
      </c>
      <c r="B680" s="5"/>
      <c r="C680" s="5" t="str">
        <f t="shared" si="11"/>
        <v>NIS</v>
      </c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</row>
    <row r="681" spans="1:15" x14ac:dyDescent="0.55000000000000004">
      <c r="A681">
        <v>104900422</v>
      </c>
      <c r="B681" s="5"/>
      <c r="C681" s="5" t="str">
        <f t="shared" si="11"/>
        <v>NIS</v>
      </c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</row>
    <row r="682" spans="1:15" x14ac:dyDescent="0.55000000000000004">
      <c r="A682">
        <v>106277778</v>
      </c>
      <c r="B682" s="5"/>
      <c r="C682" s="5" t="str">
        <f t="shared" si="11"/>
        <v>NIS</v>
      </c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</row>
    <row r="683" spans="1:15" x14ac:dyDescent="0.55000000000000004">
      <c r="A683">
        <v>104934676</v>
      </c>
      <c r="B683" s="5"/>
      <c r="C683" s="5" t="str">
        <f t="shared" si="11"/>
        <v>NIS</v>
      </c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</row>
    <row r="684" spans="1:15" x14ac:dyDescent="0.55000000000000004">
      <c r="A684">
        <v>106330658</v>
      </c>
      <c r="B684" s="5"/>
      <c r="C684" s="5" t="str">
        <f t="shared" si="11"/>
        <v>NIS</v>
      </c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</row>
    <row r="685" spans="1:15" x14ac:dyDescent="0.55000000000000004">
      <c r="A685">
        <v>106086656</v>
      </c>
      <c r="B685" s="5"/>
      <c r="C685" s="5" t="str">
        <f t="shared" si="11"/>
        <v>NIS</v>
      </c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</row>
    <row r="686" spans="1:15" x14ac:dyDescent="0.55000000000000004">
      <c r="A686">
        <v>106014518</v>
      </c>
      <c r="B686" s="5"/>
      <c r="C686" s="5" t="str">
        <f t="shared" si="11"/>
        <v>NIS</v>
      </c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</row>
    <row r="687" spans="1:15" x14ac:dyDescent="0.55000000000000004">
      <c r="A687">
        <v>106622789</v>
      </c>
      <c r="B687" s="5"/>
      <c r="C687" s="5" t="str">
        <f t="shared" si="11"/>
        <v>NIS</v>
      </c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</row>
    <row r="688" spans="1:15" x14ac:dyDescent="0.55000000000000004">
      <c r="A688">
        <v>105591583</v>
      </c>
      <c r="B688" s="5"/>
      <c r="C688" s="5" t="str">
        <f t="shared" si="11"/>
        <v>NIS</v>
      </c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</row>
    <row r="689" spans="1:15" x14ac:dyDescent="0.55000000000000004">
      <c r="A689">
        <v>105623287</v>
      </c>
      <c r="B689" s="5"/>
      <c r="C689" s="5" t="str">
        <f t="shared" si="11"/>
        <v>NIS</v>
      </c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</row>
    <row r="690" spans="1:15" x14ac:dyDescent="0.55000000000000004">
      <c r="A690">
        <v>106553220</v>
      </c>
      <c r="B690" s="5"/>
      <c r="C690" s="5" t="str">
        <f t="shared" si="11"/>
        <v>NIS</v>
      </c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</row>
    <row r="691" spans="1:15" x14ac:dyDescent="0.55000000000000004">
      <c r="A691">
        <v>106443951</v>
      </c>
      <c r="B691" s="5"/>
      <c r="C691" s="5" t="str">
        <f t="shared" si="11"/>
        <v>NIS</v>
      </c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</row>
    <row r="692" spans="1:15" x14ac:dyDescent="0.55000000000000004">
      <c r="A692">
        <v>106667445</v>
      </c>
      <c r="B692" s="5"/>
      <c r="C692" s="5" t="str">
        <f t="shared" si="11"/>
        <v>NIS</v>
      </c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</row>
    <row r="693" spans="1:15" x14ac:dyDescent="0.55000000000000004">
      <c r="A693">
        <v>105571261</v>
      </c>
      <c r="B693" s="5"/>
      <c r="C693" s="5" t="str">
        <f t="shared" si="11"/>
        <v>NIS</v>
      </c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</row>
    <row r="694" spans="1:15" x14ac:dyDescent="0.55000000000000004">
      <c r="A694">
        <v>106203738</v>
      </c>
      <c r="B694" s="5"/>
      <c r="C694" s="5" t="str">
        <f t="shared" si="11"/>
        <v>NIS</v>
      </c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</row>
    <row r="695" spans="1:15" x14ac:dyDescent="0.55000000000000004">
      <c r="A695">
        <v>105183968</v>
      </c>
      <c r="B695" s="5"/>
      <c r="C695" s="5" t="str">
        <f t="shared" si="11"/>
        <v>NIS</v>
      </c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</row>
    <row r="696" spans="1:15" x14ac:dyDescent="0.55000000000000004">
      <c r="A696">
        <v>104955595</v>
      </c>
      <c r="B696" s="5"/>
      <c r="C696" s="5" t="str">
        <f t="shared" si="11"/>
        <v>NIS</v>
      </c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</row>
    <row r="697" spans="1:15" x14ac:dyDescent="0.55000000000000004">
      <c r="A697">
        <v>106227435</v>
      </c>
      <c r="B697" s="5"/>
      <c r="C697" s="5" t="str">
        <f t="shared" si="11"/>
        <v>NIS</v>
      </c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</row>
    <row r="698" spans="1:15" x14ac:dyDescent="0.55000000000000004">
      <c r="A698">
        <v>105350942</v>
      </c>
      <c r="B698" s="5"/>
      <c r="C698" s="5" t="str">
        <f t="shared" si="11"/>
        <v>NIS</v>
      </c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</row>
    <row r="699" spans="1:15" x14ac:dyDescent="0.55000000000000004">
      <c r="A699">
        <v>104956786</v>
      </c>
      <c r="B699" s="5"/>
      <c r="C699" s="5" t="str">
        <f t="shared" si="11"/>
        <v>NIS</v>
      </c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</row>
    <row r="700" spans="1:15" x14ac:dyDescent="0.55000000000000004">
      <c r="A700">
        <v>106430740</v>
      </c>
      <c r="B700" s="5"/>
      <c r="C700" s="5" t="str">
        <f t="shared" si="11"/>
        <v>NIS</v>
      </c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</row>
    <row r="701" spans="1:15" x14ac:dyDescent="0.55000000000000004">
      <c r="A701">
        <v>105938270</v>
      </c>
      <c r="B701" s="5"/>
      <c r="C701" s="5" t="str">
        <f t="shared" si="11"/>
        <v>NIS</v>
      </c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</row>
    <row r="702" spans="1:15" x14ac:dyDescent="0.55000000000000004">
      <c r="A702">
        <v>104858885</v>
      </c>
      <c r="B702" s="5"/>
      <c r="C702" s="5" t="str">
        <f t="shared" si="11"/>
        <v>NIS</v>
      </c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</row>
    <row r="703" spans="1:15" x14ac:dyDescent="0.55000000000000004">
      <c r="A703">
        <v>105635154</v>
      </c>
      <c r="B703" s="5"/>
      <c r="C703" s="5" t="str">
        <f t="shared" si="11"/>
        <v>NIS</v>
      </c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</row>
    <row r="704" spans="1:15" x14ac:dyDescent="0.55000000000000004">
      <c r="A704">
        <v>105048762</v>
      </c>
      <c r="B704" s="5"/>
      <c r="C704" s="5" t="str">
        <f t="shared" si="11"/>
        <v>NIS</v>
      </c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</row>
    <row r="705" spans="1:15" x14ac:dyDescent="0.55000000000000004">
      <c r="A705">
        <v>105615989</v>
      </c>
      <c r="B705" s="5"/>
      <c r="C705" s="5" t="str">
        <f t="shared" si="11"/>
        <v>NIS</v>
      </c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</row>
    <row r="706" spans="1:15" x14ac:dyDescent="0.55000000000000004">
      <c r="A706">
        <v>106480698</v>
      </c>
      <c r="B706" s="5"/>
      <c r="C706" s="5" t="str">
        <f t="shared" ref="C706:C769" si="12">IF(COUNTIF($B:$B,A706)&gt;0,"IS","NIS")</f>
        <v>NIS</v>
      </c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</row>
    <row r="707" spans="1:15" x14ac:dyDescent="0.55000000000000004">
      <c r="A707">
        <v>105942901</v>
      </c>
      <c r="B707" s="5"/>
      <c r="C707" s="5" t="str">
        <f t="shared" si="12"/>
        <v>NIS</v>
      </c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</row>
    <row r="708" spans="1:15" x14ac:dyDescent="0.55000000000000004">
      <c r="A708">
        <v>106199561</v>
      </c>
      <c r="B708" s="5"/>
      <c r="C708" s="5" t="str">
        <f t="shared" si="12"/>
        <v>NIS</v>
      </c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</row>
    <row r="709" spans="1:15" x14ac:dyDescent="0.55000000000000004">
      <c r="A709">
        <v>106641651</v>
      </c>
      <c r="B709" s="5"/>
      <c r="C709" s="5" t="str">
        <f t="shared" si="12"/>
        <v>NIS</v>
      </c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</row>
    <row r="710" spans="1:15" x14ac:dyDescent="0.55000000000000004">
      <c r="A710">
        <v>105691220</v>
      </c>
      <c r="B710" s="5"/>
      <c r="C710" s="5" t="str">
        <f t="shared" si="12"/>
        <v>NIS</v>
      </c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</row>
    <row r="711" spans="1:15" x14ac:dyDescent="0.55000000000000004">
      <c r="A711">
        <v>105085489</v>
      </c>
      <c r="B711" s="5"/>
      <c r="C711" s="5" t="str">
        <f t="shared" si="12"/>
        <v>NIS</v>
      </c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 spans="1:15" x14ac:dyDescent="0.55000000000000004">
      <c r="A712">
        <v>106248909</v>
      </c>
      <c r="B712" s="5"/>
      <c r="C712" s="5" t="str">
        <f t="shared" si="12"/>
        <v>NIS</v>
      </c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</row>
    <row r="713" spans="1:15" x14ac:dyDescent="0.55000000000000004">
      <c r="A713">
        <v>106189573</v>
      </c>
      <c r="B713" s="5"/>
      <c r="C713" s="5" t="str">
        <f t="shared" si="12"/>
        <v>NIS</v>
      </c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</row>
    <row r="714" spans="1:15" x14ac:dyDescent="0.55000000000000004">
      <c r="A714">
        <v>105847308</v>
      </c>
      <c r="B714" s="5"/>
      <c r="C714" s="5" t="str">
        <f t="shared" si="12"/>
        <v>NIS</v>
      </c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</row>
    <row r="715" spans="1:15" x14ac:dyDescent="0.55000000000000004">
      <c r="A715">
        <v>106447053</v>
      </c>
      <c r="B715" s="5"/>
      <c r="C715" s="5" t="str">
        <f t="shared" si="12"/>
        <v>NIS</v>
      </c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</row>
    <row r="716" spans="1:15" x14ac:dyDescent="0.55000000000000004">
      <c r="A716">
        <v>106521579</v>
      </c>
      <c r="B716" s="5"/>
      <c r="C716" s="5" t="str">
        <f t="shared" si="12"/>
        <v>NIS</v>
      </c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</row>
    <row r="717" spans="1:15" x14ac:dyDescent="0.55000000000000004">
      <c r="A717">
        <v>105123635</v>
      </c>
      <c r="B717" s="5"/>
      <c r="C717" s="5" t="str">
        <f t="shared" si="12"/>
        <v>NIS</v>
      </c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</row>
    <row r="718" spans="1:15" x14ac:dyDescent="0.55000000000000004">
      <c r="A718">
        <v>105745264</v>
      </c>
      <c r="B718" s="5"/>
      <c r="C718" s="5" t="str">
        <f t="shared" si="12"/>
        <v>NIS</v>
      </c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</row>
    <row r="719" spans="1:15" x14ac:dyDescent="0.55000000000000004">
      <c r="A719">
        <v>105977179</v>
      </c>
      <c r="B719" s="5"/>
      <c r="C719" s="5" t="str">
        <f t="shared" si="12"/>
        <v>NIS</v>
      </c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</row>
    <row r="720" spans="1:15" x14ac:dyDescent="0.55000000000000004">
      <c r="A720">
        <v>105113565</v>
      </c>
      <c r="B720" s="5"/>
      <c r="C720" s="5" t="str">
        <f t="shared" si="12"/>
        <v>NIS</v>
      </c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</row>
    <row r="721" spans="1:15" x14ac:dyDescent="0.55000000000000004">
      <c r="A721">
        <v>105318295</v>
      </c>
      <c r="B721" s="5"/>
      <c r="C721" s="5" t="str">
        <f t="shared" si="12"/>
        <v>NIS</v>
      </c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</row>
    <row r="722" spans="1:15" x14ac:dyDescent="0.55000000000000004">
      <c r="A722">
        <v>104931786</v>
      </c>
      <c r="B722" s="5"/>
      <c r="C722" s="5" t="str">
        <f t="shared" si="12"/>
        <v>NIS</v>
      </c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</row>
    <row r="723" spans="1:15" x14ac:dyDescent="0.55000000000000004">
      <c r="A723">
        <v>105980610</v>
      </c>
      <c r="B723" s="5"/>
      <c r="C723" s="5" t="str">
        <f t="shared" si="12"/>
        <v>NIS</v>
      </c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 spans="1:15" x14ac:dyDescent="0.55000000000000004">
      <c r="A724">
        <v>106241961</v>
      </c>
      <c r="B724" s="5"/>
      <c r="C724" s="5" t="str">
        <f t="shared" si="12"/>
        <v>NIS</v>
      </c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</row>
    <row r="725" spans="1:15" x14ac:dyDescent="0.55000000000000004">
      <c r="A725">
        <v>106477630</v>
      </c>
      <c r="B725" s="5"/>
      <c r="C725" s="5" t="str">
        <f t="shared" si="12"/>
        <v>NIS</v>
      </c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</row>
    <row r="726" spans="1:15" x14ac:dyDescent="0.55000000000000004">
      <c r="A726">
        <v>106243266</v>
      </c>
      <c r="B726" s="5"/>
      <c r="C726" s="5" t="str">
        <f t="shared" si="12"/>
        <v>NIS</v>
      </c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</row>
    <row r="727" spans="1:15" x14ac:dyDescent="0.55000000000000004">
      <c r="A727">
        <v>106381635</v>
      </c>
      <c r="B727" s="5"/>
      <c r="C727" s="5" t="str">
        <f t="shared" si="12"/>
        <v>NIS</v>
      </c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 spans="1:15" x14ac:dyDescent="0.55000000000000004">
      <c r="A728">
        <v>105491982</v>
      </c>
      <c r="B728" s="5"/>
      <c r="C728" s="5" t="str">
        <f t="shared" si="12"/>
        <v>NIS</v>
      </c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</row>
    <row r="729" spans="1:15" x14ac:dyDescent="0.55000000000000004">
      <c r="A729">
        <v>106251530</v>
      </c>
      <c r="B729" s="5"/>
      <c r="C729" s="5" t="str">
        <f t="shared" si="12"/>
        <v>NIS</v>
      </c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</row>
    <row r="730" spans="1:15" x14ac:dyDescent="0.55000000000000004">
      <c r="A730">
        <v>105889120</v>
      </c>
      <c r="B730" s="5"/>
      <c r="C730" s="5" t="str">
        <f t="shared" si="12"/>
        <v>NIS</v>
      </c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</row>
    <row r="731" spans="1:15" x14ac:dyDescent="0.55000000000000004">
      <c r="A731">
        <v>106538406</v>
      </c>
      <c r="B731" s="5"/>
      <c r="C731" s="5" t="str">
        <f t="shared" si="12"/>
        <v>NIS</v>
      </c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</row>
    <row r="732" spans="1:15" x14ac:dyDescent="0.55000000000000004">
      <c r="A732">
        <v>105732228</v>
      </c>
      <c r="B732" s="5"/>
      <c r="C732" s="5" t="str">
        <f t="shared" si="12"/>
        <v>NIS</v>
      </c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</row>
    <row r="733" spans="1:15" x14ac:dyDescent="0.55000000000000004">
      <c r="A733">
        <v>104959276</v>
      </c>
      <c r="B733" s="5"/>
      <c r="C733" s="5" t="str">
        <f t="shared" si="12"/>
        <v>NIS</v>
      </c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</row>
    <row r="734" spans="1:15" x14ac:dyDescent="0.55000000000000004">
      <c r="A734">
        <v>105378692</v>
      </c>
      <c r="B734" s="5"/>
      <c r="C734" s="5" t="str">
        <f t="shared" si="12"/>
        <v>NIS</v>
      </c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</row>
    <row r="735" spans="1:15" x14ac:dyDescent="0.55000000000000004">
      <c r="A735">
        <v>106597466</v>
      </c>
      <c r="B735" s="5"/>
      <c r="C735" s="5" t="str">
        <f t="shared" si="12"/>
        <v>NIS</v>
      </c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 spans="1:15" x14ac:dyDescent="0.55000000000000004">
      <c r="A736">
        <v>106355474</v>
      </c>
      <c r="B736" s="5"/>
      <c r="C736" s="5" t="str">
        <f t="shared" si="12"/>
        <v>NIS</v>
      </c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</row>
    <row r="737" spans="1:15" x14ac:dyDescent="0.55000000000000004">
      <c r="A737">
        <v>105423530</v>
      </c>
      <c r="B737" s="5"/>
      <c r="C737" s="5" t="str">
        <f t="shared" si="12"/>
        <v>NIS</v>
      </c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</row>
    <row r="738" spans="1:15" x14ac:dyDescent="0.55000000000000004">
      <c r="A738">
        <v>105264022</v>
      </c>
      <c r="B738" s="5"/>
      <c r="C738" s="5" t="str">
        <f t="shared" si="12"/>
        <v>NIS</v>
      </c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</row>
    <row r="739" spans="1:15" x14ac:dyDescent="0.55000000000000004">
      <c r="A739">
        <v>106052256</v>
      </c>
      <c r="B739" s="5"/>
      <c r="C739" s="5" t="str">
        <f t="shared" si="12"/>
        <v>NIS</v>
      </c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</row>
    <row r="740" spans="1:15" x14ac:dyDescent="0.55000000000000004">
      <c r="A740">
        <v>104917161</v>
      </c>
      <c r="B740" s="5"/>
      <c r="C740" s="5" t="str">
        <f t="shared" si="12"/>
        <v>NIS</v>
      </c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</row>
    <row r="741" spans="1:15" x14ac:dyDescent="0.55000000000000004">
      <c r="A741">
        <v>105994280</v>
      </c>
      <c r="B741" s="5"/>
      <c r="C741" s="5" t="str">
        <f t="shared" si="12"/>
        <v>NIS</v>
      </c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</row>
    <row r="742" spans="1:15" x14ac:dyDescent="0.55000000000000004">
      <c r="A742">
        <v>106028634</v>
      </c>
      <c r="B742" s="5"/>
      <c r="C742" s="5" t="str">
        <f t="shared" si="12"/>
        <v>NIS</v>
      </c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</row>
    <row r="743" spans="1:15" x14ac:dyDescent="0.55000000000000004">
      <c r="A743">
        <v>105592110</v>
      </c>
      <c r="B743" s="5"/>
      <c r="C743" s="5" t="str">
        <f t="shared" si="12"/>
        <v>NIS</v>
      </c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</row>
    <row r="744" spans="1:15" x14ac:dyDescent="0.55000000000000004">
      <c r="A744">
        <v>106232784</v>
      </c>
      <c r="B744" s="5"/>
      <c r="C744" s="5" t="str">
        <f t="shared" si="12"/>
        <v>NIS</v>
      </c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</row>
    <row r="745" spans="1:15" x14ac:dyDescent="0.55000000000000004">
      <c r="A745">
        <v>105641406</v>
      </c>
      <c r="B745" s="5"/>
      <c r="C745" s="5" t="str">
        <f t="shared" si="12"/>
        <v>NIS</v>
      </c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</row>
    <row r="746" spans="1:15" x14ac:dyDescent="0.55000000000000004">
      <c r="A746">
        <v>106619261</v>
      </c>
      <c r="B746" s="5"/>
      <c r="C746" s="5" t="str">
        <f t="shared" si="12"/>
        <v>NIS</v>
      </c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</row>
    <row r="747" spans="1:15" x14ac:dyDescent="0.55000000000000004">
      <c r="A747">
        <v>106126443</v>
      </c>
      <c r="B747" s="5"/>
      <c r="C747" s="5" t="str">
        <f t="shared" si="12"/>
        <v>NIS</v>
      </c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</row>
    <row r="748" spans="1:15" x14ac:dyDescent="0.55000000000000004">
      <c r="A748">
        <v>104954030</v>
      </c>
      <c r="B748" s="5"/>
      <c r="C748" s="5" t="str">
        <f t="shared" si="12"/>
        <v>NIS</v>
      </c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</row>
    <row r="749" spans="1:15" x14ac:dyDescent="0.55000000000000004">
      <c r="A749">
        <v>106676019</v>
      </c>
      <c r="B749" s="5"/>
      <c r="C749" s="5" t="str">
        <f t="shared" si="12"/>
        <v>NIS</v>
      </c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</row>
    <row r="750" spans="1:15" x14ac:dyDescent="0.55000000000000004">
      <c r="A750">
        <v>104931741</v>
      </c>
      <c r="B750" s="5"/>
      <c r="C750" s="5" t="str">
        <f t="shared" si="12"/>
        <v>NIS</v>
      </c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</row>
    <row r="751" spans="1:15" x14ac:dyDescent="0.55000000000000004">
      <c r="A751">
        <v>105191880</v>
      </c>
      <c r="B751" s="5"/>
      <c r="C751" s="5" t="str">
        <f t="shared" si="12"/>
        <v>NIS</v>
      </c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</row>
    <row r="752" spans="1:15" x14ac:dyDescent="0.55000000000000004">
      <c r="A752">
        <v>105873823</v>
      </c>
      <c r="B752" s="5"/>
      <c r="C752" s="5" t="str">
        <f t="shared" si="12"/>
        <v>NIS</v>
      </c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</row>
    <row r="753" spans="1:15" x14ac:dyDescent="0.55000000000000004">
      <c r="A753">
        <v>105853347</v>
      </c>
      <c r="B753" s="5"/>
      <c r="C753" s="5" t="str">
        <f t="shared" si="12"/>
        <v>NIS</v>
      </c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</row>
    <row r="754" spans="1:15" x14ac:dyDescent="0.55000000000000004">
      <c r="A754">
        <v>105989990</v>
      </c>
      <c r="B754" s="5"/>
      <c r="C754" s="5" t="str">
        <f t="shared" si="12"/>
        <v>NIS</v>
      </c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</row>
    <row r="755" spans="1:15" x14ac:dyDescent="0.55000000000000004">
      <c r="A755">
        <v>105970147</v>
      </c>
      <c r="B755" s="5"/>
      <c r="C755" s="5" t="str">
        <f t="shared" si="12"/>
        <v>NIS</v>
      </c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</row>
    <row r="756" spans="1:15" x14ac:dyDescent="0.55000000000000004">
      <c r="A756">
        <v>105977266</v>
      </c>
      <c r="B756" s="5"/>
      <c r="C756" s="5" t="str">
        <f t="shared" si="12"/>
        <v>NIS</v>
      </c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</row>
    <row r="757" spans="1:15" x14ac:dyDescent="0.55000000000000004">
      <c r="A757">
        <v>105002043</v>
      </c>
      <c r="B757" s="5"/>
      <c r="C757" s="5" t="str">
        <f t="shared" si="12"/>
        <v>NIS</v>
      </c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</row>
    <row r="758" spans="1:15" x14ac:dyDescent="0.55000000000000004">
      <c r="A758">
        <v>106456570</v>
      </c>
      <c r="B758" s="5"/>
      <c r="C758" s="5" t="str">
        <f t="shared" si="12"/>
        <v>NIS</v>
      </c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</row>
    <row r="759" spans="1:15" x14ac:dyDescent="0.55000000000000004">
      <c r="A759">
        <v>105337190</v>
      </c>
      <c r="B759" s="5"/>
      <c r="C759" s="5" t="str">
        <f t="shared" si="12"/>
        <v>NIS</v>
      </c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 spans="1:15" x14ac:dyDescent="0.55000000000000004">
      <c r="A760">
        <v>106096191</v>
      </c>
      <c r="B760" s="5"/>
      <c r="C760" s="5" t="str">
        <f t="shared" si="12"/>
        <v>NIS</v>
      </c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</row>
    <row r="761" spans="1:15" x14ac:dyDescent="0.55000000000000004">
      <c r="A761">
        <v>105318455</v>
      </c>
      <c r="B761" s="5"/>
      <c r="C761" s="5" t="str">
        <f t="shared" si="12"/>
        <v>NIS</v>
      </c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</row>
    <row r="762" spans="1:15" x14ac:dyDescent="0.55000000000000004">
      <c r="A762">
        <v>105324490</v>
      </c>
      <c r="B762" s="5"/>
      <c r="C762" s="5" t="str">
        <f t="shared" si="12"/>
        <v>NIS</v>
      </c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</row>
    <row r="763" spans="1:15" x14ac:dyDescent="0.55000000000000004">
      <c r="A763">
        <v>105559906</v>
      </c>
      <c r="B763" s="5"/>
      <c r="C763" s="5" t="str">
        <f t="shared" si="12"/>
        <v>NIS</v>
      </c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</row>
    <row r="764" spans="1:15" x14ac:dyDescent="0.55000000000000004">
      <c r="A764">
        <v>105400940</v>
      </c>
      <c r="B764" s="5"/>
      <c r="C764" s="5" t="str">
        <f t="shared" si="12"/>
        <v>NIS</v>
      </c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 spans="1:15" x14ac:dyDescent="0.55000000000000004">
      <c r="A765">
        <v>105848366</v>
      </c>
      <c r="B765" s="5"/>
      <c r="C765" s="5" t="str">
        <f t="shared" si="12"/>
        <v>NIS</v>
      </c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</row>
    <row r="766" spans="1:15" x14ac:dyDescent="0.55000000000000004">
      <c r="A766">
        <v>105676608</v>
      </c>
      <c r="B766" s="5"/>
      <c r="C766" s="5" t="str">
        <f t="shared" si="12"/>
        <v>NIS</v>
      </c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</row>
    <row r="767" spans="1:15" x14ac:dyDescent="0.55000000000000004">
      <c r="A767">
        <v>104857715</v>
      </c>
      <c r="B767" s="5"/>
      <c r="C767" s="5" t="str">
        <f t="shared" si="12"/>
        <v>NIS</v>
      </c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</row>
    <row r="768" spans="1:15" x14ac:dyDescent="0.55000000000000004">
      <c r="A768">
        <v>106636848</v>
      </c>
      <c r="B768" s="5"/>
      <c r="C768" s="5" t="str">
        <f t="shared" si="12"/>
        <v>NIS</v>
      </c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</row>
    <row r="769" spans="1:15" x14ac:dyDescent="0.55000000000000004">
      <c r="A769">
        <v>105042258</v>
      </c>
      <c r="B769" s="5"/>
      <c r="C769" s="5" t="str">
        <f t="shared" si="12"/>
        <v>NIS</v>
      </c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</row>
    <row r="770" spans="1:15" x14ac:dyDescent="0.55000000000000004">
      <c r="A770">
        <v>106158312</v>
      </c>
      <c r="B770" s="5"/>
      <c r="C770" s="5" t="str">
        <f t="shared" ref="C770:C833" si="13">IF(COUNTIF($B:$B,A770)&gt;0,"IS","NIS")</f>
        <v>NIS</v>
      </c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</row>
    <row r="771" spans="1:15" x14ac:dyDescent="0.55000000000000004">
      <c r="A771">
        <v>104858470</v>
      </c>
      <c r="B771" s="5"/>
      <c r="C771" s="5" t="str">
        <f t="shared" si="13"/>
        <v>NIS</v>
      </c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</row>
    <row r="772" spans="1:15" x14ac:dyDescent="0.55000000000000004">
      <c r="A772">
        <v>105462130</v>
      </c>
      <c r="B772" s="5"/>
      <c r="C772" s="5" t="str">
        <f t="shared" si="13"/>
        <v>NIS</v>
      </c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</row>
    <row r="773" spans="1:15" x14ac:dyDescent="0.55000000000000004">
      <c r="A773">
        <v>105394819</v>
      </c>
      <c r="B773" s="5"/>
      <c r="C773" s="5" t="str">
        <f t="shared" si="13"/>
        <v>NIS</v>
      </c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</row>
    <row r="774" spans="1:15" x14ac:dyDescent="0.55000000000000004">
      <c r="A774">
        <v>105945347</v>
      </c>
      <c r="B774" s="5"/>
      <c r="C774" s="5" t="str">
        <f t="shared" si="13"/>
        <v>NIS</v>
      </c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</row>
    <row r="775" spans="1:15" x14ac:dyDescent="0.55000000000000004">
      <c r="A775">
        <v>105316591</v>
      </c>
      <c r="B775" s="5"/>
      <c r="C775" s="5" t="str">
        <f t="shared" si="13"/>
        <v>NIS</v>
      </c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</row>
    <row r="776" spans="1:15" x14ac:dyDescent="0.55000000000000004">
      <c r="A776">
        <v>106195993</v>
      </c>
      <c r="B776" s="5"/>
      <c r="C776" s="5" t="str">
        <f t="shared" si="13"/>
        <v>NIS</v>
      </c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</row>
    <row r="777" spans="1:15" x14ac:dyDescent="0.55000000000000004">
      <c r="A777">
        <v>105147923</v>
      </c>
      <c r="B777" s="5"/>
      <c r="C777" s="5" t="str">
        <f t="shared" si="13"/>
        <v>NIS</v>
      </c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</row>
    <row r="778" spans="1:15" x14ac:dyDescent="0.55000000000000004">
      <c r="A778">
        <v>105491747</v>
      </c>
      <c r="B778" s="5"/>
      <c r="C778" s="5" t="str">
        <f t="shared" si="13"/>
        <v>NIS</v>
      </c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</row>
    <row r="779" spans="1:15" x14ac:dyDescent="0.55000000000000004">
      <c r="A779">
        <v>104926208</v>
      </c>
      <c r="B779" s="5"/>
      <c r="C779" s="5" t="str">
        <f t="shared" si="13"/>
        <v>NIS</v>
      </c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</row>
    <row r="780" spans="1:15" x14ac:dyDescent="0.55000000000000004">
      <c r="A780">
        <v>105651753</v>
      </c>
      <c r="B780" s="5"/>
      <c r="C780" s="5" t="str">
        <f t="shared" si="13"/>
        <v>NIS</v>
      </c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</row>
    <row r="781" spans="1:15" x14ac:dyDescent="0.55000000000000004">
      <c r="A781">
        <v>106221037</v>
      </c>
      <c r="B781" s="5"/>
      <c r="C781" s="5" t="str">
        <f t="shared" si="13"/>
        <v>NIS</v>
      </c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</row>
    <row r="782" spans="1:15" x14ac:dyDescent="0.55000000000000004">
      <c r="A782">
        <v>105992544</v>
      </c>
      <c r="B782" s="5"/>
      <c r="C782" s="5" t="str">
        <f t="shared" si="13"/>
        <v>NIS</v>
      </c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</row>
    <row r="783" spans="1:15" x14ac:dyDescent="0.55000000000000004">
      <c r="A783">
        <v>106239782</v>
      </c>
      <c r="B783" s="5"/>
      <c r="C783" s="5" t="str">
        <f t="shared" si="13"/>
        <v>NIS</v>
      </c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 spans="1:15" x14ac:dyDescent="0.55000000000000004">
      <c r="A784">
        <v>104925358</v>
      </c>
      <c r="B784" s="5"/>
      <c r="C784" s="5" t="str">
        <f t="shared" si="13"/>
        <v>NIS</v>
      </c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</row>
    <row r="785" spans="1:15" x14ac:dyDescent="0.55000000000000004">
      <c r="A785">
        <v>104982159</v>
      </c>
      <c r="B785" s="5"/>
      <c r="C785" s="5" t="str">
        <f t="shared" si="13"/>
        <v>NIS</v>
      </c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</row>
    <row r="786" spans="1:15" x14ac:dyDescent="0.55000000000000004">
      <c r="A786">
        <v>104979544</v>
      </c>
      <c r="B786" s="5"/>
      <c r="C786" s="5" t="str">
        <f t="shared" si="13"/>
        <v>NIS</v>
      </c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</row>
    <row r="787" spans="1:15" x14ac:dyDescent="0.55000000000000004">
      <c r="A787">
        <v>106140150</v>
      </c>
      <c r="B787" s="5"/>
      <c r="C787" s="5" t="str">
        <f t="shared" si="13"/>
        <v>NIS</v>
      </c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</row>
    <row r="788" spans="1:15" x14ac:dyDescent="0.55000000000000004">
      <c r="A788">
        <v>105382247</v>
      </c>
      <c r="B788" s="5"/>
      <c r="C788" s="5" t="str">
        <f t="shared" si="13"/>
        <v>NIS</v>
      </c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</row>
    <row r="789" spans="1:15" x14ac:dyDescent="0.55000000000000004">
      <c r="A789">
        <v>105647914</v>
      </c>
      <c r="B789" s="5"/>
      <c r="C789" s="5" t="str">
        <f t="shared" si="13"/>
        <v>NIS</v>
      </c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</row>
    <row r="790" spans="1:15" x14ac:dyDescent="0.55000000000000004">
      <c r="A790">
        <v>105748027</v>
      </c>
      <c r="B790" s="5"/>
      <c r="C790" s="5" t="str">
        <f t="shared" si="13"/>
        <v>NIS</v>
      </c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</row>
    <row r="791" spans="1:15" x14ac:dyDescent="0.55000000000000004">
      <c r="A791">
        <v>105210857</v>
      </c>
      <c r="B791" s="5"/>
      <c r="C791" s="5" t="str">
        <f t="shared" si="13"/>
        <v>NIS</v>
      </c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</row>
    <row r="792" spans="1:15" x14ac:dyDescent="0.55000000000000004">
      <c r="A792">
        <v>105555032</v>
      </c>
      <c r="B792" s="5"/>
      <c r="C792" s="5" t="str">
        <f t="shared" si="13"/>
        <v>NIS</v>
      </c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</row>
    <row r="793" spans="1:15" x14ac:dyDescent="0.55000000000000004">
      <c r="A793">
        <v>104868602</v>
      </c>
      <c r="B793" s="5"/>
      <c r="C793" s="5" t="str">
        <f t="shared" si="13"/>
        <v>NIS</v>
      </c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</row>
    <row r="794" spans="1:15" x14ac:dyDescent="0.55000000000000004">
      <c r="A794">
        <v>106313699</v>
      </c>
      <c r="B794" s="5"/>
      <c r="C794" s="5" t="str">
        <f t="shared" si="13"/>
        <v>NIS</v>
      </c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</row>
    <row r="795" spans="1:15" x14ac:dyDescent="0.55000000000000004">
      <c r="A795">
        <v>105103603</v>
      </c>
      <c r="B795" s="5"/>
      <c r="C795" s="5" t="str">
        <f t="shared" si="13"/>
        <v>NIS</v>
      </c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 spans="1:15" x14ac:dyDescent="0.55000000000000004">
      <c r="A796">
        <v>106666193</v>
      </c>
      <c r="B796" s="5"/>
      <c r="C796" s="5" t="str">
        <f t="shared" si="13"/>
        <v>NIS</v>
      </c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</row>
    <row r="797" spans="1:15" x14ac:dyDescent="0.55000000000000004">
      <c r="A797">
        <v>106481809</v>
      </c>
      <c r="B797" s="5"/>
      <c r="C797" s="5" t="str">
        <f t="shared" si="13"/>
        <v>NIS</v>
      </c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</row>
    <row r="798" spans="1:15" x14ac:dyDescent="0.55000000000000004">
      <c r="A798">
        <v>105713054</v>
      </c>
      <c r="B798" s="5"/>
      <c r="C798" s="5" t="str">
        <f t="shared" si="13"/>
        <v>NIS</v>
      </c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</row>
    <row r="799" spans="1:15" x14ac:dyDescent="0.55000000000000004">
      <c r="A799">
        <v>105215570</v>
      </c>
      <c r="B799" s="5"/>
      <c r="C799" s="5" t="str">
        <f t="shared" si="13"/>
        <v>NIS</v>
      </c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</row>
    <row r="800" spans="1:15" x14ac:dyDescent="0.55000000000000004">
      <c r="A800">
        <v>105034312</v>
      </c>
      <c r="B800" s="5"/>
      <c r="C800" s="5" t="str">
        <f t="shared" si="13"/>
        <v>NIS</v>
      </c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</row>
    <row r="801" spans="1:15" x14ac:dyDescent="0.55000000000000004">
      <c r="A801">
        <v>104950868</v>
      </c>
      <c r="B801" s="5"/>
      <c r="C801" s="5" t="str">
        <f t="shared" si="13"/>
        <v>NIS</v>
      </c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</row>
    <row r="802" spans="1:15" x14ac:dyDescent="0.55000000000000004">
      <c r="A802">
        <v>106501224</v>
      </c>
      <c r="B802" s="5"/>
      <c r="C802" s="5" t="str">
        <f t="shared" si="13"/>
        <v>NIS</v>
      </c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</row>
    <row r="803" spans="1:15" x14ac:dyDescent="0.55000000000000004">
      <c r="A803">
        <v>105841337</v>
      </c>
      <c r="B803" s="5"/>
      <c r="C803" s="5" t="str">
        <f t="shared" si="13"/>
        <v>NIS</v>
      </c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</row>
    <row r="804" spans="1:15" x14ac:dyDescent="0.55000000000000004">
      <c r="A804">
        <v>106051992</v>
      </c>
      <c r="B804" s="5"/>
      <c r="C804" s="5" t="str">
        <f t="shared" si="13"/>
        <v>NIS</v>
      </c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</row>
    <row r="805" spans="1:15" x14ac:dyDescent="0.55000000000000004">
      <c r="A805">
        <v>106679121</v>
      </c>
      <c r="B805" s="5"/>
      <c r="C805" s="5" t="str">
        <f t="shared" si="13"/>
        <v>NIS</v>
      </c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</row>
    <row r="806" spans="1:15" x14ac:dyDescent="0.55000000000000004">
      <c r="A806">
        <v>106330862</v>
      </c>
      <c r="B806" s="5"/>
      <c r="C806" s="5" t="str">
        <f t="shared" si="13"/>
        <v>NIS</v>
      </c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</row>
    <row r="807" spans="1:15" x14ac:dyDescent="0.55000000000000004">
      <c r="A807">
        <v>106243424</v>
      </c>
      <c r="B807" s="5"/>
      <c r="C807" s="5" t="str">
        <f t="shared" si="13"/>
        <v>NIS</v>
      </c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</row>
    <row r="808" spans="1:15" x14ac:dyDescent="0.55000000000000004">
      <c r="A808">
        <v>106249771</v>
      </c>
      <c r="B808" s="5"/>
      <c r="C808" s="5" t="str">
        <f t="shared" si="13"/>
        <v>NIS</v>
      </c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</row>
    <row r="809" spans="1:15" x14ac:dyDescent="0.55000000000000004">
      <c r="A809">
        <v>105651390</v>
      </c>
      <c r="B809" s="5"/>
      <c r="C809" s="5" t="str">
        <f t="shared" si="13"/>
        <v>NIS</v>
      </c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</row>
    <row r="810" spans="1:15" x14ac:dyDescent="0.55000000000000004">
      <c r="A810">
        <v>106494201</v>
      </c>
      <c r="B810" s="5"/>
      <c r="C810" s="5" t="str">
        <f t="shared" si="13"/>
        <v>NIS</v>
      </c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</row>
    <row r="811" spans="1:15" x14ac:dyDescent="0.55000000000000004">
      <c r="A811">
        <v>106474150</v>
      </c>
      <c r="B811" s="5"/>
      <c r="C811" s="5" t="str">
        <f t="shared" si="13"/>
        <v>NIS</v>
      </c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</row>
    <row r="812" spans="1:15" x14ac:dyDescent="0.55000000000000004">
      <c r="A812">
        <v>104920190</v>
      </c>
      <c r="B812" s="5"/>
      <c r="C812" s="5" t="str">
        <f t="shared" si="13"/>
        <v>NIS</v>
      </c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</row>
    <row r="813" spans="1:15" x14ac:dyDescent="0.55000000000000004">
      <c r="A813">
        <v>105141579</v>
      </c>
      <c r="B813" s="5"/>
      <c r="C813" s="5" t="str">
        <f t="shared" si="13"/>
        <v>NIS</v>
      </c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</row>
    <row r="814" spans="1:15" x14ac:dyDescent="0.55000000000000004">
      <c r="A814">
        <v>105316509</v>
      </c>
      <c r="B814" s="5"/>
      <c r="C814" s="5" t="str">
        <f t="shared" si="13"/>
        <v>NIS</v>
      </c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</row>
    <row r="815" spans="1:15" x14ac:dyDescent="0.55000000000000004">
      <c r="A815">
        <v>106118165</v>
      </c>
      <c r="B815" s="5"/>
      <c r="C815" s="5" t="str">
        <f t="shared" si="13"/>
        <v>NIS</v>
      </c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</row>
    <row r="816" spans="1:15" x14ac:dyDescent="0.55000000000000004">
      <c r="A816">
        <v>105092844</v>
      </c>
      <c r="B816" s="5"/>
      <c r="C816" s="5" t="str">
        <f t="shared" si="13"/>
        <v>NIS</v>
      </c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</row>
    <row r="817" spans="1:15" x14ac:dyDescent="0.55000000000000004">
      <c r="A817">
        <v>105092843</v>
      </c>
      <c r="B817" s="5"/>
      <c r="C817" s="5" t="str">
        <f t="shared" si="13"/>
        <v>NIS</v>
      </c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</row>
    <row r="818" spans="1:15" x14ac:dyDescent="0.55000000000000004">
      <c r="A818">
        <v>105171442</v>
      </c>
      <c r="B818" s="5"/>
      <c r="C818" s="5" t="str">
        <f t="shared" si="13"/>
        <v>NIS</v>
      </c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</row>
    <row r="819" spans="1:15" x14ac:dyDescent="0.55000000000000004">
      <c r="A819">
        <v>104978106</v>
      </c>
      <c r="B819" s="5"/>
      <c r="C819" s="5" t="str">
        <f t="shared" si="13"/>
        <v>NIS</v>
      </c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 spans="1:15" x14ac:dyDescent="0.55000000000000004">
      <c r="A820">
        <v>106362239</v>
      </c>
      <c r="B820" s="5"/>
      <c r="C820" s="5" t="str">
        <f t="shared" si="13"/>
        <v>NIS</v>
      </c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</row>
    <row r="821" spans="1:15" x14ac:dyDescent="0.55000000000000004">
      <c r="A821">
        <v>105672024</v>
      </c>
      <c r="B821" s="5"/>
      <c r="C821" s="5" t="str">
        <f t="shared" si="13"/>
        <v>NIS</v>
      </c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 spans="1:15" x14ac:dyDescent="0.55000000000000004">
      <c r="A822">
        <v>105058666</v>
      </c>
      <c r="B822" s="5"/>
      <c r="C822" s="5" t="str">
        <f t="shared" si="13"/>
        <v>NIS</v>
      </c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</row>
    <row r="823" spans="1:15" x14ac:dyDescent="0.55000000000000004">
      <c r="A823">
        <v>105373484</v>
      </c>
      <c r="B823" s="5"/>
      <c r="C823" s="5" t="str">
        <f t="shared" si="13"/>
        <v>NIS</v>
      </c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</row>
    <row r="824" spans="1:15" x14ac:dyDescent="0.55000000000000004">
      <c r="A824">
        <v>106519992</v>
      </c>
      <c r="B824" s="5"/>
      <c r="C824" s="5" t="str">
        <f t="shared" si="13"/>
        <v>NIS</v>
      </c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</row>
    <row r="825" spans="1:15" x14ac:dyDescent="0.55000000000000004">
      <c r="A825">
        <v>105227009</v>
      </c>
      <c r="B825" s="5"/>
      <c r="C825" s="5" t="str">
        <f t="shared" si="13"/>
        <v>NIS</v>
      </c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</row>
    <row r="826" spans="1:15" x14ac:dyDescent="0.55000000000000004">
      <c r="A826">
        <v>105680907</v>
      </c>
      <c r="B826" s="5"/>
      <c r="C826" s="5" t="str">
        <f t="shared" si="13"/>
        <v>NIS</v>
      </c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</row>
    <row r="827" spans="1:15" x14ac:dyDescent="0.55000000000000004">
      <c r="A827">
        <v>105274497</v>
      </c>
      <c r="B827" s="5"/>
      <c r="C827" s="5" t="str">
        <f t="shared" si="13"/>
        <v>NIS</v>
      </c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</row>
    <row r="828" spans="1:15" x14ac:dyDescent="0.55000000000000004">
      <c r="A828">
        <v>106397428</v>
      </c>
      <c r="B828" s="5"/>
      <c r="C828" s="5" t="str">
        <f t="shared" si="13"/>
        <v>NIS</v>
      </c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</row>
    <row r="829" spans="1:15" x14ac:dyDescent="0.55000000000000004">
      <c r="A829">
        <v>104993061</v>
      </c>
      <c r="B829" s="5"/>
      <c r="C829" s="5" t="str">
        <f t="shared" si="13"/>
        <v>NIS</v>
      </c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</row>
    <row r="830" spans="1:15" x14ac:dyDescent="0.55000000000000004">
      <c r="A830">
        <v>106226254</v>
      </c>
      <c r="B830" s="5"/>
      <c r="C830" s="5" t="str">
        <f t="shared" si="13"/>
        <v>NIS</v>
      </c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</row>
    <row r="831" spans="1:15" x14ac:dyDescent="0.55000000000000004">
      <c r="A831">
        <v>104919659</v>
      </c>
      <c r="B831" s="5"/>
      <c r="C831" s="5" t="str">
        <f t="shared" si="13"/>
        <v>NIS</v>
      </c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2" spans="1:15" x14ac:dyDescent="0.55000000000000004">
      <c r="A832">
        <v>106056067</v>
      </c>
      <c r="B832" s="5"/>
      <c r="C832" s="5" t="str">
        <f t="shared" si="13"/>
        <v>NIS</v>
      </c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</row>
    <row r="833" spans="1:15" x14ac:dyDescent="0.55000000000000004">
      <c r="A833">
        <v>106547262</v>
      </c>
      <c r="B833" s="5"/>
      <c r="C833" s="5" t="str">
        <f t="shared" si="13"/>
        <v>NIS</v>
      </c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 spans="1:15" x14ac:dyDescent="0.55000000000000004">
      <c r="A834">
        <v>105342188</v>
      </c>
      <c r="B834" s="5"/>
      <c r="C834" s="5" t="str">
        <f t="shared" ref="C834:C897" si="14">IF(COUNTIF($B:$B,A834)&gt;0,"IS","NIS")</f>
        <v>NIS</v>
      </c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</row>
    <row r="835" spans="1:15" x14ac:dyDescent="0.55000000000000004">
      <c r="A835">
        <v>105479954</v>
      </c>
      <c r="B835" s="5"/>
      <c r="C835" s="5" t="str">
        <f t="shared" si="14"/>
        <v>NIS</v>
      </c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</row>
    <row r="836" spans="1:15" x14ac:dyDescent="0.55000000000000004">
      <c r="A836">
        <v>106567223</v>
      </c>
      <c r="B836" s="5"/>
      <c r="C836" s="5" t="str">
        <f t="shared" si="14"/>
        <v>NIS</v>
      </c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</row>
    <row r="837" spans="1:15" x14ac:dyDescent="0.55000000000000004">
      <c r="A837">
        <v>105612278</v>
      </c>
      <c r="B837" s="5"/>
      <c r="C837" s="5" t="str">
        <f t="shared" si="14"/>
        <v>NIS</v>
      </c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</row>
    <row r="838" spans="1:15" x14ac:dyDescent="0.55000000000000004">
      <c r="A838">
        <v>104942895</v>
      </c>
      <c r="B838" s="5"/>
      <c r="C838" s="5" t="str">
        <f t="shared" si="14"/>
        <v>NIS</v>
      </c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</row>
    <row r="839" spans="1:15" x14ac:dyDescent="0.55000000000000004">
      <c r="A839">
        <v>106107836</v>
      </c>
      <c r="B839" s="5"/>
      <c r="C839" s="5" t="str">
        <f t="shared" si="14"/>
        <v>NIS</v>
      </c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</row>
    <row r="840" spans="1:15" x14ac:dyDescent="0.55000000000000004">
      <c r="A840">
        <v>106243386</v>
      </c>
      <c r="B840" s="5"/>
      <c r="C840" s="5" t="str">
        <f t="shared" si="14"/>
        <v>NIS</v>
      </c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</row>
    <row r="841" spans="1:15" x14ac:dyDescent="0.55000000000000004">
      <c r="A841">
        <v>105828974</v>
      </c>
      <c r="B841" s="5"/>
      <c r="C841" s="5" t="str">
        <f t="shared" si="14"/>
        <v>NIS</v>
      </c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</row>
    <row r="842" spans="1:15" x14ac:dyDescent="0.55000000000000004">
      <c r="A842">
        <v>106181664</v>
      </c>
      <c r="B842" s="5"/>
      <c r="C842" s="5" t="str">
        <f t="shared" si="14"/>
        <v>NIS</v>
      </c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</row>
    <row r="843" spans="1:15" x14ac:dyDescent="0.55000000000000004">
      <c r="A843">
        <v>106493962</v>
      </c>
      <c r="B843" s="5"/>
      <c r="C843" s="5" t="str">
        <f t="shared" si="14"/>
        <v>NIS</v>
      </c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</row>
    <row r="844" spans="1:15" x14ac:dyDescent="0.55000000000000004">
      <c r="A844">
        <v>105365382</v>
      </c>
      <c r="B844" s="5"/>
      <c r="C844" s="5" t="str">
        <f t="shared" si="14"/>
        <v>NIS</v>
      </c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</row>
    <row r="845" spans="1:15" x14ac:dyDescent="0.55000000000000004">
      <c r="A845">
        <v>106543177</v>
      </c>
      <c r="B845" s="5"/>
      <c r="C845" s="5" t="str">
        <f t="shared" si="14"/>
        <v>NIS</v>
      </c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</row>
    <row r="846" spans="1:15" x14ac:dyDescent="0.55000000000000004">
      <c r="A846">
        <v>105645500</v>
      </c>
      <c r="B846" s="5"/>
      <c r="C846" s="5" t="str">
        <f t="shared" si="14"/>
        <v>NIS</v>
      </c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</row>
    <row r="847" spans="1:15" x14ac:dyDescent="0.55000000000000004">
      <c r="A847">
        <v>105296873</v>
      </c>
      <c r="B847" s="5"/>
      <c r="C847" s="5" t="str">
        <f t="shared" si="14"/>
        <v>NIS</v>
      </c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 spans="1:15" x14ac:dyDescent="0.55000000000000004">
      <c r="A848">
        <v>105735150</v>
      </c>
      <c r="B848" s="5"/>
      <c r="C848" s="5" t="str">
        <f t="shared" si="14"/>
        <v>NIS</v>
      </c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</row>
    <row r="849" spans="1:15" x14ac:dyDescent="0.55000000000000004">
      <c r="A849">
        <v>106006723</v>
      </c>
      <c r="B849" s="5"/>
      <c r="C849" s="5" t="str">
        <f t="shared" si="14"/>
        <v>NIS</v>
      </c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</row>
    <row r="850" spans="1:15" x14ac:dyDescent="0.55000000000000004">
      <c r="A850">
        <v>106669330</v>
      </c>
      <c r="B850" s="5"/>
      <c r="C850" s="5" t="str">
        <f t="shared" si="14"/>
        <v>NIS</v>
      </c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</row>
    <row r="851" spans="1:15" x14ac:dyDescent="0.55000000000000004">
      <c r="A851">
        <v>105680909</v>
      </c>
      <c r="B851" s="5"/>
      <c r="C851" s="5" t="str">
        <f t="shared" si="14"/>
        <v>NIS</v>
      </c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</row>
    <row r="852" spans="1:15" x14ac:dyDescent="0.55000000000000004">
      <c r="A852">
        <v>105661431</v>
      </c>
      <c r="B852" s="5"/>
      <c r="C852" s="5" t="str">
        <f t="shared" si="14"/>
        <v>NIS</v>
      </c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</row>
    <row r="853" spans="1:15" x14ac:dyDescent="0.55000000000000004">
      <c r="A853">
        <v>106128334</v>
      </c>
      <c r="B853" s="5"/>
      <c r="C853" s="5" t="str">
        <f t="shared" si="14"/>
        <v>NIS</v>
      </c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</row>
    <row r="854" spans="1:15" x14ac:dyDescent="0.55000000000000004">
      <c r="A854">
        <v>106277832</v>
      </c>
      <c r="B854" s="5"/>
      <c r="C854" s="5" t="str">
        <f t="shared" si="14"/>
        <v>NIS</v>
      </c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</row>
    <row r="855" spans="1:15" x14ac:dyDescent="0.55000000000000004">
      <c r="A855">
        <v>106345710</v>
      </c>
      <c r="B855" s="5"/>
      <c r="C855" s="5" t="str">
        <f t="shared" si="14"/>
        <v>NIS</v>
      </c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</row>
    <row r="856" spans="1:15" x14ac:dyDescent="0.55000000000000004">
      <c r="A856">
        <v>105234520</v>
      </c>
      <c r="B856" s="5"/>
      <c r="C856" s="5" t="str">
        <f t="shared" si="14"/>
        <v>NIS</v>
      </c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</row>
    <row r="857" spans="1:15" x14ac:dyDescent="0.55000000000000004">
      <c r="A857">
        <v>105662861</v>
      </c>
      <c r="B857" s="5"/>
      <c r="C857" s="5" t="str">
        <f t="shared" si="14"/>
        <v>NIS</v>
      </c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</row>
    <row r="858" spans="1:15" x14ac:dyDescent="0.55000000000000004">
      <c r="A858">
        <v>106273255</v>
      </c>
      <c r="B858" s="5"/>
      <c r="C858" s="5" t="str">
        <f t="shared" si="14"/>
        <v>NIS</v>
      </c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</row>
    <row r="859" spans="1:15" x14ac:dyDescent="0.55000000000000004">
      <c r="A859">
        <v>105135658</v>
      </c>
      <c r="B859" s="5"/>
      <c r="C859" s="5" t="str">
        <f t="shared" si="14"/>
        <v>NIS</v>
      </c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</row>
    <row r="860" spans="1:15" x14ac:dyDescent="0.55000000000000004">
      <c r="A860">
        <v>106166222</v>
      </c>
      <c r="B860" s="5"/>
      <c r="C860" s="5" t="str">
        <f t="shared" si="14"/>
        <v>NIS</v>
      </c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</row>
    <row r="861" spans="1:15" x14ac:dyDescent="0.55000000000000004">
      <c r="A861">
        <v>106131958</v>
      </c>
      <c r="B861" s="5"/>
      <c r="C861" s="5" t="str">
        <f t="shared" si="14"/>
        <v>NIS</v>
      </c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</row>
    <row r="862" spans="1:15" x14ac:dyDescent="0.55000000000000004">
      <c r="A862">
        <v>105804211</v>
      </c>
      <c r="B862" s="5"/>
      <c r="C862" s="5" t="str">
        <f t="shared" si="14"/>
        <v>NIS</v>
      </c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</row>
    <row r="863" spans="1:15" x14ac:dyDescent="0.55000000000000004">
      <c r="A863">
        <v>106492120</v>
      </c>
      <c r="B863" s="5"/>
      <c r="C863" s="5" t="str">
        <f t="shared" si="14"/>
        <v>NIS</v>
      </c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</row>
    <row r="864" spans="1:15" x14ac:dyDescent="0.55000000000000004">
      <c r="A864">
        <v>105507214</v>
      </c>
      <c r="B864" s="5"/>
      <c r="C864" s="5" t="str">
        <f t="shared" si="14"/>
        <v>NIS</v>
      </c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</row>
    <row r="865" spans="1:15" x14ac:dyDescent="0.55000000000000004">
      <c r="A865">
        <v>106574927</v>
      </c>
      <c r="B865" s="5"/>
      <c r="C865" s="5" t="str">
        <f t="shared" si="14"/>
        <v>NIS</v>
      </c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</row>
    <row r="866" spans="1:15" x14ac:dyDescent="0.55000000000000004">
      <c r="A866">
        <v>105272976</v>
      </c>
      <c r="B866" s="5"/>
      <c r="C866" s="5" t="str">
        <f t="shared" si="14"/>
        <v>NIS</v>
      </c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</row>
    <row r="867" spans="1:15" x14ac:dyDescent="0.55000000000000004">
      <c r="A867">
        <v>105365380</v>
      </c>
      <c r="B867" s="5"/>
      <c r="C867" s="5" t="str">
        <f t="shared" si="14"/>
        <v>NIS</v>
      </c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 spans="1:15" x14ac:dyDescent="0.55000000000000004">
      <c r="A868">
        <v>105149511</v>
      </c>
      <c r="B868" s="5"/>
      <c r="C868" s="5" t="str">
        <f t="shared" si="14"/>
        <v>NIS</v>
      </c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</row>
    <row r="869" spans="1:15" x14ac:dyDescent="0.55000000000000004">
      <c r="A869">
        <v>105191888</v>
      </c>
      <c r="B869" s="5"/>
      <c r="C869" s="5" t="str">
        <f t="shared" si="14"/>
        <v>NIS</v>
      </c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</row>
    <row r="870" spans="1:15" x14ac:dyDescent="0.55000000000000004">
      <c r="A870">
        <v>105615894</v>
      </c>
      <c r="B870" s="5"/>
      <c r="C870" s="5" t="str">
        <f t="shared" si="14"/>
        <v>NIS</v>
      </c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</row>
    <row r="871" spans="1:15" x14ac:dyDescent="0.55000000000000004">
      <c r="A871">
        <v>105179338</v>
      </c>
      <c r="B871" s="5"/>
      <c r="C871" s="5" t="str">
        <f t="shared" si="14"/>
        <v>NIS</v>
      </c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</row>
    <row r="872" spans="1:15" x14ac:dyDescent="0.55000000000000004">
      <c r="A872">
        <v>105144627</v>
      </c>
      <c r="B872" s="5"/>
      <c r="C872" s="5" t="str">
        <f t="shared" si="14"/>
        <v>NIS</v>
      </c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</row>
    <row r="873" spans="1:15" x14ac:dyDescent="0.55000000000000004">
      <c r="A873">
        <v>105062871</v>
      </c>
      <c r="B873" s="5"/>
      <c r="C873" s="5" t="str">
        <f t="shared" si="14"/>
        <v>NIS</v>
      </c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</row>
    <row r="874" spans="1:15" x14ac:dyDescent="0.55000000000000004">
      <c r="A874">
        <v>106585662</v>
      </c>
      <c r="B874" s="5"/>
      <c r="C874" s="5" t="str">
        <f t="shared" si="14"/>
        <v>NIS</v>
      </c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</row>
    <row r="875" spans="1:15" x14ac:dyDescent="0.55000000000000004">
      <c r="A875">
        <v>106279561</v>
      </c>
      <c r="B875" s="5"/>
      <c r="C875" s="5" t="str">
        <f t="shared" si="14"/>
        <v>NIS</v>
      </c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</row>
    <row r="876" spans="1:15" x14ac:dyDescent="0.55000000000000004">
      <c r="A876">
        <v>106273066</v>
      </c>
      <c r="B876" s="5"/>
      <c r="C876" s="5" t="str">
        <f t="shared" si="14"/>
        <v>NIS</v>
      </c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</row>
    <row r="877" spans="1:15" x14ac:dyDescent="0.55000000000000004">
      <c r="A877">
        <v>106301554</v>
      </c>
      <c r="B877" s="5"/>
      <c r="C877" s="5" t="str">
        <f t="shared" si="14"/>
        <v>NIS</v>
      </c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 spans="1:15" x14ac:dyDescent="0.55000000000000004">
      <c r="A878">
        <v>106539366</v>
      </c>
      <c r="B878" s="5"/>
      <c r="C878" s="5" t="str">
        <f t="shared" si="14"/>
        <v>NIS</v>
      </c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</row>
    <row r="879" spans="1:15" x14ac:dyDescent="0.55000000000000004">
      <c r="A879">
        <v>106255805</v>
      </c>
      <c r="B879" s="5"/>
      <c r="C879" s="5" t="str">
        <f t="shared" si="14"/>
        <v>NIS</v>
      </c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</row>
    <row r="880" spans="1:15" x14ac:dyDescent="0.55000000000000004">
      <c r="A880">
        <v>106169202</v>
      </c>
      <c r="B880" s="5"/>
      <c r="C880" s="5" t="str">
        <f t="shared" si="14"/>
        <v>NIS</v>
      </c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</row>
    <row r="881" spans="1:15" x14ac:dyDescent="0.55000000000000004">
      <c r="A881">
        <v>106590702</v>
      </c>
      <c r="B881" s="5"/>
      <c r="C881" s="5" t="str">
        <f t="shared" si="14"/>
        <v>NIS</v>
      </c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</row>
    <row r="882" spans="1:15" x14ac:dyDescent="0.55000000000000004">
      <c r="A882">
        <v>104890096</v>
      </c>
      <c r="B882" s="5"/>
      <c r="C882" s="5" t="str">
        <f t="shared" si="14"/>
        <v>NIS</v>
      </c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</row>
    <row r="883" spans="1:15" x14ac:dyDescent="0.55000000000000004">
      <c r="A883">
        <v>106448357</v>
      </c>
      <c r="B883" s="5"/>
      <c r="C883" s="5" t="str">
        <f t="shared" si="14"/>
        <v>NIS</v>
      </c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</row>
    <row r="884" spans="1:15" x14ac:dyDescent="0.55000000000000004">
      <c r="A884">
        <v>105474147</v>
      </c>
      <c r="B884" s="5"/>
      <c r="C884" s="5" t="str">
        <f t="shared" si="14"/>
        <v>NIS</v>
      </c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</row>
    <row r="885" spans="1:15" x14ac:dyDescent="0.55000000000000004">
      <c r="A885">
        <v>106143451</v>
      </c>
      <c r="B885" s="5"/>
      <c r="C885" s="5" t="str">
        <f t="shared" si="14"/>
        <v>NIS</v>
      </c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</row>
    <row r="886" spans="1:15" x14ac:dyDescent="0.55000000000000004">
      <c r="A886">
        <v>106675517</v>
      </c>
      <c r="B886" s="5"/>
      <c r="C886" s="5" t="str">
        <f t="shared" si="14"/>
        <v>NIS</v>
      </c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</row>
    <row r="887" spans="1:15" x14ac:dyDescent="0.55000000000000004">
      <c r="A887">
        <v>106674973</v>
      </c>
      <c r="B887" s="5"/>
      <c r="C887" s="5" t="str">
        <f t="shared" si="14"/>
        <v>NIS</v>
      </c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</row>
    <row r="888" spans="1:15" x14ac:dyDescent="0.55000000000000004">
      <c r="A888">
        <v>106166221</v>
      </c>
      <c r="B888" s="5"/>
      <c r="C888" s="5" t="str">
        <f t="shared" si="14"/>
        <v>NIS</v>
      </c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</row>
    <row r="889" spans="1:15" x14ac:dyDescent="0.55000000000000004">
      <c r="A889">
        <v>104970239</v>
      </c>
      <c r="B889" s="5"/>
      <c r="C889" s="5" t="str">
        <f t="shared" si="14"/>
        <v>NIS</v>
      </c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</row>
    <row r="890" spans="1:15" x14ac:dyDescent="0.55000000000000004">
      <c r="A890">
        <v>105178578</v>
      </c>
      <c r="B890" s="5"/>
      <c r="C890" s="5" t="str">
        <f t="shared" si="14"/>
        <v>NIS</v>
      </c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</row>
    <row r="891" spans="1:15" x14ac:dyDescent="0.55000000000000004">
      <c r="A891">
        <v>105285262</v>
      </c>
      <c r="B891" s="5"/>
      <c r="C891" s="5" t="str">
        <f t="shared" si="14"/>
        <v>NIS</v>
      </c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</row>
    <row r="892" spans="1:15" x14ac:dyDescent="0.55000000000000004">
      <c r="A892">
        <v>105598482</v>
      </c>
      <c r="B892" s="5"/>
      <c r="C892" s="5" t="str">
        <f t="shared" si="14"/>
        <v>NIS</v>
      </c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</row>
    <row r="893" spans="1:15" x14ac:dyDescent="0.55000000000000004">
      <c r="A893">
        <v>105920126</v>
      </c>
      <c r="B893" s="5"/>
      <c r="C893" s="5" t="str">
        <f t="shared" si="14"/>
        <v>NIS</v>
      </c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</row>
    <row r="894" spans="1:15" x14ac:dyDescent="0.55000000000000004">
      <c r="A894">
        <v>106672242</v>
      </c>
      <c r="B894" s="5"/>
      <c r="C894" s="5" t="str">
        <f t="shared" si="14"/>
        <v>NIS</v>
      </c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</row>
    <row r="895" spans="1:15" x14ac:dyDescent="0.55000000000000004">
      <c r="A895">
        <v>105252938</v>
      </c>
      <c r="B895" s="5"/>
      <c r="C895" s="5" t="str">
        <f t="shared" si="14"/>
        <v>NIS</v>
      </c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</row>
    <row r="896" spans="1:15" x14ac:dyDescent="0.55000000000000004">
      <c r="A896">
        <v>106239302</v>
      </c>
      <c r="B896" s="5"/>
      <c r="C896" s="5" t="str">
        <f t="shared" si="14"/>
        <v>NIS</v>
      </c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</row>
    <row r="897" spans="1:15" x14ac:dyDescent="0.55000000000000004">
      <c r="A897">
        <v>104865940</v>
      </c>
      <c r="B897" s="5"/>
      <c r="C897" s="5" t="str">
        <f t="shared" si="14"/>
        <v>NIS</v>
      </c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</row>
    <row r="898" spans="1:15" x14ac:dyDescent="0.55000000000000004">
      <c r="A898">
        <v>106440773</v>
      </c>
      <c r="B898" s="5"/>
      <c r="C898" s="5" t="str">
        <f t="shared" ref="C898:C961" si="15">IF(COUNTIF($B:$B,A898)&gt;0,"IS","NIS")</f>
        <v>NIS</v>
      </c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</row>
    <row r="899" spans="1:15" x14ac:dyDescent="0.55000000000000004">
      <c r="A899">
        <v>106465312</v>
      </c>
      <c r="B899" s="5"/>
      <c r="C899" s="5" t="str">
        <f t="shared" si="15"/>
        <v>NIS</v>
      </c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</row>
    <row r="900" spans="1:15" x14ac:dyDescent="0.55000000000000004">
      <c r="A900">
        <v>104882398</v>
      </c>
      <c r="B900" s="5"/>
      <c r="C900" s="5" t="str">
        <f t="shared" si="15"/>
        <v>NIS</v>
      </c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</row>
    <row r="901" spans="1:15" x14ac:dyDescent="0.55000000000000004">
      <c r="A901">
        <v>106284870</v>
      </c>
      <c r="B901" s="5"/>
      <c r="C901" s="5" t="str">
        <f t="shared" si="15"/>
        <v>NIS</v>
      </c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</row>
    <row r="902" spans="1:15" x14ac:dyDescent="0.55000000000000004">
      <c r="A902">
        <v>106527829</v>
      </c>
      <c r="B902" s="5"/>
      <c r="C902" s="5" t="str">
        <f t="shared" si="15"/>
        <v>NIS</v>
      </c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</row>
    <row r="903" spans="1:15" x14ac:dyDescent="0.55000000000000004">
      <c r="A903">
        <v>106498082</v>
      </c>
      <c r="B903" s="5"/>
      <c r="C903" s="5" t="str">
        <f t="shared" si="15"/>
        <v>NIS</v>
      </c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</row>
    <row r="904" spans="1:15" x14ac:dyDescent="0.55000000000000004">
      <c r="A904">
        <v>106016592</v>
      </c>
      <c r="B904" s="5"/>
      <c r="C904" s="5" t="str">
        <f t="shared" si="15"/>
        <v>NIS</v>
      </c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</row>
    <row r="905" spans="1:15" x14ac:dyDescent="0.55000000000000004">
      <c r="A905">
        <v>105545930</v>
      </c>
      <c r="B905" s="5"/>
      <c r="C905" s="5" t="str">
        <f t="shared" si="15"/>
        <v>NIS</v>
      </c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</row>
    <row r="906" spans="1:15" x14ac:dyDescent="0.55000000000000004">
      <c r="A906">
        <v>105859968</v>
      </c>
      <c r="B906" s="5"/>
      <c r="C906" s="5" t="str">
        <f t="shared" si="15"/>
        <v>NIS</v>
      </c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</row>
    <row r="907" spans="1:15" x14ac:dyDescent="0.55000000000000004">
      <c r="A907">
        <v>105095870</v>
      </c>
      <c r="B907" s="5"/>
      <c r="C907" s="5" t="str">
        <f t="shared" si="15"/>
        <v>NIS</v>
      </c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</row>
    <row r="908" spans="1:15" x14ac:dyDescent="0.55000000000000004">
      <c r="A908">
        <v>104857793</v>
      </c>
      <c r="B908" s="5"/>
      <c r="C908" s="5" t="str">
        <f t="shared" si="15"/>
        <v>NIS</v>
      </c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</row>
    <row r="909" spans="1:15" x14ac:dyDescent="0.55000000000000004">
      <c r="A909">
        <v>106427928</v>
      </c>
      <c r="B909" s="5"/>
      <c r="C909" s="5" t="str">
        <f t="shared" si="15"/>
        <v>NIS</v>
      </c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</row>
    <row r="910" spans="1:15" x14ac:dyDescent="0.55000000000000004">
      <c r="A910">
        <v>106241798</v>
      </c>
      <c r="B910" s="5"/>
      <c r="C910" s="5" t="str">
        <f t="shared" si="15"/>
        <v>NIS</v>
      </c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</row>
    <row r="911" spans="1:15" x14ac:dyDescent="0.55000000000000004">
      <c r="A911">
        <v>105014817</v>
      </c>
      <c r="B911" s="5"/>
      <c r="C911" s="5" t="str">
        <f t="shared" si="15"/>
        <v>NIS</v>
      </c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</row>
    <row r="912" spans="1:15" x14ac:dyDescent="0.55000000000000004">
      <c r="A912">
        <v>105561252</v>
      </c>
      <c r="B912" s="5"/>
      <c r="C912" s="5" t="str">
        <f t="shared" si="15"/>
        <v>NIS</v>
      </c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</row>
    <row r="913" spans="1:15" x14ac:dyDescent="0.55000000000000004">
      <c r="A913">
        <v>106203708</v>
      </c>
      <c r="B913" s="5"/>
      <c r="C913" s="5" t="str">
        <f t="shared" si="15"/>
        <v>NIS</v>
      </c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</row>
    <row r="914" spans="1:15" x14ac:dyDescent="0.55000000000000004">
      <c r="A914">
        <v>105012439</v>
      </c>
      <c r="B914" s="5"/>
      <c r="C914" s="5" t="str">
        <f t="shared" si="15"/>
        <v>NIS</v>
      </c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</row>
    <row r="915" spans="1:15" x14ac:dyDescent="0.55000000000000004">
      <c r="A915">
        <v>105492198</v>
      </c>
      <c r="B915" s="5"/>
      <c r="C915" s="5" t="str">
        <f t="shared" si="15"/>
        <v>NIS</v>
      </c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 spans="1:15" x14ac:dyDescent="0.55000000000000004">
      <c r="A916">
        <v>105326689</v>
      </c>
      <c r="B916" s="5"/>
      <c r="C916" s="5" t="str">
        <f t="shared" si="15"/>
        <v>NIS</v>
      </c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</row>
    <row r="917" spans="1:15" x14ac:dyDescent="0.55000000000000004">
      <c r="A917">
        <v>106217832</v>
      </c>
      <c r="B917" s="5"/>
      <c r="C917" s="5" t="str">
        <f t="shared" si="15"/>
        <v>NIS</v>
      </c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</row>
    <row r="918" spans="1:15" x14ac:dyDescent="0.55000000000000004">
      <c r="A918">
        <v>105507274</v>
      </c>
      <c r="B918" s="5"/>
      <c r="C918" s="5" t="str">
        <f t="shared" si="15"/>
        <v>NIS</v>
      </c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</row>
    <row r="919" spans="1:15" x14ac:dyDescent="0.55000000000000004">
      <c r="A919">
        <v>106174767</v>
      </c>
      <c r="B919" s="5"/>
      <c r="C919" s="5" t="str">
        <f t="shared" si="15"/>
        <v>NIS</v>
      </c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</row>
    <row r="920" spans="1:15" x14ac:dyDescent="0.55000000000000004">
      <c r="A920">
        <v>105670894</v>
      </c>
      <c r="B920" s="5"/>
      <c r="C920" s="5" t="str">
        <f t="shared" si="15"/>
        <v>NIS</v>
      </c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</row>
    <row r="921" spans="1:15" x14ac:dyDescent="0.55000000000000004">
      <c r="A921">
        <v>105315958</v>
      </c>
      <c r="B921" s="5"/>
      <c r="C921" s="5" t="str">
        <f t="shared" si="15"/>
        <v>NIS</v>
      </c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 spans="1:15" x14ac:dyDescent="0.55000000000000004">
      <c r="A922">
        <v>105924467</v>
      </c>
      <c r="B922" s="5"/>
      <c r="C922" s="5" t="str">
        <f t="shared" si="15"/>
        <v>NIS</v>
      </c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</row>
    <row r="923" spans="1:15" x14ac:dyDescent="0.55000000000000004">
      <c r="A923">
        <v>105950377</v>
      </c>
      <c r="B923" s="5"/>
      <c r="C923" s="5" t="str">
        <f t="shared" si="15"/>
        <v>NIS</v>
      </c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</row>
    <row r="924" spans="1:15" x14ac:dyDescent="0.55000000000000004">
      <c r="A924">
        <v>104920352</v>
      </c>
      <c r="B924" s="5"/>
      <c r="C924" s="5" t="str">
        <f t="shared" si="15"/>
        <v>NIS</v>
      </c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</row>
    <row r="925" spans="1:15" x14ac:dyDescent="0.55000000000000004">
      <c r="A925">
        <v>105244249</v>
      </c>
      <c r="B925" s="5"/>
      <c r="C925" s="5" t="str">
        <f t="shared" si="15"/>
        <v>NIS</v>
      </c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</row>
    <row r="926" spans="1:15" x14ac:dyDescent="0.55000000000000004">
      <c r="A926">
        <v>105092841</v>
      </c>
      <c r="B926" s="5"/>
      <c r="C926" s="5" t="str">
        <f t="shared" si="15"/>
        <v>NIS</v>
      </c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</row>
    <row r="927" spans="1:15" x14ac:dyDescent="0.55000000000000004">
      <c r="A927">
        <v>106545948</v>
      </c>
      <c r="B927" s="5"/>
      <c r="C927" s="5" t="str">
        <f t="shared" si="15"/>
        <v>NIS</v>
      </c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 spans="1:15" x14ac:dyDescent="0.55000000000000004">
      <c r="A928">
        <v>106467743</v>
      </c>
      <c r="B928" s="5"/>
      <c r="C928" s="5" t="str">
        <f t="shared" si="15"/>
        <v>NIS</v>
      </c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</row>
    <row r="929" spans="1:15" x14ac:dyDescent="0.55000000000000004">
      <c r="A929">
        <v>106122495</v>
      </c>
      <c r="B929" s="5"/>
      <c r="C929" s="5" t="str">
        <f t="shared" si="15"/>
        <v>NIS</v>
      </c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</row>
    <row r="930" spans="1:15" x14ac:dyDescent="0.55000000000000004">
      <c r="A930">
        <v>105012449</v>
      </c>
      <c r="B930" s="5"/>
      <c r="C930" s="5" t="str">
        <f t="shared" si="15"/>
        <v>NIS</v>
      </c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</row>
    <row r="931" spans="1:15" x14ac:dyDescent="0.55000000000000004">
      <c r="A931">
        <v>106486478</v>
      </c>
      <c r="B931" s="5"/>
      <c r="C931" s="5" t="str">
        <f t="shared" si="15"/>
        <v>NIS</v>
      </c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</row>
    <row r="932" spans="1:15" x14ac:dyDescent="0.55000000000000004">
      <c r="A932">
        <v>105763064</v>
      </c>
      <c r="B932" s="5"/>
      <c r="C932" s="5" t="str">
        <f t="shared" si="15"/>
        <v>NIS</v>
      </c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</row>
    <row r="933" spans="1:15" x14ac:dyDescent="0.55000000000000004">
      <c r="A933">
        <v>105549146</v>
      </c>
      <c r="B933" s="5"/>
      <c r="C933" s="5" t="str">
        <f t="shared" si="15"/>
        <v>NIS</v>
      </c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</row>
    <row r="934" spans="1:15" x14ac:dyDescent="0.55000000000000004">
      <c r="A934">
        <v>106401405</v>
      </c>
      <c r="B934" s="5"/>
      <c r="C934" s="5" t="str">
        <f t="shared" si="15"/>
        <v>NIS</v>
      </c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</row>
    <row r="935" spans="1:15" x14ac:dyDescent="0.55000000000000004">
      <c r="A935">
        <v>105288239</v>
      </c>
      <c r="B935" s="5"/>
      <c r="C935" s="5" t="str">
        <f t="shared" si="15"/>
        <v>NIS</v>
      </c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</row>
    <row r="936" spans="1:15" x14ac:dyDescent="0.55000000000000004">
      <c r="A936">
        <v>105067208</v>
      </c>
      <c r="B936" s="5"/>
      <c r="C936" s="5" t="str">
        <f t="shared" si="15"/>
        <v>NIS</v>
      </c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</row>
    <row r="937" spans="1:15" x14ac:dyDescent="0.55000000000000004">
      <c r="A937">
        <v>106096010</v>
      </c>
      <c r="B937" s="5"/>
      <c r="C937" s="5" t="str">
        <f t="shared" si="15"/>
        <v>NIS</v>
      </c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</row>
    <row r="938" spans="1:15" x14ac:dyDescent="0.55000000000000004">
      <c r="A938">
        <v>104865579</v>
      </c>
      <c r="B938" s="5"/>
      <c r="C938" s="5" t="str">
        <f t="shared" si="15"/>
        <v>NIS</v>
      </c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</row>
    <row r="939" spans="1:15" x14ac:dyDescent="0.55000000000000004">
      <c r="A939">
        <v>105912749</v>
      </c>
      <c r="B939" s="5"/>
      <c r="C939" s="5" t="str">
        <f t="shared" si="15"/>
        <v>NIS</v>
      </c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 spans="1:15" x14ac:dyDescent="0.55000000000000004">
      <c r="A940">
        <v>106011488</v>
      </c>
      <c r="B940" s="5"/>
      <c r="C940" s="5" t="str">
        <f t="shared" si="15"/>
        <v>NIS</v>
      </c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</row>
    <row r="941" spans="1:15" x14ac:dyDescent="0.55000000000000004">
      <c r="A941">
        <v>105406790</v>
      </c>
      <c r="B941" s="5"/>
      <c r="C941" s="5" t="str">
        <f t="shared" si="15"/>
        <v>NIS</v>
      </c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</row>
    <row r="942" spans="1:15" x14ac:dyDescent="0.55000000000000004">
      <c r="A942">
        <v>105604944</v>
      </c>
      <c r="B942" s="5"/>
      <c r="C942" s="5" t="str">
        <f t="shared" si="15"/>
        <v>NIS</v>
      </c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</row>
    <row r="943" spans="1:15" x14ac:dyDescent="0.55000000000000004">
      <c r="A943">
        <v>104890099</v>
      </c>
      <c r="B943" s="5"/>
      <c r="C943" s="5" t="str">
        <f t="shared" si="15"/>
        <v>NIS</v>
      </c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</row>
    <row r="944" spans="1:15" x14ac:dyDescent="0.55000000000000004">
      <c r="A944">
        <v>105277104</v>
      </c>
      <c r="B944" s="5"/>
      <c r="C944" s="5" t="str">
        <f t="shared" si="15"/>
        <v>NIS</v>
      </c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</row>
    <row r="945" spans="1:15" x14ac:dyDescent="0.55000000000000004">
      <c r="A945">
        <v>105266728</v>
      </c>
      <c r="B945" s="5"/>
      <c r="C945" s="5" t="str">
        <f t="shared" si="15"/>
        <v>NIS</v>
      </c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</row>
    <row r="946" spans="1:15" x14ac:dyDescent="0.55000000000000004">
      <c r="A946">
        <v>105402222</v>
      </c>
      <c r="B946" s="5"/>
      <c r="C946" s="5" t="str">
        <f t="shared" si="15"/>
        <v>NIS</v>
      </c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</row>
    <row r="947" spans="1:15" x14ac:dyDescent="0.55000000000000004">
      <c r="A947">
        <v>104919535</v>
      </c>
      <c r="B947" s="5"/>
      <c r="C947" s="5" t="str">
        <f t="shared" si="15"/>
        <v>NIS</v>
      </c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</row>
    <row r="948" spans="1:15" x14ac:dyDescent="0.55000000000000004">
      <c r="A948">
        <v>105708807</v>
      </c>
      <c r="B948" s="5"/>
      <c r="C948" s="5" t="str">
        <f t="shared" si="15"/>
        <v>NIS</v>
      </c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</row>
    <row r="949" spans="1:15" x14ac:dyDescent="0.55000000000000004">
      <c r="A949">
        <v>106324191</v>
      </c>
      <c r="B949" s="5"/>
      <c r="C949" s="5" t="str">
        <f t="shared" si="15"/>
        <v>NIS</v>
      </c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</row>
    <row r="950" spans="1:15" x14ac:dyDescent="0.55000000000000004">
      <c r="A950">
        <v>105095085</v>
      </c>
      <c r="B950" s="5"/>
      <c r="C950" s="5" t="str">
        <f t="shared" si="15"/>
        <v>NIS</v>
      </c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</row>
    <row r="951" spans="1:15" x14ac:dyDescent="0.55000000000000004">
      <c r="A951">
        <v>106390771</v>
      </c>
      <c r="B951" s="5"/>
      <c r="C951" s="5" t="str">
        <f t="shared" si="15"/>
        <v>NIS</v>
      </c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</row>
    <row r="952" spans="1:15" x14ac:dyDescent="0.55000000000000004">
      <c r="A952">
        <v>105224017</v>
      </c>
      <c r="B952" s="5"/>
      <c r="C952" s="5" t="str">
        <f t="shared" si="15"/>
        <v>NIS</v>
      </c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</row>
    <row r="953" spans="1:15" x14ac:dyDescent="0.55000000000000004">
      <c r="A953">
        <v>106098316</v>
      </c>
      <c r="B953" s="5"/>
      <c r="C953" s="5" t="str">
        <f t="shared" si="15"/>
        <v>NIS</v>
      </c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</row>
    <row r="954" spans="1:15" x14ac:dyDescent="0.55000000000000004">
      <c r="A954">
        <v>105844880</v>
      </c>
      <c r="B954" s="5"/>
      <c r="C954" s="5" t="str">
        <f t="shared" si="15"/>
        <v>NIS</v>
      </c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</row>
    <row r="955" spans="1:15" x14ac:dyDescent="0.55000000000000004">
      <c r="A955">
        <v>105844879</v>
      </c>
      <c r="B955" s="5"/>
      <c r="C955" s="5" t="str">
        <f t="shared" si="15"/>
        <v>NIS</v>
      </c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</row>
    <row r="956" spans="1:15" x14ac:dyDescent="0.55000000000000004">
      <c r="A956">
        <v>106162589</v>
      </c>
      <c r="B956" s="5"/>
      <c r="C956" s="5" t="str">
        <f t="shared" si="15"/>
        <v>NIS</v>
      </c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</row>
    <row r="957" spans="1:15" x14ac:dyDescent="0.55000000000000004">
      <c r="A957">
        <v>106408534</v>
      </c>
      <c r="B957" s="5"/>
      <c r="C957" s="5" t="str">
        <f t="shared" si="15"/>
        <v>NIS</v>
      </c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</row>
    <row r="958" spans="1:15" x14ac:dyDescent="0.55000000000000004">
      <c r="A958">
        <v>105924740</v>
      </c>
      <c r="B958" s="5"/>
      <c r="C958" s="5" t="str">
        <f t="shared" si="15"/>
        <v>NIS</v>
      </c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</row>
    <row r="959" spans="1:15" x14ac:dyDescent="0.55000000000000004">
      <c r="A959">
        <v>106376995</v>
      </c>
      <c r="B959" s="5"/>
      <c r="C959" s="5" t="str">
        <f t="shared" si="15"/>
        <v>NIS</v>
      </c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</row>
    <row r="960" spans="1:15" x14ac:dyDescent="0.55000000000000004">
      <c r="A960">
        <v>106092309</v>
      </c>
      <c r="B960" s="5"/>
      <c r="C960" s="5" t="str">
        <f t="shared" si="15"/>
        <v>NIS</v>
      </c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</row>
    <row r="961" spans="1:15" x14ac:dyDescent="0.55000000000000004">
      <c r="A961">
        <v>105740217</v>
      </c>
      <c r="B961" s="5"/>
      <c r="C961" s="5" t="str">
        <f t="shared" si="15"/>
        <v>NIS</v>
      </c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</row>
    <row r="962" spans="1:15" x14ac:dyDescent="0.55000000000000004">
      <c r="A962">
        <v>105638945</v>
      </c>
      <c r="B962" s="5"/>
      <c r="C962" s="5" t="str">
        <f t="shared" ref="C962:C1025" si="16">IF(COUNTIF($B:$B,A962)&gt;0,"IS","NIS")</f>
        <v>NIS</v>
      </c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</row>
    <row r="963" spans="1:15" x14ac:dyDescent="0.55000000000000004">
      <c r="A963">
        <v>106430514</v>
      </c>
      <c r="B963" s="5"/>
      <c r="C963" s="5" t="str">
        <f t="shared" si="16"/>
        <v>NIS</v>
      </c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</row>
    <row r="964" spans="1:15" x14ac:dyDescent="0.55000000000000004">
      <c r="A964">
        <v>106634573</v>
      </c>
      <c r="B964" s="5"/>
      <c r="C964" s="5" t="str">
        <f t="shared" si="16"/>
        <v>NIS</v>
      </c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</row>
    <row r="965" spans="1:15" x14ac:dyDescent="0.55000000000000004">
      <c r="A965">
        <v>106632725</v>
      </c>
      <c r="B965" s="5"/>
      <c r="C965" s="5" t="str">
        <f t="shared" si="16"/>
        <v>NIS</v>
      </c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</row>
    <row r="966" spans="1:15" x14ac:dyDescent="0.55000000000000004">
      <c r="A966">
        <v>106533141</v>
      </c>
      <c r="B966" s="5"/>
      <c r="C966" s="5" t="str">
        <f t="shared" si="16"/>
        <v>NIS</v>
      </c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</row>
    <row r="967" spans="1:15" x14ac:dyDescent="0.55000000000000004">
      <c r="A967">
        <v>106684636</v>
      </c>
      <c r="B967" s="5"/>
      <c r="C967" s="5" t="str">
        <f t="shared" si="16"/>
        <v>NIS</v>
      </c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</row>
    <row r="968" spans="1:15" x14ac:dyDescent="0.55000000000000004">
      <c r="A968">
        <v>106429850</v>
      </c>
      <c r="B968" s="5"/>
      <c r="C968" s="5" t="str">
        <f t="shared" si="16"/>
        <v>NIS</v>
      </c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</row>
    <row r="969" spans="1:15" x14ac:dyDescent="0.55000000000000004">
      <c r="A969">
        <v>105205510</v>
      </c>
      <c r="B969" s="5"/>
      <c r="C969" s="5" t="str">
        <f t="shared" si="16"/>
        <v>NIS</v>
      </c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</row>
    <row r="970" spans="1:15" x14ac:dyDescent="0.55000000000000004">
      <c r="A970">
        <v>105205509</v>
      </c>
      <c r="B970" s="5"/>
      <c r="C970" s="5" t="str">
        <f t="shared" si="16"/>
        <v>NIS</v>
      </c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</row>
    <row r="971" spans="1:15" x14ac:dyDescent="0.55000000000000004">
      <c r="A971">
        <v>106429685</v>
      </c>
      <c r="B971" s="5"/>
      <c r="C971" s="5" t="str">
        <f t="shared" si="16"/>
        <v>NIS</v>
      </c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</row>
    <row r="972" spans="1:15" x14ac:dyDescent="0.55000000000000004">
      <c r="A972">
        <v>105859965</v>
      </c>
      <c r="B972" s="5"/>
      <c r="C972" s="5" t="str">
        <f t="shared" si="16"/>
        <v>NIS</v>
      </c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</row>
    <row r="973" spans="1:15" x14ac:dyDescent="0.55000000000000004">
      <c r="A973">
        <v>106094280</v>
      </c>
      <c r="B973" s="5"/>
      <c r="C973" s="5" t="str">
        <f t="shared" si="16"/>
        <v>NIS</v>
      </c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</row>
    <row r="974" spans="1:15" x14ac:dyDescent="0.55000000000000004">
      <c r="A974">
        <v>105970342</v>
      </c>
      <c r="B974" s="5"/>
      <c r="C974" s="5" t="str">
        <f t="shared" si="16"/>
        <v>NIS</v>
      </c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</row>
    <row r="975" spans="1:15" x14ac:dyDescent="0.55000000000000004">
      <c r="A975">
        <v>104842203</v>
      </c>
      <c r="B975" s="5"/>
      <c r="C975" s="5" t="str">
        <f t="shared" si="16"/>
        <v>NIS</v>
      </c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</row>
    <row r="976" spans="1:15" x14ac:dyDescent="0.55000000000000004">
      <c r="A976">
        <v>106265378</v>
      </c>
      <c r="B976" s="5"/>
      <c r="C976" s="5" t="str">
        <f t="shared" si="16"/>
        <v>NIS</v>
      </c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</row>
    <row r="977" spans="1:15" x14ac:dyDescent="0.55000000000000004">
      <c r="A977">
        <v>106343068</v>
      </c>
      <c r="B977" s="5"/>
      <c r="C977" s="5" t="str">
        <f t="shared" si="16"/>
        <v>NIS</v>
      </c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</row>
    <row r="978" spans="1:15" x14ac:dyDescent="0.55000000000000004">
      <c r="A978">
        <v>105790197</v>
      </c>
      <c r="B978" s="5"/>
      <c r="C978" s="5" t="str">
        <f t="shared" si="16"/>
        <v>NIS</v>
      </c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</row>
    <row r="979" spans="1:15" x14ac:dyDescent="0.55000000000000004">
      <c r="A979">
        <v>105931443</v>
      </c>
      <c r="B979" s="5"/>
      <c r="C979" s="5" t="str">
        <f t="shared" si="16"/>
        <v>NIS</v>
      </c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</row>
    <row r="980" spans="1:15" x14ac:dyDescent="0.55000000000000004">
      <c r="A980">
        <v>105128761</v>
      </c>
      <c r="B980" s="5"/>
      <c r="C980" s="5" t="str">
        <f t="shared" si="16"/>
        <v>NIS</v>
      </c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</row>
    <row r="981" spans="1:15" x14ac:dyDescent="0.55000000000000004">
      <c r="A981">
        <v>105128760</v>
      </c>
      <c r="B981" s="5"/>
      <c r="C981" s="5" t="str">
        <f t="shared" si="16"/>
        <v>NIS</v>
      </c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</row>
    <row r="982" spans="1:15" x14ac:dyDescent="0.55000000000000004">
      <c r="A982">
        <v>105484160</v>
      </c>
      <c r="B982" s="5"/>
      <c r="C982" s="5" t="str">
        <f t="shared" si="16"/>
        <v>NIS</v>
      </c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</row>
    <row r="983" spans="1:15" x14ac:dyDescent="0.55000000000000004">
      <c r="A983">
        <v>106397100</v>
      </c>
      <c r="B983" s="5"/>
      <c r="C983" s="5" t="str">
        <f t="shared" si="16"/>
        <v>NIS</v>
      </c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</row>
    <row r="984" spans="1:15" x14ac:dyDescent="0.55000000000000004">
      <c r="A984">
        <v>105435196</v>
      </c>
      <c r="B984" s="5"/>
      <c r="C984" s="5" t="str">
        <f t="shared" si="16"/>
        <v>NIS</v>
      </c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</row>
    <row r="985" spans="1:15" x14ac:dyDescent="0.55000000000000004">
      <c r="A985">
        <v>105304189</v>
      </c>
      <c r="B985" s="5"/>
      <c r="C985" s="5" t="str">
        <f t="shared" si="16"/>
        <v>NIS</v>
      </c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</row>
    <row r="986" spans="1:15" x14ac:dyDescent="0.55000000000000004">
      <c r="A986">
        <v>105304206</v>
      </c>
      <c r="B986" s="5"/>
      <c r="C986" s="5" t="str">
        <f t="shared" si="16"/>
        <v>NIS</v>
      </c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</row>
    <row r="987" spans="1:15" x14ac:dyDescent="0.55000000000000004">
      <c r="A987">
        <v>105118373</v>
      </c>
      <c r="B987" s="5"/>
      <c r="C987" s="5" t="str">
        <f t="shared" si="16"/>
        <v>NIS</v>
      </c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</row>
    <row r="988" spans="1:15" x14ac:dyDescent="0.55000000000000004">
      <c r="A988">
        <v>105007807</v>
      </c>
      <c r="B988" s="5"/>
      <c r="C988" s="5" t="str">
        <f t="shared" si="16"/>
        <v>NIS</v>
      </c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</row>
    <row r="989" spans="1:15" x14ac:dyDescent="0.55000000000000004">
      <c r="A989">
        <v>105918391</v>
      </c>
      <c r="B989" s="5"/>
      <c r="C989" s="5" t="str">
        <f t="shared" si="16"/>
        <v>NIS</v>
      </c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</row>
    <row r="990" spans="1:15" x14ac:dyDescent="0.55000000000000004">
      <c r="A990">
        <v>104999199</v>
      </c>
      <c r="B990" s="5"/>
      <c r="C990" s="5" t="str">
        <f t="shared" si="16"/>
        <v>NIS</v>
      </c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</row>
    <row r="991" spans="1:15" x14ac:dyDescent="0.55000000000000004">
      <c r="A991">
        <v>106056761</v>
      </c>
      <c r="B991" s="5"/>
      <c r="C991" s="5" t="str">
        <f t="shared" si="16"/>
        <v>NIS</v>
      </c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</row>
    <row r="992" spans="1:15" x14ac:dyDescent="0.55000000000000004">
      <c r="A992">
        <v>106667190</v>
      </c>
      <c r="B992" s="5"/>
      <c r="C992" s="5" t="str">
        <f t="shared" si="16"/>
        <v>NIS</v>
      </c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</row>
    <row r="993" spans="1:15" x14ac:dyDescent="0.55000000000000004">
      <c r="A993">
        <v>106187663</v>
      </c>
      <c r="B993" s="5"/>
      <c r="C993" s="5" t="str">
        <f t="shared" si="16"/>
        <v>NIS</v>
      </c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</row>
    <row r="994" spans="1:15" x14ac:dyDescent="0.55000000000000004">
      <c r="A994">
        <v>105040354</v>
      </c>
      <c r="B994" s="5"/>
      <c r="C994" s="5" t="str">
        <f t="shared" si="16"/>
        <v>NIS</v>
      </c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</row>
    <row r="995" spans="1:15" x14ac:dyDescent="0.55000000000000004">
      <c r="A995">
        <v>104893150</v>
      </c>
      <c r="B995" s="5"/>
      <c r="C995" s="5" t="str">
        <f t="shared" si="16"/>
        <v>NIS</v>
      </c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</row>
    <row r="996" spans="1:15" x14ac:dyDescent="0.55000000000000004">
      <c r="A996">
        <v>105493614</v>
      </c>
      <c r="B996" s="5"/>
      <c r="C996" s="5" t="str">
        <f t="shared" si="16"/>
        <v>NIS</v>
      </c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</row>
    <row r="997" spans="1:15" x14ac:dyDescent="0.55000000000000004">
      <c r="A997">
        <v>105576330</v>
      </c>
      <c r="B997" s="5"/>
      <c r="C997" s="5" t="str">
        <f t="shared" si="16"/>
        <v>NIS</v>
      </c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</row>
    <row r="998" spans="1:15" x14ac:dyDescent="0.55000000000000004">
      <c r="A998">
        <v>106726061</v>
      </c>
      <c r="B998" s="5"/>
      <c r="C998" s="5" t="str">
        <f t="shared" si="16"/>
        <v>NIS</v>
      </c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</row>
    <row r="999" spans="1:15" x14ac:dyDescent="0.55000000000000004">
      <c r="A999">
        <v>106182769</v>
      </c>
      <c r="B999" s="5"/>
      <c r="C999" s="5" t="str">
        <f t="shared" si="16"/>
        <v>NIS</v>
      </c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</row>
    <row r="1000" spans="1:15" x14ac:dyDescent="0.55000000000000004">
      <c r="A1000">
        <v>105727737</v>
      </c>
      <c r="B1000" s="5"/>
      <c r="C1000" s="5" t="str">
        <f t="shared" si="16"/>
        <v>NIS</v>
      </c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</row>
    <row r="1001" spans="1:15" x14ac:dyDescent="0.55000000000000004">
      <c r="A1001">
        <v>105815035</v>
      </c>
      <c r="B1001" s="5"/>
      <c r="C1001" s="5" t="str">
        <f t="shared" si="16"/>
        <v>NIS</v>
      </c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</row>
    <row r="1002" spans="1:15" x14ac:dyDescent="0.55000000000000004">
      <c r="A1002">
        <v>105528508</v>
      </c>
      <c r="B1002" s="5"/>
      <c r="C1002" s="5" t="str">
        <f t="shared" si="16"/>
        <v>NIS</v>
      </c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</row>
    <row r="1003" spans="1:15" x14ac:dyDescent="0.55000000000000004">
      <c r="A1003">
        <v>105257535</v>
      </c>
      <c r="B1003" s="5"/>
      <c r="C1003" s="5" t="str">
        <f t="shared" si="16"/>
        <v>NIS</v>
      </c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</row>
    <row r="1004" spans="1:15" x14ac:dyDescent="0.55000000000000004">
      <c r="A1004">
        <v>106007886</v>
      </c>
      <c r="B1004" s="5"/>
      <c r="C1004" s="5" t="str">
        <f t="shared" si="16"/>
        <v>NIS</v>
      </c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</row>
    <row r="1005" spans="1:15" x14ac:dyDescent="0.55000000000000004">
      <c r="A1005">
        <v>105173295</v>
      </c>
      <c r="B1005" s="5"/>
      <c r="C1005" s="5" t="str">
        <f t="shared" si="16"/>
        <v>NIS</v>
      </c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</row>
    <row r="1006" spans="1:15" x14ac:dyDescent="0.55000000000000004">
      <c r="A1006">
        <v>106405643</v>
      </c>
      <c r="B1006" s="5"/>
      <c r="C1006" s="5" t="str">
        <f t="shared" si="16"/>
        <v>NIS</v>
      </c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</row>
    <row r="1007" spans="1:15" x14ac:dyDescent="0.55000000000000004">
      <c r="A1007">
        <v>106517117</v>
      </c>
      <c r="B1007" s="5"/>
      <c r="C1007" s="5" t="str">
        <f t="shared" si="16"/>
        <v>NIS</v>
      </c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</row>
    <row r="1008" spans="1:15" x14ac:dyDescent="0.55000000000000004">
      <c r="A1008">
        <v>106622265</v>
      </c>
      <c r="B1008" s="5"/>
      <c r="C1008" s="5" t="str">
        <f t="shared" si="16"/>
        <v>NIS</v>
      </c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</row>
    <row r="1009" spans="1:15" x14ac:dyDescent="0.55000000000000004">
      <c r="A1009">
        <v>105811765</v>
      </c>
      <c r="B1009" s="5"/>
      <c r="C1009" s="5" t="str">
        <f t="shared" si="16"/>
        <v>NIS</v>
      </c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</row>
    <row r="1010" spans="1:15" x14ac:dyDescent="0.55000000000000004">
      <c r="A1010">
        <v>106600416</v>
      </c>
      <c r="B1010" s="5"/>
      <c r="C1010" s="5" t="str">
        <f t="shared" si="16"/>
        <v>NIS</v>
      </c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</row>
    <row r="1011" spans="1:15" x14ac:dyDescent="0.55000000000000004">
      <c r="A1011">
        <v>105401422</v>
      </c>
      <c r="B1011" s="5"/>
      <c r="C1011" s="5" t="str">
        <f t="shared" si="16"/>
        <v>NIS</v>
      </c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</row>
    <row r="1012" spans="1:15" x14ac:dyDescent="0.55000000000000004">
      <c r="A1012">
        <v>106616039</v>
      </c>
      <c r="B1012" s="5"/>
      <c r="C1012" s="5" t="str">
        <f t="shared" si="16"/>
        <v>NIS</v>
      </c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</row>
    <row r="1013" spans="1:15" x14ac:dyDescent="0.55000000000000004">
      <c r="A1013">
        <v>105002003</v>
      </c>
      <c r="B1013" s="5"/>
      <c r="C1013" s="5" t="str">
        <f t="shared" si="16"/>
        <v>NIS</v>
      </c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</row>
    <row r="1014" spans="1:15" x14ac:dyDescent="0.55000000000000004">
      <c r="A1014">
        <v>105299240</v>
      </c>
      <c r="B1014" s="5"/>
      <c r="C1014" s="5" t="str">
        <f t="shared" si="16"/>
        <v>NIS</v>
      </c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</row>
    <row r="1015" spans="1:15" x14ac:dyDescent="0.55000000000000004">
      <c r="A1015">
        <v>105667282</v>
      </c>
      <c r="B1015" s="5"/>
      <c r="C1015" s="5" t="str">
        <f t="shared" si="16"/>
        <v>NIS</v>
      </c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</row>
    <row r="1016" spans="1:15" x14ac:dyDescent="0.55000000000000004">
      <c r="A1016">
        <v>105667281</v>
      </c>
      <c r="B1016" s="5"/>
      <c r="C1016" s="5" t="str">
        <f t="shared" si="16"/>
        <v>NIS</v>
      </c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</row>
    <row r="1017" spans="1:15" x14ac:dyDescent="0.55000000000000004">
      <c r="A1017">
        <v>106052043</v>
      </c>
      <c r="B1017" s="5"/>
      <c r="C1017" s="5" t="str">
        <f t="shared" si="16"/>
        <v>NIS</v>
      </c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</row>
    <row r="1018" spans="1:15" x14ac:dyDescent="0.55000000000000004">
      <c r="A1018">
        <v>106398874</v>
      </c>
      <c r="B1018" s="5"/>
      <c r="C1018" s="5" t="str">
        <f t="shared" si="16"/>
        <v>NIS</v>
      </c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</row>
    <row r="1019" spans="1:15" x14ac:dyDescent="0.55000000000000004">
      <c r="A1019">
        <v>106071887</v>
      </c>
      <c r="B1019" s="5"/>
      <c r="C1019" s="5" t="str">
        <f t="shared" si="16"/>
        <v>NIS</v>
      </c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</row>
    <row r="1020" spans="1:15" x14ac:dyDescent="0.55000000000000004">
      <c r="A1020">
        <v>105285053</v>
      </c>
      <c r="B1020" s="5"/>
      <c r="C1020" s="5" t="str">
        <f t="shared" si="16"/>
        <v>NIS</v>
      </c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</row>
    <row r="1021" spans="1:15" x14ac:dyDescent="0.55000000000000004">
      <c r="A1021">
        <v>106146336</v>
      </c>
      <c r="B1021" s="5"/>
      <c r="C1021" s="5" t="str">
        <f t="shared" si="16"/>
        <v>NIS</v>
      </c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</row>
    <row r="1022" spans="1:15" x14ac:dyDescent="0.55000000000000004">
      <c r="A1022">
        <v>105312642</v>
      </c>
      <c r="B1022" s="5"/>
      <c r="C1022" s="5" t="str">
        <f t="shared" si="16"/>
        <v>NIS</v>
      </c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</row>
    <row r="1023" spans="1:15" x14ac:dyDescent="0.55000000000000004">
      <c r="A1023">
        <v>106412519</v>
      </c>
      <c r="B1023" s="5"/>
      <c r="C1023" s="5" t="str">
        <f t="shared" si="16"/>
        <v>NIS</v>
      </c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</row>
    <row r="1024" spans="1:15" x14ac:dyDescent="0.55000000000000004">
      <c r="A1024">
        <v>105188086</v>
      </c>
      <c r="B1024" s="5"/>
      <c r="C1024" s="5" t="str">
        <f t="shared" si="16"/>
        <v>NIS</v>
      </c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</row>
    <row r="1025" spans="1:15" x14ac:dyDescent="0.55000000000000004">
      <c r="A1025">
        <v>105706224</v>
      </c>
      <c r="B1025" s="5"/>
      <c r="C1025" s="5" t="str">
        <f t="shared" si="16"/>
        <v>NIS</v>
      </c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</row>
    <row r="1026" spans="1:15" x14ac:dyDescent="0.55000000000000004">
      <c r="A1026">
        <v>105796987</v>
      </c>
      <c r="B1026" s="5"/>
      <c r="C1026" s="5" t="str">
        <f t="shared" ref="C1026:C1089" si="17">IF(COUNTIF($B:$B,A1026)&gt;0,"IS","NIS")</f>
        <v>NIS</v>
      </c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</row>
    <row r="1027" spans="1:15" x14ac:dyDescent="0.55000000000000004">
      <c r="A1027">
        <v>105365276</v>
      </c>
      <c r="B1027" s="5"/>
      <c r="C1027" s="5" t="str">
        <f t="shared" si="17"/>
        <v>NIS</v>
      </c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</row>
    <row r="1028" spans="1:15" x14ac:dyDescent="0.55000000000000004">
      <c r="A1028">
        <v>105051652</v>
      </c>
      <c r="B1028" s="5"/>
      <c r="C1028" s="5" t="str">
        <f t="shared" si="17"/>
        <v>NIS</v>
      </c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</row>
    <row r="1029" spans="1:15" x14ac:dyDescent="0.55000000000000004">
      <c r="A1029">
        <v>106266844</v>
      </c>
      <c r="B1029" s="5"/>
      <c r="C1029" s="5" t="str">
        <f t="shared" si="17"/>
        <v>NIS</v>
      </c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</row>
    <row r="1030" spans="1:15" x14ac:dyDescent="0.55000000000000004">
      <c r="A1030">
        <v>105455844</v>
      </c>
      <c r="B1030" s="5"/>
      <c r="C1030" s="5" t="str">
        <f t="shared" si="17"/>
        <v>NIS</v>
      </c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</row>
    <row r="1031" spans="1:15" x14ac:dyDescent="0.55000000000000004">
      <c r="A1031">
        <v>105062837</v>
      </c>
      <c r="B1031" s="5"/>
      <c r="C1031" s="5" t="str">
        <f t="shared" si="17"/>
        <v>NIS</v>
      </c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</row>
    <row r="1032" spans="1:15" x14ac:dyDescent="0.55000000000000004">
      <c r="A1032">
        <v>105334471</v>
      </c>
      <c r="B1032" s="5"/>
      <c r="C1032" s="5" t="str">
        <f t="shared" si="17"/>
        <v>NIS</v>
      </c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</row>
    <row r="1033" spans="1:15" x14ac:dyDescent="0.55000000000000004">
      <c r="A1033">
        <v>104901016</v>
      </c>
      <c r="B1033" s="5"/>
      <c r="C1033" s="5" t="str">
        <f t="shared" si="17"/>
        <v>NIS</v>
      </c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</row>
    <row r="1034" spans="1:15" x14ac:dyDescent="0.55000000000000004">
      <c r="A1034">
        <v>106371554</v>
      </c>
      <c r="B1034" s="5"/>
      <c r="C1034" s="5" t="str">
        <f t="shared" si="17"/>
        <v>NIS</v>
      </c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</row>
    <row r="1035" spans="1:15" x14ac:dyDescent="0.55000000000000004">
      <c r="A1035">
        <v>104852314</v>
      </c>
      <c r="B1035" s="5"/>
      <c r="C1035" s="5" t="str">
        <f t="shared" si="17"/>
        <v>NIS</v>
      </c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</row>
    <row r="1036" spans="1:15" x14ac:dyDescent="0.55000000000000004">
      <c r="A1036">
        <v>106338263</v>
      </c>
      <c r="B1036" s="5"/>
      <c r="C1036" s="5" t="str">
        <f t="shared" si="17"/>
        <v>NIS</v>
      </c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</row>
    <row r="1037" spans="1:15" x14ac:dyDescent="0.55000000000000004">
      <c r="A1037">
        <v>105694348</v>
      </c>
      <c r="B1037" s="5"/>
      <c r="C1037" s="5" t="str">
        <f t="shared" si="17"/>
        <v>NIS</v>
      </c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</row>
    <row r="1038" spans="1:15" x14ac:dyDescent="0.55000000000000004">
      <c r="A1038">
        <v>106559649</v>
      </c>
      <c r="B1038" s="5"/>
      <c r="C1038" s="5" t="str">
        <f t="shared" si="17"/>
        <v>NIS</v>
      </c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</row>
    <row r="1039" spans="1:15" x14ac:dyDescent="0.55000000000000004">
      <c r="A1039">
        <v>106006732</v>
      </c>
      <c r="B1039" s="5"/>
      <c r="C1039" s="5" t="str">
        <f t="shared" si="17"/>
        <v>NIS</v>
      </c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</row>
    <row r="1040" spans="1:15" x14ac:dyDescent="0.55000000000000004">
      <c r="A1040">
        <v>106486933</v>
      </c>
      <c r="B1040" s="5"/>
      <c r="C1040" s="5" t="str">
        <f t="shared" si="17"/>
        <v>NIS</v>
      </c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</row>
    <row r="1041" spans="1:15" x14ac:dyDescent="0.55000000000000004">
      <c r="A1041">
        <v>105910577</v>
      </c>
      <c r="B1041" s="5"/>
      <c r="C1041" s="5" t="str">
        <f t="shared" si="17"/>
        <v>NIS</v>
      </c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</row>
    <row r="1042" spans="1:15" x14ac:dyDescent="0.55000000000000004">
      <c r="A1042">
        <v>105523581</v>
      </c>
      <c r="B1042" s="5"/>
      <c r="C1042" s="5" t="str">
        <f t="shared" si="17"/>
        <v>NIS</v>
      </c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</row>
    <row r="1043" spans="1:15" x14ac:dyDescent="0.55000000000000004">
      <c r="A1043">
        <v>104978505</v>
      </c>
      <c r="B1043" s="5"/>
      <c r="C1043" s="5" t="str">
        <f t="shared" si="17"/>
        <v>NIS</v>
      </c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</row>
    <row r="1044" spans="1:15" x14ac:dyDescent="0.55000000000000004">
      <c r="A1044">
        <v>105667277</v>
      </c>
      <c r="B1044" s="5"/>
      <c r="C1044" s="5" t="str">
        <f t="shared" si="17"/>
        <v>NIS</v>
      </c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</row>
    <row r="1045" spans="1:15" x14ac:dyDescent="0.55000000000000004">
      <c r="A1045">
        <v>106281931</v>
      </c>
      <c r="B1045" s="5"/>
      <c r="C1045" s="5" t="str">
        <f t="shared" si="17"/>
        <v>NIS</v>
      </c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</row>
    <row r="1046" spans="1:15" x14ac:dyDescent="0.55000000000000004">
      <c r="A1046">
        <v>105051577</v>
      </c>
      <c r="B1046" s="5"/>
      <c r="C1046" s="5" t="str">
        <f t="shared" si="17"/>
        <v>NIS</v>
      </c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</row>
    <row r="1047" spans="1:15" x14ac:dyDescent="0.55000000000000004">
      <c r="A1047">
        <v>104891897</v>
      </c>
      <c r="B1047" s="5"/>
      <c r="C1047" s="5" t="str">
        <f t="shared" si="17"/>
        <v>NIS</v>
      </c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</row>
    <row r="1048" spans="1:15" x14ac:dyDescent="0.55000000000000004">
      <c r="A1048">
        <v>104908761</v>
      </c>
      <c r="B1048" s="5"/>
      <c r="C1048" s="5" t="str">
        <f t="shared" si="17"/>
        <v>NIS</v>
      </c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</row>
    <row r="1049" spans="1:15" x14ac:dyDescent="0.55000000000000004">
      <c r="A1049">
        <v>105910681</v>
      </c>
      <c r="B1049" s="5"/>
      <c r="C1049" s="5" t="str">
        <f t="shared" si="17"/>
        <v>NIS</v>
      </c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</row>
    <row r="1050" spans="1:15" x14ac:dyDescent="0.55000000000000004">
      <c r="A1050">
        <v>104925483</v>
      </c>
      <c r="B1050" s="5"/>
      <c r="C1050" s="5" t="str">
        <f t="shared" si="17"/>
        <v>NIS</v>
      </c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</row>
    <row r="1051" spans="1:15" x14ac:dyDescent="0.55000000000000004">
      <c r="A1051">
        <v>105279583</v>
      </c>
      <c r="B1051" s="5"/>
      <c r="C1051" s="5" t="str">
        <f t="shared" si="17"/>
        <v>NIS</v>
      </c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</row>
    <row r="1052" spans="1:15" x14ac:dyDescent="0.55000000000000004">
      <c r="A1052">
        <v>105643675</v>
      </c>
      <c r="B1052" s="5"/>
      <c r="C1052" s="5" t="str">
        <f t="shared" si="17"/>
        <v>NIS</v>
      </c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</row>
    <row r="1053" spans="1:15" x14ac:dyDescent="0.55000000000000004">
      <c r="A1053">
        <v>106366967</v>
      </c>
      <c r="B1053" s="5"/>
      <c r="C1053" s="5" t="str">
        <f t="shared" si="17"/>
        <v>NIS</v>
      </c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</row>
    <row r="1054" spans="1:15" x14ac:dyDescent="0.55000000000000004">
      <c r="A1054">
        <v>105941203</v>
      </c>
      <c r="B1054" s="5"/>
      <c r="C1054" s="5" t="str">
        <f t="shared" si="17"/>
        <v>NIS</v>
      </c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</row>
    <row r="1055" spans="1:15" x14ac:dyDescent="0.55000000000000004">
      <c r="A1055">
        <v>105679017</v>
      </c>
      <c r="B1055" s="5"/>
      <c r="C1055" s="5" t="str">
        <f t="shared" si="17"/>
        <v>NIS</v>
      </c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</row>
    <row r="1056" spans="1:15" x14ac:dyDescent="0.55000000000000004">
      <c r="A1056">
        <v>105279718</v>
      </c>
      <c r="B1056" s="5"/>
      <c r="C1056" s="5" t="str">
        <f t="shared" si="17"/>
        <v>NIS</v>
      </c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</row>
    <row r="1057" spans="1:15" x14ac:dyDescent="0.55000000000000004">
      <c r="A1057">
        <v>106170049</v>
      </c>
      <c r="B1057" s="5"/>
      <c r="C1057" s="5" t="str">
        <f t="shared" si="17"/>
        <v>NIS</v>
      </c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</row>
    <row r="1058" spans="1:15" x14ac:dyDescent="0.55000000000000004">
      <c r="A1058">
        <v>106622713</v>
      </c>
      <c r="B1058" s="5"/>
      <c r="C1058" s="5" t="str">
        <f t="shared" si="17"/>
        <v>NIS</v>
      </c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</row>
    <row r="1059" spans="1:15" x14ac:dyDescent="0.55000000000000004">
      <c r="A1059">
        <v>106186654</v>
      </c>
      <c r="B1059" s="5"/>
      <c r="C1059" s="5" t="str">
        <f t="shared" si="17"/>
        <v>NIS</v>
      </c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</row>
    <row r="1060" spans="1:15" x14ac:dyDescent="0.55000000000000004">
      <c r="A1060">
        <v>104860552</v>
      </c>
      <c r="B1060" s="5"/>
      <c r="C1060" s="5" t="str">
        <f t="shared" si="17"/>
        <v>NIS</v>
      </c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</row>
    <row r="1061" spans="1:15" x14ac:dyDescent="0.55000000000000004">
      <c r="A1061">
        <v>106231562</v>
      </c>
      <c r="B1061" s="5"/>
      <c r="C1061" s="5" t="str">
        <f t="shared" si="17"/>
        <v>NIS</v>
      </c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</row>
    <row r="1062" spans="1:15" x14ac:dyDescent="0.55000000000000004">
      <c r="A1062">
        <v>106090534</v>
      </c>
      <c r="B1062" s="5"/>
      <c r="C1062" s="5" t="str">
        <f t="shared" si="17"/>
        <v>NIS</v>
      </c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</row>
    <row r="1063" spans="1:15" x14ac:dyDescent="0.55000000000000004">
      <c r="A1063">
        <v>105584059</v>
      </c>
      <c r="B1063" s="5"/>
      <c r="C1063" s="5" t="str">
        <f t="shared" si="17"/>
        <v>NIS</v>
      </c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</row>
    <row r="1064" spans="1:15" x14ac:dyDescent="0.55000000000000004">
      <c r="A1064">
        <v>106169194</v>
      </c>
      <c r="B1064" s="5"/>
      <c r="C1064" s="5" t="str">
        <f t="shared" si="17"/>
        <v>NIS</v>
      </c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</row>
    <row r="1065" spans="1:15" x14ac:dyDescent="0.55000000000000004">
      <c r="A1065">
        <v>106477641</v>
      </c>
      <c r="B1065" s="5"/>
      <c r="C1065" s="5" t="str">
        <f t="shared" si="17"/>
        <v>NIS</v>
      </c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</row>
    <row r="1066" spans="1:15" x14ac:dyDescent="0.55000000000000004">
      <c r="A1066">
        <v>106510561</v>
      </c>
      <c r="B1066" s="5"/>
      <c r="C1066" s="5" t="str">
        <f t="shared" si="17"/>
        <v>NIS</v>
      </c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</row>
    <row r="1067" spans="1:15" x14ac:dyDescent="0.55000000000000004">
      <c r="A1067">
        <v>105437814</v>
      </c>
      <c r="B1067" s="5"/>
      <c r="C1067" s="5" t="str">
        <f t="shared" si="17"/>
        <v>NIS</v>
      </c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</row>
    <row r="1068" spans="1:15" x14ac:dyDescent="0.55000000000000004">
      <c r="A1068">
        <v>105941162</v>
      </c>
      <c r="B1068" s="5"/>
      <c r="C1068" s="5" t="str">
        <f t="shared" si="17"/>
        <v>NIS</v>
      </c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</row>
    <row r="1069" spans="1:15" x14ac:dyDescent="0.55000000000000004">
      <c r="A1069">
        <v>105878908</v>
      </c>
      <c r="B1069" s="5"/>
      <c r="C1069" s="5" t="str">
        <f t="shared" si="17"/>
        <v>NIS</v>
      </c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</row>
    <row r="1070" spans="1:15" x14ac:dyDescent="0.55000000000000004">
      <c r="A1070">
        <v>105924997</v>
      </c>
      <c r="B1070" s="5"/>
      <c r="C1070" s="5" t="str">
        <f t="shared" si="17"/>
        <v>NIS</v>
      </c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</row>
    <row r="1071" spans="1:15" x14ac:dyDescent="0.55000000000000004">
      <c r="A1071">
        <v>105865187</v>
      </c>
      <c r="B1071" s="5"/>
      <c r="C1071" s="5" t="str">
        <f t="shared" si="17"/>
        <v>NIS</v>
      </c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</row>
    <row r="1072" spans="1:15" x14ac:dyDescent="0.55000000000000004">
      <c r="A1072">
        <v>104904487</v>
      </c>
      <c r="B1072" s="5"/>
      <c r="C1072" s="5" t="str">
        <f t="shared" si="17"/>
        <v>NIS</v>
      </c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</row>
    <row r="1073" spans="1:15" x14ac:dyDescent="0.55000000000000004">
      <c r="A1073">
        <v>106390759</v>
      </c>
      <c r="B1073" s="5"/>
      <c r="C1073" s="5" t="str">
        <f t="shared" si="17"/>
        <v>NIS</v>
      </c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</row>
    <row r="1074" spans="1:15" x14ac:dyDescent="0.55000000000000004">
      <c r="A1074">
        <v>106136577</v>
      </c>
      <c r="B1074" s="5"/>
      <c r="C1074" s="5" t="str">
        <f t="shared" si="17"/>
        <v>NIS</v>
      </c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</row>
    <row r="1075" spans="1:15" x14ac:dyDescent="0.55000000000000004">
      <c r="A1075">
        <v>106634455</v>
      </c>
      <c r="B1075" s="5"/>
      <c r="C1075" s="5" t="str">
        <f t="shared" si="17"/>
        <v>NIS</v>
      </c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</row>
    <row r="1076" spans="1:15" x14ac:dyDescent="0.55000000000000004">
      <c r="A1076">
        <v>106684346</v>
      </c>
      <c r="B1076" s="5"/>
      <c r="C1076" s="5" t="str">
        <f t="shared" si="17"/>
        <v>NIS</v>
      </c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</row>
    <row r="1077" spans="1:15" x14ac:dyDescent="0.55000000000000004">
      <c r="A1077">
        <v>106071813</v>
      </c>
      <c r="B1077" s="5"/>
      <c r="C1077" s="5" t="str">
        <f t="shared" si="17"/>
        <v>NIS</v>
      </c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</row>
    <row r="1078" spans="1:15" x14ac:dyDescent="0.55000000000000004">
      <c r="A1078">
        <v>105839215</v>
      </c>
      <c r="B1078" s="5"/>
      <c r="C1078" s="5" t="str">
        <f t="shared" si="17"/>
        <v>NIS</v>
      </c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</row>
    <row r="1079" spans="1:15" x14ac:dyDescent="0.55000000000000004">
      <c r="A1079">
        <v>106146869</v>
      </c>
      <c r="B1079" s="5"/>
      <c r="C1079" s="5" t="str">
        <f t="shared" si="17"/>
        <v>NIS</v>
      </c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</row>
    <row r="1080" spans="1:15" x14ac:dyDescent="0.55000000000000004">
      <c r="A1080">
        <v>105213106</v>
      </c>
      <c r="B1080" s="5"/>
      <c r="C1080" s="5" t="str">
        <f t="shared" si="17"/>
        <v>NIS</v>
      </c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</row>
    <row r="1081" spans="1:15" x14ac:dyDescent="0.55000000000000004">
      <c r="A1081">
        <v>104862499</v>
      </c>
      <c r="B1081" s="5"/>
      <c r="C1081" s="5" t="str">
        <f t="shared" si="17"/>
        <v>NIS</v>
      </c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</row>
    <row r="1082" spans="1:15" x14ac:dyDescent="0.55000000000000004">
      <c r="A1082">
        <v>105340698</v>
      </c>
      <c r="B1082" s="5"/>
      <c r="C1082" s="5" t="str">
        <f t="shared" si="17"/>
        <v>NIS</v>
      </c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</row>
    <row r="1083" spans="1:15" x14ac:dyDescent="0.55000000000000004">
      <c r="A1083">
        <v>105584032</v>
      </c>
      <c r="B1083" s="5"/>
      <c r="C1083" s="5" t="str">
        <f t="shared" si="17"/>
        <v>NIS</v>
      </c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</row>
    <row r="1084" spans="1:15" x14ac:dyDescent="0.55000000000000004">
      <c r="A1084">
        <v>104882450</v>
      </c>
      <c r="B1084" s="5"/>
      <c r="C1084" s="5" t="str">
        <f t="shared" si="17"/>
        <v>NIS</v>
      </c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</row>
    <row r="1085" spans="1:15" x14ac:dyDescent="0.55000000000000004">
      <c r="A1085">
        <v>105168778</v>
      </c>
      <c r="B1085" s="5"/>
      <c r="C1085" s="5" t="str">
        <f t="shared" si="17"/>
        <v>NIS</v>
      </c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</row>
    <row r="1086" spans="1:15" x14ac:dyDescent="0.55000000000000004">
      <c r="A1086">
        <v>105680904</v>
      </c>
      <c r="B1086" s="5"/>
      <c r="C1086" s="5" t="str">
        <f t="shared" si="17"/>
        <v>NIS</v>
      </c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</row>
    <row r="1087" spans="1:15" x14ac:dyDescent="0.55000000000000004">
      <c r="A1087">
        <v>105663169</v>
      </c>
      <c r="B1087" s="5"/>
      <c r="C1087" s="5" t="str">
        <f t="shared" si="17"/>
        <v>NIS</v>
      </c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</row>
    <row r="1088" spans="1:15" x14ac:dyDescent="0.55000000000000004">
      <c r="A1088">
        <v>104969222</v>
      </c>
      <c r="B1088" s="5"/>
      <c r="C1088" s="5" t="str">
        <f t="shared" si="17"/>
        <v>NIS</v>
      </c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</row>
    <row r="1089" spans="1:15" x14ac:dyDescent="0.55000000000000004">
      <c r="A1089">
        <v>105920140</v>
      </c>
      <c r="B1089" s="5"/>
      <c r="C1089" s="5" t="str">
        <f t="shared" si="17"/>
        <v>NIS</v>
      </c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</row>
    <row r="1090" spans="1:15" x14ac:dyDescent="0.55000000000000004">
      <c r="A1090">
        <v>105892302</v>
      </c>
      <c r="B1090" s="5"/>
      <c r="C1090" s="5" t="str">
        <f t="shared" ref="C1090:C1153" si="18">IF(COUNTIF($B:$B,A1090)&gt;0,"IS","NIS")</f>
        <v>NIS</v>
      </c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</row>
    <row r="1091" spans="1:15" x14ac:dyDescent="0.55000000000000004">
      <c r="A1091">
        <v>105726250</v>
      </c>
      <c r="B1091" s="5"/>
      <c r="C1091" s="5" t="str">
        <f t="shared" si="18"/>
        <v>NIS</v>
      </c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</row>
    <row r="1092" spans="1:15" x14ac:dyDescent="0.55000000000000004">
      <c r="A1092">
        <v>105029796</v>
      </c>
      <c r="B1092" s="5"/>
      <c r="C1092" s="5" t="str">
        <f t="shared" si="18"/>
        <v>NIS</v>
      </c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</row>
    <row r="1093" spans="1:15" x14ac:dyDescent="0.55000000000000004">
      <c r="A1093">
        <v>106330953</v>
      </c>
      <c r="B1093" s="5"/>
      <c r="C1093" s="5" t="str">
        <f t="shared" si="18"/>
        <v>NIS</v>
      </c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</row>
    <row r="1094" spans="1:15" x14ac:dyDescent="0.55000000000000004">
      <c r="A1094">
        <v>105029795</v>
      </c>
      <c r="B1094" s="5"/>
      <c r="C1094" s="5" t="str">
        <f t="shared" si="18"/>
        <v>NIS</v>
      </c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</row>
    <row r="1095" spans="1:15" x14ac:dyDescent="0.55000000000000004">
      <c r="A1095">
        <v>105029280</v>
      </c>
      <c r="B1095" s="5"/>
      <c r="C1095" s="5" t="str">
        <f t="shared" si="18"/>
        <v>NIS</v>
      </c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</row>
    <row r="1096" spans="1:15" x14ac:dyDescent="0.55000000000000004">
      <c r="A1096">
        <v>105401420</v>
      </c>
      <c r="B1096" s="5"/>
      <c r="C1096" s="5" t="str">
        <f t="shared" si="18"/>
        <v>NIS</v>
      </c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</row>
    <row r="1097" spans="1:15" x14ac:dyDescent="0.55000000000000004">
      <c r="A1097">
        <v>104908143</v>
      </c>
      <c r="B1097" s="5"/>
      <c r="C1097" s="5" t="str">
        <f t="shared" si="18"/>
        <v>NIS</v>
      </c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</row>
    <row r="1098" spans="1:15" x14ac:dyDescent="0.55000000000000004">
      <c r="A1098">
        <v>106258980</v>
      </c>
      <c r="B1098" s="5"/>
      <c r="C1098" s="5" t="str">
        <f t="shared" si="18"/>
        <v>NIS</v>
      </c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</row>
    <row r="1099" spans="1:15" x14ac:dyDescent="0.55000000000000004">
      <c r="A1099">
        <v>106248766</v>
      </c>
      <c r="B1099" s="5"/>
      <c r="C1099" s="5" t="str">
        <f t="shared" si="18"/>
        <v>NIS</v>
      </c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</row>
    <row r="1100" spans="1:15" x14ac:dyDescent="0.55000000000000004">
      <c r="A1100">
        <v>106205525</v>
      </c>
      <c r="B1100" s="5"/>
      <c r="C1100" s="5" t="str">
        <f t="shared" si="18"/>
        <v>NIS</v>
      </c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</row>
    <row r="1101" spans="1:15" x14ac:dyDescent="0.55000000000000004">
      <c r="A1101">
        <v>105316526</v>
      </c>
      <c r="B1101" s="5"/>
      <c r="C1101" s="5" t="str">
        <f t="shared" si="18"/>
        <v>NIS</v>
      </c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</row>
    <row r="1102" spans="1:15" x14ac:dyDescent="0.55000000000000004">
      <c r="A1102">
        <v>105263923</v>
      </c>
      <c r="B1102" s="5"/>
      <c r="C1102" s="5" t="str">
        <f t="shared" si="18"/>
        <v>NIS</v>
      </c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</row>
    <row r="1103" spans="1:15" x14ac:dyDescent="0.55000000000000004">
      <c r="A1103">
        <v>106433610</v>
      </c>
      <c r="B1103" s="5"/>
      <c r="C1103" s="5" t="str">
        <f t="shared" si="18"/>
        <v>NIS</v>
      </c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</row>
    <row r="1104" spans="1:15" x14ac:dyDescent="0.55000000000000004">
      <c r="A1104">
        <v>105384871</v>
      </c>
      <c r="B1104" s="5"/>
      <c r="C1104" s="5" t="str">
        <f t="shared" si="18"/>
        <v>NIS</v>
      </c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</row>
    <row r="1105" spans="1:15" x14ac:dyDescent="0.55000000000000004">
      <c r="A1105">
        <v>106447027</v>
      </c>
      <c r="B1105" s="5"/>
      <c r="C1105" s="5" t="str">
        <f t="shared" si="18"/>
        <v>NIS</v>
      </c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</row>
    <row r="1106" spans="1:15" x14ac:dyDescent="0.55000000000000004">
      <c r="A1106">
        <v>105692200</v>
      </c>
      <c r="B1106" s="5"/>
      <c r="C1106" s="5" t="str">
        <f t="shared" si="18"/>
        <v>NIS</v>
      </c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</row>
    <row r="1107" spans="1:15" x14ac:dyDescent="0.55000000000000004">
      <c r="A1107">
        <v>106411962</v>
      </c>
      <c r="B1107" s="5"/>
      <c r="C1107" s="5" t="str">
        <f t="shared" si="18"/>
        <v>NIS</v>
      </c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</row>
    <row r="1108" spans="1:15" x14ac:dyDescent="0.55000000000000004">
      <c r="A1108">
        <v>106053629</v>
      </c>
      <c r="B1108" s="5"/>
      <c r="C1108" s="5" t="str">
        <f t="shared" si="18"/>
        <v>NIS</v>
      </c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</row>
    <row r="1109" spans="1:15" x14ac:dyDescent="0.55000000000000004">
      <c r="A1109">
        <v>105794057</v>
      </c>
      <c r="B1109" s="5"/>
      <c r="C1109" s="5" t="str">
        <f t="shared" si="18"/>
        <v>NIS</v>
      </c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</row>
    <row r="1110" spans="1:15" x14ac:dyDescent="0.55000000000000004">
      <c r="A1110">
        <v>105630602</v>
      </c>
      <c r="B1110" s="5"/>
      <c r="C1110" s="5" t="str">
        <f t="shared" si="18"/>
        <v>NIS</v>
      </c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</row>
    <row r="1111" spans="1:15" x14ac:dyDescent="0.55000000000000004">
      <c r="A1111">
        <v>105342923</v>
      </c>
      <c r="B1111" s="5"/>
      <c r="C1111" s="5" t="str">
        <f t="shared" si="18"/>
        <v>NIS</v>
      </c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</row>
    <row r="1112" spans="1:15" x14ac:dyDescent="0.55000000000000004">
      <c r="A1112">
        <v>106094242</v>
      </c>
      <c r="B1112" s="5"/>
      <c r="C1112" s="5" t="str">
        <f t="shared" si="18"/>
        <v>NIS</v>
      </c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</row>
    <row r="1113" spans="1:15" x14ac:dyDescent="0.55000000000000004">
      <c r="A1113">
        <v>106343268</v>
      </c>
      <c r="B1113" s="5"/>
      <c r="C1113" s="5" t="str">
        <f t="shared" si="18"/>
        <v>NIS</v>
      </c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</row>
    <row r="1114" spans="1:15" x14ac:dyDescent="0.55000000000000004">
      <c r="A1114">
        <v>105411529</v>
      </c>
      <c r="B1114" s="5"/>
      <c r="C1114" s="5" t="str">
        <f t="shared" si="18"/>
        <v>NIS</v>
      </c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</row>
    <row r="1115" spans="1:15" x14ac:dyDescent="0.55000000000000004">
      <c r="A1115">
        <v>105371025</v>
      </c>
      <c r="B1115" s="5"/>
      <c r="C1115" s="5" t="str">
        <f t="shared" si="18"/>
        <v>NIS</v>
      </c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</row>
    <row r="1116" spans="1:15" x14ac:dyDescent="0.55000000000000004">
      <c r="A1116">
        <v>106504808</v>
      </c>
      <c r="B1116" s="5"/>
      <c r="C1116" s="5" t="str">
        <f t="shared" si="18"/>
        <v>NIS</v>
      </c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</row>
    <row r="1117" spans="1:15" x14ac:dyDescent="0.55000000000000004">
      <c r="A1117">
        <v>106355558</v>
      </c>
      <c r="B1117" s="5"/>
      <c r="C1117" s="5" t="str">
        <f t="shared" si="18"/>
        <v>NIS</v>
      </c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</row>
    <row r="1118" spans="1:15" x14ac:dyDescent="0.55000000000000004">
      <c r="A1118">
        <v>106071360</v>
      </c>
      <c r="B1118" s="5"/>
      <c r="C1118" s="5" t="str">
        <f t="shared" si="18"/>
        <v>NIS</v>
      </c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</row>
    <row r="1119" spans="1:15" x14ac:dyDescent="0.55000000000000004">
      <c r="A1119">
        <v>105175418</v>
      </c>
      <c r="B1119" s="5"/>
      <c r="C1119" s="5" t="str">
        <f t="shared" si="18"/>
        <v>NIS</v>
      </c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</row>
    <row r="1120" spans="1:15" x14ac:dyDescent="0.55000000000000004">
      <c r="A1120">
        <v>106426180</v>
      </c>
      <c r="B1120" s="5"/>
      <c r="C1120" s="5" t="str">
        <f t="shared" si="18"/>
        <v>NIS</v>
      </c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</row>
    <row r="1121" spans="1:15" x14ac:dyDescent="0.55000000000000004">
      <c r="A1121">
        <v>105245637</v>
      </c>
      <c r="B1121" s="5"/>
      <c r="C1121" s="5" t="str">
        <f t="shared" si="18"/>
        <v>NIS</v>
      </c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</row>
    <row r="1122" spans="1:15" x14ac:dyDescent="0.55000000000000004">
      <c r="A1122">
        <v>104868754</v>
      </c>
      <c r="B1122" s="5"/>
      <c r="C1122" s="5" t="str">
        <f t="shared" si="18"/>
        <v>NIS</v>
      </c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</row>
    <row r="1123" spans="1:15" x14ac:dyDescent="0.55000000000000004">
      <c r="A1123">
        <v>106391070</v>
      </c>
      <c r="B1123" s="5"/>
      <c r="C1123" s="5" t="str">
        <f t="shared" si="18"/>
        <v>NIS</v>
      </c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</row>
    <row r="1124" spans="1:15" x14ac:dyDescent="0.55000000000000004">
      <c r="A1124">
        <v>106375535</v>
      </c>
      <c r="B1124" s="5"/>
      <c r="C1124" s="5" t="str">
        <f t="shared" si="18"/>
        <v>NIS</v>
      </c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</row>
    <row r="1125" spans="1:15" x14ac:dyDescent="0.55000000000000004">
      <c r="A1125">
        <v>105945682</v>
      </c>
      <c r="B1125" s="5"/>
      <c r="C1125" s="5" t="str">
        <f t="shared" si="18"/>
        <v>NIS</v>
      </c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</row>
    <row r="1126" spans="1:15" x14ac:dyDescent="0.55000000000000004">
      <c r="A1126">
        <v>105188628</v>
      </c>
      <c r="B1126" s="5"/>
      <c r="C1126" s="5" t="str">
        <f t="shared" si="18"/>
        <v>NIS</v>
      </c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</row>
    <row r="1127" spans="1:15" x14ac:dyDescent="0.55000000000000004">
      <c r="A1127">
        <v>104955629</v>
      </c>
      <c r="B1127" s="5"/>
      <c r="C1127" s="5" t="str">
        <f t="shared" si="18"/>
        <v>NIS</v>
      </c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</row>
    <row r="1128" spans="1:15" x14ac:dyDescent="0.55000000000000004">
      <c r="A1128">
        <v>106056372</v>
      </c>
      <c r="B1128" s="5"/>
      <c r="C1128" s="5" t="str">
        <f t="shared" si="18"/>
        <v>NIS</v>
      </c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</row>
    <row r="1129" spans="1:15" x14ac:dyDescent="0.55000000000000004">
      <c r="A1129">
        <v>104978234</v>
      </c>
      <c r="B1129" s="5"/>
      <c r="C1129" s="5" t="str">
        <f t="shared" si="18"/>
        <v>NIS</v>
      </c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</row>
    <row r="1130" spans="1:15" x14ac:dyDescent="0.55000000000000004">
      <c r="A1130">
        <v>104956736</v>
      </c>
      <c r="B1130" s="5"/>
      <c r="C1130" s="5" t="str">
        <f t="shared" si="18"/>
        <v>NIS</v>
      </c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</row>
    <row r="1131" spans="1:15" x14ac:dyDescent="0.55000000000000004">
      <c r="A1131">
        <v>105682507</v>
      </c>
      <c r="B1131" s="5"/>
      <c r="C1131" s="5" t="str">
        <f t="shared" si="18"/>
        <v>NIS</v>
      </c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</row>
    <row r="1132" spans="1:15" x14ac:dyDescent="0.55000000000000004">
      <c r="A1132">
        <v>104880599</v>
      </c>
      <c r="B1132" s="5"/>
      <c r="C1132" s="5" t="str">
        <f t="shared" si="18"/>
        <v>NIS</v>
      </c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</row>
    <row r="1133" spans="1:15" x14ac:dyDescent="0.55000000000000004">
      <c r="A1133">
        <v>106306427</v>
      </c>
      <c r="B1133" s="5"/>
      <c r="C1133" s="5" t="str">
        <f t="shared" si="18"/>
        <v>NIS</v>
      </c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</row>
    <row r="1134" spans="1:15" x14ac:dyDescent="0.55000000000000004">
      <c r="A1134">
        <v>104920128</v>
      </c>
      <c r="B1134" s="5"/>
      <c r="C1134" s="5" t="str">
        <f t="shared" si="18"/>
        <v>NIS</v>
      </c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</row>
    <row r="1135" spans="1:15" x14ac:dyDescent="0.55000000000000004">
      <c r="A1135">
        <v>105215220</v>
      </c>
      <c r="B1135" s="5"/>
      <c r="C1135" s="5" t="str">
        <f t="shared" si="18"/>
        <v>NIS</v>
      </c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</row>
    <row r="1136" spans="1:15" x14ac:dyDescent="0.55000000000000004">
      <c r="A1136">
        <v>106615660</v>
      </c>
      <c r="B1136" s="5"/>
      <c r="C1136" s="5" t="str">
        <f t="shared" si="18"/>
        <v>NIS</v>
      </c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</row>
    <row r="1137" spans="1:15" x14ac:dyDescent="0.55000000000000004">
      <c r="A1137">
        <v>105635959</v>
      </c>
      <c r="B1137" s="5"/>
      <c r="C1137" s="5" t="str">
        <f t="shared" si="18"/>
        <v>NIS</v>
      </c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</row>
    <row r="1138" spans="1:15" x14ac:dyDescent="0.55000000000000004">
      <c r="A1138">
        <v>106077226</v>
      </c>
      <c r="B1138" s="5"/>
      <c r="C1138" s="5" t="str">
        <f t="shared" si="18"/>
        <v>NIS</v>
      </c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</row>
    <row r="1139" spans="1:15" x14ac:dyDescent="0.55000000000000004">
      <c r="A1139">
        <v>106304991</v>
      </c>
      <c r="B1139" s="5"/>
      <c r="C1139" s="5" t="str">
        <f t="shared" si="18"/>
        <v>NIS</v>
      </c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</row>
    <row r="1140" spans="1:15" x14ac:dyDescent="0.55000000000000004">
      <c r="A1140">
        <v>106465418</v>
      </c>
      <c r="B1140" s="5"/>
      <c r="C1140" s="5" t="str">
        <f t="shared" si="18"/>
        <v>NIS</v>
      </c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</row>
    <row r="1141" spans="1:15" x14ac:dyDescent="0.55000000000000004">
      <c r="A1141">
        <v>106034061</v>
      </c>
      <c r="B1141" s="5"/>
      <c r="C1141" s="5" t="str">
        <f t="shared" si="18"/>
        <v>NIS</v>
      </c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</row>
    <row r="1142" spans="1:15" x14ac:dyDescent="0.55000000000000004">
      <c r="A1142">
        <v>106150728</v>
      </c>
      <c r="B1142" s="5"/>
      <c r="C1142" s="5" t="str">
        <f t="shared" si="18"/>
        <v>NIS</v>
      </c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</row>
    <row r="1143" spans="1:15" x14ac:dyDescent="0.55000000000000004">
      <c r="A1143">
        <v>106524795</v>
      </c>
      <c r="B1143" s="5"/>
      <c r="C1143" s="5" t="str">
        <f t="shared" si="18"/>
        <v>NIS</v>
      </c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</row>
    <row r="1144" spans="1:15" x14ac:dyDescent="0.55000000000000004">
      <c r="A1144">
        <v>104998226</v>
      </c>
      <c r="B1144" s="5"/>
      <c r="C1144" s="5" t="str">
        <f t="shared" si="18"/>
        <v>NIS</v>
      </c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</row>
    <row r="1145" spans="1:15" x14ac:dyDescent="0.55000000000000004">
      <c r="A1145">
        <v>106109189</v>
      </c>
      <c r="B1145" s="5"/>
      <c r="C1145" s="5" t="str">
        <f t="shared" si="18"/>
        <v>NIS</v>
      </c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</row>
    <row r="1146" spans="1:15" x14ac:dyDescent="0.55000000000000004">
      <c r="A1146">
        <v>105308213</v>
      </c>
      <c r="B1146" s="5"/>
      <c r="C1146" s="5" t="str">
        <f t="shared" si="18"/>
        <v>NIS</v>
      </c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</row>
    <row r="1147" spans="1:15" x14ac:dyDescent="0.55000000000000004">
      <c r="A1147">
        <v>105109051</v>
      </c>
      <c r="B1147" s="5"/>
      <c r="C1147" s="5" t="str">
        <f t="shared" si="18"/>
        <v>NIS</v>
      </c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</row>
    <row r="1148" spans="1:15" x14ac:dyDescent="0.55000000000000004">
      <c r="A1148">
        <v>106379525</v>
      </c>
      <c r="B1148" s="5"/>
      <c r="C1148" s="5" t="str">
        <f t="shared" si="18"/>
        <v>NIS</v>
      </c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</row>
    <row r="1149" spans="1:15" x14ac:dyDescent="0.55000000000000004">
      <c r="A1149">
        <v>105378433</v>
      </c>
      <c r="B1149" s="5"/>
      <c r="C1149" s="5" t="str">
        <f t="shared" si="18"/>
        <v>NIS</v>
      </c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</row>
    <row r="1150" spans="1:15" x14ac:dyDescent="0.55000000000000004">
      <c r="A1150">
        <v>105699494</v>
      </c>
      <c r="B1150" s="5"/>
      <c r="C1150" s="5" t="str">
        <f t="shared" si="18"/>
        <v>NIS</v>
      </c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</row>
    <row r="1151" spans="1:15" x14ac:dyDescent="0.55000000000000004">
      <c r="A1151">
        <v>106528544</v>
      </c>
      <c r="B1151" s="5"/>
      <c r="C1151" s="5" t="str">
        <f t="shared" si="18"/>
        <v>NIS</v>
      </c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</row>
    <row r="1152" spans="1:15" x14ac:dyDescent="0.55000000000000004">
      <c r="A1152">
        <v>105910639</v>
      </c>
      <c r="B1152" s="5"/>
      <c r="C1152" s="5" t="str">
        <f t="shared" si="18"/>
        <v>NIS</v>
      </c>
      <c r="D1152" s="5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</row>
    <row r="1153" spans="1:15" x14ac:dyDescent="0.55000000000000004">
      <c r="A1153">
        <v>106297023</v>
      </c>
      <c r="B1153" s="5"/>
      <c r="C1153" s="5" t="str">
        <f t="shared" si="18"/>
        <v>NIS</v>
      </c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</row>
    <row r="1154" spans="1:15" x14ac:dyDescent="0.55000000000000004">
      <c r="A1154">
        <v>105274505</v>
      </c>
      <c r="B1154" s="5"/>
      <c r="C1154" s="5" t="str">
        <f t="shared" ref="C1154:C1217" si="19">IF(COUNTIF($B:$B,A1154)&gt;0,"IS","NIS")</f>
        <v>NIS</v>
      </c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</row>
    <row r="1155" spans="1:15" x14ac:dyDescent="0.55000000000000004">
      <c r="A1155">
        <v>105535886</v>
      </c>
      <c r="B1155" s="5"/>
      <c r="C1155" s="5" t="str">
        <f t="shared" si="19"/>
        <v>NIS</v>
      </c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</row>
    <row r="1156" spans="1:15" x14ac:dyDescent="0.55000000000000004">
      <c r="A1156">
        <v>105479974</v>
      </c>
      <c r="B1156" s="5"/>
      <c r="C1156" s="5" t="str">
        <f t="shared" si="19"/>
        <v>NIS</v>
      </c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</row>
    <row r="1157" spans="1:15" x14ac:dyDescent="0.55000000000000004">
      <c r="A1157">
        <v>105014793</v>
      </c>
      <c r="B1157" s="5"/>
      <c r="C1157" s="5" t="str">
        <f t="shared" si="19"/>
        <v>NIS</v>
      </c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</row>
    <row r="1158" spans="1:15" x14ac:dyDescent="0.55000000000000004">
      <c r="A1158">
        <v>106325149</v>
      </c>
      <c r="B1158" s="5"/>
      <c r="C1158" s="5" t="str">
        <f t="shared" si="19"/>
        <v>NIS</v>
      </c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</row>
    <row r="1159" spans="1:15" x14ac:dyDescent="0.55000000000000004">
      <c r="A1159">
        <v>106680474</v>
      </c>
      <c r="B1159" s="5"/>
      <c r="C1159" s="5" t="str">
        <f t="shared" si="19"/>
        <v>NIS</v>
      </c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</row>
    <row r="1160" spans="1:15" x14ac:dyDescent="0.55000000000000004">
      <c r="A1160">
        <v>105776135</v>
      </c>
      <c r="B1160" s="5"/>
      <c r="C1160" s="5" t="str">
        <f t="shared" si="19"/>
        <v>NIS</v>
      </c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</row>
    <row r="1161" spans="1:15" x14ac:dyDescent="0.55000000000000004">
      <c r="A1161">
        <v>105135746</v>
      </c>
      <c r="B1161" s="5"/>
      <c r="C1161" s="5" t="str">
        <f t="shared" si="19"/>
        <v>NIS</v>
      </c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</row>
    <row r="1162" spans="1:15" x14ac:dyDescent="0.55000000000000004">
      <c r="A1162">
        <v>106563935</v>
      </c>
      <c r="B1162" s="5"/>
      <c r="C1162" s="5" t="str">
        <f t="shared" si="19"/>
        <v>NIS</v>
      </c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</row>
    <row r="1163" spans="1:15" x14ac:dyDescent="0.55000000000000004">
      <c r="A1163">
        <v>106127598</v>
      </c>
      <c r="B1163" s="5"/>
      <c r="C1163" s="5" t="str">
        <f t="shared" si="19"/>
        <v>NIS</v>
      </c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</row>
    <row r="1164" spans="1:15" x14ac:dyDescent="0.55000000000000004">
      <c r="A1164">
        <v>105055624</v>
      </c>
      <c r="B1164" s="5"/>
      <c r="C1164" s="5" t="str">
        <f t="shared" si="19"/>
        <v>NIS</v>
      </c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</row>
    <row r="1165" spans="1:15" x14ac:dyDescent="0.55000000000000004">
      <c r="A1165">
        <v>106469644</v>
      </c>
      <c r="B1165" s="5"/>
      <c r="C1165" s="5" t="str">
        <f t="shared" si="19"/>
        <v>NIS</v>
      </c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</row>
    <row r="1166" spans="1:15" x14ac:dyDescent="0.55000000000000004">
      <c r="A1166">
        <v>105085541</v>
      </c>
      <c r="B1166" s="5"/>
      <c r="C1166" s="5" t="str">
        <f t="shared" si="19"/>
        <v>NIS</v>
      </c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</row>
    <row r="1167" spans="1:15" x14ac:dyDescent="0.55000000000000004">
      <c r="A1167">
        <v>105410823</v>
      </c>
      <c r="B1167" s="5"/>
      <c r="C1167" s="5" t="str">
        <f t="shared" si="19"/>
        <v>NIS</v>
      </c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</row>
    <row r="1168" spans="1:15" x14ac:dyDescent="0.55000000000000004">
      <c r="A1168">
        <v>105977986</v>
      </c>
      <c r="B1168" s="5"/>
      <c r="C1168" s="5" t="str">
        <f t="shared" si="19"/>
        <v>NIS</v>
      </c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</row>
    <row r="1169" spans="1:15" x14ac:dyDescent="0.55000000000000004">
      <c r="A1169">
        <v>106394746</v>
      </c>
      <c r="B1169" s="5"/>
      <c r="C1169" s="5" t="str">
        <f t="shared" si="19"/>
        <v>NIS</v>
      </c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</row>
    <row r="1170" spans="1:15" x14ac:dyDescent="0.55000000000000004">
      <c r="A1170">
        <v>105766046</v>
      </c>
      <c r="B1170" s="5"/>
      <c r="C1170" s="5" t="str">
        <f t="shared" si="19"/>
        <v>NIS</v>
      </c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</row>
    <row r="1171" spans="1:15" x14ac:dyDescent="0.55000000000000004">
      <c r="A1171">
        <v>105741498</v>
      </c>
      <c r="B1171" s="5"/>
      <c r="C1171" s="5" t="str">
        <f t="shared" si="19"/>
        <v>NIS</v>
      </c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</row>
    <row r="1172" spans="1:15" x14ac:dyDescent="0.55000000000000004">
      <c r="A1172">
        <v>105156244</v>
      </c>
      <c r="B1172" s="5"/>
      <c r="C1172" s="5" t="str">
        <f t="shared" si="19"/>
        <v>NIS</v>
      </c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</row>
    <row r="1173" spans="1:15" x14ac:dyDescent="0.55000000000000004">
      <c r="A1173">
        <v>105337181</v>
      </c>
      <c r="B1173" s="5"/>
      <c r="C1173" s="5" t="str">
        <f t="shared" si="19"/>
        <v>NIS</v>
      </c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</row>
    <row r="1174" spans="1:15" x14ac:dyDescent="0.55000000000000004">
      <c r="A1174">
        <v>105998451</v>
      </c>
      <c r="B1174" s="5"/>
      <c r="C1174" s="5" t="str">
        <f t="shared" si="19"/>
        <v>NIS</v>
      </c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</row>
    <row r="1175" spans="1:15" x14ac:dyDescent="0.55000000000000004">
      <c r="A1175">
        <v>106447015</v>
      </c>
      <c r="B1175" s="5"/>
      <c r="C1175" s="5" t="str">
        <f t="shared" si="19"/>
        <v>NIS</v>
      </c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</row>
    <row r="1176" spans="1:15" x14ac:dyDescent="0.55000000000000004">
      <c r="A1176">
        <v>106320681</v>
      </c>
      <c r="B1176" s="5"/>
      <c r="C1176" s="5" t="str">
        <f t="shared" si="19"/>
        <v>NIS</v>
      </c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</row>
    <row r="1177" spans="1:15" x14ac:dyDescent="0.55000000000000004">
      <c r="A1177">
        <v>105145320</v>
      </c>
      <c r="B1177" s="5"/>
      <c r="C1177" s="5" t="str">
        <f t="shared" si="19"/>
        <v>NIS</v>
      </c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</row>
    <row r="1178" spans="1:15" x14ac:dyDescent="0.55000000000000004">
      <c r="A1178">
        <v>106355432</v>
      </c>
      <c r="B1178" s="5"/>
      <c r="C1178" s="5" t="str">
        <f t="shared" si="19"/>
        <v>NIS</v>
      </c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</row>
    <row r="1179" spans="1:15" x14ac:dyDescent="0.55000000000000004">
      <c r="A1179">
        <v>106368625</v>
      </c>
      <c r="B1179" s="5"/>
      <c r="C1179" s="5" t="str">
        <f t="shared" si="19"/>
        <v>NIS</v>
      </c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</row>
    <row r="1180" spans="1:15" x14ac:dyDescent="0.55000000000000004">
      <c r="A1180">
        <v>105256256</v>
      </c>
      <c r="B1180" s="5"/>
      <c r="C1180" s="5" t="str">
        <f t="shared" si="19"/>
        <v>NIS</v>
      </c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</row>
    <row r="1181" spans="1:15" x14ac:dyDescent="0.55000000000000004">
      <c r="A1181">
        <v>105442881</v>
      </c>
      <c r="B1181" s="5"/>
      <c r="C1181" s="5" t="str">
        <f t="shared" si="19"/>
        <v>NIS</v>
      </c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</row>
    <row r="1182" spans="1:15" x14ac:dyDescent="0.55000000000000004">
      <c r="A1182">
        <v>105726228</v>
      </c>
      <c r="B1182" s="5"/>
      <c r="C1182" s="5" t="str">
        <f t="shared" si="19"/>
        <v>NIS</v>
      </c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</row>
    <row r="1183" spans="1:15" x14ac:dyDescent="0.55000000000000004">
      <c r="A1183">
        <v>106030272</v>
      </c>
      <c r="B1183" s="5"/>
      <c r="C1183" s="5" t="str">
        <f t="shared" si="19"/>
        <v>NIS</v>
      </c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</row>
    <row r="1184" spans="1:15" x14ac:dyDescent="0.55000000000000004">
      <c r="A1184">
        <v>106449889</v>
      </c>
      <c r="B1184" s="5"/>
      <c r="C1184" s="5" t="str">
        <f t="shared" si="19"/>
        <v>NIS</v>
      </c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</row>
    <row r="1185" spans="1:15" x14ac:dyDescent="0.55000000000000004">
      <c r="A1185">
        <v>105994353</v>
      </c>
      <c r="B1185" s="5"/>
      <c r="C1185" s="5" t="str">
        <f t="shared" si="19"/>
        <v>NIS</v>
      </c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</row>
    <row r="1186" spans="1:15" x14ac:dyDescent="0.55000000000000004">
      <c r="A1186">
        <v>106098332</v>
      </c>
      <c r="B1186" s="5"/>
      <c r="C1186" s="5" t="str">
        <f t="shared" si="19"/>
        <v>NIS</v>
      </c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</row>
    <row r="1187" spans="1:15" x14ac:dyDescent="0.55000000000000004">
      <c r="A1187">
        <v>104880615</v>
      </c>
      <c r="B1187" s="5"/>
      <c r="C1187" s="5" t="str">
        <f t="shared" si="19"/>
        <v>NIS</v>
      </c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</row>
    <row r="1188" spans="1:15" x14ac:dyDescent="0.55000000000000004">
      <c r="A1188">
        <v>105713184</v>
      </c>
      <c r="B1188" s="5"/>
      <c r="C1188" s="5" t="str">
        <f t="shared" si="19"/>
        <v>NIS</v>
      </c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</row>
    <row r="1189" spans="1:15" x14ac:dyDescent="0.55000000000000004">
      <c r="A1189">
        <v>106120906</v>
      </c>
      <c r="B1189" s="5"/>
      <c r="C1189" s="5" t="str">
        <f t="shared" si="19"/>
        <v>NIS</v>
      </c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</row>
    <row r="1190" spans="1:15" x14ac:dyDescent="0.55000000000000004">
      <c r="A1190">
        <v>106448398</v>
      </c>
      <c r="B1190" s="5"/>
      <c r="C1190" s="5" t="str">
        <f t="shared" si="19"/>
        <v>NIS</v>
      </c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</row>
    <row r="1191" spans="1:15" x14ac:dyDescent="0.55000000000000004">
      <c r="A1191">
        <v>104874150</v>
      </c>
      <c r="B1191" s="5"/>
      <c r="C1191" s="5" t="str">
        <f t="shared" si="19"/>
        <v>NIS</v>
      </c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</row>
    <row r="1192" spans="1:15" x14ac:dyDescent="0.55000000000000004">
      <c r="A1192">
        <v>106330855</v>
      </c>
      <c r="B1192" s="5"/>
      <c r="C1192" s="5" t="str">
        <f t="shared" si="19"/>
        <v>NIS</v>
      </c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</row>
    <row r="1193" spans="1:15" x14ac:dyDescent="0.55000000000000004">
      <c r="A1193">
        <v>106071812</v>
      </c>
      <c r="B1193" s="5"/>
      <c r="C1193" s="5" t="str">
        <f t="shared" si="19"/>
        <v>NIS</v>
      </c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</row>
    <row r="1194" spans="1:15" x14ac:dyDescent="0.55000000000000004">
      <c r="A1194">
        <v>105998320</v>
      </c>
      <c r="B1194" s="5"/>
      <c r="C1194" s="5" t="str">
        <f t="shared" si="19"/>
        <v>NIS</v>
      </c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</row>
    <row r="1195" spans="1:15" x14ac:dyDescent="0.55000000000000004">
      <c r="A1195">
        <v>105646973</v>
      </c>
      <c r="B1195" s="5"/>
      <c r="C1195" s="5" t="str">
        <f t="shared" si="19"/>
        <v>NIS</v>
      </c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</row>
    <row r="1196" spans="1:15" x14ac:dyDescent="0.55000000000000004">
      <c r="A1196">
        <v>104934903</v>
      </c>
      <c r="B1196" s="5"/>
      <c r="C1196" s="5" t="str">
        <f t="shared" si="19"/>
        <v>NIS</v>
      </c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</row>
    <row r="1197" spans="1:15" x14ac:dyDescent="0.55000000000000004">
      <c r="A1197">
        <v>104874176</v>
      </c>
      <c r="B1197" s="5"/>
      <c r="C1197" s="5" t="str">
        <f t="shared" si="19"/>
        <v>NIS</v>
      </c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</row>
    <row r="1198" spans="1:15" x14ac:dyDescent="0.55000000000000004">
      <c r="A1198">
        <v>106242068</v>
      </c>
      <c r="B1198" s="5"/>
      <c r="C1198" s="5" t="str">
        <f t="shared" si="19"/>
        <v>NIS</v>
      </c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</row>
    <row r="1199" spans="1:15" x14ac:dyDescent="0.55000000000000004">
      <c r="A1199">
        <v>105691209</v>
      </c>
      <c r="B1199" s="5"/>
      <c r="C1199" s="5" t="str">
        <f t="shared" si="19"/>
        <v>NIS</v>
      </c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</row>
    <row r="1200" spans="1:15" x14ac:dyDescent="0.55000000000000004">
      <c r="A1200">
        <v>105012546</v>
      </c>
      <c r="B1200" s="5"/>
      <c r="C1200" s="5" t="str">
        <f t="shared" si="19"/>
        <v>NIS</v>
      </c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</row>
    <row r="1201" spans="1:15" x14ac:dyDescent="0.55000000000000004">
      <c r="A1201">
        <v>105971637</v>
      </c>
      <c r="B1201" s="5"/>
      <c r="C1201" s="5" t="str">
        <f t="shared" si="19"/>
        <v>NIS</v>
      </c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</row>
    <row r="1202" spans="1:15" x14ac:dyDescent="0.55000000000000004">
      <c r="A1202">
        <v>106186159</v>
      </c>
      <c r="B1202" s="5"/>
      <c r="C1202" s="5" t="str">
        <f t="shared" si="19"/>
        <v>NIS</v>
      </c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</row>
    <row r="1203" spans="1:15" x14ac:dyDescent="0.55000000000000004">
      <c r="A1203">
        <v>104894090</v>
      </c>
      <c r="B1203" s="5"/>
      <c r="C1203" s="5" t="str">
        <f t="shared" si="19"/>
        <v>NIS</v>
      </c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</row>
    <row r="1204" spans="1:15" x14ac:dyDescent="0.55000000000000004">
      <c r="A1204">
        <v>106519111</v>
      </c>
      <c r="B1204" s="5"/>
      <c r="C1204" s="5" t="str">
        <f t="shared" si="19"/>
        <v>NIS</v>
      </c>
      <c r="D1204" s="5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</row>
    <row r="1205" spans="1:15" x14ac:dyDescent="0.55000000000000004">
      <c r="A1205">
        <v>106129243</v>
      </c>
      <c r="B1205" s="5"/>
      <c r="C1205" s="5" t="str">
        <f t="shared" si="19"/>
        <v>NIS</v>
      </c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</row>
    <row r="1206" spans="1:15" x14ac:dyDescent="0.55000000000000004">
      <c r="A1206">
        <v>104961927</v>
      </c>
      <c r="B1206" s="5"/>
      <c r="C1206" s="5" t="str">
        <f t="shared" si="19"/>
        <v>NIS</v>
      </c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</row>
    <row r="1207" spans="1:15" x14ac:dyDescent="0.55000000000000004">
      <c r="A1207">
        <v>105378194</v>
      </c>
      <c r="B1207" s="5"/>
      <c r="C1207" s="5" t="str">
        <f t="shared" si="19"/>
        <v>NIS</v>
      </c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</row>
    <row r="1208" spans="1:15" x14ac:dyDescent="0.55000000000000004">
      <c r="A1208">
        <v>106507919</v>
      </c>
      <c r="B1208" s="5"/>
      <c r="C1208" s="5" t="str">
        <f t="shared" si="19"/>
        <v>NIS</v>
      </c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</row>
    <row r="1209" spans="1:15" x14ac:dyDescent="0.55000000000000004">
      <c r="A1209">
        <v>106163719</v>
      </c>
      <c r="B1209" s="5"/>
      <c r="C1209" s="5" t="str">
        <f t="shared" si="19"/>
        <v>NIS</v>
      </c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</row>
    <row r="1210" spans="1:15" x14ac:dyDescent="0.55000000000000004">
      <c r="A1210">
        <v>105296900</v>
      </c>
      <c r="B1210" s="5"/>
      <c r="C1210" s="5" t="str">
        <f t="shared" si="19"/>
        <v>NIS</v>
      </c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</row>
    <row r="1211" spans="1:15" x14ac:dyDescent="0.55000000000000004">
      <c r="A1211">
        <v>105325003</v>
      </c>
      <c r="B1211" s="5"/>
      <c r="C1211" s="5" t="str">
        <f t="shared" si="19"/>
        <v>NIS</v>
      </c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</row>
    <row r="1212" spans="1:15" x14ac:dyDescent="0.55000000000000004">
      <c r="A1212">
        <v>106669307</v>
      </c>
      <c r="B1212" s="5"/>
      <c r="C1212" s="5" t="str">
        <f t="shared" si="19"/>
        <v>NIS</v>
      </c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</row>
    <row r="1213" spans="1:15" x14ac:dyDescent="0.55000000000000004">
      <c r="A1213">
        <v>106127069</v>
      </c>
      <c r="B1213" s="5"/>
      <c r="C1213" s="5" t="str">
        <f t="shared" si="19"/>
        <v>NIS</v>
      </c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</row>
    <row r="1214" spans="1:15" x14ac:dyDescent="0.55000000000000004">
      <c r="A1214">
        <v>106471067</v>
      </c>
      <c r="B1214" s="5"/>
      <c r="C1214" s="5" t="str">
        <f t="shared" si="19"/>
        <v>NIS</v>
      </c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</row>
    <row r="1215" spans="1:15" x14ac:dyDescent="0.55000000000000004">
      <c r="A1215">
        <v>105700988</v>
      </c>
      <c r="B1215" s="5"/>
      <c r="C1215" s="5" t="str">
        <f t="shared" si="19"/>
        <v>NIS</v>
      </c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</row>
    <row r="1216" spans="1:15" x14ac:dyDescent="0.55000000000000004">
      <c r="A1216">
        <v>105128752</v>
      </c>
      <c r="B1216" s="5"/>
      <c r="C1216" s="5" t="str">
        <f t="shared" si="19"/>
        <v>NIS</v>
      </c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</row>
    <row r="1217" spans="1:15" x14ac:dyDescent="0.55000000000000004">
      <c r="A1217">
        <v>105694497</v>
      </c>
      <c r="B1217" s="5"/>
      <c r="C1217" s="5" t="str">
        <f t="shared" si="19"/>
        <v>NIS</v>
      </c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</row>
    <row r="1218" spans="1:15" x14ac:dyDescent="0.55000000000000004">
      <c r="A1218">
        <v>105645444</v>
      </c>
      <c r="B1218" s="5"/>
      <c r="C1218" s="5" t="str">
        <f t="shared" ref="C1218:C1281" si="20">IF(COUNTIF($B:$B,A1218)&gt;0,"IS","NIS")</f>
        <v>NIS</v>
      </c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</row>
    <row r="1219" spans="1:15" x14ac:dyDescent="0.55000000000000004">
      <c r="A1219">
        <v>105450565</v>
      </c>
      <c r="B1219" s="5"/>
      <c r="C1219" s="5" t="str">
        <f t="shared" si="20"/>
        <v>NIS</v>
      </c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</row>
    <row r="1220" spans="1:15" x14ac:dyDescent="0.55000000000000004">
      <c r="A1220">
        <v>106677130</v>
      </c>
      <c r="B1220" s="5"/>
      <c r="C1220" s="5" t="str">
        <f t="shared" si="20"/>
        <v>NIS</v>
      </c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</row>
    <row r="1221" spans="1:15" x14ac:dyDescent="0.55000000000000004">
      <c r="A1221">
        <v>105818654</v>
      </c>
      <c r="B1221" s="5"/>
      <c r="C1221" s="5" t="str">
        <f t="shared" si="20"/>
        <v>NIS</v>
      </c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</row>
    <row r="1222" spans="1:15" x14ac:dyDescent="0.55000000000000004">
      <c r="A1222">
        <v>106279615</v>
      </c>
      <c r="B1222" s="5"/>
      <c r="C1222" s="5" t="str">
        <f t="shared" si="20"/>
        <v>NIS</v>
      </c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</row>
    <row r="1223" spans="1:15" x14ac:dyDescent="0.55000000000000004">
      <c r="A1223">
        <v>106199589</v>
      </c>
      <c r="B1223" s="5"/>
      <c r="C1223" s="5" t="str">
        <f t="shared" si="20"/>
        <v>NIS</v>
      </c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</row>
    <row r="1224" spans="1:15" x14ac:dyDescent="0.55000000000000004">
      <c r="A1224">
        <v>105276976</v>
      </c>
      <c r="B1224" s="5"/>
      <c r="C1224" s="5" t="str">
        <f t="shared" si="20"/>
        <v>NIS</v>
      </c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</row>
    <row r="1225" spans="1:15" x14ac:dyDescent="0.55000000000000004">
      <c r="A1225">
        <v>105612156</v>
      </c>
      <c r="B1225" s="5"/>
      <c r="C1225" s="5" t="str">
        <f t="shared" si="20"/>
        <v>NIS</v>
      </c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</row>
    <row r="1226" spans="1:15" x14ac:dyDescent="0.55000000000000004">
      <c r="A1226">
        <v>104978732</v>
      </c>
      <c r="B1226" s="5"/>
      <c r="C1226" s="5" t="str">
        <f t="shared" si="20"/>
        <v>NIS</v>
      </c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</row>
    <row r="1227" spans="1:15" x14ac:dyDescent="0.55000000000000004">
      <c r="A1227">
        <v>105671966</v>
      </c>
      <c r="B1227" s="5"/>
      <c r="C1227" s="5" t="str">
        <f t="shared" si="20"/>
        <v>NIS</v>
      </c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</row>
    <row r="1228" spans="1:15" x14ac:dyDescent="0.55000000000000004">
      <c r="A1228">
        <v>106088232</v>
      </c>
      <c r="B1228" s="5"/>
      <c r="C1228" s="5" t="str">
        <f t="shared" si="20"/>
        <v>NIS</v>
      </c>
      <c r="D1228" s="5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</row>
    <row r="1229" spans="1:15" x14ac:dyDescent="0.55000000000000004">
      <c r="A1229">
        <v>105518626</v>
      </c>
      <c r="B1229" s="5"/>
      <c r="C1229" s="5" t="str">
        <f t="shared" si="20"/>
        <v>NIS</v>
      </c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</row>
    <row r="1230" spans="1:15" x14ac:dyDescent="0.55000000000000004">
      <c r="A1230">
        <v>105507200</v>
      </c>
      <c r="B1230" s="5"/>
      <c r="C1230" s="5" t="str">
        <f t="shared" si="20"/>
        <v>NIS</v>
      </c>
      <c r="D1230" s="5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</row>
    <row r="1231" spans="1:15" x14ac:dyDescent="0.55000000000000004">
      <c r="A1231">
        <v>106055204</v>
      </c>
      <c r="B1231" s="5"/>
      <c r="C1231" s="5" t="str">
        <f t="shared" si="20"/>
        <v>NIS</v>
      </c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</row>
    <row r="1232" spans="1:15" x14ac:dyDescent="0.55000000000000004">
      <c r="A1232">
        <v>105138239</v>
      </c>
      <c r="B1232" s="5"/>
      <c r="C1232" s="5" t="str">
        <f t="shared" si="20"/>
        <v>NIS</v>
      </c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</row>
    <row r="1233" spans="1:15" x14ac:dyDescent="0.55000000000000004">
      <c r="A1233">
        <v>105575234</v>
      </c>
      <c r="B1233" s="5"/>
      <c r="C1233" s="5" t="str">
        <f t="shared" si="20"/>
        <v>NIS</v>
      </c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</row>
    <row r="1234" spans="1:15" x14ac:dyDescent="0.55000000000000004">
      <c r="A1234">
        <v>104999567</v>
      </c>
      <c r="B1234" s="5"/>
      <c r="C1234" s="5" t="str">
        <f t="shared" si="20"/>
        <v>NIS</v>
      </c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</row>
    <row r="1235" spans="1:15" x14ac:dyDescent="0.55000000000000004">
      <c r="A1235">
        <v>105974900</v>
      </c>
      <c r="B1235" s="5"/>
      <c r="C1235" s="5" t="str">
        <f t="shared" si="20"/>
        <v>NIS</v>
      </c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</row>
    <row r="1236" spans="1:15" x14ac:dyDescent="0.55000000000000004">
      <c r="A1236">
        <v>106146623</v>
      </c>
      <c r="B1236" s="5"/>
      <c r="C1236" s="5" t="str">
        <f t="shared" si="20"/>
        <v>NIS</v>
      </c>
      <c r="D1236" s="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</row>
    <row r="1237" spans="1:15" x14ac:dyDescent="0.55000000000000004">
      <c r="A1237">
        <v>105299582</v>
      </c>
      <c r="B1237" s="5"/>
      <c r="C1237" s="5" t="str">
        <f t="shared" si="20"/>
        <v>NIS</v>
      </c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</row>
    <row r="1238" spans="1:15" x14ac:dyDescent="0.55000000000000004">
      <c r="A1238">
        <v>106180595</v>
      </c>
      <c r="B1238" s="5"/>
      <c r="C1238" s="5" t="str">
        <f t="shared" si="20"/>
        <v>NIS</v>
      </c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</row>
    <row r="1239" spans="1:15" x14ac:dyDescent="0.55000000000000004">
      <c r="A1239">
        <v>106150688</v>
      </c>
      <c r="B1239" s="5"/>
      <c r="C1239" s="5" t="str">
        <f t="shared" si="20"/>
        <v>NIS</v>
      </c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</row>
    <row r="1240" spans="1:15" x14ac:dyDescent="0.55000000000000004">
      <c r="A1240">
        <v>105299482</v>
      </c>
      <c r="B1240" s="5"/>
      <c r="C1240" s="5" t="str">
        <f t="shared" si="20"/>
        <v>NIS</v>
      </c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</row>
    <row r="1241" spans="1:15" x14ac:dyDescent="0.55000000000000004">
      <c r="A1241">
        <v>106016319</v>
      </c>
      <c r="B1241" s="5"/>
      <c r="C1241" s="5" t="str">
        <f t="shared" si="20"/>
        <v>NIS</v>
      </c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</row>
    <row r="1242" spans="1:15" x14ac:dyDescent="0.55000000000000004">
      <c r="A1242">
        <v>105299740</v>
      </c>
      <c r="B1242" s="5"/>
      <c r="C1242" s="5" t="str">
        <f t="shared" si="20"/>
        <v>NIS</v>
      </c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</row>
    <row r="1243" spans="1:15" x14ac:dyDescent="0.55000000000000004">
      <c r="A1243">
        <v>104904483</v>
      </c>
      <c r="B1243" s="5"/>
      <c r="C1243" s="5" t="str">
        <f t="shared" si="20"/>
        <v>NIS</v>
      </c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</row>
    <row r="1244" spans="1:15" x14ac:dyDescent="0.55000000000000004">
      <c r="A1244">
        <v>106471055</v>
      </c>
      <c r="B1244" s="5"/>
      <c r="C1244" s="5" t="str">
        <f t="shared" si="20"/>
        <v>NIS</v>
      </c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</row>
    <row r="1245" spans="1:15" x14ac:dyDescent="0.55000000000000004">
      <c r="A1245">
        <v>105245447</v>
      </c>
      <c r="B1245" s="5"/>
      <c r="C1245" s="5" t="str">
        <f t="shared" si="20"/>
        <v>NIS</v>
      </c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</row>
    <row r="1246" spans="1:15" x14ac:dyDescent="0.55000000000000004">
      <c r="A1246">
        <v>106319287</v>
      </c>
      <c r="B1246" s="5"/>
      <c r="C1246" s="5" t="str">
        <f t="shared" si="20"/>
        <v>NIS</v>
      </c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</row>
    <row r="1247" spans="1:15" x14ac:dyDescent="0.55000000000000004">
      <c r="A1247">
        <v>104843969</v>
      </c>
      <c r="B1247" s="5"/>
      <c r="C1247" s="5" t="str">
        <f t="shared" si="20"/>
        <v>NIS</v>
      </c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</row>
    <row r="1248" spans="1:15" x14ac:dyDescent="0.55000000000000004">
      <c r="A1248">
        <v>106442196</v>
      </c>
      <c r="B1248" s="5"/>
      <c r="C1248" s="5" t="str">
        <f t="shared" si="20"/>
        <v>NIS</v>
      </c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</row>
    <row r="1249" spans="1:15" x14ac:dyDescent="0.55000000000000004">
      <c r="A1249">
        <v>106362166</v>
      </c>
      <c r="B1249" s="5"/>
      <c r="C1249" s="5" t="str">
        <f t="shared" si="20"/>
        <v>NIS</v>
      </c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</row>
    <row r="1250" spans="1:15" x14ac:dyDescent="0.55000000000000004">
      <c r="A1250">
        <v>105845938</v>
      </c>
      <c r="B1250" s="5"/>
      <c r="C1250" s="5" t="str">
        <f t="shared" si="20"/>
        <v>NIS</v>
      </c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</row>
    <row r="1251" spans="1:15" x14ac:dyDescent="0.55000000000000004">
      <c r="A1251">
        <v>104871214</v>
      </c>
      <c r="B1251" s="5"/>
      <c r="C1251" s="5" t="str">
        <f t="shared" si="20"/>
        <v>NIS</v>
      </c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</row>
    <row r="1252" spans="1:15" x14ac:dyDescent="0.55000000000000004">
      <c r="A1252">
        <v>106077797</v>
      </c>
      <c r="B1252" s="5"/>
      <c r="C1252" s="5" t="str">
        <f t="shared" si="20"/>
        <v>NIS</v>
      </c>
      <c r="D1252" s="5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</row>
    <row r="1253" spans="1:15" x14ac:dyDescent="0.55000000000000004">
      <c r="A1253">
        <v>104980683</v>
      </c>
      <c r="B1253" s="5"/>
      <c r="C1253" s="5" t="str">
        <f t="shared" si="20"/>
        <v>NIS</v>
      </c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</row>
    <row r="1254" spans="1:15" x14ac:dyDescent="0.55000000000000004">
      <c r="A1254">
        <v>105605051</v>
      </c>
      <c r="B1254" s="5"/>
      <c r="C1254" s="5" t="str">
        <f t="shared" si="20"/>
        <v>NIS</v>
      </c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</row>
    <row r="1255" spans="1:15" x14ac:dyDescent="0.55000000000000004">
      <c r="A1255">
        <v>105605954</v>
      </c>
      <c r="B1255" s="5"/>
      <c r="C1255" s="5" t="str">
        <f t="shared" si="20"/>
        <v>NIS</v>
      </c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</row>
    <row r="1256" spans="1:15" x14ac:dyDescent="0.55000000000000004">
      <c r="A1256">
        <v>106598875</v>
      </c>
      <c r="B1256" s="5"/>
      <c r="C1256" s="5" t="str">
        <f t="shared" si="20"/>
        <v>NIS</v>
      </c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</row>
    <row r="1257" spans="1:15" x14ac:dyDescent="0.55000000000000004">
      <c r="A1257">
        <v>105630541</v>
      </c>
      <c r="B1257" s="5"/>
      <c r="C1257" s="5" t="str">
        <f t="shared" si="20"/>
        <v>NIS</v>
      </c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</row>
    <row r="1258" spans="1:15" x14ac:dyDescent="0.55000000000000004">
      <c r="A1258">
        <v>106559764</v>
      </c>
      <c r="B1258" s="5"/>
      <c r="C1258" s="5" t="str">
        <f t="shared" si="20"/>
        <v>NIS</v>
      </c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</row>
    <row r="1259" spans="1:15" x14ac:dyDescent="0.55000000000000004">
      <c r="A1259">
        <v>104896990</v>
      </c>
      <c r="B1259" s="5"/>
      <c r="C1259" s="5" t="str">
        <f t="shared" si="20"/>
        <v>NIS</v>
      </c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</row>
    <row r="1260" spans="1:15" x14ac:dyDescent="0.55000000000000004">
      <c r="A1260">
        <v>105818664</v>
      </c>
      <c r="B1260" s="5"/>
      <c r="C1260" s="5" t="str">
        <f t="shared" si="20"/>
        <v>NIS</v>
      </c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</row>
    <row r="1261" spans="1:15" x14ac:dyDescent="0.55000000000000004">
      <c r="A1261">
        <v>105846060</v>
      </c>
      <c r="B1261" s="5"/>
      <c r="C1261" s="5" t="str">
        <f t="shared" si="20"/>
        <v>NIS</v>
      </c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</row>
    <row r="1262" spans="1:15" x14ac:dyDescent="0.55000000000000004">
      <c r="A1262">
        <v>106269174</v>
      </c>
      <c r="B1262" s="5"/>
      <c r="C1262" s="5" t="str">
        <f t="shared" si="20"/>
        <v>NIS</v>
      </c>
      <c r="D1262" s="5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</row>
    <row r="1263" spans="1:15" x14ac:dyDescent="0.55000000000000004">
      <c r="A1263">
        <v>105378730</v>
      </c>
      <c r="B1263" s="5"/>
      <c r="C1263" s="5" t="str">
        <f t="shared" si="20"/>
        <v>NIS</v>
      </c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</row>
    <row r="1264" spans="1:15" x14ac:dyDescent="0.55000000000000004">
      <c r="A1264">
        <v>106150949</v>
      </c>
      <c r="B1264" s="5"/>
      <c r="C1264" s="5" t="str">
        <f t="shared" si="20"/>
        <v>NIS</v>
      </c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</row>
    <row r="1265" spans="1:15" x14ac:dyDescent="0.55000000000000004">
      <c r="A1265">
        <v>105266768</v>
      </c>
      <c r="B1265" s="5"/>
      <c r="C1265" s="5" t="str">
        <f t="shared" si="20"/>
        <v>NIS</v>
      </c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</row>
    <row r="1266" spans="1:15" x14ac:dyDescent="0.55000000000000004">
      <c r="A1266">
        <v>105989857</v>
      </c>
      <c r="B1266" s="5"/>
      <c r="C1266" s="5" t="str">
        <f t="shared" si="20"/>
        <v>NIS</v>
      </c>
      <c r="D1266" s="5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</row>
    <row r="1267" spans="1:15" x14ac:dyDescent="0.55000000000000004">
      <c r="A1267">
        <v>105272693</v>
      </c>
      <c r="B1267" s="5"/>
      <c r="C1267" s="5" t="str">
        <f t="shared" si="20"/>
        <v>NIS</v>
      </c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</row>
    <row r="1268" spans="1:15" x14ac:dyDescent="0.55000000000000004">
      <c r="A1268">
        <v>105902772</v>
      </c>
      <c r="B1268" s="5"/>
      <c r="C1268" s="5" t="str">
        <f t="shared" si="20"/>
        <v>NIS</v>
      </c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</row>
    <row r="1269" spans="1:15" x14ac:dyDescent="0.55000000000000004">
      <c r="A1269">
        <v>105359422</v>
      </c>
      <c r="B1269" s="5"/>
      <c r="C1269" s="5" t="str">
        <f t="shared" si="20"/>
        <v>NIS</v>
      </c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</row>
    <row r="1270" spans="1:15" x14ac:dyDescent="0.55000000000000004">
      <c r="A1270">
        <v>106093521</v>
      </c>
      <c r="B1270" s="5"/>
      <c r="C1270" s="5" t="str">
        <f t="shared" si="20"/>
        <v>NIS</v>
      </c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</row>
    <row r="1271" spans="1:15" x14ac:dyDescent="0.55000000000000004">
      <c r="A1271">
        <v>106362323</v>
      </c>
      <c r="B1271" s="5"/>
      <c r="C1271" s="5" t="str">
        <f t="shared" si="20"/>
        <v>NIS</v>
      </c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</row>
    <row r="1272" spans="1:15" x14ac:dyDescent="0.55000000000000004">
      <c r="A1272">
        <v>104925764</v>
      </c>
      <c r="B1272" s="5"/>
      <c r="C1272" s="5" t="str">
        <f t="shared" si="20"/>
        <v>NIS</v>
      </c>
      <c r="D1272" s="5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</row>
    <row r="1273" spans="1:15" x14ac:dyDescent="0.55000000000000004">
      <c r="A1273">
        <v>106555699</v>
      </c>
      <c r="B1273" s="5"/>
      <c r="C1273" s="5" t="str">
        <f t="shared" si="20"/>
        <v>NIS</v>
      </c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</row>
    <row r="1274" spans="1:15" x14ac:dyDescent="0.55000000000000004">
      <c r="A1274">
        <v>105162641</v>
      </c>
      <c r="B1274" s="5"/>
      <c r="C1274" s="5" t="str">
        <f t="shared" si="20"/>
        <v>NIS</v>
      </c>
      <c r="D1274" s="5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</row>
    <row r="1275" spans="1:15" x14ac:dyDescent="0.55000000000000004">
      <c r="A1275">
        <v>105529024</v>
      </c>
      <c r="B1275" s="5"/>
      <c r="C1275" s="5" t="str">
        <f t="shared" si="20"/>
        <v>NIS</v>
      </c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</row>
    <row r="1276" spans="1:15" x14ac:dyDescent="0.55000000000000004">
      <c r="A1276">
        <v>104917086</v>
      </c>
      <c r="B1276" s="5"/>
      <c r="C1276" s="5" t="str">
        <f t="shared" si="20"/>
        <v>NIS</v>
      </c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</row>
    <row r="1277" spans="1:15" x14ac:dyDescent="0.55000000000000004">
      <c r="A1277">
        <v>104954365</v>
      </c>
      <c r="B1277" s="5"/>
      <c r="C1277" s="5" t="str">
        <f t="shared" si="20"/>
        <v>NIS</v>
      </c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</row>
    <row r="1278" spans="1:15" x14ac:dyDescent="0.55000000000000004">
      <c r="A1278">
        <v>106330780</v>
      </c>
      <c r="B1278" s="5"/>
      <c r="C1278" s="5" t="str">
        <f t="shared" si="20"/>
        <v>NIS</v>
      </c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</row>
    <row r="1279" spans="1:15" x14ac:dyDescent="0.55000000000000004">
      <c r="A1279">
        <v>105960481</v>
      </c>
      <c r="B1279" s="5"/>
      <c r="C1279" s="5" t="str">
        <f t="shared" si="20"/>
        <v>NIS</v>
      </c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</row>
    <row r="1280" spans="1:15" x14ac:dyDescent="0.55000000000000004">
      <c r="A1280">
        <v>105539341</v>
      </c>
      <c r="B1280" s="5"/>
      <c r="C1280" s="5" t="str">
        <f t="shared" si="20"/>
        <v>NIS</v>
      </c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</row>
    <row r="1281" spans="1:15" x14ac:dyDescent="0.55000000000000004">
      <c r="A1281">
        <v>105415638</v>
      </c>
      <c r="B1281" s="5"/>
      <c r="C1281" s="5" t="str">
        <f t="shared" si="20"/>
        <v>NIS</v>
      </c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</row>
    <row r="1282" spans="1:15" x14ac:dyDescent="0.55000000000000004">
      <c r="A1282">
        <v>104965757</v>
      </c>
      <c r="B1282" s="5"/>
      <c r="C1282" s="5" t="str">
        <f t="shared" ref="C1282:C1345" si="21">IF(COUNTIF($B:$B,A1282)&gt;0,"IS","NIS")</f>
        <v>NIS</v>
      </c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</row>
    <row r="1283" spans="1:15" x14ac:dyDescent="0.55000000000000004">
      <c r="A1283">
        <v>105796770</v>
      </c>
      <c r="B1283" s="5"/>
      <c r="C1283" s="5" t="str">
        <f t="shared" si="21"/>
        <v>NIS</v>
      </c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</row>
    <row r="1284" spans="1:15" x14ac:dyDescent="0.55000000000000004">
      <c r="A1284">
        <v>105308301</v>
      </c>
      <c r="B1284" s="5"/>
      <c r="C1284" s="5" t="str">
        <f t="shared" si="21"/>
        <v>NIS</v>
      </c>
      <c r="D1284" s="5"/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</row>
    <row r="1285" spans="1:15" x14ac:dyDescent="0.55000000000000004">
      <c r="A1285">
        <v>105708370</v>
      </c>
      <c r="B1285" s="5"/>
      <c r="C1285" s="5" t="str">
        <f t="shared" si="21"/>
        <v>NIS</v>
      </c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</row>
    <row r="1286" spans="1:15" x14ac:dyDescent="0.55000000000000004">
      <c r="A1286">
        <v>105321644</v>
      </c>
      <c r="B1286" s="5"/>
      <c r="C1286" s="5" t="str">
        <f t="shared" si="21"/>
        <v>NIS</v>
      </c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</row>
    <row r="1287" spans="1:15" x14ac:dyDescent="0.55000000000000004">
      <c r="A1287">
        <v>106465920</v>
      </c>
      <c r="B1287" s="5"/>
      <c r="C1287" s="5" t="str">
        <f t="shared" si="21"/>
        <v>NIS</v>
      </c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</row>
    <row r="1288" spans="1:15" x14ac:dyDescent="0.55000000000000004">
      <c r="A1288">
        <v>106571656</v>
      </c>
      <c r="B1288" s="5"/>
      <c r="C1288" s="5" t="str">
        <f t="shared" si="21"/>
        <v>NIS</v>
      </c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</row>
    <row r="1289" spans="1:15" x14ac:dyDescent="0.55000000000000004">
      <c r="A1289">
        <v>106478934</v>
      </c>
      <c r="B1289" s="5"/>
      <c r="C1289" s="5" t="str">
        <f t="shared" si="21"/>
        <v>NIS</v>
      </c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</row>
    <row r="1290" spans="1:15" x14ac:dyDescent="0.55000000000000004">
      <c r="A1290">
        <v>106312688</v>
      </c>
      <c r="B1290" s="5"/>
      <c r="C1290" s="5" t="str">
        <f t="shared" si="21"/>
        <v>NIS</v>
      </c>
      <c r="D1290" s="5"/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</row>
    <row r="1291" spans="1:15" x14ac:dyDescent="0.55000000000000004">
      <c r="A1291">
        <v>105327505</v>
      </c>
      <c r="B1291" s="5"/>
      <c r="C1291" s="5" t="str">
        <f t="shared" si="21"/>
        <v>NIS</v>
      </c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</row>
    <row r="1292" spans="1:15" x14ac:dyDescent="0.55000000000000004">
      <c r="A1292">
        <v>106733694</v>
      </c>
      <c r="B1292" s="5"/>
      <c r="C1292" s="5" t="str">
        <f t="shared" si="21"/>
        <v>NIS</v>
      </c>
      <c r="D1292" s="5"/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</row>
    <row r="1293" spans="1:15" x14ac:dyDescent="0.55000000000000004">
      <c r="A1293">
        <v>105036786</v>
      </c>
      <c r="B1293" s="5"/>
      <c r="C1293" s="5" t="str">
        <f t="shared" si="21"/>
        <v>NIS</v>
      </c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</row>
    <row r="1294" spans="1:15" x14ac:dyDescent="0.55000000000000004">
      <c r="A1294">
        <v>106366155</v>
      </c>
      <c r="B1294" s="5"/>
      <c r="C1294" s="5" t="str">
        <f t="shared" si="21"/>
        <v>NIS</v>
      </c>
      <c r="D1294" s="5"/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</row>
    <row r="1295" spans="1:15" x14ac:dyDescent="0.55000000000000004">
      <c r="A1295">
        <v>106590673</v>
      </c>
      <c r="B1295" s="5"/>
      <c r="C1295" s="5" t="str">
        <f t="shared" si="21"/>
        <v>NIS</v>
      </c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</row>
    <row r="1296" spans="1:15" x14ac:dyDescent="0.55000000000000004">
      <c r="A1296">
        <v>105790055</v>
      </c>
      <c r="B1296" s="5"/>
      <c r="C1296" s="5" t="str">
        <f t="shared" si="21"/>
        <v>NIS</v>
      </c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</row>
    <row r="1297" spans="1:15" x14ac:dyDescent="0.55000000000000004">
      <c r="A1297">
        <v>104963334</v>
      </c>
      <c r="B1297" s="5"/>
      <c r="C1297" s="5" t="str">
        <f t="shared" si="21"/>
        <v>NIS</v>
      </c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</row>
    <row r="1298" spans="1:15" x14ac:dyDescent="0.55000000000000004">
      <c r="A1298">
        <v>106305929</v>
      </c>
      <c r="B1298" s="5"/>
      <c r="C1298" s="5" t="str">
        <f t="shared" si="21"/>
        <v>NIS</v>
      </c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</row>
    <row r="1299" spans="1:15" x14ac:dyDescent="0.55000000000000004">
      <c r="A1299">
        <v>104934325</v>
      </c>
      <c r="B1299" s="5"/>
      <c r="C1299" s="5" t="str">
        <f t="shared" si="21"/>
        <v>NIS</v>
      </c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</row>
    <row r="1300" spans="1:15" x14ac:dyDescent="0.55000000000000004">
      <c r="A1300">
        <v>105183200</v>
      </c>
      <c r="B1300" s="5"/>
      <c r="C1300" s="5" t="str">
        <f t="shared" si="21"/>
        <v>NIS</v>
      </c>
      <c r="D1300" s="5"/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</row>
    <row r="1301" spans="1:15" x14ac:dyDescent="0.55000000000000004">
      <c r="A1301">
        <v>105296975</v>
      </c>
      <c r="B1301" s="5"/>
      <c r="C1301" s="5" t="str">
        <f t="shared" si="21"/>
        <v>NIS</v>
      </c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</row>
    <row r="1302" spans="1:15" x14ac:dyDescent="0.55000000000000004">
      <c r="A1302">
        <v>105149465</v>
      </c>
      <c r="B1302" s="5"/>
      <c r="C1302" s="5" t="str">
        <f t="shared" si="21"/>
        <v>NIS</v>
      </c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</row>
    <row r="1303" spans="1:15" x14ac:dyDescent="0.55000000000000004">
      <c r="A1303">
        <v>106154413</v>
      </c>
      <c r="B1303" s="5"/>
      <c r="C1303" s="5" t="str">
        <f t="shared" si="21"/>
        <v>NIS</v>
      </c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</row>
    <row r="1304" spans="1:15" x14ac:dyDescent="0.55000000000000004">
      <c r="A1304">
        <v>106662722</v>
      </c>
      <c r="B1304" s="5"/>
      <c r="C1304" s="5" t="str">
        <f t="shared" si="21"/>
        <v>NIS</v>
      </c>
      <c r="D1304" s="5"/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/>
    </row>
    <row r="1305" spans="1:15" x14ac:dyDescent="0.55000000000000004">
      <c r="A1305">
        <v>105345717</v>
      </c>
      <c r="B1305" s="5"/>
      <c r="C1305" s="5" t="str">
        <f t="shared" si="21"/>
        <v>NIS</v>
      </c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</row>
    <row r="1306" spans="1:15" x14ac:dyDescent="0.55000000000000004">
      <c r="A1306">
        <v>105862256</v>
      </c>
      <c r="B1306" s="5"/>
      <c r="C1306" s="5" t="str">
        <f t="shared" si="21"/>
        <v>NIS</v>
      </c>
      <c r="D1306" s="5"/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</row>
    <row r="1307" spans="1:15" x14ac:dyDescent="0.55000000000000004">
      <c r="A1307">
        <v>105244329</v>
      </c>
      <c r="B1307" s="5"/>
      <c r="C1307" s="5" t="str">
        <f t="shared" si="21"/>
        <v>NIS</v>
      </c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</row>
    <row r="1308" spans="1:15" x14ac:dyDescent="0.55000000000000004">
      <c r="A1308">
        <v>106422931</v>
      </c>
      <c r="B1308" s="5"/>
      <c r="C1308" s="5" t="str">
        <f t="shared" si="21"/>
        <v>NIS</v>
      </c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</row>
    <row r="1309" spans="1:15" x14ac:dyDescent="0.55000000000000004">
      <c r="A1309">
        <v>106381681</v>
      </c>
      <c r="B1309" s="5"/>
      <c r="C1309" s="5" t="str">
        <f t="shared" si="21"/>
        <v>NIS</v>
      </c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</row>
    <row r="1310" spans="1:15" x14ac:dyDescent="0.55000000000000004">
      <c r="A1310">
        <v>106672263</v>
      </c>
      <c r="B1310" s="5"/>
      <c r="C1310" s="5" t="str">
        <f t="shared" si="21"/>
        <v>NIS</v>
      </c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</row>
    <row r="1311" spans="1:15" x14ac:dyDescent="0.55000000000000004">
      <c r="A1311">
        <v>105686957</v>
      </c>
      <c r="B1311" s="5"/>
      <c r="C1311" s="5" t="str">
        <f t="shared" si="21"/>
        <v>NIS</v>
      </c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</row>
    <row r="1312" spans="1:15" x14ac:dyDescent="0.55000000000000004">
      <c r="A1312">
        <v>106115002</v>
      </c>
      <c r="B1312" s="5"/>
      <c r="C1312" s="5" t="str">
        <f t="shared" si="21"/>
        <v>NIS</v>
      </c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</row>
    <row r="1313" spans="1:15" x14ac:dyDescent="0.55000000000000004">
      <c r="A1313">
        <v>105688426</v>
      </c>
      <c r="B1313" s="5"/>
      <c r="C1313" s="5" t="str">
        <f t="shared" si="21"/>
        <v>NIS</v>
      </c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</row>
    <row r="1314" spans="1:15" x14ac:dyDescent="0.55000000000000004">
      <c r="A1314">
        <v>105553289</v>
      </c>
      <c r="B1314" s="5"/>
      <c r="C1314" s="5" t="str">
        <f t="shared" si="21"/>
        <v>NIS</v>
      </c>
      <c r="D1314" s="5"/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</row>
    <row r="1315" spans="1:15" x14ac:dyDescent="0.55000000000000004">
      <c r="A1315">
        <v>105316372</v>
      </c>
      <c r="B1315" s="5"/>
      <c r="C1315" s="5" t="str">
        <f t="shared" si="21"/>
        <v>NIS</v>
      </c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</row>
    <row r="1316" spans="1:15" x14ac:dyDescent="0.55000000000000004">
      <c r="A1316">
        <v>106472472</v>
      </c>
      <c r="B1316" s="5"/>
      <c r="C1316" s="5" t="str">
        <f t="shared" si="21"/>
        <v>NIS</v>
      </c>
      <c r="D1316" s="5"/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</row>
    <row r="1317" spans="1:15" x14ac:dyDescent="0.55000000000000004">
      <c r="A1317">
        <v>106551482</v>
      </c>
      <c r="B1317" s="5"/>
      <c r="C1317" s="5" t="str">
        <f t="shared" si="21"/>
        <v>NIS</v>
      </c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</row>
    <row r="1318" spans="1:15" x14ac:dyDescent="0.55000000000000004">
      <c r="A1318">
        <v>105661597</v>
      </c>
      <c r="B1318" s="5"/>
      <c r="C1318" s="5" t="str">
        <f t="shared" si="21"/>
        <v>NIS</v>
      </c>
      <c r="D1318" s="5"/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</row>
    <row r="1319" spans="1:15" x14ac:dyDescent="0.55000000000000004">
      <c r="A1319">
        <v>105829152</v>
      </c>
      <c r="B1319" s="5"/>
      <c r="C1319" s="5" t="str">
        <f t="shared" si="21"/>
        <v>NIS</v>
      </c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</row>
    <row r="1320" spans="1:15" x14ac:dyDescent="0.55000000000000004">
      <c r="A1320">
        <v>105417160</v>
      </c>
      <c r="B1320" s="5"/>
      <c r="C1320" s="5" t="str">
        <f t="shared" si="21"/>
        <v>NIS</v>
      </c>
      <c r="D1320" s="5"/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</row>
    <row r="1321" spans="1:15" x14ac:dyDescent="0.55000000000000004">
      <c r="A1321">
        <v>106055051</v>
      </c>
      <c r="B1321" s="5"/>
      <c r="C1321" s="5" t="str">
        <f t="shared" si="21"/>
        <v>NIS</v>
      </c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</row>
    <row r="1322" spans="1:15" x14ac:dyDescent="0.55000000000000004">
      <c r="A1322">
        <v>106174986</v>
      </c>
      <c r="B1322" s="5"/>
      <c r="C1322" s="5" t="str">
        <f t="shared" si="21"/>
        <v>NIS</v>
      </c>
      <c r="D1322" s="5"/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</row>
    <row r="1323" spans="1:15" x14ac:dyDescent="0.55000000000000004">
      <c r="A1323">
        <v>106291239</v>
      </c>
      <c r="B1323" s="5"/>
      <c r="C1323" s="5" t="str">
        <f t="shared" si="21"/>
        <v>NIS</v>
      </c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</row>
    <row r="1324" spans="1:15" x14ac:dyDescent="0.55000000000000004">
      <c r="A1324">
        <v>106196970</v>
      </c>
      <c r="B1324" s="5"/>
      <c r="C1324" s="5" t="str">
        <f t="shared" si="21"/>
        <v>NIS</v>
      </c>
      <c r="D1324" s="5"/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</row>
    <row r="1325" spans="1:15" x14ac:dyDescent="0.55000000000000004">
      <c r="A1325">
        <v>105141761</v>
      </c>
      <c r="B1325" s="5"/>
      <c r="C1325" s="5" t="str">
        <f t="shared" si="21"/>
        <v>NIS</v>
      </c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</row>
    <row r="1326" spans="1:15" x14ac:dyDescent="0.55000000000000004">
      <c r="A1326">
        <v>106364924</v>
      </c>
      <c r="B1326" s="5"/>
      <c r="C1326" s="5" t="str">
        <f t="shared" si="21"/>
        <v>NIS</v>
      </c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</row>
    <row r="1327" spans="1:15" x14ac:dyDescent="0.55000000000000004">
      <c r="A1327">
        <v>106534812</v>
      </c>
      <c r="B1327" s="5"/>
      <c r="C1327" s="5" t="str">
        <f t="shared" si="21"/>
        <v>NIS</v>
      </c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</row>
    <row r="1328" spans="1:15" x14ac:dyDescent="0.55000000000000004">
      <c r="A1328">
        <v>104865969</v>
      </c>
      <c r="B1328" s="5"/>
      <c r="C1328" s="5" t="str">
        <f t="shared" si="21"/>
        <v>NIS</v>
      </c>
      <c r="D1328" s="5"/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</row>
    <row r="1329" spans="1:15" x14ac:dyDescent="0.55000000000000004">
      <c r="A1329">
        <v>105441278</v>
      </c>
      <c r="B1329" s="5"/>
      <c r="C1329" s="5" t="str">
        <f t="shared" si="21"/>
        <v>NIS</v>
      </c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</row>
    <row r="1330" spans="1:15" x14ac:dyDescent="0.55000000000000004">
      <c r="A1330">
        <v>106291349</v>
      </c>
      <c r="B1330" s="5"/>
      <c r="C1330" s="5" t="str">
        <f t="shared" si="21"/>
        <v>NIS</v>
      </c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</row>
    <row r="1331" spans="1:15" x14ac:dyDescent="0.55000000000000004">
      <c r="A1331">
        <v>105300157</v>
      </c>
      <c r="B1331" s="5"/>
      <c r="C1331" s="5" t="str">
        <f t="shared" si="21"/>
        <v>NIS</v>
      </c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</row>
    <row r="1332" spans="1:15" x14ac:dyDescent="0.55000000000000004">
      <c r="A1332">
        <v>105229535</v>
      </c>
      <c r="B1332" s="5"/>
      <c r="C1332" s="5" t="str">
        <f t="shared" si="21"/>
        <v>NIS</v>
      </c>
      <c r="D1332" s="5"/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</row>
    <row r="1333" spans="1:15" x14ac:dyDescent="0.55000000000000004">
      <c r="A1333">
        <v>104912499</v>
      </c>
      <c r="B1333" s="5"/>
      <c r="C1333" s="5" t="str">
        <f t="shared" si="21"/>
        <v>NIS</v>
      </c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</row>
    <row r="1334" spans="1:15" x14ac:dyDescent="0.55000000000000004">
      <c r="A1334">
        <v>104908811</v>
      </c>
      <c r="B1334" s="5"/>
      <c r="C1334" s="5" t="str">
        <f t="shared" si="21"/>
        <v>NIS</v>
      </c>
      <c r="D1334" s="5"/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</row>
    <row r="1335" spans="1:15" x14ac:dyDescent="0.55000000000000004">
      <c r="A1335">
        <v>105430525</v>
      </c>
      <c r="B1335" s="5"/>
      <c r="C1335" s="5" t="str">
        <f t="shared" si="21"/>
        <v>NIS</v>
      </c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</row>
    <row r="1336" spans="1:15" x14ac:dyDescent="0.55000000000000004">
      <c r="A1336">
        <v>105162557</v>
      </c>
      <c r="B1336" s="5"/>
      <c r="C1336" s="5" t="str">
        <f t="shared" si="21"/>
        <v>IS</v>
      </c>
      <c r="D1336" s="5"/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</row>
    <row r="1337" spans="1:15" x14ac:dyDescent="0.55000000000000004">
      <c r="A1337">
        <v>106416857</v>
      </c>
      <c r="B1337" s="5"/>
      <c r="C1337" s="5" t="str">
        <f t="shared" si="21"/>
        <v>NIS</v>
      </c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</row>
    <row r="1338" spans="1:15" x14ac:dyDescent="0.55000000000000004">
      <c r="A1338">
        <v>106210496</v>
      </c>
      <c r="B1338" s="5"/>
      <c r="C1338" s="5" t="str">
        <f t="shared" si="21"/>
        <v>NIS</v>
      </c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</row>
    <row r="1339" spans="1:15" x14ac:dyDescent="0.55000000000000004">
      <c r="A1339">
        <v>105687104</v>
      </c>
      <c r="B1339" s="5"/>
      <c r="C1339" s="5" t="str">
        <f t="shared" si="21"/>
        <v>NIS</v>
      </c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</row>
    <row r="1340" spans="1:15" x14ac:dyDescent="0.55000000000000004">
      <c r="A1340">
        <v>106330710</v>
      </c>
      <c r="B1340" s="5"/>
      <c r="C1340" s="5" t="str">
        <f t="shared" si="21"/>
        <v>NIS</v>
      </c>
      <c r="D1340" s="5"/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</row>
    <row r="1341" spans="1:15" x14ac:dyDescent="0.55000000000000004">
      <c r="A1341">
        <v>105496072</v>
      </c>
      <c r="B1341" s="5"/>
      <c r="C1341" s="5" t="str">
        <f t="shared" si="21"/>
        <v>NIS</v>
      </c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</row>
    <row r="1342" spans="1:15" x14ac:dyDescent="0.55000000000000004">
      <c r="A1342">
        <v>105790758</v>
      </c>
      <c r="B1342" s="5"/>
      <c r="C1342" s="5" t="str">
        <f t="shared" si="21"/>
        <v>NIS</v>
      </c>
      <c r="D1342" s="5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</row>
    <row r="1343" spans="1:15" x14ac:dyDescent="0.55000000000000004">
      <c r="A1343">
        <v>105763080</v>
      </c>
      <c r="B1343" s="5"/>
      <c r="C1343" s="5" t="str">
        <f t="shared" si="21"/>
        <v>NIS</v>
      </c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</row>
    <row r="1344" spans="1:15" x14ac:dyDescent="0.55000000000000004">
      <c r="A1344">
        <v>104960966</v>
      </c>
      <c r="B1344" s="5"/>
      <c r="C1344" s="5" t="str">
        <f t="shared" si="21"/>
        <v>NIS</v>
      </c>
      <c r="D1344" s="5"/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O1344" s="5"/>
    </row>
    <row r="1345" spans="1:15" x14ac:dyDescent="0.55000000000000004">
      <c r="A1345">
        <v>104843964</v>
      </c>
      <c r="B1345" s="5"/>
      <c r="C1345" s="5" t="str">
        <f t="shared" si="21"/>
        <v>NIS</v>
      </c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</row>
    <row r="1346" spans="1:15" x14ac:dyDescent="0.55000000000000004">
      <c r="A1346">
        <v>105903309</v>
      </c>
      <c r="B1346" s="5"/>
      <c r="C1346" s="5" t="str">
        <f t="shared" ref="C1346:C1409" si="22">IF(COUNTIF($B:$B,A1346)&gt;0,"IS","NIS")</f>
        <v>NIS</v>
      </c>
      <c r="D1346" s="5"/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</row>
    <row r="1347" spans="1:15" x14ac:dyDescent="0.55000000000000004">
      <c r="A1347">
        <v>106468516</v>
      </c>
      <c r="B1347" s="5"/>
      <c r="C1347" s="5" t="str">
        <f t="shared" si="22"/>
        <v>NIS</v>
      </c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</row>
    <row r="1348" spans="1:15" x14ac:dyDescent="0.55000000000000004">
      <c r="A1348">
        <v>106220986</v>
      </c>
      <c r="B1348" s="5"/>
      <c r="C1348" s="5" t="str">
        <f t="shared" si="22"/>
        <v>NIS</v>
      </c>
      <c r="D1348" s="5"/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</row>
    <row r="1349" spans="1:15" x14ac:dyDescent="0.55000000000000004">
      <c r="A1349">
        <v>105676331</v>
      </c>
      <c r="B1349" s="5"/>
      <c r="C1349" s="5" t="str">
        <f t="shared" si="22"/>
        <v>NIS</v>
      </c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</row>
    <row r="1350" spans="1:15" x14ac:dyDescent="0.55000000000000004">
      <c r="A1350">
        <v>105656756</v>
      </c>
      <c r="B1350" s="5"/>
      <c r="C1350" s="5" t="str">
        <f t="shared" si="22"/>
        <v>NIS</v>
      </c>
      <c r="D1350" s="5"/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</row>
    <row r="1351" spans="1:15" x14ac:dyDescent="0.55000000000000004">
      <c r="A1351">
        <v>104934205</v>
      </c>
      <c r="B1351" s="5"/>
      <c r="C1351" s="5" t="str">
        <f t="shared" si="22"/>
        <v>NIS</v>
      </c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</row>
    <row r="1352" spans="1:15" x14ac:dyDescent="0.55000000000000004">
      <c r="A1352">
        <v>105538488</v>
      </c>
      <c r="B1352" s="5"/>
      <c r="C1352" s="5" t="str">
        <f t="shared" si="22"/>
        <v>NIS</v>
      </c>
      <c r="D1352" s="5"/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</row>
    <row r="1353" spans="1:15" x14ac:dyDescent="0.55000000000000004">
      <c r="A1353">
        <v>106669416</v>
      </c>
      <c r="B1353" s="5"/>
      <c r="C1353" s="5" t="str">
        <f t="shared" si="22"/>
        <v>NIS</v>
      </c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</row>
    <row r="1354" spans="1:15" x14ac:dyDescent="0.55000000000000004">
      <c r="A1354">
        <v>105273598</v>
      </c>
      <c r="B1354" s="5"/>
      <c r="C1354" s="5" t="str">
        <f t="shared" si="22"/>
        <v>NIS</v>
      </c>
      <c r="D1354" s="5"/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</row>
    <row r="1355" spans="1:15" x14ac:dyDescent="0.55000000000000004">
      <c r="A1355">
        <v>105058643</v>
      </c>
      <c r="B1355" s="5"/>
      <c r="C1355" s="5" t="str">
        <f t="shared" si="22"/>
        <v>NIS</v>
      </c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</row>
    <row r="1356" spans="1:15" x14ac:dyDescent="0.55000000000000004">
      <c r="A1356">
        <v>105342682</v>
      </c>
      <c r="B1356" s="5"/>
      <c r="C1356" s="5" t="str">
        <f t="shared" si="22"/>
        <v>NIS</v>
      </c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</row>
    <row r="1357" spans="1:15" x14ac:dyDescent="0.55000000000000004">
      <c r="A1357">
        <v>106330954</v>
      </c>
      <c r="B1357" s="5"/>
      <c r="C1357" s="5" t="str">
        <f t="shared" si="22"/>
        <v>NIS</v>
      </c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</row>
    <row r="1358" spans="1:15" x14ac:dyDescent="0.55000000000000004">
      <c r="A1358">
        <v>105147042</v>
      </c>
      <c r="B1358" s="5"/>
      <c r="C1358" s="5" t="str">
        <f t="shared" si="22"/>
        <v>NIS</v>
      </c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</row>
    <row r="1359" spans="1:15" x14ac:dyDescent="0.55000000000000004">
      <c r="A1359">
        <v>105912645</v>
      </c>
      <c r="B1359" s="5"/>
      <c r="C1359" s="5" t="str">
        <f t="shared" si="22"/>
        <v>NIS</v>
      </c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</row>
    <row r="1360" spans="1:15" x14ac:dyDescent="0.55000000000000004">
      <c r="A1360">
        <v>106672327</v>
      </c>
      <c r="B1360" s="5"/>
      <c r="C1360" s="5" t="str">
        <f t="shared" si="22"/>
        <v>NIS</v>
      </c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</row>
    <row r="1361" spans="1:15" x14ac:dyDescent="0.55000000000000004">
      <c r="A1361">
        <v>105288078</v>
      </c>
      <c r="B1361" s="5"/>
      <c r="C1361" s="5" t="str">
        <f t="shared" si="22"/>
        <v>NIS</v>
      </c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</row>
    <row r="1362" spans="1:15" x14ac:dyDescent="0.55000000000000004">
      <c r="A1362">
        <v>105350932</v>
      </c>
      <c r="B1362" s="5"/>
      <c r="C1362" s="5" t="str">
        <f t="shared" si="22"/>
        <v>NIS</v>
      </c>
      <c r="D1362" s="5"/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</row>
    <row r="1363" spans="1:15" x14ac:dyDescent="0.55000000000000004">
      <c r="A1363">
        <v>104896982</v>
      </c>
      <c r="B1363" s="5"/>
      <c r="C1363" s="5" t="str">
        <f t="shared" si="22"/>
        <v>NIS</v>
      </c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</row>
    <row r="1364" spans="1:15" x14ac:dyDescent="0.55000000000000004">
      <c r="A1364">
        <v>105002041</v>
      </c>
      <c r="B1364" s="5"/>
      <c r="C1364" s="5" t="str">
        <f t="shared" si="22"/>
        <v>NIS</v>
      </c>
      <c r="D1364" s="5"/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</row>
    <row r="1365" spans="1:15" x14ac:dyDescent="0.55000000000000004">
      <c r="A1365">
        <v>105737195</v>
      </c>
      <c r="B1365" s="5"/>
      <c r="C1365" s="5" t="str">
        <f t="shared" si="22"/>
        <v>NIS</v>
      </c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</row>
    <row r="1366" spans="1:15" x14ac:dyDescent="0.55000000000000004">
      <c r="A1366">
        <v>104897043</v>
      </c>
      <c r="B1366" s="5"/>
      <c r="C1366" s="5" t="str">
        <f t="shared" si="22"/>
        <v>NIS</v>
      </c>
      <c r="D1366" s="5"/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</row>
    <row r="1367" spans="1:15" x14ac:dyDescent="0.55000000000000004">
      <c r="A1367">
        <v>105153796</v>
      </c>
      <c r="B1367" s="5"/>
      <c r="C1367" s="5" t="str">
        <f t="shared" si="22"/>
        <v>NIS</v>
      </c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</row>
    <row r="1368" spans="1:15" x14ac:dyDescent="0.55000000000000004">
      <c r="A1368">
        <v>105014879</v>
      </c>
      <c r="B1368" s="5"/>
      <c r="C1368" s="5" t="str">
        <f t="shared" si="22"/>
        <v>NIS</v>
      </c>
      <c r="D1368" s="5"/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</row>
    <row r="1369" spans="1:15" x14ac:dyDescent="0.55000000000000004">
      <c r="A1369">
        <v>106421741</v>
      </c>
      <c r="B1369" s="5"/>
      <c r="C1369" s="5" t="str">
        <f t="shared" si="22"/>
        <v>NIS</v>
      </c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</row>
    <row r="1370" spans="1:15" x14ac:dyDescent="0.55000000000000004">
      <c r="A1370">
        <v>104875009</v>
      </c>
      <c r="B1370" s="5"/>
      <c r="C1370" s="5" t="str">
        <f t="shared" si="22"/>
        <v>NIS</v>
      </c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</row>
    <row r="1371" spans="1:15" x14ac:dyDescent="0.55000000000000004">
      <c r="A1371">
        <v>105079778</v>
      </c>
      <c r="B1371" s="5"/>
      <c r="C1371" s="5" t="str">
        <f t="shared" si="22"/>
        <v>NIS</v>
      </c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</row>
    <row r="1372" spans="1:15" x14ac:dyDescent="0.55000000000000004">
      <c r="A1372">
        <v>105615345</v>
      </c>
      <c r="B1372" s="5"/>
      <c r="C1372" s="5" t="str">
        <f t="shared" si="22"/>
        <v>NIS</v>
      </c>
      <c r="D1372" s="5"/>
      <c r="E1372" s="5"/>
      <c r="F1372" s="5"/>
      <c r="G1372" s="5"/>
      <c r="H1372" s="5"/>
      <c r="I1372" s="5"/>
      <c r="J1372" s="5"/>
      <c r="K1372" s="5"/>
      <c r="L1372" s="5"/>
      <c r="M1372" s="5"/>
      <c r="N1372" s="5"/>
      <c r="O1372" s="5"/>
    </row>
    <row r="1373" spans="1:15" x14ac:dyDescent="0.55000000000000004">
      <c r="A1373">
        <v>105849725</v>
      </c>
      <c r="B1373" s="5"/>
      <c r="C1373" s="5" t="str">
        <f t="shared" si="22"/>
        <v>NIS</v>
      </c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</row>
    <row r="1374" spans="1:15" x14ac:dyDescent="0.55000000000000004">
      <c r="A1374">
        <v>106285420</v>
      </c>
      <c r="B1374" s="5"/>
      <c r="C1374" s="5" t="str">
        <f t="shared" si="22"/>
        <v>NIS</v>
      </c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</row>
    <row r="1375" spans="1:15" x14ac:dyDescent="0.55000000000000004">
      <c r="A1375">
        <v>106344772</v>
      </c>
      <c r="B1375" s="5"/>
      <c r="C1375" s="5" t="str">
        <f t="shared" si="22"/>
        <v>NIS</v>
      </c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</row>
    <row r="1376" spans="1:15" x14ac:dyDescent="0.55000000000000004">
      <c r="A1376">
        <v>106461093</v>
      </c>
      <c r="B1376" s="5"/>
      <c r="C1376" s="5" t="str">
        <f t="shared" si="22"/>
        <v>NIS</v>
      </c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</row>
    <row r="1377" spans="1:15" x14ac:dyDescent="0.55000000000000004">
      <c r="A1377">
        <v>105728055</v>
      </c>
      <c r="B1377" s="5"/>
      <c r="C1377" s="5" t="str">
        <f t="shared" si="22"/>
        <v>NIS</v>
      </c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</row>
    <row r="1378" spans="1:15" x14ac:dyDescent="0.55000000000000004">
      <c r="A1378">
        <v>105327416</v>
      </c>
      <c r="B1378" s="5"/>
      <c r="C1378" s="5" t="str">
        <f t="shared" si="22"/>
        <v>NIS</v>
      </c>
      <c r="D1378" s="5"/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</row>
    <row r="1379" spans="1:15" x14ac:dyDescent="0.55000000000000004">
      <c r="A1379">
        <v>106662123</v>
      </c>
      <c r="B1379" s="5"/>
      <c r="C1379" s="5" t="str">
        <f t="shared" si="22"/>
        <v>NIS</v>
      </c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</row>
    <row r="1380" spans="1:15" x14ac:dyDescent="0.55000000000000004">
      <c r="A1380">
        <v>105902894</v>
      </c>
      <c r="B1380" s="5"/>
      <c r="C1380" s="5" t="str">
        <f t="shared" si="22"/>
        <v>NIS</v>
      </c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</row>
    <row r="1381" spans="1:15" x14ac:dyDescent="0.55000000000000004">
      <c r="A1381">
        <v>106677063</v>
      </c>
      <c r="B1381" s="5"/>
      <c r="C1381" s="5" t="str">
        <f t="shared" si="22"/>
        <v>NIS</v>
      </c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</row>
    <row r="1382" spans="1:15" x14ac:dyDescent="0.55000000000000004">
      <c r="A1382">
        <v>106162599</v>
      </c>
      <c r="B1382" s="5"/>
      <c r="C1382" s="5" t="str">
        <f t="shared" si="22"/>
        <v>NIS</v>
      </c>
      <c r="D1382" s="5"/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</row>
    <row r="1383" spans="1:15" x14ac:dyDescent="0.55000000000000004">
      <c r="A1383">
        <v>105853052</v>
      </c>
      <c r="B1383" s="5"/>
      <c r="C1383" s="5" t="str">
        <f t="shared" si="22"/>
        <v>NIS</v>
      </c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</row>
    <row r="1384" spans="1:15" x14ac:dyDescent="0.55000000000000004">
      <c r="A1384">
        <v>105647087</v>
      </c>
      <c r="B1384" s="5"/>
      <c r="C1384" s="5" t="str">
        <f t="shared" si="22"/>
        <v>NIS</v>
      </c>
      <c r="D1384" s="5"/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</row>
    <row r="1385" spans="1:15" x14ac:dyDescent="0.55000000000000004">
      <c r="A1385">
        <v>106371727</v>
      </c>
      <c r="B1385" s="5"/>
      <c r="C1385" s="5" t="str">
        <f t="shared" si="22"/>
        <v>NIS</v>
      </c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</row>
    <row r="1386" spans="1:15" x14ac:dyDescent="0.55000000000000004">
      <c r="A1386">
        <v>106420166</v>
      </c>
      <c r="B1386" s="5"/>
      <c r="C1386" s="5" t="str">
        <f t="shared" si="22"/>
        <v>NIS</v>
      </c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</row>
    <row r="1387" spans="1:15" x14ac:dyDescent="0.55000000000000004">
      <c r="A1387">
        <v>106090696</v>
      </c>
      <c r="B1387" s="5"/>
      <c r="C1387" s="5" t="str">
        <f t="shared" si="22"/>
        <v>NIS</v>
      </c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</row>
    <row r="1388" spans="1:15" x14ac:dyDescent="0.55000000000000004">
      <c r="A1388">
        <v>106105647</v>
      </c>
      <c r="B1388" s="5"/>
      <c r="C1388" s="5" t="str">
        <f t="shared" si="22"/>
        <v>NIS</v>
      </c>
      <c r="D1388" s="5"/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</row>
    <row r="1389" spans="1:15" x14ac:dyDescent="0.55000000000000004">
      <c r="A1389">
        <v>105430222</v>
      </c>
      <c r="B1389" s="5"/>
      <c r="C1389" s="5" t="str">
        <f t="shared" si="22"/>
        <v>NIS</v>
      </c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</row>
    <row r="1390" spans="1:15" x14ac:dyDescent="0.55000000000000004">
      <c r="A1390">
        <v>105002045</v>
      </c>
      <c r="B1390" s="5"/>
      <c r="C1390" s="5" t="str">
        <f t="shared" si="22"/>
        <v>NIS</v>
      </c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</row>
    <row r="1391" spans="1:15" x14ac:dyDescent="0.55000000000000004">
      <c r="A1391">
        <v>104873039</v>
      </c>
      <c r="B1391" s="5"/>
      <c r="C1391" s="5" t="str">
        <f t="shared" si="22"/>
        <v>NIS</v>
      </c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</row>
    <row r="1392" spans="1:15" x14ac:dyDescent="0.55000000000000004">
      <c r="A1392">
        <v>105661129</v>
      </c>
      <c r="B1392" s="5"/>
      <c r="C1392" s="5" t="str">
        <f t="shared" si="22"/>
        <v>NIS</v>
      </c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</row>
    <row r="1393" spans="1:15" x14ac:dyDescent="0.55000000000000004">
      <c r="A1393">
        <v>106293430</v>
      </c>
      <c r="B1393" s="5"/>
      <c r="C1393" s="5" t="str">
        <f t="shared" si="22"/>
        <v>NIS</v>
      </c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</row>
    <row r="1394" spans="1:15" x14ac:dyDescent="0.55000000000000004">
      <c r="A1394">
        <v>105970287</v>
      </c>
      <c r="B1394" s="5"/>
      <c r="C1394" s="5" t="str">
        <f t="shared" si="22"/>
        <v>NIS</v>
      </c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</row>
    <row r="1395" spans="1:15" x14ac:dyDescent="0.55000000000000004">
      <c r="A1395">
        <v>105583121</v>
      </c>
      <c r="B1395" s="5"/>
      <c r="C1395" s="5" t="str">
        <f t="shared" si="22"/>
        <v>NIS</v>
      </c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</row>
    <row r="1396" spans="1:15" x14ac:dyDescent="0.55000000000000004">
      <c r="A1396">
        <v>105460516</v>
      </c>
      <c r="B1396" s="5"/>
      <c r="C1396" s="5" t="str">
        <f t="shared" si="22"/>
        <v>NIS</v>
      </c>
      <c r="D1396" s="5"/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</row>
    <row r="1397" spans="1:15" x14ac:dyDescent="0.55000000000000004">
      <c r="A1397">
        <v>106045527</v>
      </c>
      <c r="B1397" s="5"/>
      <c r="C1397" s="5" t="str">
        <f t="shared" si="22"/>
        <v>NIS</v>
      </c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</row>
    <row r="1398" spans="1:15" x14ac:dyDescent="0.55000000000000004">
      <c r="A1398">
        <v>105514320</v>
      </c>
      <c r="B1398" s="5"/>
      <c r="C1398" s="5" t="str">
        <f t="shared" si="22"/>
        <v>NIS</v>
      </c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</row>
    <row r="1399" spans="1:15" x14ac:dyDescent="0.55000000000000004">
      <c r="A1399">
        <v>104958144</v>
      </c>
      <c r="B1399" s="5"/>
      <c r="C1399" s="5" t="str">
        <f t="shared" si="22"/>
        <v>NIS</v>
      </c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</row>
    <row r="1400" spans="1:15" x14ac:dyDescent="0.55000000000000004">
      <c r="A1400">
        <v>105389832</v>
      </c>
      <c r="B1400" s="5"/>
      <c r="C1400" s="5" t="str">
        <f t="shared" si="22"/>
        <v>NIS</v>
      </c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</row>
    <row r="1401" spans="1:15" x14ac:dyDescent="0.55000000000000004">
      <c r="A1401">
        <v>105576319</v>
      </c>
      <c r="B1401" s="5"/>
      <c r="C1401" s="5" t="str">
        <f t="shared" si="22"/>
        <v>NIS</v>
      </c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</row>
    <row r="1402" spans="1:15" x14ac:dyDescent="0.55000000000000004">
      <c r="A1402">
        <v>105510142</v>
      </c>
      <c r="B1402" s="5"/>
      <c r="C1402" s="5" t="str">
        <f t="shared" si="22"/>
        <v>NIS</v>
      </c>
      <c r="D1402" s="5"/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</row>
    <row r="1403" spans="1:15" x14ac:dyDescent="0.55000000000000004">
      <c r="A1403">
        <v>104981288</v>
      </c>
      <c r="B1403" s="5"/>
      <c r="C1403" s="5" t="str">
        <f t="shared" si="22"/>
        <v>NIS</v>
      </c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</row>
    <row r="1404" spans="1:15" x14ac:dyDescent="0.55000000000000004">
      <c r="A1404">
        <v>106621429</v>
      </c>
      <c r="B1404" s="5"/>
      <c r="C1404" s="5" t="str">
        <f t="shared" si="22"/>
        <v>NIS</v>
      </c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</row>
    <row r="1405" spans="1:15" x14ac:dyDescent="0.55000000000000004">
      <c r="A1405">
        <v>105236180</v>
      </c>
      <c r="B1405" s="5"/>
      <c r="C1405" s="5" t="str">
        <f t="shared" si="22"/>
        <v>NIS</v>
      </c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</row>
    <row r="1406" spans="1:15" x14ac:dyDescent="0.55000000000000004">
      <c r="A1406">
        <v>106695648</v>
      </c>
      <c r="B1406" s="5"/>
      <c r="C1406" s="5" t="str">
        <f t="shared" si="22"/>
        <v>NIS</v>
      </c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</row>
    <row r="1407" spans="1:15" x14ac:dyDescent="0.55000000000000004">
      <c r="A1407">
        <v>104999207</v>
      </c>
      <c r="B1407" s="5"/>
      <c r="C1407" s="5" t="str">
        <f t="shared" si="22"/>
        <v>NIS</v>
      </c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</row>
    <row r="1408" spans="1:15" x14ac:dyDescent="0.55000000000000004">
      <c r="A1408">
        <v>105615336</v>
      </c>
      <c r="B1408" s="5"/>
      <c r="C1408" s="5" t="str">
        <f t="shared" si="22"/>
        <v>NIS</v>
      </c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</row>
    <row r="1409" spans="1:15" x14ac:dyDescent="0.55000000000000004">
      <c r="A1409">
        <v>105758561</v>
      </c>
      <c r="B1409" s="5"/>
      <c r="C1409" s="5" t="str">
        <f t="shared" si="22"/>
        <v>NIS</v>
      </c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</row>
    <row r="1410" spans="1:15" x14ac:dyDescent="0.55000000000000004">
      <c r="A1410">
        <v>106141092</v>
      </c>
      <c r="B1410" s="5"/>
      <c r="C1410" s="5" t="str">
        <f t="shared" ref="C1410:C1473" si="23">IF(COUNTIF($B:$B,A1410)&gt;0,"IS","NIS")</f>
        <v>NIS</v>
      </c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</row>
    <row r="1411" spans="1:15" x14ac:dyDescent="0.55000000000000004">
      <c r="A1411">
        <v>106002607</v>
      </c>
      <c r="B1411" s="5"/>
      <c r="C1411" s="5" t="str">
        <f t="shared" si="23"/>
        <v>NIS</v>
      </c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</row>
    <row r="1412" spans="1:15" x14ac:dyDescent="0.55000000000000004">
      <c r="A1412">
        <v>106135950</v>
      </c>
      <c r="B1412" s="5"/>
      <c r="C1412" s="5" t="str">
        <f t="shared" si="23"/>
        <v>NIS</v>
      </c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</row>
    <row r="1413" spans="1:15" x14ac:dyDescent="0.55000000000000004">
      <c r="A1413">
        <v>105472620</v>
      </c>
      <c r="B1413" s="5"/>
      <c r="C1413" s="5" t="str">
        <f t="shared" si="23"/>
        <v>NIS</v>
      </c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</row>
    <row r="1414" spans="1:15" x14ac:dyDescent="0.55000000000000004">
      <c r="A1414">
        <v>104970645</v>
      </c>
      <c r="B1414" s="5"/>
      <c r="C1414" s="5" t="str">
        <f t="shared" si="23"/>
        <v>NIS</v>
      </c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</row>
    <row r="1415" spans="1:15" x14ac:dyDescent="0.55000000000000004">
      <c r="A1415">
        <v>105035479</v>
      </c>
      <c r="B1415" s="5"/>
      <c r="C1415" s="5" t="str">
        <f t="shared" si="23"/>
        <v>NIS</v>
      </c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</row>
    <row r="1416" spans="1:15" x14ac:dyDescent="0.55000000000000004">
      <c r="A1416">
        <v>106278313</v>
      </c>
      <c r="B1416" s="5"/>
      <c r="C1416" s="5" t="str">
        <f t="shared" si="23"/>
        <v>NIS</v>
      </c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</row>
    <row r="1417" spans="1:15" x14ac:dyDescent="0.55000000000000004">
      <c r="A1417">
        <v>105123838</v>
      </c>
      <c r="B1417" s="5"/>
      <c r="C1417" s="5" t="str">
        <f t="shared" si="23"/>
        <v>NIS</v>
      </c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</row>
    <row r="1418" spans="1:15" x14ac:dyDescent="0.55000000000000004">
      <c r="A1418">
        <v>105236884</v>
      </c>
      <c r="B1418" s="5"/>
      <c r="C1418" s="5" t="str">
        <f t="shared" si="23"/>
        <v>NIS</v>
      </c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</row>
    <row r="1419" spans="1:15" x14ac:dyDescent="0.55000000000000004">
      <c r="A1419">
        <v>104983765</v>
      </c>
      <c r="B1419" s="5"/>
      <c r="C1419" s="5" t="str">
        <f t="shared" si="23"/>
        <v>NIS</v>
      </c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</row>
    <row r="1420" spans="1:15" x14ac:dyDescent="0.55000000000000004">
      <c r="A1420">
        <v>105938668</v>
      </c>
      <c r="B1420" s="5"/>
      <c r="C1420" s="5" t="str">
        <f t="shared" si="23"/>
        <v>NIS</v>
      </c>
      <c r="D1420" s="5"/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</row>
    <row r="1421" spans="1:15" x14ac:dyDescent="0.55000000000000004">
      <c r="A1421">
        <v>105773586</v>
      </c>
      <c r="B1421" s="5"/>
      <c r="C1421" s="5" t="str">
        <f t="shared" si="23"/>
        <v>NIS</v>
      </c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</row>
    <row r="1422" spans="1:15" x14ac:dyDescent="0.55000000000000004">
      <c r="A1422">
        <v>105813517</v>
      </c>
      <c r="B1422" s="5"/>
      <c r="C1422" s="5" t="str">
        <f t="shared" si="23"/>
        <v>NIS</v>
      </c>
      <c r="D1422" s="5"/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</row>
    <row r="1423" spans="1:15" x14ac:dyDescent="0.55000000000000004">
      <c r="A1423">
        <v>105228642</v>
      </c>
      <c r="B1423" s="5"/>
      <c r="C1423" s="5" t="str">
        <f t="shared" si="23"/>
        <v>NIS</v>
      </c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</row>
    <row r="1424" spans="1:15" x14ac:dyDescent="0.55000000000000004">
      <c r="A1424">
        <v>106368208</v>
      </c>
      <c r="B1424" s="5"/>
      <c r="C1424" s="5" t="str">
        <f t="shared" si="23"/>
        <v>NIS</v>
      </c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</row>
    <row r="1425" spans="1:15" x14ac:dyDescent="0.55000000000000004">
      <c r="A1425">
        <v>105138409</v>
      </c>
      <c r="B1425" s="5"/>
      <c r="C1425" s="5" t="str">
        <f t="shared" si="23"/>
        <v>NIS</v>
      </c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</row>
    <row r="1426" spans="1:15" x14ac:dyDescent="0.55000000000000004">
      <c r="A1426">
        <v>105603317</v>
      </c>
      <c r="B1426" s="5"/>
      <c r="C1426" s="5" t="str">
        <f t="shared" si="23"/>
        <v>NIS</v>
      </c>
      <c r="D1426" s="5"/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</row>
    <row r="1427" spans="1:15" x14ac:dyDescent="0.55000000000000004">
      <c r="A1427">
        <v>106648755</v>
      </c>
      <c r="B1427" s="5"/>
      <c r="C1427" s="5" t="str">
        <f t="shared" si="23"/>
        <v>NIS</v>
      </c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</row>
    <row r="1428" spans="1:15" x14ac:dyDescent="0.55000000000000004">
      <c r="A1428">
        <v>104984236</v>
      </c>
      <c r="B1428" s="5"/>
      <c r="C1428" s="5" t="str">
        <f t="shared" si="23"/>
        <v>NIS</v>
      </c>
      <c r="D1428" s="5"/>
      <c r="E1428" s="5"/>
      <c r="F1428" s="5"/>
      <c r="G1428" s="5"/>
      <c r="H1428" s="5"/>
      <c r="I1428" s="5"/>
      <c r="J1428" s="5"/>
      <c r="K1428" s="5"/>
      <c r="L1428" s="5"/>
      <c r="M1428" s="5"/>
      <c r="N1428" s="5"/>
      <c r="O1428" s="5"/>
    </row>
    <row r="1429" spans="1:15" x14ac:dyDescent="0.55000000000000004">
      <c r="A1429">
        <v>105795146</v>
      </c>
      <c r="B1429" s="5"/>
      <c r="C1429" s="5" t="str">
        <f t="shared" si="23"/>
        <v>NIS</v>
      </c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</row>
    <row r="1430" spans="1:15" x14ac:dyDescent="0.55000000000000004">
      <c r="A1430">
        <v>105606196</v>
      </c>
      <c r="B1430" s="5"/>
      <c r="C1430" s="5" t="str">
        <f t="shared" si="23"/>
        <v>NIS</v>
      </c>
      <c r="D1430" s="5"/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</row>
    <row r="1431" spans="1:15" x14ac:dyDescent="0.55000000000000004">
      <c r="A1431">
        <v>105439153</v>
      </c>
      <c r="B1431" s="5"/>
      <c r="C1431" s="5" t="str">
        <f t="shared" si="23"/>
        <v>NIS</v>
      </c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</row>
    <row r="1432" spans="1:15" x14ac:dyDescent="0.55000000000000004">
      <c r="A1432">
        <v>105270073</v>
      </c>
      <c r="B1432" s="5"/>
      <c r="C1432" s="5" t="str">
        <f t="shared" si="23"/>
        <v>NIS</v>
      </c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</row>
    <row r="1433" spans="1:15" x14ac:dyDescent="0.55000000000000004">
      <c r="A1433">
        <v>105736438</v>
      </c>
      <c r="B1433" s="5"/>
      <c r="C1433" s="5" t="str">
        <f t="shared" si="23"/>
        <v>NIS</v>
      </c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</row>
    <row r="1434" spans="1:15" x14ac:dyDescent="0.55000000000000004">
      <c r="A1434">
        <v>105190197</v>
      </c>
      <c r="B1434" s="5"/>
      <c r="C1434" s="5" t="str">
        <f t="shared" si="23"/>
        <v>NIS</v>
      </c>
      <c r="D1434" s="5"/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</row>
    <row r="1435" spans="1:15" x14ac:dyDescent="0.55000000000000004">
      <c r="A1435">
        <v>105220672</v>
      </c>
      <c r="B1435" s="5"/>
      <c r="C1435" s="5" t="str">
        <f t="shared" si="23"/>
        <v>NIS</v>
      </c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</row>
    <row r="1436" spans="1:15" x14ac:dyDescent="0.55000000000000004">
      <c r="A1436">
        <v>106280698</v>
      </c>
      <c r="B1436" s="5"/>
      <c r="C1436" s="5" t="str">
        <f t="shared" si="23"/>
        <v>NIS</v>
      </c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</row>
    <row r="1437" spans="1:15" x14ac:dyDescent="0.55000000000000004">
      <c r="A1437">
        <v>106597847</v>
      </c>
      <c r="B1437" s="5"/>
      <c r="C1437" s="5" t="str">
        <f t="shared" si="23"/>
        <v>NIS</v>
      </c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</row>
    <row r="1438" spans="1:15" x14ac:dyDescent="0.55000000000000004">
      <c r="A1438">
        <v>106628835</v>
      </c>
      <c r="B1438" s="5"/>
      <c r="C1438" s="5" t="str">
        <f t="shared" si="23"/>
        <v>NIS</v>
      </c>
      <c r="D1438" s="5"/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</row>
    <row r="1439" spans="1:15" x14ac:dyDescent="0.55000000000000004">
      <c r="A1439">
        <v>106368209</v>
      </c>
      <c r="B1439" s="5"/>
      <c r="C1439" s="5" t="str">
        <f t="shared" si="23"/>
        <v>NIS</v>
      </c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</row>
    <row r="1440" spans="1:15" x14ac:dyDescent="0.55000000000000004">
      <c r="A1440">
        <v>106277469</v>
      </c>
      <c r="B1440" s="5"/>
      <c r="C1440" s="5" t="str">
        <f t="shared" si="23"/>
        <v>NIS</v>
      </c>
      <c r="D1440" s="5"/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</row>
    <row r="1441" spans="1:15" x14ac:dyDescent="0.55000000000000004">
      <c r="A1441">
        <v>105843277</v>
      </c>
      <c r="B1441" s="5"/>
      <c r="C1441" s="5" t="str">
        <f t="shared" si="23"/>
        <v>NIS</v>
      </c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</row>
    <row r="1442" spans="1:15" x14ac:dyDescent="0.55000000000000004">
      <c r="A1442">
        <v>106021239</v>
      </c>
      <c r="B1442" s="5"/>
      <c r="C1442" s="5" t="str">
        <f t="shared" si="23"/>
        <v>NIS</v>
      </c>
      <c r="D1442" s="5"/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</row>
    <row r="1443" spans="1:15" x14ac:dyDescent="0.55000000000000004">
      <c r="A1443">
        <v>105696161</v>
      </c>
      <c r="B1443" s="5"/>
      <c r="C1443" s="5" t="str">
        <f t="shared" si="23"/>
        <v>NIS</v>
      </c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</row>
    <row r="1444" spans="1:15" x14ac:dyDescent="0.55000000000000004">
      <c r="A1444">
        <v>105795181</v>
      </c>
      <c r="B1444" s="5"/>
      <c r="C1444" s="5" t="str">
        <f t="shared" si="23"/>
        <v>NIS</v>
      </c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</row>
    <row r="1445" spans="1:15" x14ac:dyDescent="0.55000000000000004">
      <c r="A1445">
        <v>105684759</v>
      </c>
      <c r="B1445" s="5"/>
      <c r="C1445" s="5" t="str">
        <f t="shared" si="23"/>
        <v>NIS</v>
      </c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</row>
    <row r="1446" spans="1:15" x14ac:dyDescent="0.55000000000000004">
      <c r="A1446">
        <v>105615330</v>
      </c>
      <c r="B1446" s="5"/>
      <c r="C1446" s="5" t="str">
        <f t="shared" si="23"/>
        <v>NIS</v>
      </c>
      <c r="D1446" s="5"/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</row>
    <row r="1447" spans="1:15" x14ac:dyDescent="0.55000000000000004">
      <c r="A1447">
        <v>105510132</v>
      </c>
      <c r="B1447" s="5"/>
      <c r="C1447" s="5" t="str">
        <f t="shared" si="23"/>
        <v>NIS</v>
      </c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</row>
    <row r="1448" spans="1:15" x14ac:dyDescent="0.55000000000000004">
      <c r="A1448">
        <v>105091209</v>
      </c>
      <c r="B1448" s="5"/>
      <c r="C1448" s="5" t="str">
        <f t="shared" si="23"/>
        <v>NIS</v>
      </c>
      <c r="D1448" s="5"/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/>
    </row>
    <row r="1449" spans="1:15" x14ac:dyDescent="0.55000000000000004">
      <c r="A1449">
        <v>104860416</v>
      </c>
      <c r="B1449" s="5"/>
      <c r="C1449" s="5" t="str">
        <f t="shared" si="23"/>
        <v>NIS</v>
      </c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</row>
    <row r="1450" spans="1:15" x14ac:dyDescent="0.55000000000000004">
      <c r="A1450">
        <v>105206703</v>
      </c>
      <c r="B1450" s="5"/>
      <c r="C1450" s="5" t="str">
        <f t="shared" si="23"/>
        <v>NIS</v>
      </c>
      <c r="D1450" s="5"/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</row>
    <row r="1451" spans="1:15" x14ac:dyDescent="0.55000000000000004">
      <c r="A1451">
        <v>105252212</v>
      </c>
      <c r="B1451" s="5"/>
      <c r="C1451" s="5" t="str">
        <f t="shared" si="23"/>
        <v>NIS</v>
      </c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</row>
    <row r="1452" spans="1:15" x14ac:dyDescent="0.55000000000000004">
      <c r="A1452">
        <v>104983784</v>
      </c>
      <c r="B1452" s="5"/>
      <c r="C1452" s="5" t="str">
        <f t="shared" si="23"/>
        <v>NIS</v>
      </c>
      <c r="D1452" s="5"/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</row>
    <row r="1453" spans="1:15" x14ac:dyDescent="0.55000000000000004">
      <c r="A1453">
        <v>106303752</v>
      </c>
      <c r="B1453" s="5"/>
      <c r="C1453" s="5" t="str">
        <f t="shared" si="23"/>
        <v>NIS</v>
      </c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</row>
    <row r="1454" spans="1:15" x14ac:dyDescent="0.55000000000000004">
      <c r="A1454">
        <v>106210391</v>
      </c>
      <c r="B1454" s="5"/>
      <c r="C1454" s="5" t="str">
        <f t="shared" si="23"/>
        <v>NIS</v>
      </c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</row>
    <row r="1455" spans="1:15" x14ac:dyDescent="0.55000000000000004">
      <c r="A1455">
        <v>105011681</v>
      </c>
      <c r="B1455" s="5"/>
      <c r="C1455" s="5" t="str">
        <f t="shared" si="23"/>
        <v>NIS</v>
      </c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</row>
    <row r="1456" spans="1:15" x14ac:dyDescent="0.55000000000000004">
      <c r="A1456">
        <v>106527453</v>
      </c>
      <c r="B1456" s="5"/>
      <c r="C1456" s="5" t="str">
        <f t="shared" si="23"/>
        <v>NIS</v>
      </c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</row>
    <row r="1457" spans="1:15" x14ac:dyDescent="0.55000000000000004">
      <c r="A1457">
        <v>106276479</v>
      </c>
      <c r="B1457" s="5"/>
      <c r="C1457" s="5" t="str">
        <f t="shared" si="23"/>
        <v>NIS</v>
      </c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</row>
    <row r="1458" spans="1:15" x14ac:dyDescent="0.55000000000000004">
      <c r="A1458">
        <v>106558328</v>
      </c>
      <c r="B1458" s="5"/>
      <c r="C1458" s="5" t="str">
        <f t="shared" si="23"/>
        <v>NIS</v>
      </c>
      <c r="D1458" s="5"/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</row>
    <row r="1459" spans="1:15" x14ac:dyDescent="0.55000000000000004">
      <c r="A1459">
        <v>105861392</v>
      </c>
      <c r="B1459" s="5"/>
      <c r="C1459" s="5" t="str">
        <f t="shared" si="23"/>
        <v>NIS</v>
      </c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</row>
    <row r="1460" spans="1:15" x14ac:dyDescent="0.55000000000000004">
      <c r="A1460">
        <v>106606429</v>
      </c>
      <c r="B1460" s="5"/>
      <c r="C1460" s="5" t="str">
        <f t="shared" si="23"/>
        <v>NIS</v>
      </c>
      <c r="D1460" s="5"/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</row>
    <row r="1461" spans="1:15" x14ac:dyDescent="0.55000000000000004">
      <c r="A1461">
        <v>106413162</v>
      </c>
      <c r="B1461" s="5"/>
      <c r="C1461" s="5" t="str">
        <f t="shared" si="23"/>
        <v>NIS</v>
      </c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</row>
    <row r="1462" spans="1:15" x14ac:dyDescent="0.55000000000000004">
      <c r="A1462">
        <v>105948738</v>
      </c>
      <c r="B1462" s="5"/>
      <c r="C1462" s="5" t="str">
        <f t="shared" si="23"/>
        <v>NIS</v>
      </c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</row>
    <row r="1463" spans="1:15" x14ac:dyDescent="0.55000000000000004">
      <c r="A1463">
        <v>105806245</v>
      </c>
      <c r="B1463" s="5"/>
      <c r="C1463" s="5" t="str">
        <f t="shared" si="23"/>
        <v>NIS</v>
      </c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</row>
    <row r="1464" spans="1:15" x14ac:dyDescent="0.55000000000000004">
      <c r="A1464">
        <v>106606570</v>
      </c>
      <c r="B1464" s="5"/>
      <c r="C1464" s="5" t="str">
        <f t="shared" si="23"/>
        <v>NIS</v>
      </c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</row>
    <row r="1465" spans="1:15" x14ac:dyDescent="0.55000000000000004">
      <c r="A1465">
        <v>105035512</v>
      </c>
      <c r="B1465" s="5"/>
      <c r="C1465" s="5" t="str">
        <f t="shared" si="23"/>
        <v>NIS</v>
      </c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</row>
    <row r="1466" spans="1:15" x14ac:dyDescent="0.55000000000000004">
      <c r="A1466">
        <v>105488089</v>
      </c>
      <c r="B1466" s="5"/>
      <c r="C1466" s="5" t="str">
        <f t="shared" si="23"/>
        <v>NIS</v>
      </c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</row>
    <row r="1467" spans="1:15" x14ac:dyDescent="0.55000000000000004">
      <c r="A1467">
        <v>105341068</v>
      </c>
      <c r="B1467" s="5"/>
      <c r="C1467" s="5" t="str">
        <f t="shared" si="23"/>
        <v>NIS</v>
      </c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</row>
    <row r="1468" spans="1:15" x14ac:dyDescent="0.55000000000000004">
      <c r="A1468">
        <v>105252206</v>
      </c>
      <c r="B1468" s="5"/>
      <c r="C1468" s="5" t="str">
        <f t="shared" si="23"/>
        <v>NIS</v>
      </c>
      <c r="D1468" s="5"/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</row>
    <row r="1469" spans="1:15" x14ac:dyDescent="0.55000000000000004">
      <c r="A1469">
        <v>105732923</v>
      </c>
      <c r="B1469" s="5"/>
      <c r="C1469" s="5" t="str">
        <f t="shared" si="23"/>
        <v>NIS</v>
      </c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</row>
    <row r="1470" spans="1:15" x14ac:dyDescent="0.55000000000000004">
      <c r="A1470">
        <v>106654939</v>
      </c>
      <c r="B1470" s="5"/>
      <c r="C1470" s="5" t="str">
        <f t="shared" si="23"/>
        <v>NIS</v>
      </c>
      <c r="D1470" s="5"/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</row>
    <row r="1471" spans="1:15" x14ac:dyDescent="0.55000000000000004">
      <c r="A1471">
        <v>105977623</v>
      </c>
      <c r="B1471" s="5"/>
      <c r="C1471" s="5" t="str">
        <f t="shared" si="23"/>
        <v>NIS</v>
      </c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</row>
    <row r="1472" spans="1:15" x14ac:dyDescent="0.55000000000000004">
      <c r="A1472">
        <v>106237924</v>
      </c>
      <c r="B1472" s="5"/>
      <c r="C1472" s="5" t="str">
        <f t="shared" si="23"/>
        <v>NIS</v>
      </c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</row>
    <row r="1473" spans="1:15" x14ac:dyDescent="0.55000000000000004">
      <c r="A1473">
        <v>105518779</v>
      </c>
      <c r="B1473" s="5"/>
      <c r="C1473" s="5" t="str">
        <f t="shared" si="23"/>
        <v>NIS</v>
      </c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</row>
    <row r="1474" spans="1:15" x14ac:dyDescent="0.55000000000000004">
      <c r="A1474">
        <v>104894816</v>
      </c>
      <c r="B1474" s="5"/>
      <c r="C1474" s="5" t="str">
        <f t="shared" ref="C1474:C1537" si="24">IF(COUNTIF($B:$B,A1474)&gt;0,"IS","NIS")</f>
        <v>NIS</v>
      </c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</row>
    <row r="1475" spans="1:15" x14ac:dyDescent="0.55000000000000004">
      <c r="A1475">
        <v>106635423</v>
      </c>
      <c r="B1475" s="5"/>
      <c r="C1475" s="5" t="str">
        <f t="shared" si="24"/>
        <v>NIS</v>
      </c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</row>
    <row r="1476" spans="1:15" x14ac:dyDescent="0.55000000000000004">
      <c r="A1476">
        <v>105355786</v>
      </c>
      <c r="B1476" s="5"/>
      <c r="C1476" s="5" t="str">
        <f t="shared" si="24"/>
        <v>NIS</v>
      </c>
      <c r="D1476" s="5"/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</row>
    <row r="1477" spans="1:15" x14ac:dyDescent="0.55000000000000004">
      <c r="A1477">
        <v>106662162</v>
      </c>
      <c r="B1477" s="5"/>
      <c r="C1477" s="5" t="str">
        <f t="shared" si="24"/>
        <v>NIS</v>
      </c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</row>
    <row r="1478" spans="1:15" x14ac:dyDescent="0.55000000000000004">
      <c r="A1478">
        <v>105862594</v>
      </c>
      <c r="B1478" s="5"/>
      <c r="C1478" s="5" t="str">
        <f t="shared" si="24"/>
        <v>NIS</v>
      </c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</row>
    <row r="1479" spans="1:15" x14ac:dyDescent="0.55000000000000004">
      <c r="A1479">
        <v>104861966</v>
      </c>
      <c r="B1479" s="5"/>
      <c r="C1479" s="5" t="str">
        <f t="shared" si="24"/>
        <v>NIS</v>
      </c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</row>
    <row r="1480" spans="1:15" x14ac:dyDescent="0.55000000000000004">
      <c r="A1480">
        <v>106726088</v>
      </c>
      <c r="B1480" s="5"/>
      <c r="C1480" s="5" t="str">
        <f t="shared" si="24"/>
        <v>NIS</v>
      </c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</row>
    <row r="1481" spans="1:15" x14ac:dyDescent="0.55000000000000004">
      <c r="A1481">
        <v>106104221</v>
      </c>
      <c r="B1481" s="5"/>
      <c r="C1481" s="5" t="str">
        <f t="shared" si="24"/>
        <v>NIS</v>
      </c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</row>
    <row r="1482" spans="1:15" x14ac:dyDescent="0.55000000000000004">
      <c r="A1482">
        <v>106307559</v>
      </c>
      <c r="B1482" s="5"/>
      <c r="C1482" s="5" t="str">
        <f t="shared" si="24"/>
        <v>NIS</v>
      </c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</row>
    <row r="1483" spans="1:15" x14ac:dyDescent="0.55000000000000004">
      <c r="A1483">
        <v>106352216</v>
      </c>
      <c r="B1483" s="5"/>
      <c r="C1483" s="5" t="str">
        <f t="shared" si="24"/>
        <v>NIS</v>
      </c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</row>
    <row r="1484" spans="1:15" x14ac:dyDescent="0.55000000000000004">
      <c r="A1484">
        <v>106559573</v>
      </c>
      <c r="B1484" s="5"/>
      <c r="C1484" s="5" t="str">
        <f t="shared" si="24"/>
        <v>NIS</v>
      </c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</row>
    <row r="1485" spans="1:15" x14ac:dyDescent="0.55000000000000004">
      <c r="A1485">
        <v>105552898</v>
      </c>
      <c r="B1485" s="5"/>
      <c r="C1485" s="5" t="str">
        <f t="shared" si="24"/>
        <v>NIS</v>
      </c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</row>
    <row r="1486" spans="1:15" x14ac:dyDescent="0.55000000000000004">
      <c r="A1486">
        <v>105294086</v>
      </c>
      <c r="B1486" s="5"/>
      <c r="C1486" s="5" t="str">
        <f t="shared" si="24"/>
        <v>NIS</v>
      </c>
      <c r="D1486" s="5"/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</row>
    <row r="1487" spans="1:15" x14ac:dyDescent="0.55000000000000004">
      <c r="A1487">
        <v>106368219</v>
      </c>
      <c r="B1487" s="5"/>
      <c r="C1487" s="5" t="str">
        <f t="shared" si="24"/>
        <v>NIS</v>
      </c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</row>
    <row r="1488" spans="1:15" x14ac:dyDescent="0.55000000000000004">
      <c r="A1488">
        <v>104900720</v>
      </c>
      <c r="B1488" s="5"/>
      <c r="C1488" s="5" t="str">
        <f t="shared" si="24"/>
        <v>NIS</v>
      </c>
      <c r="D1488" s="5"/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</row>
    <row r="1489" spans="1:15" x14ac:dyDescent="0.55000000000000004">
      <c r="A1489">
        <v>105263924</v>
      </c>
      <c r="B1489" s="5"/>
      <c r="C1489" s="5" t="str">
        <f t="shared" si="24"/>
        <v>NIS</v>
      </c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</row>
    <row r="1490" spans="1:15" x14ac:dyDescent="0.55000000000000004">
      <c r="A1490">
        <v>106583569</v>
      </c>
      <c r="B1490" s="5"/>
      <c r="C1490" s="5" t="str">
        <f t="shared" si="24"/>
        <v>NIS</v>
      </c>
      <c r="D1490" s="5"/>
      <c r="E1490" s="5"/>
      <c r="F1490" s="5"/>
      <c r="G1490" s="5"/>
      <c r="H1490" s="5"/>
      <c r="I1490" s="5"/>
      <c r="J1490" s="5"/>
      <c r="K1490" s="5"/>
      <c r="L1490" s="5"/>
      <c r="M1490" s="5"/>
      <c r="N1490" s="5"/>
      <c r="O1490" s="5"/>
    </row>
    <row r="1491" spans="1:15" x14ac:dyDescent="0.55000000000000004">
      <c r="A1491">
        <v>105036813</v>
      </c>
      <c r="B1491" s="5"/>
      <c r="C1491" s="5" t="str">
        <f t="shared" si="24"/>
        <v>NIS</v>
      </c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</row>
    <row r="1492" spans="1:15" x14ac:dyDescent="0.55000000000000004">
      <c r="A1492">
        <v>106384501</v>
      </c>
      <c r="B1492" s="5"/>
      <c r="C1492" s="5" t="str">
        <f t="shared" si="24"/>
        <v>NIS</v>
      </c>
      <c r="D1492" s="5"/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</row>
    <row r="1493" spans="1:15" x14ac:dyDescent="0.55000000000000004">
      <c r="A1493">
        <v>105273723</v>
      </c>
      <c r="B1493" s="5"/>
      <c r="C1493" s="5" t="str">
        <f t="shared" si="24"/>
        <v>NIS</v>
      </c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</row>
    <row r="1494" spans="1:15" x14ac:dyDescent="0.55000000000000004">
      <c r="A1494">
        <v>105367199</v>
      </c>
      <c r="B1494" s="5"/>
      <c r="C1494" s="5" t="str">
        <f t="shared" si="24"/>
        <v>NIS</v>
      </c>
      <c r="D1494" s="5"/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</row>
    <row r="1495" spans="1:15" x14ac:dyDescent="0.55000000000000004">
      <c r="A1495">
        <v>106537172</v>
      </c>
      <c r="B1495" s="5"/>
      <c r="C1495" s="5" t="str">
        <f t="shared" si="24"/>
        <v>NIS</v>
      </c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</row>
    <row r="1496" spans="1:15" x14ac:dyDescent="0.55000000000000004">
      <c r="A1496">
        <v>106390117</v>
      </c>
      <c r="B1496" s="5"/>
      <c r="C1496" s="5" t="str">
        <f t="shared" si="24"/>
        <v>NIS</v>
      </c>
      <c r="D1496" s="5"/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</row>
    <row r="1497" spans="1:15" x14ac:dyDescent="0.55000000000000004">
      <c r="A1497">
        <v>105304191</v>
      </c>
      <c r="B1497" s="5"/>
      <c r="C1497" s="5" t="str">
        <f t="shared" si="24"/>
        <v>NIS</v>
      </c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</row>
    <row r="1498" spans="1:15" x14ac:dyDescent="0.55000000000000004">
      <c r="A1498">
        <v>105930854</v>
      </c>
      <c r="B1498" s="5"/>
      <c r="C1498" s="5" t="str">
        <f t="shared" si="24"/>
        <v>NIS</v>
      </c>
      <c r="D1498" s="5"/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</row>
    <row r="1499" spans="1:15" x14ac:dyDescent="0.55000000000000004">
      <c r="A1499">
        <v>105065887</v>
      </c>
      <c r="B1499" s="5"/>
      <c r="C1499" s="5" t="str">
        <f t="shared" si="24"/>
        <v>NIS</v>
      </c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</row>
    <row r="1500" spans="1:15" x14ac:dyDescent="0.55000000000000004">
      <c r="A1500">
        <v>105657796</v>
      </c>
      <c r="B1500" s="5"/>
      <c r="C1500" s="5" t="str">
        <f t="shared" si="24"/>
        <v>NIS</v>
      </c>
      <c r="D1500" s="5"/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</row>
    <row r="1501" spans="1:15" x14ac:dyDescent="0.55000000000000004">
      <c r="A1501">
        <v>105640236</v>
      </c>
      <c r="B1501" s="5"/>
      <c r="C1501" s="5" t="str">
        <f t="shared" si="24"/>
        <v>NIS</v>
      </c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</row>
    <row r="1502" spans="1:15" x14ac:dyDescent="0.55000000000000004">
      <c r="A1502">
        <v>105510167</v>
      </c>
      <c r="B1502" s="5"/>
      <c r="C1502" s="5" t="str">
        <f t="shared" si="24"/>
        <v>NIS</v>
      </c>
      <c r="D1502" s="5"/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/>
    </row>
    <row r="1503" spans="1:15" x14ac:dyDescent="0.55000000000000004">
      <c r="A1503">
        <v>105412354</v>
      </c>
      <c r="B1503" s="5"/>
      <c r="C1503" s="5" t="str">
        <f t="shared" si="24"/>
        <v>NIS</v>
      </c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</row>
    <row r="1504" spans="1:15" x14ac:dyDescent="0.55000000000000004">
      <c r="A1504">
        <v>104970660</v>
      </c>
      <c r="B1504" s="5"/>
      <c r="C1504" s="5" t="str">
        <f t="shared" si="24"/>
        <v>NIS</v>
      </c>
      <c r="D1504" s="5"/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/>
    </row>
    <row r="1505" spans="1:15" x14ac:dyDescent="0.55000000000000004">
      <c r="A1505">
        <v>105091212</v>
      </c>
      <c r="B1505" s="5"/>
      <c r="C1505" s="5" t="str">
        <f t="shared" si="24"/>
        <v>NIS</v>
      </c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</row>
    <row r="1506" spans="1:15" x14ac:dyDescent="0.55000000000000004">
      <c r="A1506">
        <v>105880375</v>
      </c>
      <c r="B1506" s="5"/>
      <c r="C1506" s="5" t="str">
        <f t="shared" si="24"/>
        <v>NIS</v>
      </c>
      <c r="D1506" s="5"/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5"/>
    </row>
    <row r="1507" spans="1:15" x14ac:dyDescent="0.55000000000000004">
      <c r="A1507">
        <v>105127024</v>
      </c>
      <c r="B1507" s="5"/>
      <c r="C1507" s="5" t="str">
        <f t="shared" si="24"/>
        <v>NIS</v>
      </c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</row>
    <row r="1508" spans="1:15" x14ac:dyDescent="0.55000000000000004">
      <c r="A1508">
        <v>105035455</v>
      </c>
      <c r="B1508" s="5"/>
      <c r="C1508" s="5" t="str">
        <f t="shared" si="24"/>
        <v>NIS</v>
      </c>
      <c r="D1508" s="5"/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5"/>
    </row>
    <row r="1509" spans="1:15" x14ac:dyDescent="0.55000000000000004">
      <c r="A1509">
        <v>105578814</v>
      </c>
      <c r="B1509" s="5"/>
      <c r="C1509" s="5" t="str">
        <f t="shared" si="24"/>
        <v>NIS</v>
      </c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</row>
    <row r="1510" spans="1:15" x14ac:dyDescent="0.55000000000000004">
      <c r="A1510">
        <v>105657357</v>
      </c>
      <c r="B1510" s="5"/>
      <c r="C1510" s="5" t="str">
        <f t="shared" si="24"/>
        <v>NIS</v>
      </c>
      <c r="D1510" s="5"/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</row>
    <row r="1511" spans="1:15" x14ac:dyDescent="0.55000000000000004">
      <c r="A1511">
        <v>104939174</v>
      </c>
      <c r="B1511" s="5"/>
      <c r="C1511" s="5" t="str">
        <f t="shared" si="24"/>
        <v>NIS</v>
      </c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</row>
    <row r="1512" spans="1:15" x14ac:dyDescent="0.55000000000000004">
      <c r="A1512">
        <v>105472964</v>
      </c>
      <c r="B1512" s="5"/>
      <c r="C1512" s="5" t="str">
        <f t="shared" si="24"/>
        <v>NIS</v>
      </c>
      <c r="D1512" s="5"/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</row>
    <row r="1513" spans="1:15" x14ac:dyDescent="0.55000000000000004">
      <c r="A1513">
        <v>106709940</v>
      </c>
      <c r="B1513" s="5"/>
      <c r="C1513" s="5" t="str">
        <f t="shared" si="24"/>
        <v>NIS</v>
      </c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</row>
    <row r="1514" spans="1:15" x14ac:dyDescent="0.55000000000000004">
      <c r="A1514">
        <v>106211835</v>
      </c>
      <c r="B1514" s="5"/>
      <c r="C1514" s="5" t="str">
        <f t="shared" si="24"/>
        <v>NIS</v>
      </c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</row>
    <row r="1515" spans="1:15" x14ac:dyDescent="0.55000000000000004">
      <c r="A1515">
        <v>105391046</v>
      </c>
      <c r="B1515" s="5"/>
      <c r="C1515" s="5" t="str">
        <f t="shared" si="24"/>
        <v>NIS</v>
      </c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</row>
    <row r="1516" spans="1:15" x14ac:dyDescent="0.55000000000000004">
      <c r="A1516">
        <v>105246898</v>
      </c>
      <c r="B1516" s="5"/>
      <c r="C1516" s="5" t="str">
        <f t="shared" si="24"/>
        <v>NIS</v>
      </c>
      <c r="D1516" s="5"/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</row>
    <row r="1517" spans="1:15" x14ac:dyDescent="0.55000000000000004">
      <c r="A1517">
        <v>105771274</v>
      </c>
      <c r="B1517" s="5"/>
      <c r="C1517" s="5" t="str">
        <f t="shared" si="24"/>
        <v>NIS</v>
      </c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</row>
    <row r="1518" spans="1:15" x14ac:dyDescent="0.55000000000000004">
      <c r="A1518">
        <v>105472595</v>
      </c>
      <c r="B1518" s="5"/>
      <c r="C1518" s="5" t="str">
        <f t="shared" si="24"/>
        <v>NIS</v>
      </c>
      <c r="D1518" s="5"/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O1518" s="5"/>
    </row>
    <row r="1519" spans="1:15" x14ac:dyDescent="0.55000000000000004">
      <c r="A1519">
        <v>105402694</v>
      </c>
      <c r="B1519" s="5"/>
      <c r="C1519" s="5" t="str">
        <f t="shared" si="24"/>
        <v>NIS</v>
      </c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</row>
    <row r="1520" spans="1:15" x14ac:dyDescent="0.55000000000000004">
      <c r="A1520">
        <v>105210498</v>
      </c>
      <c r="B1520" s="5"/>
      <c r="C1520" s="5" t="str">
        <f t="shared" si="24"/>
        <v>NIS</v>
      </c>
      <c r="D1520" s="5"/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</row>
    <row r="1521" spans="1:15" x14ac:dyDescent="0.55000000000000004">
      <c r="A1521">
        <v>106379523</v>
      </c>
      <c r="B1521" s="5"/>
      <c r="C1521" s="5" t="str">
        <f t="shared" si="24"/>
        <v>NIS</v>
      </c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</row>
    <row r="1522" spans="1:15" x14ac:dyDescent="0.55000000000000004">
      <c r="A1522">
        <v>106210552</v>
      </c>
      <c r="B1522" s="5"/>
      <c r="C1522" s="5" t="str">
        <f t="shared" si="24"/>
        <v>NIS</v>
      </c>
      <c r="D1522" s="5"/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/>
    </row>
    <row r="1523" spans="1:15" x14ac:dyDescent="0.55000000000000004">
      <c r="A1523">
        <v>105679825</v>
      </c>
      <c r="B1523" s="5"/>
      <c r="C1523" s="5" t="str">
        <f t="shared" si="24"/>
        <v>NIS</v>
      </c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</row>
    <row r="1524" spans="1:15" x14ac:dyDescent="0.55000000000000004">
      <c r="A1524">
        <v>105040347</v>
      </c>
      <c r="B1524" s="5"/>
      <c r="C1524" s="5" t="str">
        <f t="shared" si="24"/>
        <v>NIS</v>
      </c>
      <c r="D1524" s="5"/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</row>
    <row r="1525" spans="1:15" x14ac:dyDescent="0.55000000000000004">
      <c r="A1525">
        <v>105495643</v>
      </c>
      <c r="B1525" s="5"/>
      <c r="C1525" s="5" t="str">
        <f t="shared" si="24"/>
        <v>NIS</v>
      </c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</row>
    <row r="1526" spans="1:15" x14ac:dyDescent="0.55000000000000004">
      <c r="A1526">
        <v>105353420</v>
      </c>
      <c r="B1526" s="5"/>
      <c r="C1526" s="5" t="str">
        <f t="shared" si="24"/>
        <v>NIS</v>
      </c>
      <c r="D1526" s="5"/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O1526" s="5"/>
    </row>
    <row r="1527" spans="1:15" x14ac:dyDescent="0.55000000000000004">
      <c r="A1527">
        <v>105325290</v>
      </c>
      <c r="B1527" s="5"/>
      <c r="C1527" s="5" t="str">
        <f t="shared" si="24"/>
        <v>NIS</v>
      </c>
      <c r="D1527" s="5"/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</row>
    <row r="1528" spans="1:15" x14ac:dyDescent="0.55000000000000004">
      <c r="A1528">
        <v>104958306</v>
      </c>
      <c r="B1528" s="5"/>
      <c r="C1528" s="5" t="str">
        <f t="shared" si="24"/>
        <v>NIS</v>
      </c>
      <c r="D1528" s="5"/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/>
    </row>
    <row r="1529" spans="1:15" x14ac:dyDescent="0.55000000000000004">
      <c r="A1529">
        <v>105844874</v>
      </c>
      <c r="B1529" s="5"/>
      <c r="C1529" s="5" t="str">
        <f t="shared" si="24"/>
        <v>NIS</v>
      </c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</row>
    <row r="1530" spans="1:15" x14ac:dyDescent="0.55000000000000004">
      <c r="A1530">
        <v>105496108</v>
      </c>
      <c r="B1530" s="5"/>
      <c r="C1530" s="5" t="str">
        <f t="shared" si="24"/>
        <v>NIS</v>
      </c>
      <c r="D1530" s="5"/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</row>
    <row r="1531" spans="1:15" x14ac:dyDescent="0.55000000000000004">
      <c r="A1531">
        <v>106227275</v>
      </c>
      <c r="B1531" s="5"/>
      <c r="C1531" s="5" t="str">
        <f t="shared" si="24"/>
        <v>NIS</v>
      </c>
      <c r="D1531" s="5"/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</row>
    <row r="1532" spans="1:15" x14ac:dyDescent="0.55000000000000004">
      <c r="A1532">
        <v>106301550</v>
      </c>
      <c r="B1532" s="5"/>
      <c r="C1532" s="5" t="str">
        <f t="shared" si="24"/>
        <v>NIS</v>
      </c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</row>
    <row r="1533" spans="1:15" x14ac:dyDescent="0.55000000000000004">
      <c r="A1533">
        <v>105516157</v>
      </c>
      <c r="B1533" s="5"/>
      <c r="C1533" s="5" t="str">
        <f t="shared" si="24"/>
        <v>NIS</v>
      </c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</row>
    <row r="1534" spans="1:15" x14ac:dyDescent="0.55000000000000004">
      <c r="A1534">
        <v>105700738</v>
      </c>
      <c r="B1534" s="5"/>
      <c r="C1534" s="5" t="str">
        <f t="shared" si="24"/>
        <v>NIS</v>
      </c>
      <c r="D1534" s="5"/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</row>
    <row r="1535" spans="1:15" x14ac:dyDescent="0.55000000000000004">
      <c r="A1535">
        <v>106371492</v>
      </c>
      <c r="B1535" s="5"/>
      <c r="C1535" s="5" t="str">
        <f t="shared" si="24"/>
        <v>NIS</v>
      </c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</row>
    <row r="1536" spans="1:15" x14ac:dyDescent="0.55000000000000004">
      <c r="A1536">
        <v>105531190</v>
      </c>
      <c r="B1536" s="5"/>
      <c r="C1536" s="5" t="str">
        <f t="shared" si="24"/>
        <v>NIS</v>
      </c>
      <c r="D1536" s="5"/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</row>
    <row r="1537" spans="1:15" x14ac:dyDescent="0.55000000000000004">
      <c r="A1537">
        <v>105607138</v>
      </c>
      <c r="B1537" s="5"/>
      <c r="C1537" s="5" t="str">
        <f t="shared" si="24"/>
        <v>NIS</v>
      </c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</row>
    <row r="1538" spans="1:15" x14ac:dyDescent="0.55000000000000004">
      <c r="A1538">
        <v>105661666</v>
      </c>
      <c r="B1538" s="5"/>
      <c r="C1538" s="5" t="str">
        <f t="shared" ref="C1538:C1601" si="25">IF(COUNTIF($B:$B,A1538)&gt;0,"IS","NIS")</f>
        <v>NIS</v>
      </c>
      <c r="D1538" s="5"/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</row>
    <row r="1539" spans="1:15" x14ac:dyDescent="0.55000000000000004">
      <c r="A1539">
        <v>105938267</v>
      </c>
      <c r="B1539" s="5"/>
      <c r="C1539" s="5" t="str">
        <f t="shared" si="25"/>
        <v>NIS</v>
      </c>
      <c r="D1539" s="5"/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</row>
    <row r="1540" spans="1:15" x14ac:dyDescent="0.55000000000000004">
      <c r="A1540">
        <v>105374187</v>
      </c>
      <c r="B1540" s="5"/>
      <c r="C1540" s="5" t="str">
        <f t="shared" si="25"/>
        <v>NIS</v>
      </c>
      <c r="D1540" s="5"/>
      <c r="E1540" s="5"/>
      <c r="F1540" s="5"/>
      <c r="G1540" s="5"/>
      <c r="H1540" s="5"/>
      <c r="I1540" s="5"/>
      <c r="J1540" s="5"/>
      <c r="K1540" s="5"/>
      <c r="L1540" s="5"/>
      <c r="M1540" s="5"/>
      <c r="N1540" s="5"/>
      <c r="O1540" s="5"/>
    </row>
    <row r="1541" spans="1:15" x14ac:dyDescent="0.55000000000000004">
      <c r="A1541">
        <v>105776099</v>
      </c>
      <c r="B1541" s="5"/>
      <c r="C1541" s="5" t="str">
        <f t="shared" si="25"/>
        <v>NIS</v>
      </c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</row>
    <row r="1542" spans="1:15" x14ac:dyDescent="0.55000000000000004">
      <c r="A1542">
        <v>104931746</v>
      </c>
      <c r="B1542" s="5"/>
      <c r="C1542" s="5" t="str">
        <f t="shared" si="25"/>
        <v>NIS</v>
      </c>
      <c r="D1542" s="5"/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O1542" s="5"/>
    </row>
    <row r="1543" spans="1:15" x14ac:dyDescent="0.55000000000000004">
      <c r="A1543">
        <v>105766887</v>
      </c>
      <c r="B1543" s="5"/>
      <c r="C1543" s="5" t="str">
        <f t="shared" si="25"/>
        <v>NIS</v>
      </c>
      <c r="D1543" s="5"/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</row>
    <row r="1544" spans="1:15" x14ac:dyDescent="0.55000000000000004">
      <c r="A1544">
        <v>106365284</v>
      </c>
      <c r="B1544" s="5"/>
      <c r="C1544" s="5" t="str">
        <f t="shared" si="25"/>
        <v>NIS</v>
      </c>
      <c r="D1544" s="5"/>
      <c r="E1544" s="5"/>
      <c r="F1544" s="5"/>
      <c r="G1544" s="5"/>
      <c r="H1544" s="5"/>
      <c r="I1544" s="5"/>
      <c r="J1544" s="5"/>
      <c r="K1544" s="5"/>
      <c r="L1544" s="5"/>
      <c r="M1544" s="5"/>
      <c r="N1544" s="5"/>
      <c r="O1544" s="5"/>
    </row>
    <row r="1545" spans="1:15" x14ac:dyDescent="0.55000000000000004">
      <c r="A1545">
        <v>106241774</v>
      </c>
      <c r="B1545" s="5"/>
      <c r="C1545" s="5" t="str">
        <f t="shared" si="25"/>
        <v>NIS</v>
      </c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</row>
    <row r="1546" spans="1:15" x14ac:dyDescent="0.55000000000000004">
      <c r="A1546">
        <v>105446902</v>
      </c>
      <c r="B1546" s="5"/>
      <c r="C1546" s="5" t="str">
        <f t="shared" si="25"/>
        <v>NIS</v>
      </c>
      <c r="D1546" s="5"/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</row>
    <row r="1547" spans="1:15" x14ac:dyDescent="0.55000000000000004">
      <c r="A1547">
        <v>106226471</v>
      </c>
      <c r="B1547" s="5"/>
      <c r="C1547" s="5" t="str">
        <f t="shared" si="25"/>
        <v>NIS</v>
      </c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</row>
    <row r="1548" spans="1:15" x14ac:dyDescent="0.55000000000000004">
      <c r="A1548">
        <v>105472596</v>
      </c>
      <c r="B1548" s="5"/>
      <c r="C1548" s="5" t="str">
        <f t="shared" si="25"/>
        <v>NIS</v>
      </c>
      <c r="D1548" s="5"/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</row>
    <row r="1549" spans="1:15" x14ac:dyDescent="0.55000000000000004">
      <c r="A1549">
        <v>105812012</v>
      </c>
      <c r="B1549" s="5"/>
      <c r="C1549" s="5" t="str">
        <f t="shared" si="25"/>
        <v>NIS</v>
      </c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</row>
    <row r="1550" spans="1:15" x14ac:dyDescent="0.55000000000000004">
      <c r="A1550">
        <v>106579610</v>
      </c>
      <c r="B1550" s="5"/>
      <c r="C1550" s="5" t="str">
        <f t="shared" si="25"/>
        <v>NIS</v>
      </c>
      <c r="D1550" s="5"/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</row>
    <row r="1551" spans="1:15" x14ac:dyDescent="0.55000000000000004">
      <c r="A1551">
        <v>105629260</v>
      </c>
      <c r="B1551" s="5"/>
      <c r="C1551" s="5" t="str">
        <f t="shared" si="25"/>
        <v>NIS</v>
      </c>
      <c r="D1551" s="5"/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</row>
    <row r="1552" spans="1:15" x14ac:dyDescent="0.55000000000000004">
      <c r="A1552">
        <v>106167007</v>
      </c>
      <c r="B1552" s="5"/>
      <c r="C1552" s="5" t="str">
        <f t="shared" si="25"/>
        <v>NIS</v>
      </c>
      <c r="D1552" s="5"/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O1552" s="5"/>
    </row>
    <row r="1553" spans="1:15" x14ac:dyDescent="0.55000000000000004">
      <c r="A1553">
        <v>105896536</v>
      </c>
      <c r="B1553" s="5"/>
      <c r="C1553" s="5" t="str">
        <f t="shared" si="25"/>
        <v>NIS</v>
      </c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</row>
    <row r="1554" spans="1:15" x14ac:dyDescent="0.55000000000000004">
      <c r="A1554">
        <v>105430412</v>
      </c>
      <c r="B1554" s="5"/>
      <c r="C1554" s="5" t="str">
        <f t="shared" si="25"/>
        <v>NIS</v>
      </c>
      <c r="D1554" s="5"/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O1554" s="5"/>
    </row>
    <row r="1555" spans="1:15" x14ac:dyDescent="0.55000000000000004">
      <c r="A1555">
        <v>106590907</v>
      </c>
      <c r="B1555" s="5"/>
      <c r="C1555" s="5" t="str">
        <f t="shared" si="25"/>
        <v>NIS</v>
      </c>
      <c r="D1555" s="5"/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O1555" s="5"/>
    </row>
    <row r="1556" spans="1:15" x14ac:dyDescent="0.55000000000000004">
      <c r="A1556">
        <v>105029238</v>
      </c>
      <c r="B1556" s="5"/>
      <c r="C1556" s="5" t="str">
        <f t="shared" si="25"/>
        <v>NIS</v>
      </c>
      <c r="D1556" s="5"/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O1556" s="5"/>
    </row>
    <row r="1557" spans="1:15" x14ac:dyDescent="0.55000000000000004">
      <c r="A1557">
        <v>104982540</v>
      </c>
      <c r="B1557" s="5"/>
      <c r="C1557" s="5" t="str">
        <f t="shared" si="25"/>
        <v>NIS</v>
      </c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</row>
    <row r="1558" spans="1:15" x14ac:dyDescent="0.55000000000000004">
      <c r="A1558">
        <v>105771540</v>
      </c>
      <c r="B1558" s="5"/>
      <c r="C1558" s="5" t="str">
        <f t="shared" si="25"/>
        <v>NIS</v>
      </c>
      <c r="D1558" s="5"/>
      <c r="E1558" s="5"/>
      <c r="F1558" s="5"/>
      <c r="G1558" s="5"/>
      <c r="H1558" s="5"/>
      <c r="I1558" s="5"/>
      <c r="J1558" s="5"/>
      <c r="K1558" s="5"/>
      <c r="L1558" s="5"/>
      <c r="M1558" s="5"/>
      <c r="N1558" s="5"/>
      <c r="O1558" s="5"/>
    </row>
    <row r="1559" spans="1:15" x14ac:dyDescent="0.55000000000000004">
      <c r="A1559">
        <v>105804322</v>
      </c>
      <c r="B1559" s="5"/>
      <c r="C1559" s="5" t="str">
        <f t="shared" si="25"/>
        <v>NIS</v>
      </c>
      <c r="D1559" s="5"/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</row>
    <row r="1560" spans="1:15" x14ac:dyDescent="0.55000000000000004">
      <c r="A1560">
        <v>105439154</v>
      </c>
      <c r="B1560" s="5"/>
      <c r="C1560" s="5" t="str">
        <f t="shared" si="25"/>
        <v>NIS</v>
      </c>
      <c r="D1560" s="5"/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O1560" s="5"/>
    </row>
    <row r="1561" spans="1:15" x14ac:dyDescent="0.55000000000000004">
      <c r="A1561">
        <v>105855890</v>
      </c>
      <c r="B1561" s="5"/>
      <c r="C1561" s="5" t="str">
        <f t="shared" si="25"/>
        <v>NIS</v>
      </c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</row>
    <row r="1562" spans="1:15" x14ac:dyDescent="0.55000000000000004">
      <c r="A1562">
        <v>106210633</v>
      </c>
      <c r="B1562" s="5"/>
      <c r="C1562" s="5" t="str">
        <f t="shared" si="25"/>
        <v>NIS</v>
      </c>
      <c r="D1562" s="5"/>
      <c r="E1562" s="5"/>
      <c r="F1562" s="5"/>
      <c r="G1562" s="5"/>
      <c r="H1562" s="5"/>
      <c r="I1562" s="5"/>
      <c r="J1562" s="5"/>
      <c r="K1562" s="5"/>
      <c r="L1562" s="5"/>
      <c r="M1562" s="5"/>
      <c r="N1562" s="5"/>
      <c r="O1562" s="5"/>
    </row>
    <row r="1563" spans="1:15" x14ac:dyDescent="0.55000000000000004">
      <c r="A1563">
        <v>105859972</v>
      </c>
      <c r="B1563" s="5"/>
      <c r="C1563" s="5" t="str">
        <f t="shared" si="25"/>
        <v>NIS</v>
      </c>
      <c r="D1563" s="5"/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</row>
    <row r="1564" spans="1:15" x14ac:dyDescent="0.55000000000000004">
      <c r="A1564">
        <v>104862377</v>
      </c>
      <c r="B1564" s="5"/>
      <c r="C1564" s="5" t="str">
        <f t="shared" si="25"/>
        <v>NIS</v>
      </c>
      <c r="D1564" s="5"/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O1564" s="5"/>
    </row>
    <row r="1565" spans="1:15" x14ac:dyDescent="0.55000000000000004">
      <c r="A1565">
        <v>105902771</v>
      </c>
      <c r="B1565" s="5"/>
      <c r="C1565" s="5" t="str">
        <f t="shared" si="25"/>
        <v>NIS</v>
      </c>
      <c r="D1565" s="5"/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</row>
    <row r="1566" spans="1:15" x14ac:dyDescent="0.55000000000000004">
      <c r="A1566">
        <v>105342644</v>
      </c>
      <c r="B1566" s="5"/>
      <c r="C1566" s="5" t="str">
        <f t="shared" si="25"/>
        <v>NIS</v>
      </c>
      <c r="D1566" s="5"/>
      <c r="E1566" s="5"/>
      <c r="F1566" s="5"/>
      <c r="G1566" s="5"/>
      <c r="H1566" s="5"/>
      <c r="I1566" s="5"/>
      <c r="J1566" s="5"/>
      <c r="K1566" s="5"/>
      <c r="L1566" s="5"/>
      <c r="M1566" s="5"/>
      <c r="N1566" s="5"/>
      <c r="O1566" s="5"/>
    </row>
    <row r="1567" spans="1:15" x14ac:dyDescent="0.55000000000000004">
      <c r="A1567">
        <v>106678255</v>
      </c>
      <c r="B1567" s="5"/>
      <c r="C1567" s="5" t="str">
        <f t="shared" si="25"/>
        <v>NIS</v>
      </c>
      <c r="D1567" s="5"/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</row>
    <row r="1568" spans="1:15" x14ac:dyDescent="0.55000000000000004">
      <c r="A1568">
        <v>105708681</v>
      </c>
      <c r="B1568" s="5"/>
      <c r="C1568" s="5" t="str">
        <f t="shared" si="25"/>
        <v>NIS</v>
      </c>
      <c r="D1568" s="5"/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/>
    </row>
    <row r="1569" spans="1:15" x14ac:dyDescent="0.55000000000000004">
      <c r="A1569">
        <v>105968002</v>
      </c>
      <c r="B1569" s="5"/>
      <c r="C1569" s="5" t="str">
        <f t="shared" si="25"/>
        <v>NIS</v>
      </c>
      <c r="D1569" s="5"/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</row>
    <row r="1570" spans="1:15" x14ac:dyDescent="0.55000000000000004">
      <c r="A1570">
        <v>106266726</v>
      </c>
      <c r="B1570" s="5"/>
      <c r="C1570" s="5" t="str">
        <f t="shared" si="25"/>
        <v>NIS</v>
      </c>
      <c r="D1570" s="5"/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</row>
    <row r="1571" spans="1:15" x14ac:dyDescent="0.55000000000000004">
      <c r="A1571">
        <v>106028856</v>
      </c>
      <c r="B1571" s="5"/>
      <c r="C1571" s="5" t="str">
        <f t="shared" si="25"/>
        <v>NIS</v>
      </c>
      <c r="D1571" s="5"/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O1571" s="5"/>
    </row>
    <row r="1572" spans="1:15" x14ac:dyDescent="0.55000000000000004">
      <c r="A1572">
        <v>105582656</v>
      </c>
      <c r="B1572" s="5"/>
      <c r="C1572" s="5" t="str">
        <f t="shared" si="25"/>
        <v>NIS</v>
      </c>
      <c r="D1572" s="5"/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O1572" s="5"/>
    </row>
    <row r="1573" spans="1:15" x14ac:dyDescent="0.55000000000000004">
      <c r="A1573">
        <v>105646934</v>
      </c>
      <c r="B1573" s="5"/>
      <c r="C1573" s="5" t="str">
        <f t="shared" si="25"/>
        <v>NIS</v>
      </c>
      <c r="D1573" s="5"/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</row>
    <row r="1574" spans="1:15" x14ac:dyDescent="0.55000000000000004">
      <c r="A1574">
        <v>105104553</v>
      </c>
      <c r="B1574" s="5"/>
      <c r="C1574" s="5" t="str">
        <f t="shared" si="25"/>
        <v>NIS</v>
      </c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</row>
    <row r="1575" spans="1:15" x14ac:dyDescent="0.55000000000000004">
      <c r="A1575">
        <v>106160407</v>
      </c>
      <c r="B1575" s="5"/>
      <c r="C1575" s="5" t="str">
        <f t="shared" si="25"/>
        <v>NIS</v>
      </c>
      <c r="D1575" s="5"/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/>
    </row>
    <row r="1576" spans="1:15" x14ac:dyDescent="0.55000000000000004">
      <c r="A1576">
        <v>105013009</v>
      </c>
      <c r="B1576" s="5"/>
      <c r="C1576" s="5" t="str">
        <f t="shared" si="25"/>
        <v>NIS</v>
      </c>
      <c r="D1576" s="5"/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</row>
    <row r="1577" spans="1:15" x14ac:dyDescent="0.55000000000000004">
      <c r="A1577">
        <v>105529020</v>
      </c>
      <c r="B1577" s="5"/>
      <c r="C1577" s="5" t="str">
        <f t="shared" si="25"/>
        <v>NIS</v>
      </c>
      <c r="D1577" s="5"/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</row>
    <row r="1578" spans="1:15" x14ac:dyDescent="0.55000000000000004">
      <c r="A1578">
        <v>105505168</v>
      </c>
      <c r="B1578" s="5"/>
      <c r="C1578" s="5" t="str">
        <f t="shared" si="25"/>
        <v>NIS</v>
      </c>
      <c r="D1578" s="5"/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</row>
    <row r="1579" spans="1:15" x14ac:dyDescent="0.55000000000000004">
      <c r="A1579">
        <v>106029665</v>
      </c>
      <c r="B1579" s="5"/>
      <c r="C1579" s="5" t="str">
        <f t="shared" si="25"/>
        <v>NIS</v>
      </c>
      <c r="D1579" s="5"/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O1579" s="5"/>
    </row>
    <row r="1580" spans="1:15" x14ac:dyDescent="0.55000000000000004">
      <c r="A1580">
        <v>105414747</v>
      </c>
      <c r="B1580" s="5"/>
      <c r="C1580" s="5" t="str">
        <f t="shared" si="25"/>
        <v>NIS</v>
      </c>
      <c r="D1580" s="5"/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</row>
    <row r="1581" spans="1:15" x14ac:dyDescent="0.55000000000000004">
      <c r="A1581">
        <v>105538489</v>
      </c>
      <c r="B1581" s="5"/>
      <c r="C1581" s="5" t="str">
        <f t="shared" si="25"/>
        <v>NIS</v>
      </c>
      <c r="D1581" s="5"/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/>
    </row>
    <row r="1582" spans="1:15" x14ac:dyDescent="0.55000000000000004">
      <c r="A1582">
        <v>106419771</v>
      </c>
      <c r="B1582" s="5"/>
      <c r="C1582" s="5" t="str">
        <f t="shared" si="25"/>
        <v>NIS</v>
      </c>
      <c r="D1582" s="5"/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</row>
    <row r="1583" spans="1:15" x14ac:dyDescent="0.55000000000000004">
      <c r="A1583">
        <v>106545949</v>
      </c>
      <c r="B1583" s="5"/>
      <c r="C1583" s="5" t="str">
        <f t="shared" si="25"/>
        <v>NIS</v>
      </c>
      <c r="D1583" s="5"/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</row>
    <row r="1584" spans="1:15" x14ac:dyDescent="0.55000000000000004">
      <c r="A1584">
        <v>105204436</v>
      </c>
      <c r="B1584" s="5"/>
      <c r="C1584" s="5" t="str">
        <f t="shared" si="25"/>
        <v>NIS</v>
      </c>
      <c r="D1584" s="5"/>
      <c r="E1584" s="5"/>
      <c r="F1584" s="5"/>
      <c r="G1584" s="5"/>
      <c r="H1584" s="5"/>
      <c r="I1584" s="5"/>
      <c r="J1584" s="5"/>
      <c r="K1584" s="5"/>
      <c r="L1584" s="5"/>
      <c r="M1584" s="5"/>
      <c r="N1584" s="5"/>
      <c r="O1584" s="5"/>
    </row>
    <row r="1585" spans="1:15" x14ac:dyDescent="0.55000000000000004">
      <c r="A1585">
        <v>104939048</v>
      </c>
      <c r="B1585" s="5"/>
      <c r="C1585" s="5" t="str">
        <f t="shared" si="25"/>
        <v>NIS</v>
      </c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</row>
    <row r="1586" spans="1:15" x14ac:dyDescent="0.55000000000000004">
      <c r="A1586">
        <v>106096206</v>
      </c>
      <c r="B1586" s="5"/>
      <c r="C1586" s="5" t="str">
        <f t="shared" si="25"/>
        <v>NIS</v>
      </c>
      <c r="D1586" s="5"/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</row>
    <row r="1587" spans="1:15" x14ac:dyDescent="0.55000000000000004">
      <c r="A1587">
        <v>106126694</v>
      </c>
      <c r="B1587" s="5"/>
      <c r="C1587" s="5" t="str">
        <f t="shared" si="25"/>
        <v>NIS</v>
      </c>
      <c r="D1587" s="5"/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</row>
    <row r="1588" spans="1:15" x14ac:dyDescent="0.55000000000000004">
      <c r="A1588">
        <v>105234447</v>
      </c>
      <c r="B1588" s="5"/>
      <c r="C1588" s="5" t="str">
        <f t="shared" si="25"/>
        <v>NIS</v>
      </c>
      <c r="D1588" s="5"/>
      <c r="E1588" s="5"/>
      <c r="F1588" s="5"/>
      <c r="G1588" s="5"/>
      <c r="H1588" s="5"/>
      <c r="I1588" s="5"/>
      <c r="J1588" s="5"/>
      <c r="K1588" s="5"/>
      <c r="L1588" s="5"/>
      <c r="M1588" s="5"/>
      <c r="N1588" s="5"/>
      <c r="O1588" s="5"/>
    </row>
    <row r="1589" spans="1:15" x14ac:dyDescent="0.55000000000000004">
      <c r="A1589">
        <v>105369145</v>
      </c>
      <c r="B1589" s="5"/>
      <c r="C1589" s="5" t="str">
        <f t="shared" si="25"/>
        <v>NIS</v>
      </c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</row>
    <row r="1590" spans="1:15" x14ac:dyDescent="0.55000000000000004">
      <c r="A1590">
        <v>105293890</v>
      </c>
      <c r="B1590" s="5"/>
      <c r="C1590" s="5" t="str">
        <f t="shared" si="25"/>
        <v>NIS</v>
      </c>
      <c r="D1590" s="5"/>
      <c r="E1590" s="5"/>
      <c r="F1590" s="5"/>
      <c r="G1590" s="5"/>
      <c r="H1590" s="5"/>
      <c r="I1590" s="5"/>
      <c r="J1590" s="5"/>
      <c r="K1590" s="5"/>
      <c r="L1590" s="5"/>
      <c r="M1590" s="5"/>
      <c r="N1590" s="5"/>
      <c r="O1590" s="5"/>
    </row>
    <row r="1591" spans="1:15" x14ac:dyDescent="0.55000000000000004">
      <c r="A1591">
        <v>106069912</v>
      </c>
      <c r="B1591" s="5"/>
      <c r="C1591" s="5" t="str">
        <f t="shared" si="25"/>
        <v>NIS</v>
      </c>
      <c r="D1591" s="5"/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O1591" s="5"/>
    </row>
    <row r="1592" spans="1:15" x14ac:dyDescent="0.55000000000000004">
      <c r="A1592">
        <v>105391973</v>
      </c>
      <c r="B1592" s="5"/>
      <c r="C1592" s="5" t="str">
        <f t="shared" si="25"/>
        <v>NIS</v>
      </c>
      <c r="D1592" s="5"/>
      <c r="E1592" s="5"/>
      <c r="F1592" s="5"/>
      <c r="G1592" s="5"/>
      <c r="H1592" s="5"/>
      <c r="I1592" s="5"/>
      <c r="J1592" s="5"/>
      <c r="K1592" s="5"/>
      <c r="L1592" s="5"/>
      <c r="M1592" s="5"/>
      <c r="N1592" s="5"/>
      <c r="O1592" s="5"/>
    </row>
    <row r="1593" spans="1:15" x14ac:dyDescent="0.55000000000000004">
      <c r="A1593">
        <v>105663105</v>
      </c>
      <c r="B1593" s="5"/>
      <c r="C1593" s="5" t="str">
        <f t="shared" si="25"/>
        <v>NIS</v>
      </c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</row>
    <row r="1594" spans="1:15" x14ac:dyDescent="0.55000000000000004">
      <c r="A1594">
        <v>106143555</v>
      </c>
      <c r="B1594" s="5"/>
      <c r="C1594" s="5" t="str">
        <f t="shared" si="25"/>
        <v>NIS</v>
      </c>
      <c r="D1594" s="5"/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</row>
    <row r="1595" spans="1:15" x14ac:dyDescent="0.55000000000000004">
      <c r="A1595">
        <v>105308295</v>
      </c>
      <c r="B1595" s="5"/>
      <c r="C1595" s="5" t="str">
        <f t="shared" si="25"/>
        <v>NIS</v>
      </c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</row>
    <row r="1596" spans="1:15" x14ac:dyDescent="0.55000000000000004">
      <c r="A1596">
        <v>106571664</v>
      </c>
      <c r="B1596" s="5"/>
      <c r="C1596" s="5" t="str">
        <f t="shared" si="25"/>
        <v>NIS</v>
      </c>
      <c r="D1596" s="5"/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O1596" s="5"/>
    </row>
    <row r="1597" spans="1:15" x14ac:dyDescent="0.55000000000000004">
      <c r="A1597">
        <v>105838653</v>
      </c>
      <c r="B1597" s="5"/>
      <c r="C1597" s="5" t="str">
        <f t="shared" si="25"/>
        <v>NIS</v>
      </c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</row>
    <row r="1598" spans="1:15" x14ac:dyDescent="0.55000000000000004">
      <c r="A1598">
        <v>104924700</v>
      </c>
      <c r="B1598" s="5"/>
      <c r="C1598" s="5" t="str">
        <f t="shared" si="25"/>
        <v>NIS</v>
      </c>
      <c r="D1598" s="5"/>
      <c r="E1598" s="5"/>
      <c r="F1598" s="5"/>
      <c r="G1598" s="5"/>
      <c r="H1598" s="5"/>
      <c r="I1598" s="5"/>
      <c r="J1598" s="5"/>
      <c r="K1598" s="5"/>
      <c r="L1598" s="5"/>
      <c r="M1598" s="5"/>
      <c r="N1598" s="5"/>
      <c r="O1598" s="5"/>
    </row>
    <row r="1599" spans="1:15" x14ac:dyDescent="0.55000000000000004">
      <c r="A1599">
        <v>105493383</v>
      </c>
      <c r="B1599" s="5"/>
      <c r="C1599" s="5" t="str">
        <f t="shared" si="25"/>
        <v>NIS</v>
      </c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</row>
    <row r="1600" spans="1:15" x14ac:dyDescent="0.55000000000000004">
      <c r="A1600">
        <v>106137202</v>
      </c>
      <c r="B1600" s="5"/>
      <c r="C1600" s="5" t="str">
        <f t="shared" si="25"/>
        <v>NIS</v>
      </c>
      <c r="D1600" s="5"/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O1600" s="5"/>
    </row>
    <row r="1601" spans="1:15" x14ac:dyDescent="0.55000000000000004">
      <c r="A1601">
        <v>105493390</v>
      </c>
      <c r="B1601" s="5"/>
      <c r="C1601" s="5" t="str">
        <f t="shared" si="25"/>
        <v>NIS</v>
      </c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</row>
    <row r="1602" spans="1:15" x14ac:dyDescent="0.55000000000000004">
      <c r="A1602">
        <v>105927904</v>
      </c>
      <c r="B1602" s="5"/>
      <c r="C1602" s="5" t="str">
        <f t="shared" ref="C1602:C1665" si="26">IF(COUNTIF($B:$B,A1602)&gt;0,"IS","NIS")</f>
        <v>NIS</v>
      </c>
      <c r="D1602" s="5"/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/>
    </row>
    <row r="1603" spans="1:15" x14ac:dyDescent="0.55000000000000004">
      <c r="A1603">
        <v>106084407</v>
      </c>
      <c r="B1603" s="5"/>
      <c r="C1603" s="5" t="str">
        <f t="shared" si="26"/>
        <v>NIS</v>
      </c>
      <c r="D1603" s="5"/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</row>
    <row r="1604" spans="1:15" x14ac:dyDescent="0.55000000000000004">
      <c r="A1604">
        <v>106251529</v>
      </c>
      <c r="B1604" s="5"/>
      <c r="C1604" s="5" t="str">
        <f t="shared" si="26"/>
        <v>NIS</v>
      </c>
      <c r="D1604" s="5"/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</row>
    <row r="1605" spans="1:15" x14ac:dyDescent="0.55000000000000004">
      <c r="A1605">
        <v>105591585</v>
      </c>
      <c r="B1605" s="5"/>
      <c r="C1605" s="5" t="str">
        <f t="shared" si="26"/>
        <v>NIS</v>
      </c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</row>
    <row r="1606" spans="1:15" x14ac:dyDescent="0.55000000000000004">
      <c r="A1606">
        <v>106467749</v>
      </c>
      <c r="B1606" s="5"/>
      <c r="C1606" s="5" t="str">
        <f t="shared" si="26"/>
        <v>NIS</v>
      </c>
      <c r="D1606" s="5"/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/>
    </row>
    <row r="1607" spans="1:15" x14ac:dyDescent="0.55000000000000004">
      <c r="A1607">
        <v>106165445</v>
      </c>
      <c r="B1607" s="5"/>
      <c r="C1607" s="5" t="str">
        <f t="shared" si="26"/>
        <v>NIS</v>
      </c>
      <c r="D1607" s="5"/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</row>
    <row r="1608" spans="1:15" x14ac:dyDescent="0.55000000000000004">
      <c r="A1608">
        <v>106515671</v>
      </c>
      <c r="B1608" s="5"/>
      <c r="C1608" s="5" t="str">
        <f t="shared" si="26"/>
        <v>NIS</v>
      </c>
      <c r="D1608" s="5"/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</row>
    <row r="1609" spans="1:15" x14ac:dyDescent="0.55000000000000004">
      <c r="A1609">
        <v>106025889</v>
      </c>
      <c r="B1609" s="5"/>
      <c r="C1609" s="5" t="str">
        <f t="shared" si="26"/>
        <v>NIS</v>
      </c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</row>
    <row r="1610" spans="1:15" x14ac:dyDescent="0.55000000000000004">
      <c r="A1610">
        <v>105962417</v>
      </c>
      <c r="B1610" s="5"/>
      <c r="C1610" s="5" t="str">
        <f t="shared" si="26"/>
        <v>NIS</v>
      </c>
      <c r="D1610" s="5"/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</row>
    <row r="1611" spans="1:15" x14ac:dyDescent="0.55000000000000004">
      <c r="A1611">
        <v>105481794</v>
      </c>
      <c r="B1611" s="5"/>
      <c r="C1611" s="5" t="str">
        <f t="shared" si="26"/>
        <v>NIS</v>
      </c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</row>
    <row r="1612" spans="1:15" x14ac:dyDescent="0.55000000000000004">
      <c r="A1612">
        <v>105159677</v>
      </c>
      <c r="B1612" s="5"/>
      <c r="C1612" s="5" t="str">
        <f t="shared" si="26"/>
        <v>NIS</v>
      </c>
      <c r="D1612" s="5"/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</row>
    <row r="1613" spans="1:15" x14ac:dyDescent="0.55000000000000004">
      <c r="A1613">
        <v>105510136</v>
      </c>
      <c r="B1613" s="5"/>
      <c r="C1613" s="5" t="str">
        <f t="shared" si="26"/>
        <v>NIS</v>
      </c>
      <c r="D1613" s="5"/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</row>
    <row r="1614" spans="1:15" x14ac:dyDescent="0.55000000000000004">
      <c r="A1614">
        <v>105657324</v>
      </c>
      <c r="B1614" s="5"/>
      <c r="C1614" s="5" t="str">
        <f t="shared" si="26"/>
        <v>NIS</v>
      </c>
      <c r="D1614" s="5"/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</row>
    <row r="1615" spans="1:15" x14ac:dyDescent="0.55000000000000004">
      <c r="A1615">
        <v>105062292</v>
      </c>
      <c r="B1615" s="5"/>
      <c r="C1615" s="5" t="str">
        <f t="shared" si="26"/>
        <v>NIS</v>
      </c>
      <c r="D1615" s="5"/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</row>
    <row r="1616" spans="1:15" x14ac:dyDescent="0.55000000000000004">
      <c r="A1616">
        <v>105861381</v>
      </c>
      <c r="B1616" s="5"/>
      <c r="C1616" s="5" t="str">
        <f t="shared" si="26"/>
        <v>NIS</v>
      </c>
      <c r="D1616" s="5"/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</row>
    <row r="1617" spans="1:15" x14ac:dyDescent="0.55000000000000004">
      <c r="A1617">
        <v>105079743</v>
      </c>
      <c r="B1617" s="5"/>
      <c r="C1617" s="5" t="str">
        <f t="shared" si="26"/>
        <v>NIS</v>
      </c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</row>
    <row r="1618" spans="1:15" x14ac:dyDescent="0.55000000000000004">
      <c r="A1618">
        <v>105488082</v>
      </c>
      <c r="B1618" s="5"/>
      <c r="C1618" s="5" t="str">
        <f t="shared" si="26"/>
        <v>NIS</v>
      </c>
      <c r="D1618" s="5"/>
      <c r="E1618" s="5"/>
      <c r="F1618" s="5"/>
      <c r="G1618" s="5"/>
      <c r="H1618" s="5"/>
      <c r="I1618" s="5"/>
      <c r="J1618" s="5"/>
      <c r="K1618" s="5"/>
      <c r="L1618" s="5"/>
      <c r="M1618" s="5"/>
      <c r="N1618" s="5"/>
      <c r="O1618" s="5"/>
    </row>
    <row r="1619" spans="1:15" x14ac:dyDescent="0.55000000000000004">
      <c r="A1619">
        <v>105435202</v>
      </c>
      <c r="B1619" s="5"/>
      <c r="C1619" s="5" t="str">
        <f t="shared" si="26"/>
        <v>NIS</v>
      </c>
      <c r="D1619" s="5"/>
      <c r="E1619" s="5"/>
      <c r="F1619" s="5"/>
      <c r="G1619" s="5"/>
      <c r="H1619" s="5"/>
      <c r="I1619" s="5"/>
      <c r="J1619" s="5"/>
      <c r="K1619" s="5"/>
      <c r="L1619" s="5"/>
      <c r="M1619" s="5"/>
      <c r="N1619" s="5"/>
      <c r="O1619" s="5"/>
    </row>
    <row r="1620" spans="1:15" x14ac:dyDescent="0.55000000000000004">
      <c r="A1620">
        <v>105573864</v>
      </c>
      <c r="B1620" s="5"/>
      <c r="C1620" s="5" t="str">
        <f t="shared" si="26"/>
        <v>NIS</v>
      </c>
      <c r="D1620" s="5"/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/>
    </row>
    <row r="1621" spans="1:15" x14ac:dyDescent="0.55000000000000004">
      <c r="A1621">
        <v>106375139</v>
      </c>
      <c r="B1621" s="5"/>
      <c r="C1621" s="5" t="str">
        <f t="shared" si="26"/>
        <v>NIS</v>
      </c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</row>
    <row r="1622" spans="1:15" x14ac:dyDescent="0.55000000000000004">
      <c r="A1622">
        <v>105510165</v>
      </c>
      <c r="B1622" s="5"/>
      <c r="C1622" s="5" t="str">
        <f t="shared" si="26"/>
        <v>NIS</v>
      </c>
      <c r="D1622" s="5"/>
      <c r="E1622" s="5"/>
      <c r="F1622" s="5"/>
      <c r="G1622" s="5"/>
      <c r="H1622" s="5"/>
      <c r="I1622" s="5"/>
      <c r="J1622" s="5"/>
      <c r="K1622" s="5"/>
      <c r="L1622" s="5"/>
      <c r="M1622" s="5"/>
      <c r="N1622" s="5"/>
      <c r="O1622" s="5"/>
    </row>
    <row r="1623" spans="1:15" x14ac:dyDescent="0.55000000000000004">
      <c r="A1623">
        <v>105578810</v>
      </c>
      <c r="B1623" s="5"/>
      <c r="C1623" s="5" t="str">
        <f t="shared" si="26"/>
        <v>NIS</v>
      </c>
      <c r="D1623" s="5"/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</row>
    <row r="1624" spans="1:15" x14ac:dyDescent="0.55000000000000004">
      <c r="A1624">
        <v>106472029</v>
      </c>
      <c r="B1624" s="5"/>
      <c r="C1624" s="5" t="str">
        <f t="shared" si="26"/>
        <v>NIS</v>
      </c>
      <c r="D1624" s="5"/>
      <c r="E1624" s="5"/>
      <c r="F1624" s="5"/>
      <c r="G1624" s="5"/>
      <c r="H1624" s="5"/>
      <c r="I1624" s="5"/>
      <c r="J1624" s="5"/>
      <c r="K1624" s="5"/>
      <c r="L1624" s="5"/>
      <c r="M1624" s="5"/>
      <c r="N1624" s="5"/>
      <c r="O1624" s="5"/>
    </row>
    <row r="1625" spans="1:15" x14ac:dyDescent="0.55000000000000004">
      <c r="A1625">
        <v>105148644</v>
      </c>
      <c r="B1625" s="5"/>
      <c r="C1625" s="5" t="str">
        <f t="shared" si="26"/>
        <v>NIS</v>
      </c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</row>
    <row r="1626" spans="1:15" x14ac:dyDescent="0.55000000000000004">
      <c r="A1626">
        <v>106635424</v>
      </c>
      <c r="B1626" s="5"/>
      <c r="C1626" s="5" t="str">
        <f t="shared" si="26"/>
        <v>NIS</v>
      </c>
      <c r="D1626" s="5"/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5"/>
    </row>
    <row r="1627" spans="1:15" x14ac:dyDescent="0.55000000000000004">
      <c r="A1627">
        <v>106189539</v>
      </c>
      <c r="B1627" s="5"/>
      <c r="C1627" s="5" t="str">
        <f t="shared" si="26"/>
        <v>NIS</v>
      </c>
      <c r="D1627" s="5"/>
      <c r="E1627" s="5"/>
      <c r="F1627" s="5"/>
      <c r="G1627" s="5"/>
      <c r="H1627" s="5"/>
      <c r="I1627" s="5"/>
      <c r="J1627" s="5"/>
      <c r="K1627" s="5"/>
      <c r="L1627" s="5"/>
      <c r="M1627" s="5"/>
      <c r="N1627" s="5"/>
      <c r="O1627" s="5"/>
    </row>
    <row r="1628" spans="1:15" x14ac:dyDescent="0.55000000000000004">
      <c r="A1628">
        <v>106461577</v>
      </c>
      <c r="B1628" s="5"/>
      <c r="C1628" s="5" t="str">
        <f t="shared" si="26"/>
        <v>NIS</v>
      </c>
      <c r="D1628" s="5"/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O1628" s="5"/>
    </row>
    <row r="1629" spans="1:15" x14ac:dyDescent="0.55000000000000004">
      <c r="A1629">
        <v>105002000</v>
      </c>
      <c r="B1629" s="5"/>
      <c r="C1629" s="5" t="str">
        <f t="shared" si="26"/>
        <v>NIS</v>
      </c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</row>
    <row r="1630" spans="1:15" x14ac:dyDescent="0.55000000000000004">
      <c r="A1630">
        <v>105986159</v>
      </c>
      <c r="B1630" s="5"/>
      <c r="C1630" s="5" t="str">
        <f t="shared" si="26"/>
        <v>NIS</v>
      </c>
      <c r="D1630" s="5"/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O1630" s="5"/>
    </row>
    <row r="1631" spans="1:15" x14ac:dyDescent="0.55000000000000004">
      <c r="A1631">
        <v>106465245</v>
      </c>
      <c r="B1631" s="5"/>
      <c r="C1631" s="5" t="str">
        <f t="shared" si="26"/>
        <v>NIS</v>
      </c>
      <c r="D1631" s="5"/>
      <c r="E1631" s="5"/>
      <c r="F1631" s="5"/>
      <c r="G1631" s="5"/>
      <c r="H1631" s="5"/>
      <c r="I1631" s="5"/>
      <c r="J1631" s="5"/>
      <c r="K1631" s="5"/>
      <c r="L1631" s="5"/>
      <c r="M1631" s="5"/>
      <c r="N1631" s="5"/>
      <c r="O1631" s="5"/>
    </row>
    <row r="1632" spans="1:15" x14ac:dyDescent="0.55000000000000004">
      <c r="A1632">
        <v>105042019</v>
      </c>
      <c r="B1632" s="5"/>
      <c r="C1632" s="5" t="str">
        <f t="shared" si="26"/>
        <v>NIS</v>
      </c>
      <c r="D1632" s="5"/>
      <c r="E1632" s="5"/>
      <c r="F1632" s="5"/>
      <c r="G1632" s="5"/>
      <c r="H1632" s="5"/>
      <c r="I1632" s="5"/>
      <c r="J1632" s="5"/>
      <c r="K1632" s="5"/>
      <c r="L1632" s="5"/>
      <c r="M1632" s="5"/>
      <c r="N1632" s="5"/>
      <c r="O1632" s="5"/>
    </row>
    <row r="1633" spans="1:15" x14ac:dyDescent="0.55000000000000004">
      <c r="A1633">
        <v>106331979</v>
      </c>
      <c r="B1633" s="5"/>
      <c r="C1633" s="5" t="str">
        <f t="shared" si="26"/>
        <v>NIS</v>
      </c>
      <c r="D1633" s="5"/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/>
    </row>
    <row r="1634" spans="1:15" x14ac:dyDescent="0.55000000000000004">
      <c r="A1634">
        <v>105321646</v>
      </c>
      <c r="B1634" s="5"/>
      <c r="C1634" s="5" t="str">
        <f t="shared" si="26"/>
        <v>NIS</v>
      </c>
      <c r="D1634" s="5"/>
      <c r="E1634" s="5"/>
      <c r="F1634" s="5"/>
      <c r="G1634" s="5"/>
      <c r="H1634" s="5"/>
      <c r="I1634" s="5"/>
      <c r="J1634" s="5"/>
      <c r="K1634" s="5"/>
      <c r="L1634" s="5"/>
      <c r="M1634" s="5"/>
      <c r="N1634" s="5"/>
      <c r="O1634" s="5"/>
    </row>
    <row r="1635" spans="1:15" x14ac:dyDescent="0.55000000000000004">
      <c r="A1635">
        <v>105591575</v>
      </c>
      <c r="B1635" s="5"/>
      <c r="C1635" s="5" t="str">
        <f t="shared" si="26"/>
        <v>NIS</v>
      </c>
      <c r="D1635" s="5"/>
      <c r="E1635" s="5"/>
      <c r="F1635" s="5"/>
      <c r="G1635" s="5"/>
      <c r="H1635" s="5"/>
      <c r="I1635" s="5"/>
      <c r="J1635" s="5"/>
      <c r="K1635" s="5"/>
      <c r="L1635" s="5"/>
      <c r="M1635" s="5"/>
      <c r="N1635" s="5"/>
      <c r="O1635" s="5"/>
    </row>
    <row r="1636" spans="1:15" x14ac:dyDescent="0.55000000000000004">
      <c r="A1636">
        <v>106597828</v>
      </c>
      <c r="B1636" s="5"/>
      <c r="C1636" s="5" t="str">
        <f t="shared" si="26"/>
        <v>NIS</v>
      </c>
      <c r="D1636" s="5"/>
      <c r="E1636" s="5"/>
      <c r="F1636" s="5"/>
      <c r="G1636" s="5"/>
      <c r="H1636" s="5"/>
      <c r="I1636" s="5"/>
      <c r="J1636" s="5"/>
      <c r="K1636" s="5"/>
      <c r="L1636" s="5"/>
      <c r="M1636" s="5"/>
      <c r="N1636" s="5"/>
      <c r="O1636" s="5"/>
    </row>
    <row r="1637" spans="1:15" x14ac:dyDescent="0.55000000000000004">
      <c r="A1637">
        <v>105207971</v>
      </c>
      <c r="B1637" s="5"/>
      <c r="C1637" s="5" t="str">
        <f t="shared" si="26"/>
        <v>NIS</v>
      </c>
      <c r="D1637" s="5"/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/>
    </row>
    <row r="1638" spans="1:15" x14ac:dyDescent="0.55000000000000004">
      <c r="A1638">
        <v>106338065</v>
      </c>
      <c r="B1638" s="5"/>
      <c r="C1638" s="5" t="str">
        <f t="shared" si="26"/>
        <v>NIS</v>
      </c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</row>
    <row r="1639" spans="1:15" x14ac:dyDescent="0.55000000000000004">
      <c r="A1639">
        <v>106011766</v>
      </c>
      <c r="B1639" s="5"/>
      <c r="C1639" s="5" t="str">
        <f t="shared" si="26"/>
        <v>NIS</v>
      </c>
      <c r="D1639" s="5"/>
      <c r="E1639" s="5"/>
      <c r="F1639" s="5"/>
      <c r="G1639" s="5"/>
      <c r="H1639" s="5"/>
      <c r="I1639" s="5"/>
      <c r="J1639" s="5"/>
      <c r="K1639" s="5"/>
      <c r="L1639" s="5"/>
      <c r="M1639" s="5"/>
      <c r="N1639" s="5"/>
      <c r="O1639" s="5"/>
    </row>
    <row r="1640" spans="1:15" x14ac:dyDescent="0.55000000000000004">
      <c r="A1640">
        <v>106534586</v>
      </c>
      <c r="B1640" s="5"/>
      <c r="C1640" s="5" t="str">
        <f t="shared" si="26"/>
        <v>NIS</v>
      </c>
      <c r="D1640" s="5"/>
      <c r="E1640" s="5"/>
      <c r="F1640" s="5"/>
      <c r="G1640" s="5"/>
      <c r="H1640" s="5"/>
      <c r="I1640" s="5"/>
      <c r="J1640" s="5"/>
      <c r="K1640" s="5"/>
      <c r="L1640" s="5"/>
      <c r="M1640" s="5"/>
      <c r="N1640" s="5"/>
      <c r="O1640" s="5"/>
    </row>
    <row r="1641" spans="1:15" x14ac:dyDescent="0.55000000000000004">
      <c r="A1641">
        <v>106340641</v>
      </c>
      <c r="B1641" s="5"/>
      <c r="C1641" s="5" t="str">
        <f t="shared" si="26"/>
        <v>NIS</v>
      </c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</row>
    <row r="1642" spans="1:15" x14ac:dyDescent="0.55000000000000004">
      <c r="B1642" s="5"/>
      <c r="C1642" s="5"/>
      <c r="D1642" s="5"/>
      <c r="E1642" s="5"/>
      <c r="F1642" s="5"/>
      <c r="G1642" s="5"/>
      <c r="H1642" s="5"/>
      <c r="I1642" s="5"/>
      <c r="J1642" s="5"/>
      <c r="K1642" s="5"/>
      <c r="L1642" s="5"/>
      <c r="M1642" s="5"/>
      <c r="N1642" s="5"/>
      <c r="O1642" s="5"/>
    </row>
    <row r="1643" spans="1:15" x14ac:dyDescent="0.55000000000000004">
      <c r="B1643" s="5"/>
      <c r="C1643" s="5"/>
      <c r="D1643" s="5"/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</row>
    <row r="1644" spans="1:15" x14ac:dyDescent="0.55000000000000004">
      <c r="B1644" s="5"/>
      <c r="C1644" s="5"/>
      <c r="D1644" s="5"/>
      <c r="E1644" s="5"/>
      <c r="F1644" s="5"/>
      <c r="G1644" s="5"/>
      <c r="H1644" s="5"/>
      <c r="I1644" s="5"/>
      <c r="J1644" s="5"/>
      <c r="K1644" s="5"/>
      <c r="L1644" s="5"/>
      <c r="M1644" s="5"/>
      <c r="N1644" s="5"/>
      <c r="O1644" s="5"/>
    </row>
    <row r="1645" spans="1:15" x14ac:dyDescent="0.55000000000000004">
      <c r="B1645" s="5"/>
      <c r="C1645" s="5"/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</row>
    <row r="1646" spans="1:15" x14ac:dyDescent="0.55000000000000004">
      <c r="B1646" s="5"/>
      <c r="C1646" s="5"/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</row>
    <row r="1647" spans="1:15" x14ac:dyDescent="0.55000000000000004">
      <c r="B1647" s="5"/>
      <c r="C1647" s="5"/>
      <c r="D1647" s="5"/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/>
    </row>
    <row r="1648" spans="1:15" x14ac:dyDescent="0.55000000000000004">
      <c r="B1648" s="5"/>
      <c r="C1648" s="5"/>
      <c r="D1648" s="5"/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/>
    </row>
    <row r="1649" spans="2:15" x14ac:dyDescent="0.55000000000000004">
      <c r="B1649" s="5"/>
      <c r="C1649" s="5"/>
      <c r="D1649" s="5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</row>
    <row r="1650" spans="2:15" x14ac:dyDescent="0.55000000000000004">
      <c r="B1650" s="5"/>
      <c r="C1650" s="5"/>
      <c r="D1650" s="5"/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/>
    </row>
    <row r="1651" spans="2:15" x14ac:dyDescent="0.55000000000000004">
      <c r="B1651" s="5"/>
      <c r="C1651" s="5"/>
      <c r="D1651" s="5"/>
      <c r="E1651" s="5"/>
      <c r="F1651" s="5"/>
      <c r="G1651" s="5"/>
      <c r="H1651" s="5"/>
      <c r="I1651" s="5"/>
      <c r="J1651" s="5"/>
      <c r="K1651" s="5"/>
      <c r="L1651" s="5"/>
      <c r="M1651" s="5"/>
      <c r="N1651" s="5"/>
      <c r="O1651" s="5"/>
    </row>
    <row r="1652" spans="2:15" x14ac:dyDescent="0.55000000000000004">
      <c r="B1652" s="5"/>
      <c r="C1652" s="5"/>
      <c r="D1652" s="5"/>
      <c r="E1652" s="5"/>
      <c r="F1652" s="5"/>
      <c r="G1652" s="5"/>
      <c r="H1652" s="5"/>
      <c r="I1652" s="5"/>
      <c r="J1652" s="5"/>
      <c r="K1652" s="5"/>
      <c r="L1652" s="5"/>
      <c r="M1652" s="5"/>
      <c r="N1652" s="5"/>
      <c r="O1652" s="5"/>
    </row>
    <row r="1653" spans="2:15" x14ac:dyDescent="0.55000000000000004">
      <c r="B1653" s="5"/>
      <c r="C1653" s="5"/>
      <c r="D1653" s="5"/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</row>
    <row r="1654" spans="2:15" x14ac:dyDescent="0.55000000000000004">
      <c r="B1654" s="5"/>
      <c r="C1654" s="5"/>
      <c r="D1654" s="5"/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</row>
    <row r="1655" spans="2:15" x14ac:dyDescent="0.55000000000000004">
      <c r="B1655" s="5"/>
      <c r="C1655" s="5"/>
      <c r="D1655" s="5"/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</row>
    <row r="1656" spans="2:15" x14ac:dyDescent="0.55000000000000004">
      <c r="B1656" s="5"/>
      <c r="C1656" s="5"/>
      <c r="D1656" s="5"/>
      <c r="E1656" s="5"/>
      <c r="F1656" s="5"/>
      <c r="G1656" s="5"/>
      <c r="H1656" s="5"/>
      <c r="I1656" s="5"/>
      <c r="J1656" s="5"/>
      <c r="K1656" s="5"/>
      <c r="L1656" s="5"/>
      <c r="M1656" s="5"/>
      <c r="N1656" s="5"/>
      <c r="O1656" s="5"/>
    </row>
    <row r="1657" spans="2:15" x14ac:dyDescent="0.55000000000000004">
      <c r="B1657" s="5"/>
      <c r="C1657" s="5"/>
      <c r="D1657" s="5"/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</row>
    <row r="1658" spans="2:15" x14ac:dyDescent="0.55000000000000004">
      <c r="B1658" s="5"/>
      <c r="C1658" s="5"/>
      <c r="D1658" s="5"/>
      <c r="E1658" s="5"/>
      <c r="F1658" s="5"/>
      <c r="G1658" s="5"/>
      <c r="H1658" s="5"/>
      <c r="I1658" s="5"/>
      <c r="J1658" s="5"/>
      <c r="K1658" s="5"/>
      <c r="L1658" s="5"/>
      <c r="M1658" s="5"/>
      <c r="N1658" s="5"/>
      <c r="O1658" s="5"/>
    </row>
    <row r="1659" spans="2:15" x14ac:dyDescent="0.55000000000000004">
      <c r="B1659" s="5"/>
      <c r="C1659" s="5"/>
      <c r="D1659" s="5"/>
      <c r="E1659" s="5"/>
      <c r="F1659" s="5"/>
      <c r="G1659" s="5"/>
      <c r="H1659" s="5"/>
      <c r="I1659" s="5"/>
      <c r="J1659" s="5"/>
      <c r="K1659" s="5"/>
      <c r="L1659" s="5"/>
      <c r="M1659" s="5"/>
      <c r="N1659" s="5"/>
      <c r="O1659" s="5"/>
    </row>
    <row r="1660" spans="2:15" x14ac:dyDescent="0.55000000000000004">
      <c r="B1660" s="5"/>
      <c r="C1660" s="5"/>
      <c r="D1660" s="5"/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O1660" s="5"/>
    </row>
    <row r="1661" spans="2:15" x14ac:dyDescent="0.55000000000000004">
      <c r="B1661" s="5"/>
      <c r="C1661" s="5"/>
      <c r="D1661" s="5"/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</row>
    <row r="1662" spans="2:15" x14ac:dyDescent="0.55000000000000004">
      <c r="B1662" s="5"/>
      <c r="C1662" s="5"/>
      <c r="D1662" s="5"/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</row>
    <row r="1663" spans="2:15" x14ac:dyDescent="0.55000000000000004">
      <c r="B1663" s="5"/>
      <c r="C1663" s="5"/>
      <c r="D1663" s="5"/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</row>
    <row r="1664" spans="2:15" x14ac:dyDescent="0.55000000000000004">
      <c r="B1664" s="5"/>
      <c r="C1664" s="5"/>
      <c r="D1664" s="5"/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</row>
    <row r="1665" spans="2:15" x14ac:dyDescent="0.55000000000000004">
      <c r="B1665" s="5"/>
      <c r="C1665" s="5"/>
      <c r="D1665" s="5"/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/>
    </row>
    <row r="1666" spans="2:15" x14ac:dyDescent="0.55000000000000004">
      <c r="B1666" s="5"/>
      <c r="C1666" s="5"/>
      <c r="D1666" s="5"/>
      <c r="E1666" s="5"/>
      <c r="F1666" s="5"/>
      <c r="G1666" s="5"/>
      <c r="H1666" s="5"/>
      <c r="I1666" s="5"/>
      <c r="J1666" s="5"/>
      <c r="K1666" s="5"/>
      <c r="L1666" s="5"/>
      <c r="M1666" s="5"/>
      <c r="N1666" s="5"/>
      <c r="O1666" s="5"/>
    </row>
    <row r="1667" spans="2:15" x14ac:dyDescent="0.55000000000000004">
      <c r="B1667" s="5"/>
      <c r="C1667" s="5"/>
      <c r="D1667" s="5"/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</row>
    <row r="1668" spans="2:15" x14ac:dyDescent="0.55000000000000004">
      <c r="B1668" s="5"/>
      <c r="C1668" s="5"/>
      <c r="D1668" s="5"/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</row>
    <row r="1669" spans="2:15" x14ac:dyDescent="0.55000000000000004">
      <c r="B1669" s="5"/>
      <c r="C1669" s="5"/>
      <c r="D1669" s="5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</row>
    <row r="1670" spans="2:15" x14ac:dyDescent="0.55000000000000004">
      <c r="B1670" s="5"/>
      <c r="C1670" s="5"/>
      <c r="D1670" s="5"/>
      <c r="E1670" s="5"/>
      <c r="F1670" s="5"/>
      <c r="G1670" s="5"/>
      <c r="H1670" s="5"/>
      <c r="I1670" s="5"/>
      <c r="J1670" s="5"/>
      <c r="K1670" s="5"/>
      <c r="L1670" s="5"/>
      <c r="M1670" s="5"/>
      <c r="N1670" s="5"/>
      <c r="O1670" s="5"/>
    </row>
    <row r="1671" spans="2:15" x14ac:dyDescent="0.55000000000000004">
      <c r="B1671" s="5"/>
      <c r="C1671" s="5"/>
      <c r="D1671" s="5"/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/>
    </row>
    <row r="1672" spans="2:15" x14ac:dyDescent="0.55000000000000004">
      <c r="B1672" s="5"/>
      <c r="C1672" s="5"/>
      <c r="D1672" s="5"/>
      <c r="E1672" s="5"/>
      <c r="F1672" s="5"/>
      <c r="G1672" s="5"/>
      <c r="H1672" s="5"/>
      <c r="I1672" s="5"/>
      <c r="J1672" s="5"/>
      <c r="K1672" s="5"/>
      <c r="L1672" s="5"/>
      <c r="M1672" s="5"/>
      <c r="N1672" s="5"/>
      <c r="O1672" s="5"/>
    </row>
    <row r="1673" spans="2:15" x14ac:dyDescent="0.55000000000000004"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</row>
    <row r="1674" spans="2:15" x14ac:dyDescent="0.55000000000000004">
      <c r="B1674" s="5"/>
      <c r="C1674" s="5"/>
      <c r="D1674" s="5"/>
      <c r="E1674" s="5"/>
      <c r="F1674" s="5"/>
      <c r="G1674" s="5"/>
      <c r="H1674" s="5"/>
      <c r="I1674" s="5"/>
      <c r="J1674" s="5"/>
      <c r="K1674" s="5"/>
      <c r="L1674" s="5"/>
      <c r="M1674" s="5"/>
      <c r="N1674" s="5"/>
      <c r="O1674" s="5"/>
    </row>
    <row r="1675" spans="2:15" x14ac:dyDescent="0.55000000000000004">
      <c r="B1675" s="5"/>
      <c r="C1675" s="5"/>
      <c r="D1675" s="5"/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</row>
    <row r="1676" spans="2:15" x14ac:dyDescent="0.55000000000000004">
      <c r="B1676" s="5"/>
      <c r="C1676" s="5"/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</row>
    <row r="1677" spans="2:15" x14ac:dyDescent="0.55000000000000004">
      <c r="B1677" s="5"/>
      <c r="C1677" s="5"/>
      <c r="D1677" s="5"/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O1677" s="5"/>
    </row>
    <row r="1678" spans="2:15" x14ac:dyDescent="0.55000000000000004">
      <c r="B1678" s="5"/>
      <c r="C1678" s="5"/>
      <c r="D1678" s="5"/>
      <c r="E1678" s="5"/>
      <c r="F1678" s="5"/>
      <c r="G1678" s="5"/>
      <c r="H1678" s="5"/>
      <c r="I1678" s="5"/>
      <c r="J1678" s="5"/>
      <c r="K1678" s="5"/>
      <c r="L1678" s="5"/>
      <c r="M1678" s="5"/>
      <c r="N1678" s="5"/>
      <c r="O1678" s="5"/>
    </row>
    <row r="1679" spans="2:15" x14ac:dyDescent="0.55000000000000004">
      <c r="B1679" s="5"/>
      <c r="C1679" s="5"/>
      <c r="D1679" s="5"/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</row>
    <row r="1680" spans="2:15" x14ac:dyDescent="0.55000000000000004">
      <c r="B1680" s="5"/>
      <c r="C1680" s="5"/>
      <c r="D1680" s="5"/>
      <c r="E1680" s="5"/>
      <c r="F1680" s="5"/>
      <c r="G1680" s="5"/>
      <c r="H1680" s="5"/>
      <c r="I1680" s="5"/>
      <c r="J1680" s="5"/>
      <c r="K1680" s="5"/>
      <c r="L1680" s="5"/>
      <c r="M1680" s="5"/>
      <c r="N1680" s="5"/>
      <c r="O1680" s="5"/>
    </row>
    <row r="1681" spans="2:15" x14ac:dyDescent="0.55000000000000004"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</row>
    <row r="1682" spans="2:15" x14ac:dyDescent="0.55000000000000004">
      <c r="B1682" s="5"/>
      <c r="C1682" s="5"/>
      <c r="D1682" s="5"/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O1682" s="5"/>
    </row>
    <row r="1683" spans="2:15" x14ac:dyDescent="0.55000000000000004">
      <c r="B1683" s="5"/>
      <c r="C1683" s="5"/>
      <c r="D1683" s="5"/>
      <c r="E1683" s="5"/>
      <c r="F1683" s="5"/>
      <c r="G1683" s="5"/>
      <c r="H1683" s="5"/>
      <c r="I1683" s="5"/>
      <c r="J1683" s="5"/>
      <c r="K1683" s="5"/>
      <c r="L1683" s="5"/>
      <c r="M1683" s="5"/>
      <c r="N1683" s="5"/>
      <c r="O1683" s="5"/>
    </row>
    <row r="1684" spans="2:15" x14ac:dyDescent="0.55000000000000004">
      <c r="B1684" s="5"/>
      <c r="C1684" s="5"/>
      <c r="D1684" s="5"/>
      <c r="E1684" s="5"/>
      <c r="F1684" s="5"/>
      <c r="G1684" s="5"/>
      <c r="H1684" s="5"/>
      <c r="I1684" s="5"/>
      <c r="J1684" s="5"/>
      <c r="K1684" s="5"/>
      <c r="L1684" s="5"/>
      <c r="M1684" s="5"/>
      <c r="N1684" s="5"/>
      <c r="O1684" s="5"/>
    </row>
    <row r="1685" spans="2:15" x14ac:dyDescent="0.55000000000000004">
      <c r="B1685" s="5"/>
      <c r="C1685" s="5"/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</row>
    <row r="1686" spans="2:15" x14ac:dyDescent="0.55000000000000004">
      <c r="B1686" s="5"/>
      <c r="C1686" s="5"/>
      <c r="D1686" s="5"/>
      <c r="E1686" s="5"/>
      <c r="F1686" s="5"/>
      <c r="G1686" s="5"/>
      <c r="H1686" s="5"/>
      <c r="I1686" s="5"/>
      <c r="J1686" s="5"/>
      <c r="K1686" s="5"/>
      <c r="L1686" s="5"/>
      <c r="M1686" s="5"/>
      <c r="N1686" s="5"/>
      <c r="O1686" s="5"/>
    </row>
    <row r="1687" spans="2:15" x14ac:dyDescent="0.55000000000000004"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</row>
    <row r="1688" spans="2:15" x14ac:dyDescent="0.55000000000000004">
      <c r="B1688" s="5"/>
      <c r="C1688" s="5"/>
      <c r="D1688" s="5"/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/>
    </row>
    <row r="1689" spans="2:15" x14ac:dyDescent="0.55000000000000004">
      <c r="B1689" s="5"/>
      <c r="C1689" s="5"/>
      <c r="D1689" s="5"/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</row>
    <row r="1690" spans="2:15" x14ac:dyDescent="0.55000000000000004">
      <c r="B1690" s="5"/>
      <c r="C1690" s="5"/>
      <c r="D1690" s="5"/>
      <c r="E1690" s="5"/>
      <c r="F1690" s="5"/>
      <c r="G1690" s="5"/>
      <c r="H1690" s="5"/>
      <c r="I1690" s="5"/>
      <c r="J1690" s="5"/>
      <c r="K1690" s="5"/>
      <c r="L1690" s="5"/>
      <c r="M1690" s="5"/>
      <c r="N1690" s="5"/>
      <c r="O1690" s="5"/>
    </row>
    <row r="1691" spans="2:15" x14ac:dyDescent="0.55000000000000004"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</row>
    <row r="1692" spans="2:15" x14ac:dyDescent="0.55000000000000004">
      <c r="B1692" s="5"/>
      <c r="C1692" s="5"/>
      <c r="D1692" s="5"/>
      <c r="E1692" s="5"/>
      <c r="F1692" s="5"/>
      <c r="G1692" s="5"/>
      <c r="H1692" s="5"/>
      <c r="I1692" s="5"/>
      <c r="J1692" s="5"/>
      <c r="K1692" s="5"/>
      <c r="L1692" s="5"/>
      <c r="M1692" s="5"/>
      <c r="N1692" s="5"/>
      <c r="O1692" s="5"/>
    </row>
    <row r="1693" spans="2:15" x14ac:dyDescent="0.55000000000000004"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</row>
    <row r="1694" spans="2:15" x14ac:dyDescent="0.55000000000000004">
      <c r="B1694" s="5"/>
      <c r="C1694" s="5"/>
      <c r="D1694" s="5"/>
      <c r="E1694" s="5"/>
      <c r="F1694" s="5"/>
      <c r="G1694" s="5"/>
      <c r="H1694" s="5"/>
      <c r="I1694" s="5"/>
      <c r="J1694" s="5"/>
      <c r="K1694" s="5"/>
      <c r="L1694" s="5"/>
      <c r="M1694" s="5"/>
      <c r="N1694" s="5"/>
      <c r="O1694" s="5"/>
    </row>
    <row r="1695" spans="2:15" x14ac:dyDescent="0.55000000000000004">
      <c r="B1695" s="5"/>
      <c r="C1695" s="5"/>
      <c r="D1695" s="5"/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/>
    </row>
    <row r="1696" spans="2:15" x14ac:dyDescent="0.55000000000000004">
      <c r="B1696" s="5"/>
      <c r="C1696" s="5"/>
      <c r="D1696" s="5"/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</row>
    <row r="1697" spans="2:15" x14ac:dyDescent="0.55000000000000004"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</row>
    <row r="1698" spans="2:15" x14ac:dyDescent="0.55000000000000004">
      <c r="B1698" s="5"/>
      <c r="C1698" s="5"/>
      <c r="D1698" s="5"/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O1698" s="5"/>
    </row>
    <row r="1699" spans="2:15" x14ac:dyDescent="0.55000000000000004">
      <c r="B1699" s="5"/>
      <c r="C1699" s="5"/>
      <c r="D1699" s="5"/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</row>
    <row r="1700" spans="2:15" x14ac:dyDescent="0.55000000000000004">
      <c r="B1700" s="5"/>
      <c r="C1700" s="5"/>
      <c r="D1700" s="5"/>
      <c r="E1700" s="5"/>
      <c r="F1700" s="5"/>
      <c r="G1700" s="5"/>
      <c r="H1700" s="5"/>
      <c r="I1700" s="5"/>
      <c r="J1700" s="5"/>
      <c r="K1700" s="5"/>
      <c r="L1700" s="5"/>
      <c r="M1700" s="5"/>
      <c r="N1700" s="5"/>
      <c r="O1700" s="5"/>
    </row>
    <row r="1701" spans="2:15" x14ac:dyDescent="0.55000000000000004">
      <c r="B1701" s="5"/>
      <c r="C1701" s="5"/>
      <c r="D1701" s="5"/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O1701" s="5"/>
    </row>
    <row r="1702" spans="2:15" x14ac:dyDescent="0.55000000000000004">
      <c r="B1702" s="5"/>
      <c r="C1702" s="5"/>
      <c r="D1702" s="5"/>
      <c r="E1702" s="5"/>
      <c r="F1702" s="5"/>
      <c r="G1702" s="5"/>
      <c r="H1702" s="5"/>
      <c r="I1702" s="5"/>
      <c r="J1702" s="5"/>
      <c r="K1702" s="5"/>
      <c r="L1702" s="5"/>
      <c r="M1702" s="5"/>
      <c r="N1702" s="5"/>
      <c r="O1702" s="5"/>
    </row>
    <row r="1703" spans="2:15" x14ac:dyDescent="0.55000000000000004">
      <c r="B1703" s="5"/>
      <c r="C1703" s="5"/>
      <c r="D1703" s="5"/>
      <c r="E1703" s="5"/>
      <c r="F1703" s="5"/>
      <c r="G1703" s="5"/>
      <c r="H1703" s="5"/>
      <c r="I1703" s="5"/>
      <c r="J1703" s="5"/>
      <c r="K1703" s="5"/>
      <c r="L1703" s="5"/>
      <c r="M1703" s="5"/>
      <c r="N1703" s="5"/>
      <c r="O1703" s="5"/>
    </row>
    <row r="1704" spans="2:15" x14ac:dyDescent="0.55000000000000004">
      <c r="B1704" s="5"/>
      <c r="C1704" s="5"/>
      <c r="D1704" s="5"/>
      <c r="E1704" s="5"/>
      <c r="F1704" s="5"/>
      <c r="G1704" s="5"/>
      <c r="H1704" s="5"/>
      <c r="I1704" s="5"/>
      <c r="J1704" s="5"/>
      <c r="K1704" s="5"/>
      <c r="L1704" s="5"/>
      <c r="M1704" s="5"/>
      <c r="N1704" s="5"/>
      <c r="O1704" s="5"/>
    </row>
    <row r="1705" spans="2:15" x14ac:dyDescent="0.55000000000000004"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</row>
    <row r="1706" spans="2:15" x14ac:dyDescent="0.55000000000000004">
      <c r="B1706" s="5"/>
      <c r="C1706" s="5"/>
      <c r="D1706" s="5"/>
      <c r="E1706" s="5"/>
      <c r="F1706" s="5"/>
      <c r="G1706" s="5"/>
      <c r="H1706" s="5"/>
      <c r="I1706" s="5"/>
      <c r="J1706" s="5"/>
      <c r="K1706" s="5"/>
      <c r="L1706" s="5"/>
      <c r="M1706" s="5"/>
      <c r="N1706" s="5"/>
      <c r="O1706" s="5"/>
    </row>
    <row r="1707" spans="2:15" x14ac:dyDescent="0.55000000000000004">
      <c r="B1707" s="5"/>
      <c r="C1707" s="5"/>
      <c r="D1707" s="5"/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</row>
    <row r="1708" spans="2:15" x14ac:dyDescent="0.55000000000000004">
      <c r="B1708" s="5"/>
      <c r="C1708" s="5"/>
      <c r="D1708" s="5"/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</row>
    <row r="1709" spans="2:15" x14ac:dyDescent="0.55000000000000004">
      <c r="B1709" s="5"/>
      <c r="C1709" s="5"/>
      <c r="D1709" s="5"/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/>
    </row>
    <row r="1710" spans="2:15" x14ac:dyDescent="0.55000000000000004">
      <c r="B1710" s="5"/>
      <c r="C1710" s="5"/>
      <c r="D1710" s="5"/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O1710" s="5"/>
    </row>
    <row r="1711" spans="2:15" x14ac:dyDescent="0.55000000000000004"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</row>
    <row r="1712" spans="2:15" x14ac:dyDescent="0.55000000000000004">
      <c r="B1712" s="5"/>
      <c r="C1712" s="5"/>
      <c r="D1712" s="5"/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</row>
    <row r="1713" spans="2:15" x14ac:dyDescent="0.55000000000000004">
      <c r="B1713" s="5"/>
      <c r="C1713" s="5"/>
      <c r="D1713" s="5"/>
      <c r="E1713" s="5"/>
      <c r="F1713" s="5"/>
      <c r="G1713" s="5"/>
      <c r="H1713" s="5"/>
      <c r="I1713" s="5"/>
      <c r="J1713" s="5"/>
      <c r="K1713" s="5"/>
      <c r="L1713" s="5"/>
      <c r="M1713" s="5"/>
      <c r="N1713" s="5"/>
      <c r="O1713" s="5"/>
    </row>
    <row r="1714" spans="2:15" x14ac:dyDescent="0.55000000000000004">
      <c r="B1714" s="5"/>
      <c r="C1714" s="5"/>
      <c r="D1714" s="5"/>
      <c r="E1714" s="5"/>
      <c r="F1714" s="5"/>
      <c r="G1714" s="5"/>
      <c r="H1714" s="5"/>
      <c r="I1714" s="5"/>
      <c r="J1714" s="5"/>
      <c r="K1714" s="5"/>
      <c r="L1714" s="5"/>
      <c r="M1714" s="5"/>
      <c r="N1714" s="5"/>
      <c r="O1714" s="5"/>
    </row>
    <row r="1715" spans="2:15" x14ac:dyDescent="0.55000000000000004"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</row>
    <row r="1716" spans="2:15" x14ac:dyDescent="0.55000000000000004">
      <c r="B1716" s="5"/>
      <c r="C1716" s="5"/>
      <c r="D1716" s="5"/>
      <c r="E1716" s="5"/>
      <c r="F1716" s="5"/>
      <c r="G1716" s="5"/>
      <c r="H1716" s="5"/>
      <c r="I1716" s="5"/>
      <c r="J1716" s="5"/>
      <c r="K1716" s="5"/>
      <c r="L1716" s="5"/>
      <c r="M1716" s="5"/>
      <c r="N1716" s="5"/>
      <c r="O1716" s="5"/>
    </row>
    <row r="1717" spans="2:15" x14ac:dyDescent="0.55000000000000004">
      <c r="B1717" s="5"/>
      <c r="C1717" s="5"/>
      <c r="D1717" s="5"/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</row>
    <row r="1718" spans="2:15" x14ac:dyDescent="0.55000000000000004">
      <c r="B1718" s="5"/>
      <c r="C1718" s="5"/>
      <c r="D1718" s="5"/>
      <c r="E1718" s="5"/>
      <c r="F1718" s="5"/>
      <c r="G1718" s="5"/>
      <c r="H1718" s="5"/>
      <c r="I1718" s="5"/>
      <c r="J1718" s="5"/>
      <c r="K1718" s="5"/>
      <c r="L1718" s="5"/>
      <c r="M1718" s="5"/>
      <c r="N1718" s="5"/>
      <c r="O1718" s="5"/>
    </row>
    <row r="1719" spans="2:15" x14ac:dyDescent="0.55000000000000004">
      <c r="B1719" s="5"/>
      <c r="C1719" s="5"/>
      <c r="D1719" s="5"/>
      <c r="E1719" s="5"/>
      <c r="F1719" s="5"/>
      <c r="G1719" s="5"/>
      <c r="H1719" s="5"/>
      <c r="I1719" s="5"/>
      <c r="J1719" s="5"/>
      <c r="K1719" s="5"/>
      <c r="L1719" s="5"/>
      <c r="M1719" s="5"/>
      <c r="N1719" s="5"/>
      <c r="O1719" s="5"/>
    </row>
    <row r="1720" spans="2:15" x14ac:dyDescent="0.55000000000000004">
      <c r="B1720" s="5"/>
      <c r="C1720" s="5"/>
      <c r="D1720" s="5"/>
      <c r="E1720" s="5"/>
      <c r="F1720" s="5"/>
      <c r="G1720" s="5"/>
      <c r="H1720" s="5"/>
      <c r="I1720" s="5"/>
      <c r="J1720" s="5"/>
      <c r="K1720" s="5"/>
      <c r="L1720" s="5"/>
      <c r="M1720" s="5"/>
      <c r="N1720" s="5"/>
      <c r="O1720" s="5"/>
    </row>
    <row r="1721" spans="2:15" x14ac:dyDescent="0.55000000000000004">
      <c r="B1721" s="5"/>
      <c r="C1721" s="5"/>
      <c r="D1721" s="5"/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/>
    </row>
    <row r="1722" spans="2:15" x14ac:dyDescent="0.55000000000000004">
      <c r="B1722" s="5"/>
      <c r="C1722" s="5"/>
      <c r="D1722" s="5"/>
      <c r="E1722" s="5"/>
      <c r="F1722" s="5"/>
      <c r="G1722" s="5"/>
      <c r="H1722" s="5"/>
      <c r="I1722" s="5"/>
      <c r="J1722" s="5"/>
      <c r="K1722" s="5"/>
      <c r="L1722" s="5"/>
      <c r="M1722" s="5"/>
      <c r="N1722" s="5"/>
      <c r="O1722" s="5"/>
    </row>
    <row r="1723" spans="2:15" x14ac:dyDescent="0.55000000000000004">
      <c r="B1723" s="5"/>
      <c r="C1723" s="5"/>
      <c r="D1723" s="5"/>
      <c r="E1723" s="5"/>
      <c r="F1723" s="5"/>
      <c r="G1723" s="5"/>
      <c r="H1723" s="5"/>
      <c r="I1723" s="5"/>
      <c r="J1723" s="5"/>
      <c r="K1723" s="5"/>
      <c r="L1723" s="5"/>
      <c r="M1723" s="5"/>
      <c r="N1723" s="5"/>
      <c r="O1723" s="5"/>
    </row>
    <row r="1724" spans="2:15" x14ac:dyDescent="0.55000000000000004">
      <c r="B1724" s="5"/>
      <c r="C1724" s="5"/>
      <c r="D1724" s="5"/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O1724" s="5"/>
    </row>
    <row r="1725" spans="2:15" x14ac:dyDescent="0.55000000000000004">
      <c r="B1725" s="5"/>
      <c r="C1725" s="5"/>
      <c r="D1725" s="5"/>
      <c r="E1725" s="5"/>
      <c r="F1725" s="5"/>
      <c r="G1725" s="5"/>
      <c r="H1725" s="5"/>
      <c r="I1725" s="5"/>
      <c r="J1725" s="5"/>
      <c r="K1725" s="5"/>
      <c r="L1725" s="5"/>
      <c r="M1725" s="5"/>
      <c r="N1725" s="5"/>
      <c r="O1725" s="5"/>
    </row>
    <row r="1726" spans="2:15" x14ac:dyDescent="0.55000000000000004">
      <c r="B1726" s="5"/>
      <c r="C1726" s="5"/>
      <c r="D1726" s="5"/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O1726" s="5"/>
    </row>
    <row r="1727" spans="2:15" x14ac:dyDescent="0.55000000000000004">
      <c r="B1727" s="5"/>
      <c r="C1727" s="5"/>
      <c r="D1727" s="5"/>
      <c r="E1727" s="5"/>
      <c r="F1727" s="5"/>
      <c r="G1727" s="5"/>
      <c r="H1727" s="5"/>
      <c r="I1727" s="5"/>
      <c r="J1727" s="5"/>
      <c r="K1727" s="5"/>
      <c r="L1727" s="5"/>
      <c r="M1727" s="5"/>
      <c r="N1727" s="5"/>
      <c r="O1727" s="5"/>
    </row>
    <row r="1728" spans="2:15" x14ac:dyDescent="0.55000000000000004">
      <c r="B1728" s="5"/>
      <c r="C1728" s="5"/>
      <c r="D1728" s="5"/>
      <c r="E1728" s="5"/>
      <c r="F1728" s="5"/>
      <c r="G1728" s="5"/>
      <c r="H1728" s="5"/>
      <c r="I1728" s="5"/>
      <c r="J1728" s="5"/>
      <c r="K1728" s="5"/>
      <c r="L1728" s="5"/>
      <c r="M1728" s="5"/>
      <c r="N1728" s="5"/>
      <c r="O1728" s="5"/>
    </row>
    <row r="1729" spans="2:15" x14ac:dyDescent="0.55000000000000004">
      <c r="B1729" s="5"/>
      <c r="C1729" s="5"/>
      <c r="D1729" s="5"/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O1729" s="5"/>
    </row>
    <row r="1730" spans="2:15" x14ac:dyDescent="0.55000000000000004">
      <c r="B1730" s="5"/>
      <c r="C1730" s="5"/>
      <c r="D1730" s="5"/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/>
    </row>
    <row r="1731" spans="2:15" x14ac:dyDescent="0.55000000000000004">
      <c r="B1731" s="5"/>
      <c r="C1731" s="5"/>
      <c r="D1731" s="5"/>
      <c r="E1731" s="5"/>
      <c r="F1731" s="5"/>
      <c r="G1731" s="5"/>
      <c r="H1731" s="5"/>
      <c r="I1731" s="5"/>
      <c r="J1731" s="5"/>
      <c r="K1731" s="5"/>
      <c r="L1731" s="5"/>
      <c r="M1731" s="5"/>
      <c r="N1731" s="5"/>
      <c r="O1731" s="5"/>
    </row>
    <row r="1732" spans="2:15" x14ac:dyDescent="0.55000000000000004">
      <c r="B1732" s="5"/>
      <c r="C1732" s="5"/>
      <c r="D1732" s="5"/>
      <c r="E1732" s="5"/>
      <c r="F1732" s="5"/>
      <c r="G1732" s="5"/>
      <c r="H1732" s="5"/>
      <c r="I1732" s="5"/>
      <c r="J1732" s="5"/>
      <c r="K1732" s="5"/>
      <c r="L1732" s="5"/>
      <c r="M1732" s="5"/>
      <c r="N1732" s="5"/>
      <c r="O1732" s="5"/>
    </row>
    <row r="1733" spans="2:15" x14ac:dyDescent="0.55000000000000004">
      <c r="B1733" s="5"/>
      <c r="C1733" s="5"/>
      <c r="D1733" s="5"/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/>
    </row>
    <row r="1734" spans="2:15" x14ac:dyDescent="0.55000000000000004">
      <c r="B1734" s="5"/>
      <c r="C1734" s="5"/>
      <c r="D1734" s="5"/>
      <c r="E1734" s="5"/>
      <c r="F1734" s="5"/>
      <c r="G1734" s="5"/>
      <c r="H1734" s="5"/>
      <c r="I1734" s="5"/>
      <c r="J1734" s="5"/>
      <c r="K1734" s="5"/>
      <c r="L1734" s="5"/>
      <c r="M1734" s="5"/>
      <c r="N1734" s="5"/>
      <c r="O1734" s="5"/>
    </row>
    <row r="1735" spans="2:15" x14ac:dyDescent="0.55000000000000004">
      <c r="B1735" s="5"/>
      <c r="C1735" s="5"/>
      <c r="D1735" s="5"/>
      <c r="E1735" s="5"/>
      <c r="F1735" s="5"/>
      <c r="G1735" s="5"/>
      <c r="H1735" s="5"/>
      <c r="I1735" s="5"/>
      <c r="J1735" s="5"/>
      <c r="K1735" s="5"/>
      <c r="L1735" s="5"/>
      <c r="M1735" s="5"/>
      <c r="N1735" s="5"/>
      <c r="O1735" s="5"/>
    </row>
    <row r="1736" spans="2:15" x14ac:dyDescent="0.55000000000000004">
      <c r="B1736" s="5"/>
      <c r="C1736" s="5"/>
      <c r="D1736" s="5"/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</row>
    <row r="1737" spans="2:15" x14ac:dyDescent="0.55000000000000004">
      <c r="B1737" s="5"/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</row>
    <row r="1738" spans="2:15" x14ac:dyDescent="0.55000000000000004">
      <c r="B1738" s="5"/>
      <c r="C1738" s="5"/>
      <c r="D1738" s="5"/>
      <c r="E1738" s="5"/>
      <c r="F1738" s="5"/>
      <c r="G1738" s="5"/>
      <c r="H1738" s="5"/>
      <c r="I1738" s="5"/>
      <c r="J1738" s="5"/>
      <c r="K1738" s="5"/>
      <c r="L1738" s="5"/>
      <c r="M1738" s="5"/>
      <c r="N1738" s="5"/>
      <c r="O1738" s="5"/>
    </row>
    <row r="1739" spans="2:15" x14ac:dyDescent="0.55000000000000004">
      <c r="B1739" s="5"/>
      <c r="C1739" s="5"/>
      <c r="D1739" s="5"/>
      <c r="E1739" s="5"/>
      <c r="F1739" s="5"/>
      <c r="G1739" s="5"/>
      <c r="H1739" s="5"/>
      <c r="I1739" s="5"/>
      <c r="J1739" s="5"/>
      <c r="K1739" s="5"/>
      <c r="L1739" s="5"/>
      <c r="M1739" s="5"/>
      <c r="N1739" s="5"/>
      <c r="O1739" s="5"/>
    </row>
    <row r="1740" spans="2:15" x14ac:dyDescent="0.55000000000000004">
      <c r="B1740" s="5"/>
      <c r="C1740" s="5"/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</row>
    <row r="1741" spans="2:15" x14ac:dyDescent="0.55000000000000004">
      <c r="B1741" s="5"/>
      <c r="C1741" s="5"/>
      <c r="D1741" s="5"/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O1741" s="5"/>
    </row>
    <row r="1742" spans="2:15" x14ac:dyDescent="0.55000000000000004">
      <c r="B1742" s="5"/>
      <c r="C1742" s="5"/>
      <c r="D1742" s="5"/>
      <c r="E1742" s="5"/>
      <c r="F1742" s="5"/>
      <c r="G1742" s="5"/>
      <c r="H1742" s="5"/>
      <c r="I1742" s="5"/>
      <c r="J1742" s="5"/>
      <c r="K1742" s="5"/>
      <c r="L1742" s="5"/>
      <c r="M1742" s="5"/>
      <c r="N1742" s="5"/>
      <c r="O1742" s="5"/>
    </row>
    <row r="1743" spans="2:15" x14ac:dyDescent="0.55000000000000004">
      <c r="B1743" s="5"/>
      <c r="C1743" s="5"/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</row>
    <row r="1744" spans="2:15" x14ac:dyDescent="0.55000000000000004">
      <c r="B1744" s="5"/>
      <c r="C1744" s="5"/>
      <c r="D1744" s="5"/>
      <c r="E1744" s="5"/>
      <c r="F1744" s="5"/>
      <c r="G1744" s="5"/>
      <c r="H1744" s="5"/>
      <c r="I1744" s="5"/>
      <c r="J1744" s="5"/>
      <c r="K1744" s="5"/>
      <c r="L1744" s="5"/>
      <c r="M1744" s="5"/>
      <c r="N1744" s="5"/>
      <c r="O1744" s="5"/>
    </row>
    <row r="1745" spans="2:15" x14ac:dyDescent="0.55000000000000004">
      <c r="B1745" s="5"/>
      <c r="C1745" s="5"/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</row>
    <row r="1746" spans="2:15" x14ac:dyDescent="0.55000000000000004">
      <c r="B1746" s="5"/>
      <c r="C1746" s="5"/>
      <c r="D1746" s="5"/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O1746" s="5"/>
    </row>
    <row r="1747" spans="2:15" x14ac:dyDescent="0.55000000000000004">
      <c r="B1747" s="5"/>
      <c r="C1747" s="5"/>
      <c r="D1747" s="5"/>
      <c r="E1747" s="5"/>
      <c r="F1747" s="5"/>
      <c r="G1747" s="5"/>
      <c r="H1747" s="5"/>
      <c r="I1747" s="5"/>
      <c r="J1747" s="5"/>
      <c r="K1747" s="5"/>
      <c r="L1747" s="5"/>
      <c r="M1747" s="5"/>
      <c r="N1747" s="5"/>
      <c r="O1747" s="5"/>
    </row>
    <row r="1748" spans="2:15" x14ac:dyDescent="0.55000000000000004">
      <c r="B1748" s="5"/>
      <c r="C1748" s="5"/>
      <c r="D1748" s="5"/>
      <c r="E1748" s="5"/>
      <c r="F1748" s="5"/>
      <c r="G1748" s="5"/>
      <c r="H1748" s="5"/>
      <c r="I1748" s="5"/>
      <c r="J1748" s="5"/>
      <c r="K1748" s="5"/>
      <c r="L1748" s="5"/>
      <c r="M1748" s="5"/>
      <c r="N1748" s="5"/>
      <c r="O1748" s="5"/>
    </row>
    <row r="1749" spans="2:15" x14ac:dyDescent="0.55000000000000004">
      <c r="B1749" s="5"/>
      <c r="C1749" s="5"/>
      <c r="D1749" s="5"/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O1749" s="5"/>
    </row>
    <row r="1750" spans="2:15" x14ac:dyDescent="0.55000000000000004">
      <c r="B1750" s="5"/>
      <c r="C1750" s="5"/>
      <c r="D1750" s="5"/>
      <c r="E1750" s="5"/>
      <c r="F1750" s="5"/>
      <c r="G1750" s="5"/>
      <c r="H1750" s="5"/>
      <c r="I1750" s="5"/>
      <c r="J1750" s="5"/>
      <c r="K1750" s="5"/>
      <c r="L1750" s="5"/>
      <c r="M1750" s="5"/>
      <c r="N1750" s="5"/>
      <c r="O1750" s="5"/>
    </row>
    <row r="1751" spans="2:15" x14ac:dyDescent="0.55000000000000004"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O1751" s="5"/>
    </row>
    <row r="1752" spans="2:15" x14ac:dyDescent="0.55000000000000004"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</row>
    <row r="1753" spans="2:15" x14ac:dyDescent="0.55000000000000004"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</row>
    <row r="1754" spans="2:15" x14ac:dyDescent="0.55000000000000004"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  <c r="M1754" s="5"/>
      <c r="N1754" s="5"/>
      <c r="O1754" s="5"/>
    </row>
    <row r="1755" spans="2:15" x14ac:dyDescent="0.55000000000000004">
      <c r="B1755" s="5"/>
      <c r="C1755" s="5"/>
      <c r="D1755" s="5"/>
      <c r="E1755" s="5"/>
      <c r="F1755" s="5"/>
      <c r="G1755" s="5"/>
      <c r="H1755" s="5"/>
      <c r="I1755" s="5"/>
      <c r="J1755" s="5"/>
      <c r="K1755" s="5"/>
      <c r="L1755" s="5"/>
      <c r="M1755" s="5"/>
      <c r="N1755" s="5"/>
      <c r="O1755" s="5"/>
    </row>
    <row r="1756" spans="2:15" x14ac:dyDescent="0.55000000000000004">
      <c r="B1756" s="5"/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</row>
    <row r="1757" spans="2:15" x14ac:dyDescent="0.55000000000000004">
      <c r="B1757" s="5"/>
      <c r="C1757" s="5"/>
      <c r="D1757" s="5"/>
      <c r="E1757" s="5"/>
      <c r="F1757" s="5"/>
      <c r="G1757" s="5"/>
      <c r="H1757" s="5"/>
      <c r="I1757" s="5"/>
      <c r="J1757" s="5"/>
      <c r="K1757" s="5"/>
      <c r="L1757" s="5"/>
      <c r="M1757" s="5"/>
      <c r="N1757" s="5"/>
      <c r="O1757" s="5"/>
    </row>
    <row r="1758" spans="2:15" x14ac:dyDescent="0.55000000000000004">
      <c r="B1758" s="5"/>
      <c r="C1758" s="5"/>
      <c r="D1758" s="5"/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</row>
    <row r="1759" spans="2:15" x14ac:dyDescent="0.55000000000000004">
      <c r="B1759" s="5"/>
      <c r="C1759" s="5"/>
      <c r="D1759" s="5"/>
      <c r="E1759" s="5"/>
      <c r="F1759" s="5"/>
      <c r="G1759" s="5"/>
      <c r="H1759" s="5"/>
      <c r="I1759" s="5"/>
      <c r="J1759" s="5"/>
      <c r="K1759" s="5"/>
      <c r="L1759" s="5"/>
      <c r="M1759" s="5"/>
      <c r="N1759" s="5"/>
      <c r="O1759" s="5"/>
    </row>
    <row r="1760" spans="2:15" x14ac:dyDescent="0.55000000000000004">
      <c r="B1760" s="5"/>
      <c r="C1760" s="5"/>
      <c r="D1760" s="5"/>
      <c r="E1760" s="5"/>
      <c r="F1760" s="5"/>
      <c r="G1760" s="5"/>
      <c r="H1760" s="5"/>
      <c r="I1760" s="5"/>
      <c r="J1760" s="5"/>
      <c r="K1760" s="5"/>
      <c r="L1760" s="5"/>
      <c r="M1760" s="5"/>
      <c r="N1760" s="5"/>
      <c r="O1760" s="5"/>
    </row>
    <row r="1761" spans="2:15" x14ac:dyDescent="0.55000000000000004">
      <c r="B1761" s="5"/>
      <c r="C1761" s="5"/>
      <c r="D1761" s="5"/>
      <c r="E1761" s="5"/>
      <c r="F1761" s="5"/>
      <c r="G1761" s="5"/>
      <c r="H1761" s="5"/>
      <c r="I1761" s="5"/>
      <c r="J1761" s="5"/>
      <c r="K1761" s="5"/>
      <c r="L1761" s="5"/>
      <c r="M1761" s="5"/>
      <c r="N1761" s="5"/>
      <c r="O1761" s="5"/>
    </row>
    <row r="1762" spans="2:15" x14ac:dyDescent="0.55000000000000004">
      <c r="B1762" s="5"/>
      <c r="C1762" s="5"/>
      <c r="D1762" s="5"/>
      <c r="E1762" s="5"/>
      <c r="F1762" s="5"/>
      <c r="G1762" s="5"/>
      <c r="H1762" s="5"/>
      <c r="I1762" s="5"/>
      <c r="J1762" s="5"/>
      <c r="K1762" s="5"/>
      <c r="L1762" s="5"/>
      <c r="M1762" s="5"/>
      <c r="N1762" s="5"/>
      <c r="O1762" s="5"/>
    </row>
    <row r="1763" spans="2:15" x14ac:dyDescent="0.55000000000000004">
      <c r="B1763" s="5"/>
      <c r="C1763" s="5"/>
      <c r="D1763" s="5"/>
      <c r="E1763" s="5"/>
      <c r="F1763" s="5"/>
      <c r="G1763" s="5"/>
      <c r="H1763" s="5"/>
      <c r="I1763" s="5"/>
      <c r="J1763" s="5"/>
      <c r="K1763" s="5"/>
      <c r="L1763" s="5"/>
      <c r="M1763" s="5"/>
      <c r="N1763" s="5"/>
      <c r="O1763" s="5"/>
    </row>
    <row r="1764" spans="2:15" x14ac:dyDescent="0.55000000000000004">
      <c r="B1764" s="5"/>
      <c r="C1764" s="5"/>
      <c r="D1764" s="5"/>
      <c r="E1764" s="5"/>
      <c r="F1764" s="5"/>
      <c r="G1764" s="5"/>
      <c r="H1764" s="5"/>
      <c r="I1764" s="5"/>
      <c r="J1764" s="5"/>
      <c r="K1764" s="5"/>
      <c r="L1764" s="5"/>
      <c r="M1764" s="5"/>
      <c r="N1764" s="5"/>
      <c r="O1764" s="5"/>
    </row>
    <row r="1765" spans="2:15" x14ac:dyDescent="0.55000000000000004">
      <c r="B1765" s="5"/>
      <c r="C1765" s="5"/>
      <c r="D1765" s="5"/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</row>
    <row r="1766" spans="2:15" x14ac:dyDescent="0.55000000000000004">
      <c r="B1766" s="5"/>
      <c r="C1766" s="5"/>
      <c r="D1766" s="5"/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</row>
    <row r="1767" spans="2:15" x14ac:dyDescent="0.55000000000000004">
      <c r="B1767" s="5"/>
      <c r="C1767" s="5"/>
      <c r="D1767" s="5"/>
      <c r="E1767" s="5"/>
      <c r="F1767" s="5"/>
      <c r="G1767" s="5"/>
      <c r="H1767" s="5"/>
      <c r="I1767" s="5"/>
      <c r="J1767" s="5"/>
      <c r="K1767" s="5"/>
      <c r="L1767" s="5"/>
      <c r="M1767" s="5"/>
      <c r="N1767" s="5"/>
      <c r="O1767" s="5"/>
    </row>
    <row r="1768" spans="2:15" x14ac:dyDescent="0.55000000000000004">
      <c r="B1768" s="5"/>
      <c r="C1768" s="5"/>
      <c r="D1768" s="5"/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O1768" s="5"/>
    </row>
    <row r="1769" spans="2:15" x14ac:dyDescent="0.55000000000000004">
      <c r="B1769" s="5"/>
      <c r="C1769" s="5"/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</row>
    <row r="1770" spans="2:15" x14ac:dyDescent="0.55000000000000004">
      <c r="B1770" s="5"/>
      <c r="C1770" s="5"/>
      <c r="D1770" s="5"/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</row>
    <row r="1771" spans="2:15" x14ac:dyDescent="0.55000000000000004">
      <c r="B1771" s="5"/>
      <c r="C1771" s="5"/>
      <c r="D1771" s="5"/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O1771" s="5"/>
    </row>
    <row r="1772" spans="2:15" x14ac:dyDescent="0.55000000000000004">
      <c r="B1772" s="5"/>
      <c r="C1772" s="5"/>
      <c r="D1772" s="5"/>
      <c r="E1772" s="5"/>
      <c r="F1772" s="5"/>
      <c r="G1772" s="5"/>
      <c r="H1772" s="5"/>
      <c r="I1772" s="5"/>
      <c r="J1772" s="5"/>
      <c r="K1772" s="5"/>
      <c r="L1772" s="5"/>
      <c r="M1772" s="5"/>
      <c r="N1772" s="5"/>
      <c r="O1772" s="5"/>
    </row>
    <row r="1773" spans="2:15" x14ac:dyDescent="0.55000000000000004">
      <c r="B1773" s="5"/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</row>
    <row r="1774" spans="2:15" x14ac:dyDescent="0.55000000000000004">
      <c r="B1774" s="5"/>
      <c r="C1774" s="5"/>
      <c r="D1774" s="5"/>
      <c r="E1774" s="5"/>
      <c r="F1774" s="5"/>
      <c r="G1774" s="5"/>
      <c r="H1774" s="5"/>
      <c r="I1774" s="5"/>
      <c r="J1774" s="5"/>
      <c r="K1774" s="5"/>
      <c r="L1774" s="5"/>
      <c r="M1774" s="5"/>
      <c r="N1774" s="5"/>
      <c r="O1774" s="5"/>
    </row>
    <row r="1775" spans="2:15" x14ac:dyDescent="0.55000000000000004">
      <c r="B1775" s="5"/>
      <c r="C1775" s="5"/>
      <c r="D1775" s="5"/>
      <c r="E1775" s="5"/>
      <c r="F1775" s="5"/>
      <c r="G1775" s="5"/>
      <c r="H1775" s="5"/>
      <c r="I1775" s="5"/>
      <c r="J1775" s="5"/>
      <c r="K1775" s="5"/>
      <c r="L1775" s="5"/>
      <c r="M1775" s="5"/>
      <c r="N1775" s="5"/>
      <c r="O1775" s="5"/>
    </row>
    <row r="1776" spans="2:15" x14ac:dyDescent="0.55000000000000004">
      <c r="B1776" s="5"/>
      <c r="C1776" s="5"/>
      <c r="D1776" s="5"/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O1776" s="5"/>
    </row>
    <row r="1777" spans="2:15" x14ac:dyDescent="0.55000000000000004">
      <c r="B1777" s="5"/>
      <c r="C1777" s="5"/>
      <c r="D1777" s="5"/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O1777" s="5"/>
    </row>
    <row r="1778" spans="2:15" x14ac:dyDescent="0.55000000000000004">
      <c r="B1778" s="5"/>
      <c r="C1778" s="5"/>
      <c r="D1778" s="5"/>
      <c r="E1778" s="5"/>
      <c r="F1778" s="5"/>
      <c r="G1778" s="5"/>
      <c r="H1778" s="5"/>
      <c r="I1778" s="5"/>
      <c r="J1778" s="5"/>
      <c r="K1778" s="5"/>
      <c r="L1778" s="5"/>
      <c r="M1778" s="5"/>
      <c r="N1778" s="5"/>
      <c r="O1778" s="5"/>
    </row>
    <row r="1779" spans="2:15" x14ac:dyDescent="0.55000000000000004">
      <c r="B1779" s="5"/>
      <c r="C1779" s="5"/>
      <c r="D1779" s="5"/>
      <c r="E1779" s="5"/>
      <c r="F1779" s="5"/>
      <c r="G1779" s="5"/>
      <c r="H1779" s="5"/>
      <c r="I1779" s="5"/>
      <c r="J1779" s="5"/>
      <c r="K1779" s="5"/>
      <c r="L1779" s="5"/>
      <c r="M1779" s="5"/>
      <c r="N1779" s="5"/>
      <c r="O1779" s="5"/>
    </row>
    <row r="1780" spans="2:15" x14ac:dyDescent="0.55000000000000004">
      <c r="B1780" s="5"/>
      <c r="C1780" s="5"/>
      <c r="D1780" s="5"/>
      <c r="E1780" s="5"/>
      <c r="F1780" s="5"/>
      <c r="G1780" s="5"/>
      <c r="H1780" s="5"/>
      <c r="I1780" s="5"/>
      <c r="J1780" s="5"/>
      <c r="K1780" s="5"/>
      <c r="L1780" s="5"/>
      <c r="M1780" s="5"/>
      <c r="N1780" s="5"/>
      <c r="O1780" s="5"/>
    </row>
    <row r="1781" spans="2:15" x14ac:dyDescent="0.55000000000000004"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</row>
    <row r="1782" spans="2:15" x14ac:dyDescent="0.55000000000000004">
      <c r="B1782" s="5"/>
      <c r="C1782" s="5"/>
      <c r="D1782" s="5"/>
      <c r="E1782" s="5"/>
      <c r="F1782" s="5"/>
      <c r="G1782" s="5"/>
      <c r="H1782" s="5"/>
      <c r="I1782" s="5"/>
      <c r="J1782" s="5"/>
      <c r="K1782" s="5"/>
      <c r="L1782" s="5"/>
      <c r="M1782" s="5"/>
      <c r="N1782" s="5"/>
      <c r="O1782" s="5"/>
    </row>
    <row r="1783" spans="2:15" x14ac:dyDescent="0.55000000000000004">
      <c r="B1783" s="5"/>
      <c r="C1783" s="5"/>
      <c r="D1783" s="5"/>
      <c r="E1783" s="5"/>
      <c r="F1783" s="5"/>
      <c r="G1783" s="5"/>
      <c r="H1783" s="5"/>
      <c r="I1783" s="5"/>
      <c r="J1783" s="5"/>
      <c r="K1783" s="5"/>
      <c r="L1783" s="5"/>
      <c r="M1783" s="5"/>
      <c r="N1783" s="5"/>
      <c r="O1783" s="5"/>
    </row>
    <row r="1784" spans="2:15" x14ac:dyDescent="0.55000000000000004">
      <c r="B1784" s="5"/>
      <c r="C1784" s="5"/>
      <c r="D1784" s="5"/>
      <c r="E1784" s="5"/>
      <c r="F1784" s="5"/>
      <c r="G1784" s="5"/>
      <c r="H1784" s="5"/>
      <c r="I1784" s="5"/>
      <c r="J1784" s="5"/>
      <c r="K1784" s="5"/>
      <c r="L1784" s="5"/>
      <c r="M1784" s="5"/>
      <c r="N1784" s="5"/>
      <c r="O1784" s="5"/>
    </row>
    <row r="1785" spans="2:15" x14ac:dyDescent="0.55000000000000004">
      <c r="B1785" s="5"/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</row>
    <row r="1786" spans="2:15" x14ac:dyDescent="0.55000000000000004">
      <c r="B1786" s="5"/>
      <c r="C1786" s="5"/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</row>
    <row r="1787" spans="2:15" x14ac:dyDescent="0.55000000000000004">
      <c r="B1787" s="5"/>
      <c r="C1787" s="5"/>
      <c r="D1787" s="5"/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</row>
    <row r="1788" spans="2:15" x14ac:dyDescent="0.55000000000000004">
      <c r="B1788" s="5"/>
      <c r="C1788" s="5"/>
      <c r="D1788" s="5"/>
      <c r="E1788" s="5"/>
      <c r="F1788" s="5"/>
      <c r="G1788" s="5"/>
      <c r="H1788" s="5"/>
      <c r="I1788" s="5"/>
      <c r="J1788" s="5"/>
      <c r="K1788" s="5"/>
      <c r="L1788" s="5"/>
      <c r="M1788" s="5"/>
      <c r="N1788" s="5"/>
      <c r="O1788" s="5"/>
    </row>
    <row r="1789" spans="2:15" x14ac:dyDescent="0.55000000000000004">
      <c r="B1789" s="5"/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</row>
    <row r="1790" spans="2:15" x14ac:dyDescent="0.55000000000000004">
      <c r="B1790" s="5"/>
      <c r="C1790" s="5"/>
      <c r="D1790" s="5"/>
      <c r="E1790" s="5"/>
      <c r="F1790" s="5"/>
      <c r="G1790" s="5"/>
      <c r="H1790" s="5"/>
      <c r="I1790" s="5"/>
      <c r="J1790" s="5"/>
      <c r="K1790" s="5"/>
      <c r="L1790" s="5"/>
      <c r="M1790" s="5"/>
      <c r="N1790" s="5"/>
      <c r="O1790" s="5"/>
    </row>
    <row r="1791" spans="2:15" x14ac:dyDescent="0.55000000000000004">
      <c r="B1791" s="5"/>
      <c r="C1791" s="5"/>
      <c r="D1791" s="5"/>
      <c r="E1791" s="5"/>
      <c r="F1791" s="5"/>
      <c r="G1791" s="5"/>
      <c r="H1791" s="5"/>
      <c r="I1791" s="5"/>
      <c r="J1791" s="5"/>
      <c r="K1791" s="5"/>
      <c r="L1791" s="5"/>
      <c r="M1791" s="5"/>
      <c r="N1791" s="5"/>
      <c r="O1791" s="5"/>
    </row>
    <row r="1792" spans="2:15" x14ac:dyDescent="0.55000000000000004">
      <c r="B1792" s="5"/>
      <c r="C1792" s="5"/>
      <c r="D1792" s="5"/>
      <c r="E1792" s="5"/>
      <c r="F1792" s="5"/>
      <c r="G1792" s="5"/>
      <c r="H1792" s="5"/>
      <c r="I1792" s="5"/>
      <c r="J1792" s="5"/>
      <c r="K1792" s="5"/>
      <c r="L1792" s="5"/>
      <c r="M1792" s="5"/>
      <c r="N1792" s="5"/>
      <c r="O1792" s="5"/>
    </row>
    <row r="1793" spans="2:15" x14ac:dyDescent="0.55000000000000004">
      <c r="B1793" s="5"/>
      <c r="C1793" s="5"/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</row>
    <row r="1794" spans="2:15" x14ac:dyDescent="0.55000000000000004">
      <c r="B1794" s="5"/>
      <c r="C1794" s="5"/>
      <c r="D1794" s="5"/>
      <c r="E1794" s="5"/>
      <c r="F1794" s="5"/>
      <c r="G1794" s="5"/>
      <c r="H1794" s="5"/>
      <c r="I1794" s="5"/>
      <c r="J1794" s="5"/>
      <c r="K1794" s="5"/>
      <c r="L1794" s="5"/>
      <c r="M1794" s="5"/>
      <c r="N1794" s="5"/>
      <c r="O1794" s="5"/>
    </row>
    <row r="1795" spans="2:15" x14ac:dyDescent="0.55000000000000004">
      <c r="B1795" s="5"/>
      <c r="C1795" s="5"/>
      <c r="D1795" s="5"/>
      <c r="E1795" s="5"/>
      <c r="F1795" s="5"/>
      <c r="G1795" s="5"/>
      <c r="H1795" s="5"/>
      <c r="I1795" s="5"/>
      <c r="J1795" s="5"/>
      <c r="K1795" s="5"/>
      <c r="L1795" s="5"/>
      <c r="M1795" s="5"/>
      <c r="N1795" s="5"/>
      <c r="O1795" s="5"/>
    </row>
    <row r="1796" spans="2:15" x14ac:dyDescent="0.55000000000000004">
      <c r="B1796" s="5"/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</row>
    <row r="1797" spans="2:15" x14ac:dyDescent="0.55000000000000004">
      <c r="B1797" s="5"/>
      <c r="C1797" s="5"/>
      <c r="D1797" s="5"/>
      <c r="E1797" s="5"/>
      <c r="F1797" s="5"/>
      <c r="G1797" s="5"/>
      <c r="H1797" s="5"/>
      <c r="I1797" s="5"/>
      <c r="J1797" s="5"/>
      <c r="K1797" s="5"/>
      <c r="L1797" s="5"/>
      <c r="M1797" s="5"/>
      <c r="N1797" s="5"/>
      <c r="O1797" s="5"/>
    </row>
    <row r="1798" spans="2:15" x14ac:dyDescent="0.55000000000000004">
      <c r="B1798" s="5"/>
      <c r="C1798" s="5"/>
      <c r="D1798" s="5"/>
      <c r="E1798" s="5"/>
      <c r="F1798" s="5"/>
      <c r="G1798" s="5"/>
      <c r="H1798" s="5"/>
      <c r="I1798" s="5"/>
      <c r="J1798" s="5"/>
      <c r="K1798" s="5"/>
      <c r="L1798" s="5"/>
      <c r="M1798" s="5"/>
      <c r="N1798" s="5"/>
      <c r="O1798" s="5"/>
    </row>
    <row r="1799" spans="2:15" x14ac:dyDescent="0.55000000000000004">
      <c r="B1799" s="5"/>
      <c r="C1799" s="5"/>
      <c r="D1799" s="5"/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/>
    </row>
    <row r="1800" spans="2:15" x14ac:dyDescent="0.55000000000000004">
      <c r="B1800" s="5"/>
      <c r="C1800" s="5"/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</row>
    <row r="1801" spans="2:15" x14ac:dyDescent="0.55000000000000004">
      <c r="B1801" s="5"/>
      <c r="C1801" s="5"/>
      <c r="D1801" s="5"/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O1801" s="5"/>
    </row>
    <row r="1802" spans="2:15" x14ac:dyDescent="0.55000000000000004">
      <c r="B1802" s="5"/>
      <c r="C1802" s="5"/>
      <c r="D1802" s="5"/>
      <c r="E1802" s="5"/>
      <c r="F1802" s="5"/>
      <c r="G1802" s="5"/>
      <c r="H1802" s="5"/>
      <c r="I1802" s="5"/>
      <c r="J1802" s="5"/>
      <c r="K1802" s="5"/>
      <c r="L1802" s="5"/>
      <c r="M1802" s="5"/>
      <c r="N1802" s="5"/>
      <c r="O1802" s="5"/>
    </row>
    <row r="1803" spans="2:15" x14ac:dyDescent="0.55000000000000004">
      <c r="B1803" s="5"/>
      <c r="C1803" s="5"/>
      <c r="D1803" s="5"/>
      <c r="E1803" s="5"/>
      <c r="F1803" s="5"/>
      <c r="G1803" s="5"/>
      <c r="H1803" s="5"/>
      <c r="I1803" s="5"/>
      <c r="J1803" s="5"/>
      <c r="K1803" s="5"/>
      <c r="L1803" s="5"/>
      <c r="M1803" s="5"/>
      <c r="N1803" s="5"/>
      <c r="O1803" s="5"/>
    </row>
    <row r="1804" spans="2:15" x14ac:dyDescent="0.55000000000000004">
      <c r="B1804" s="5"/>
      <c r="C1804" s="5"/>
      <c r="D1804" s="5"/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O1804" s="5"/>
    </row>
    <row r="1805" spans="2:15" x14ac:dyDescent="0.55000000000000004">
      <c r="B1805" s="5"/>
      <c r="C1805" s="5"/>
      <c r="D1805" s="5"/>
      <c r="E1805" s="5"/>
      <c r="F1805" s="5"/>
      <c r="G1805" s="5"/>
      <c r="H1805" s="5"/>
      <c r="I1805" s="5"/>
      <c r="J1805" s="5"/>
      <c r="K1805" s="5"/>
      <c r="L1805" s="5"/>
      <c r="M1805" s="5"/>
      <c r="N1805" s="5"/>
      <c r="O1805" s="5"/>
    </row>
    <row r="1806" spans="2:15" x14ac:dyDescent="0.55000000000000004">
      <c r="B1806" s="5"/>
      <c r="C1806" s="5"/>
      <c r="D1806" s="5"/>
      <c r="E1806" s="5"/>
      <c r="F1806" s="5"/>
      <c r="G1806" s="5"/>
      <c r="H1806" s="5"/>
      <c r="I1806" s="5"/>
      <c r="J1806" s="5"/>
      <c r="K1806" s="5"/>
      <c r="L1806" s="5"/>
      <c r="M1806" s="5"/>
      <c r="N1806" s="5"/>
      <c r="O1806" s="5"/>
    </row>
    <row r="1807" spans="2:15" x14ac:dyDescent="0.55000000000000004">
      <c r="B1807" s="5"/>
      <c r="C1807" s="5"/>
      <c r="D1807" s="5"/>
      <c r="E1807" s="5"/>
      <c r="F1807" s="5"/>
      <c r="G1807" s="5"/>
      <c r="H1807" s="5"/>
      <c r="I1807" s="5"/>
      <c r="J1807" s="5"/>
      <c r="K1807" s="5"/>
      <c r="L1807" s="5"/>
      <c r="M1807" s="5"/>
      <c r="N1807" s="5"/>
      <c r="O1807" s="5"/>
    </row>
    <row r="1808" spans="2:15" x14ac:dyDescent="0.55000000000000004">
      <c r="B1808" s="5"/>
      <c r="C1808" s="5"/>
      <c r="D1808" s="5"/>
      <c r="E1808" s="5"/>
      <c r="F1808" s="5"/>
      <c r="G1808" s="5"/>
      <c r="H1808" s="5"/>
      <c r="I1808" s="5"/>
      <c r="J1808" s="5"/>
      <c r="K1808" s="5"/>
      <c r="L1808" s="5"/>
      <c r="M1808" s="5"/>
      <c r="N1808" s="5"/>
      <c r="O1808" s="5"/>
    </row>
    <row r="1809" spans="2:15" x14ac:dyDescent="0.55000000000000004">
      <c r="B1809" s="5"/>
      <c r="C1809" s="5"/>
      <c r="D1809" s="5"/>
      <c r="E1809" s="5"/>
      <c r="F1809" s="5"/>
      <c r="G1809" s="5"/>
      <c r="H1809" s="5"/>
      <c r="I1809" s="5"/>
      <c r="J1809" s="5"/>
      <c r="K1809" s="5"/>
      <c r="L1809" s="5"/>
      <c r="M1809" s="5"/>
      <c r="N1809" s="5"/>
      <c r="O1809" s="5"/>
    </row>
    <row r="1810" spans="2:15" x14ac:dyDescent="0.55000000000000004">
      <c r="B1810" s="5"/>
      <c r="C1810" s="5"/>
      <c r="D1810" s="5"/>
      <c r="E1810" s="5"/>
      <c r="F1810" s="5"/>
      <c r="G1810" s="5"/>
      <c r="H1810" s="5"/>
      <c r="I1810" s="5"/>
      <c r="J1810" s="5"/>
      <c r="K1810" s="5"/>
      <c r="L1810" s="5"/>
      <c r="M1810" s="5"/>
      <c r="N1810" s="5"/>
      <c r="O1810" s="5"/>
    </row>
    <row r="1811" spans="2:15" x14ac:dyDescent="0.55000000000000004">
      <c r="B1811" s="5"/>
      <c r="C1811" s="5"/>
      <c r="D1811" s="5"/>
      <c r="E1811" s="5"/>
      <c r="F1811" s="5"/>
      <c r="G1811" s="5"/>
      <c r="H1811" s="5"/>
      <c r="I1811" s="5"/>
      <c r="J1811" s="5"/>
      <c r="K1811" s="5"/>
      <c r="L1811" s="5"/>
      <c r="M1811" s="5"/>
      <c r="N1811" s="5"/>
      <c r="O1811" s="5"/>
    </row>
    <row r="1812" spans="2:15" x14ac:dyDescent="0.55000000000000004">
      <c r="B1812" s="5"/>
      <c r="C1812" s="5"/>
      <c r="D1812" s="5"/>
      <c r="E1812" s="5"/>
      <c r="F1812" s="5"/>
      <c r="G1812" s="5"/>
      <c r="H1812" s="5"/>
      <c r="I1812" s="5"/>
      <c r="J1812" s="5"/>
      <c r="K1812" s="5"/>
      <c r="L1812" s="5"/>
      <c r="M1812" s="5"/>
      <c r="N1812" s="5"/>
      <c r="O1812" s="5"/>
    </row>
    <row r="1813" spans="2:15" x14ac:dyDescent="0.55000000000000004">
      <c r="B1813" s="5"/>
      <c r="C1813" s="5"/>
      <c r="D1813" s="5"/>
      <c r="E1813" s="5"/>
      <c r="F1813" s="5"/>
      <c r="G1813" s="5"/>
      <c r="H1813" s="5"/>
      <c r="I1813" s="5"/>
      <c r="J1813" s="5"/>
      <c r="K1813" s="5"/>
      <c r="L1813" s="5"/>
      <c r="M1813" s="5"/>
      <c r="N1813" s="5"/>
      <c r="O1813" s="5"/>
    </row>
    <row r="1814" spans="2:15" x14ac:dyDescent="0.55000000000000004">
      <c r="B1814" s="5"/>
      <c r="C1814" s="5"/>
      <c r="D1814" s="5"/>
      <c r="E1814" s="5"/>
      <c r="F1814" s="5"/>
      <c r="G1814" s="5"/>
      <c r="H1814" s="5"/>
      <c r="I1814" s="5"/>
      <c r="J1814" s="5"/>
      <c r="K1814" s="5"/>
      <c r="L1814" s="5"/>
      <c r="M1814" s="5"/>
      <c r="N1814" s="5"/>
      <c r="O1814" s="5"/>
    </row>
    <row r="1815" spans="2:15" x14ac:dyDescent="0.55000000000000004">
      <c r="B1815" s="5"/>
      <c r="C1815" s="5"/>
      <c r="D1815" s="5"/>
      <c r="E1815" s="5"/>
      <c r="F1815" s="5"/>
      <c r="G1815" s="5"/>
      <c r="H1815" s="5"/>
      <c r="I1815" s="5"/>
      <c r="J1815" s="5"/>
      <c r="K1815" s="5"/>
      <c r="L1815" s="5"/>
      <c r="M1815" s="5"/>
      <c r="N1815" s="5"/>
      <c r="O1815" s="5"/>
    </row>
    <row r="1816" spans="2:15" x14ac:dyDescent="0.55000000000000004">
      <c r="B1816" s="5"/>
      <c r="C1816" s="5"/>
      <c r="D1816" s="5"/>
      <c r="E1816" s="5"/>
      <c r="F1816" s="5"/>
      <c r="G1816" s="5"/>
      <c r="H1816" s="5"/>
      <c r="I1816" s="5"/>
      <c r="J1816" s="5"/>
      <c r="K1816" s="5"/>
      <c r="L1816" s="5"/>
      <c r="M1816" s="5"/>
      <c r="N1816" s="5"/>
      <c r="O1816" s="5"/>
    </row>
    <row r="1817" spans="2:15" x14ac:dyDescent="0.55000000000000004">
      <c r="B1817" s="5"/>
      <c r="C1817" s="5"/>
      <c r="D1817" s="5"/>
      <c r="E1817" s="5"/>
      <c r="F1817" s="5"/>
      <c r="G1817" s="5"/>
      <c r="H1817" s="5"/>
      <c r="I1817" s="5"/>
      <c r="J1817" s="5"/>
      <c r="K1817" s="5"/>
      <c r="L1817" s="5"/>
      <c r="M1817" s="5"/>
      <c r="N1817" s="5"/>
      <c r="O1817" s="5"/>
    </row>
    <row r="1818" spans="2:15" x14ac:dyDescent="0.55000000000000004">
      <c r="B1818" s="5"/>
      <c r="C1818" s="5"/>
      <c r="D1818" s="5"/>
      <c r="E1818" s="5"/>
      <c r="F1818" s="5"/>
      <c r="G1818" s="5"/>
      <c r="H1818" s="5"/>
      <c r="I1818" s="5"/>
      <c r="J1818" s="5"/>
      <c r="K1818" s="5"/>
      <c r="L1818" s="5"/>
      <c r="M1818" s="5"/>
      <c r="N1818" s="5"/>
      <c r="O1818" s="5"/>
    </row>
    <row r="1819" spans="2:15" x14ac:dyDescent="0.55000000000000004">
      <c r="B1819" s="5"/>
      <c r="C1819" s="5"/>
      <c r="D1819" s="5"/>
      <c r="E1819" s="5"/>
      <c r="F1819" s="5"/>
      <c r="G1819" s="5"/>
      <c r="H1819" s="5"/>
      <c r="I1819" s="5"/>
      <c r="J1819" s="5"/>
      <c r="K1819" s="5"/>
      <c r="L1819" s="5"/>
      <c r="M1819" s="5"/>
      <c r="N1819" s="5"/>
      <c r="O1819" s="5"/>
    </row>
    <row r="1820" spans="2:15" x14ac:dyDescent="0.55000000000000004">
      <c r="B1820" s="5"/>
      <c r="C1820" s="5"/>
      <c r="D1820" s="5"/>
      <c r="E1820" s="5"/>
      <c r="F1820" s="5"/>
      <c r="G1820" s="5"/>
      <c r="H1820" s="5"/>
      <c r="I1820" s="5"/>
      <c r="J1820" s="5"/>
      <c r="K1820" s="5"/>
      <c r="L1820" s="5"/>
      <c r="M1820" s="5"/>
      <c r="N1820" s="5"/>
      <c r="O1820" s="5"/>
    </row>
    <row r="1821" spans="2:15" x14ac:dyDescent="0.55000000000000004"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O1821" s="5"/>
    </row>
    <row r="1822" spans="2:15" x14ac:dyDescent="0.55000000000000004">
      <c r="B1822" s="5"/>
      <c r="C1822" s="5"/>
      <c r="D1822" s="5"/>
      <c r="E1822" s="5"/>
      <c r="F1822" s="5"/>
      <c r="G1822" s="5"/>
      <c r="H1822" s="5"/>
      <c r="I1822" s="5"/>
      <c r="J1822" s="5"/>
      <c r="K1822" s="5"/>
      <c r="L1822" s="5"/>
      <c r="M1822" s="5"/>
      <c r="N1822" s="5"/>
      <c r="O1822" s="5"/>
    </row>
    <row r="1823" spans="2:15" x14ac:dyDescent="0.55000000000000004">
      <c r="B1823" s="5"/>
      <c r="C1823" s="5"/>
      <c r="D1823" s="5"/>
      <c r="E1823" s="5"/>
      <c r="F1823" s="5"/>
      <c r="G1823" s="5"/>
      <c r="H1823" s="5"/>
      <c r="I1823" s="5"/>
      <c r="J1823" s="5"/>
      <c r="K1823" s="5"/>
      <c r="L1823" s="5"/>
      <c r="M1823" s="5"/>
      <c r="N1823" s="5"/>
      <c r="O1823" s="5"/>
    </row>
    <row r="1824" spans="2:15" x14ac:dyDescent="0.55000000000000004">
      <c r="B1824" s="5"/>
      <c r="C1824" s="5"/>
      <c r="D1824" s="5"/>
      <c r="E1824" s="5"/>
      <c r="F1824" s="5"/>
      <c r="G1824" s="5"/>
      <c r="H1824" s="5"/>
      <c r="I1824" s="5"/>
      <c r="J1824" s="5"/>
      <c r="K1824" s="5"/>
      <c r="L1824" s="5"/>
      <c r="M1824" s="5"/>
      <c r="N1824" s="5"/>
      <c r="O1824" s="5"/>
    </row>
    <row r="1825" spans="2:15" x14ac:dyDescent="0.55000000000000004">
      <c r="B1825" s="5"/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/>
      <c r="O1825" s="5"/>
    </row>
    <row r="1826" spans="2:15" x14ac:dyDescent="0.55000000000000004">
      <c r="B1826" s="5"/>
      <c r="C1826" s="5"/>
      <c r="D1826" s="5"/>
      <c r="E1826" s="5"/>
      <c r="F1826" s="5"/>
      <c r="G1826" s="5"/>
      <c r="H1826" s="5"/>
      <c r="I1826" s="5"/>
      <c r="J1826" s="5"/>
      <c r="K1826" s="5"/>
      <c r="L1826" s="5"/>
      <c r="M1826" s="5"/>
      <c r="N1826" s="5"/>
      <c r="O1826" s="5"/>
    </row>
    <row r="1827" spans="2:15" x14ac:dyDescent="0.55000000000000004">
      <c r="B1827" s="5"/>
      <c r="C1827" s="5"/>
      <c r="D1827" s="5"/>
      <c r="E1827" s="5"/>
      <c r="F1827" s="5"/>
      <c r="G1827" s="5"/>
      <c r="H1827" s="5"/>
      <c r="I1827" s="5"/>
      <c r="J1827" s="5"/>
      <c r="K1827" s="5"/>
      <c r="L1827" s="5"/>
      <c r="M1827" s="5"/>
      <c r="N1827" s="5"/>
      <c r="O1827" s="5"/>
    </row>
    <row r="1828" spans="2:15" x14ac:dyDescent="0.55000000000000004">
      <c r="B1828" s="5"/>
      <c r="C1828" s="5"/>
      <c r="D1828" s="5"/>
      <c r="E1828" s="5"/>
      <c r="F1828" s="5"/>
      <c r="G1828" s="5"/>
      <c r="H1828" s="5"/>
      <c r="I1828" s="5"/>
      <c r="J1828" s="5"/>
      <c r="K1828" s="5"/>
      <c r="L1828" s="5"/>
      <c r="M1828" s="5"/>
      <c r="N1828" s="5"/>
      <c r="O1828" s="5"/>
    </row>
    <row r="1829" spans="2:15" x14ac:dyDescent="0.55000000000000004">
      <c r="B1829" s="5"/>
      <c r="C1829" s="5"/>
      <c r="D1829" s="5"/>
      <c r="E1829" s="5"/>
      <c r="F1829" s="5"/>
      <c r="G1829" s="5"/>
      <c r="H1829" s="5"/>
      <c r="I1829" s="5"/>
      <c r="J1829" s="5"/>
      <c r="K1829" s="5"/>
      <c r="L1829" s="5"/>
      <c r="M1829" s="5"/>
      <c r="N1829" s="5"/>
      <c r="O1829" s="5"/>
    </row>
    <row r="1830" spans="2:15" x14ac:dyDescent="0.55000000000000004">
      <c r="B1830" s="5"/>
      <c r="C1830" s="5"/>
      <c r="D1830" s="5"/>
      <c r="E1830" s="5"/>
      <c r="F1830" s="5"/>
      <c r="G1830" s="5"/>
      <c r="H1830" s="5"/>
      <c r="I1830" s="5"/>
      <c r="J1830" s="5"/>
      <c r="K1830" s="5"/>
      <c r="L1830" s="5"/>
      <c r="M1830" s="5"/>
      <c r="N1830" s="5"/>
      <c r="O1830" s="5"/>
    </row>
    <row r="1831" spans="2:15" x14ac:dyDescent="0.55000000000000004">
      <c r="B1831" s="5"/>
      <c r="C1831" s="5"/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5"/>
      <c r="O1831" s="5"/>
    </row>
    <row r="1832" spans="2:15" x14ac:dyDescent="0.55000000000000004">
      <c r="B1832" s="5"/>
      <c r="C1832" s="5"/>
      <c r="D1832" s="5"/>
      <c r="E1832" s="5"/>
      <c r="F1832" s="5"/>
      <c r="G1832" s="5"/>
      <c r="H1832" s="5"/>
      <c r="I1832" s="5"/>
      <c r="J1832" s="5"/>
      <c r="K1832" s="5"/>
      <c r="L1832" s="5"/>
      <c r="M1832" s="5"/>
      <c r="N1832" s="5"/>
      <c r="O1832" s="5"/>
    </row>
    <row r="1833" spans="2:15" x14ac:dyDescent="0.55000000000000004">
      <c r="B1833" s="5"/>
      <c r="C1833" s="5"/>
      <c r="D1833" s="5"/>
      <c r="E1833" s="5"/>
      <c r="F1833" s="5"/>
      <c r="G1833" s="5"/>
      <c r="H1833" s="5"/>
      <c r="I1833" s="5"/>
      <c r="J1833" s="5"/>
      <c r="K1833" s="5"/>
      <c r="L1833" s="5"/>
      <c r="M1833" s="5"/>
      <c r="N1833" s="5"/>
      <c r="O1833" s="5"/>
    </row>
    <row r="1834" spans="2:15" x14ac:dyDescent="0.55000000000000004">
      <c r="B1834" s="5"/>
      <c r="C1834" s="5"/>
      <c r="D1834" s="5"/>
      <c r="E1834" s="5"/>
      <c r="F1834" s="5"/>
      <c r="G1834" s="5"/>
      <c r="H1834" s="5"/>
      <c r="I1834" s="5"/>
      <c r="J1834" s="5"/>
      <c r="K1834" s="5"/>
      <c r="L1834" s="5"/>
      <c r="M1834" s="5"/>
      <c r="N1834" s="5"/>
      <c r="O1834" s="5"/>
    </row>
    <row r="1835" spans="2:15" x14ac:dyDescent="0.55000000000000004">
      <c r="B1835" s="5"/>
      <c r="C1835" s="5"/>
      <c r="D1835" s="5"/>
      <c r="E1835" s="5"/>
      <c r="F1835" s="5"/>
      <c r="G1835" s="5"/>
      <c r="H1835" s="5"/>
      <c r="I1835" s="5"/>
      <c r="J1835" s="5"/>
      <c r="K1835" s="5"/>
      <c r="L1835" s="5"/>
      <c r="M1835" s="5"/>
      <c r="N1835" s="5"/>
      <c r="O1835" s="5"/>
    </row>
    <row r="1836" spans="2:15" x14ac:dyDescent="0.55000000000000004">
      <c r="B1836" s="5"/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/>
      <c r="O1836" s="5"/>
    </row>
    <row r="1837" spans="2:15" x14ac:dyDescent="0.55000000000000004">
      <c r="B1837" s="5"/>
      <c r="C1837" s="5"/>
      <c r="D1837" s="5"/>
      <c r="E1837" s="5"/>
      <c r="F1837" s="5"/>
      <c r="G1837" s="5"/>
      <c r="H1837" s="5"/>
      <c r="I1837" s="5"/>
      <c r="J1837" s="5"/>
      <c r="K1837" s="5"/>
      <c r="L1837" s="5"/>
      <c r="M1837" s="5"/>
      <c r="N1837" s="5"/>
      <c r="O1837" s="5"/>
    </row>
    <row r="1838" spans="2:15" x14ac:dyDescent="0.55000000000000004">
      <c r="B1838" s="5"/>
      <c r="C1838" s="5"/>
      <c r="D1838" s="5"/>
      <c r="E1838" s="5"/>
      <c r="F1838" s="5"/>
      <c r="G1838" s="5"/>
      <c r="H1838" s="5"/>
      <c r="I1838" s="5"/>
      <c r="J1838" s="5"/>
      <c r="K1838" s="5"/>
      <c r="L1838" s="5"/>
      <c r="M1838" s="5"/>
      <c r="N1838" s="5"/>
      <c r="O1838" s="5"/>
    </row>
    <row r="1839" spans="2:15" x14ac:dyDescent="0.55000000000000004">
      <c r="B1839" s="5"/>
      <c r="C1839" s="5"/>
      <c r="D1839" s="5"/>
      <c r="E1839" s="5"/>
      <c r="F1839" s="5"/>
      <c r="G1839" s="5"/>
      <c r="H1839" s="5"/>
      <c r="I1839" s="5"/>
      <c r="J1839" s="5"/>
      <c r="K1839" s="5"/>
      <c r="L1839" s="5"/>
      <c r="M1839" s="5"/>
      <c r="N1839" s="5"/>
      <c r="O1839" s="5"/>
    </row>
    <row r="1840" spans="2:15" x14ac:dyDescent="0.55000000000000004">
      <c r="B1840" s="5"/>
      <c r="C1840" s="5"/>
      <c r="D1840" s="5"/>
      <c r="E1840" s="5"/>
      <c r="F1840" s="5"/>
      <c r="G1840" s="5"/>
      <c r="H1840" s="5"/>
      <c r="I1840" s="5"/>
      <c r="J1840" s="5"/>
      <c r="K1840" s="5"/>
      <c r="L1840" s="5"/>
      <c r="M1840" s="5"/>
      <c r="N1840" s="5"/>
      <c r="O1840" s="5"/>
    </row>
    <row r="1841" spans="2:15" x14ac:dyDescent="0.55000000000000004">
      <c r="B1841" s="5"/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5"/>
      <c r="O1841" s="5"/>
    </row>
    <row r="1842" spans="2:15" x14ac:dyDescent="0.55000000000000004">
      <c r="B1842" s="5"/>
      <c r="C1842" s="5"/>
      <c r="D1842" s="5"/>
      <c r="E1842" s="5"/>
      <c r="F1842" s="5"/>
      <c r="G1842" s="5"/>
      <c r="H1842" s="5"/>
      <c r="I1842" s="5"/>
      <c r="J1842" s="5"/>
      <c r="K1842" s="5"/>
      <c r="L1842" s="5"/>
      <c r="M1842" s="5"/>
      <c r="N1842" s="5"/>
      <c r="O1842" s="5"/>
    </row>
    <row r="1843" spans="2:15" x14ac:dyDescent="0.55000000000000004">
      <c r="B1843" s="5"/>
      <c r="C1843" s="5"/>
      <c r="D1843" s="5"/>
      <c r="E1843" s="5"/>
      <c r="F1843" s="5"/>
      <c r="G1843" s="5"/>
      <c r="H1843" s="5"/>
      <c r="I1843" s="5"/>
      <c r="J1843" s="5"/>
      <c r="K1843" s="5"/>
      <c r="L1843" s="5"/>
      <c r="M1843" s="5"/>
      <c r="N1843" s="5"/>
      <c r="O1843" s="5"/>
    </row>
    <row r="1844" spans="2:15" x14ac:dyDescent="0.55000000000000004">
      <c r="B1844" s="5"/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</row>
    <row r="1845" spans="2:15" x14ac:dyDescent="0.55000000000000004">
      <c r="B1845" s="5"/>
      <c r="C1845" s="5"/>
      <c r="D1845" s="5"/>
      <c r="E1845" s="5"/>
      <c r="F1845" s="5"/>
      <c r="G1845" s="5"/>
      <c r="H1845" s="5"/>
      <c r="I1845" s="5"/>
      <c r="J1845" s="5"/>
      <c r="K1845" s="5"/>
      <c r="L1845" s="5"/>
      <c r="M1845" s="5"/>
      <c r="N1845" s="5"/>
      <c r="O1845" s="5"/>
    </row>
    <row r="1846" spans="2:15" x14ac:dyDescent="0.55000000000000004">
      <c r="B1846" s="5"/>
      <c r="C1846" s="5"/>
      <c r="D1846" s="5"/>
      <c r="E1846" s="5"/>
      <c r="F1846" s="5"/>
      <c r="G1846" s="5"/>
      <c r="H1846" s="5"/>
      <c r="I1846" s="5"/>
      <c r="J1846" s="5"/>
      <c r="K1846" s="5"/>
      <c r="L1846" s="5"/>
      <c r="M1846" s="5"/>
      <c r="N1846" s="5"/>
      <c r="O1846" s="5"/>
    </row>
    <row r="1847" spans="2:15" x14ac:dyDescent="0.55000000000000004">
      <c r="B1847" s="5"/>
      <c r="C1847" s="5"/>
      <c r="D1847" s="5"/>
      <c r="E1847" s="5"/>
      <c r="F1847" s="5"/>
      <c r="G1847" s="5"/>
      <c r="H1847" s="5"/>
      <c r="I1847" s="5"/>
      <c r="J1847" s="5"/>
      <c r="K1847" s="5"/>
      <c r="L1847" s="5"/>
      <c r="M1847" s="5"/>
      <c r="N1847" s="5"/>
      <c r="O1847" s="5"/>
    </row>
    <row r="1848" spans="2:15" x14ac:dyDescent="0.55000000000000004">
      <c r="B1848" s="5"/>
      <c r="C1848" s="5"/>
      <c r="D1848" s="5"/>
      <c r="E1848" s="5"/>
      <c r="F1848" s="5"/>
      <c r="G1848" s="5"/>
      <c r="H1848" s="5"/>
      <c r="I1848" s="5"/>
      <c r="J1848" s="5"/>
      <c r="K1848" s="5"/>
      <c r="L1848" s="5"/>
      <c r="M1848" s="5"/>
      <c r="N1848" s="5"/>
      <c r="O1848" s="5"/>
    </row>
    <row r="1849" spans="2:15" x14ac:dyDescent="0.55000000000000004"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O1849" s="5"/>
    </row>
    <row r="1850" spans="2:15" x14ac:dyDescent="0.55000000000000004">
      <c r="B1850" s="5"/>
      <c r="C1850" s="5"/>
      <c r="D1850" s="5"/>
      <c r="E1850" s="5"/>
      <c r="F1850" s="5"/>
      <c r="G1850" s="5"/>
      <c r="H1850" s="5"/>
      <c r="I1850" s="5"/>
      <c r="J1850" s="5"/>
      <c r="K1850" s="5"/>
      <c r="L1850" s="5"/>
      <c r="M1850" s="5"/>
      <c r="N1850" s="5"/>
      <c r="O1850" s="5"/>
    </row>
    <row r="1851" spans="2:15" x14ac:dyDescent="0.55000000000000004">
      <c r="B1851" s="5"/>
      <c r="C1851" s="5"/>
      <c r="D1851" s="5"/>
      <c r="E1851" s="5"/>
      <c r="F1851" s="5"/>
      <c r="G1851" s="5"/>
      <c r="H1851" s="5"/>
      <c r="I1851" s="5"/>
      <c r="J1851" s="5"/>
      <c r="K1851" s="5"/>
      <c r="L1851" s="5"/>
      <c r="M1851" s="5"/>
      <c r="N1851" s="5"/>
      <c r="O1851" s="5"/>
    </row>
    <row r="1852" spans="2:15" x14ac:dyDescent="0.55000000000000004">
      <c r="B1852" s="5"/>
      <c r="C1852" s="5"/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5"/>
      <c r="O1852" s="5"/>
    </row>
    <row r="1853" spans="2:15" x14ac:dyDescent="0.55000000000000004"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5"/>
      <c r="O1853" s="5"/>
    </row>
    <row r="1854" spans="2:15" x14ac:dyDescent="0.55000000000000004">
      <c r="B1854" s="5"/>
      <c r="C1854" s="5"/>
      <c r="D1854" s="5"/>
      <c r="E1854" s="5"/>
      <c r="F1854" s="5"/>
      <c r="G1854" s="5"/>
      <c r="H1854" s="5"/>
      <c r="I1854" s="5"/>
      <c r="J1854" s="5"/>
      <c r="K1854" s="5"/>
      <c r="L1854" s="5"/>
      <c r="M1854" s="5"/>
      <c r="N1854" s="5"/>
      <c r="O1854" s="5"/>
    </row>
    <row r="1855" spans="2:15" x14ac:dyDescent="0.55000000000000004">
      <c r="B1855" s="5"/>
      <c r="C1855" s="5"/>
      <c r="D1855" s="5"/>
      <c r="E1855" s="5"/>
      <c r="F1855" s="5"/>
      <c r="G1855" s="5"/>
      <c r="H1855" s="5"/>
      <c r="I1855" s="5"/>
      <c r="J1855" s="5"/>
      <c r="K1855" s="5"/>
      <c r="L1855" s="5"/>
      <c r="M1855" s="5"/>
      <c r="N1855" s="5"/>
      <c r="O1855" s="5"/>
    </row>
    <row r="1856" spans="2:15" x14ac:dyDescent="0.55000000000000004">
      <c r="B1856" s="5"/>
      <c r="C1856" s="5"/>
      <c r="D1856" s="5"/>
      <c r="E1856" s="5"/>
      <c r="F1856" s="5"/>
      <c r="G1856" s="5"/>
      <c r="H1856" s="5"/>
      <c r="I1856" s="5"/>
      <c r="J1856" s="5"/>
      <c r="K1856" s="5"/>
      <c r="L1856" s="5"/>
      <c r="M1856" s="5"/>
      <c r="N1856" s="5"/>
      <c r="O1856" s="5"/>
    </row>
    <row r="1857" spans="2:15" x14ac:dyDescent="0.55000000000000004">
      <c r="B1857" s="5"/>
      <c r="C1857" s="5"/>
      <c r="D1857" s="5"/>
      <c r="E1857" s="5"/>
      <c r="F1857" s="5"/>
      <c r="G1857" s="5"/>
      <c r="H1857" s="5"/>
      <c r="I1857" s="5"/>
      <c r="J1857" s="5"/>
      <c r="K1857" s="5"/>
      <c r="L1857" s="5"/>
      <c r="M1857" s="5"/>
      <c r="N1857" s="5"/>
      <c r="O1857" s="5"/>
    </row>
    <row r="1858" spans="2:15" x14ac:dyDescent="0.55000000000000004">
      <c r="B1858" s="5"/>
      <c r="C1858" s="5"/>
      <c r="D1858" s="5"/>
      <c r="E1858" s="5"/>
      <c r="F1858" s="5"/>
      <c r="G1858" s="5"/>
      <c r="H1858" s="5"/>
      <c r="I1858" s="5"/>
      <c r="J1858" s="5"/>
      <c r="K1858" s="5"/>
      <c r="L1858" s="5"/>
      <c r="M1858" s="5"/>
      <c r="N1858" s="5"/>
      <c r="O1858" s="5"/>
    </row>
    <row r="1859" spans="2:15" x14ac:dyDescent="0.55000000000000004">
      <c r="B1859" s="5"/>
      <c r="C1859" s="5"/>
      <c r="D1859" s="5"/>
      <c r="E1859" s="5"/>
      <c r="F1859" s="5"/>
      <c r="G1859" s="5"/>
      <c r="H1859" s="5"/>
      <c r="I1859" s="5"/>
      <c r="J1859" s="5"/>
      <c r="K1859" s="5"/>
      <c r="L1859" s="5"/>
      <c r="M1859" s="5"/>
      <c r="N1859" s="5"/>
      <c r="O1859" s="5"/>
    </row>
    <row r="1860" spans="2:15" x14ac:dyDescent="0.55000000000000004">
      <c r="B1860" s="5"/>
      <c r="C1860" s="5"/>
      <c r="D1860" s="5"/>
      <c r="E1860" s="5"/>
      <c r="F1860" s="5"/>
      <c r="G1860" s="5"/>
      <c r="H1860" s="5"/>
      <c r="I1860" s="5"/>
      <c r="J1860" s="5"/>
      <c r="K1860" s="5"/>
      <c r="L1860" s="5"/>
      <c r="M1860" s="5"/>
      <c r="N1860" s="5"/>
      <c r="O1860" s="5"/>
    </row>
    <row r="1861" spans="2:15" x14ac:dyDescent="0.55000000000000004">
      <c r="B1861" s="5"/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</row>
    <row r="1862" spans="2:15" x14ac:dyDescent="0.55000000000000004">
      <c r="B1862" s="5"/>
      <c r="C1862" s="5"/>
      <c r="D1862" s="5"/>
      <c r="E1862" s="5"/>
      <c r="F1862" s="5"/>
      <c r="G1862" s="5"/>
      <c r="H1862" s="5"/>
      <c r="I1862" s="5"/>
      <c r="J1862" s="5"/>
      <c r="K1862" s="5"/>
      <c r="L1862" s="5"/>
      <c r="M1862" s="5"/>
      <c r="N1862" s="5"/>
      <c r="O1862" s="5"/>
    </row>
    <row r="1863" spans="2:15" x14ac:dyDescent="0.55000000000000004">
      <c r="B1863" s="5"/>
      <c r="C1863" s="5"/>
      <c r="D1863" s="5"/>
      <c r="E1863" s="5"/>
      <c r="F1863" s="5"/>
      <c r="G1863" s="5"/>
      <c r="H1863" s="5"/>
      <c r="I1863" s="5"/>
      <c r="J1863" s="5"/>
      <c r="K1863" s="5"/>
      <c r="L1863" s="5"/>
      <c r="M1863" s="5"/>
      <c r="N1863" s="5"/>
      <c r="O1863" s="5"/>
    </row>
    <row r="1864" spans="2:15" x14ac:dyDescent="0.55000000000000004">
      <c r="B1864" s="5"/>
      <c r="C1864" s="5"/>
      <c r="D1864" s="5"/>
      <c r="E1864" s="5"/>
      <c r="F1864" s="5"/>
      <c r="G1864" s="5"/>
      <c r="H1864" s="5"/>
      <c r="I1864" s="5"/>
      <c r="J1864" s="5"/>
      <c r="K1864" s="5"/>
      <c r="L1864" s="5"/>
      <c r="M1864" s="5"/>
      <c r="N1864" s="5"/>
      <c r="O1864" s="5"/>
    </row>
    <row r="1865" spans="2:15" x14ac:dyDescent="0.55000000000000004"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</row>
    <row r="1866" spans="2:15" x14ac:dyDescent="0.55000000000000004">
      <c r="B1866" s="5"/>
      <c r="C1866" s="5"/>
      <c r="D1866" s="5"/>
      <c r="E1866" s="5"/>
      <c r="F1866" s="5"/>
      <c r="G1866" s="5"/>
      <c r="H1866" s="5"/>
      <c r="I1866" s="5"/>
      <c r="J1866" s="5"/>
      <c r="K1866" s="5"/>
      <c r="L1866" s="5"/>
      <c r="M1866" s="5"/>
      <c r="N1866" s="5"/>
      <c r="O1866" s="5"/>
    </row>
    <row r="1867" spans="2:15" x14ac:dyDescent="0.55000000000000004">
      <c r="B1867" s="5"/>
      <c r="C1867" s="5"/>
      <c r="D1867" s="5"/>
      <c r="E1867" s="5"/>
      <c r="F1867" s="5"/>
      <c r="G1867" s="5"/>
      <c r="H1867" s="5"/>
      <c r="I1867" s="5"/>
      <c r="J1867" s="5"/>
      <c r="K1867" s="5"/>
      <c r="L1867" s="5"/>
      <c r="M1867" s="5"/>
      <c r="N1867" s="5"/>
      <c r="O1867" s="5"/>
    </row>
    <row r="1868" spans="2:15" x14ac:dyDescent="0.55000000000000004">
      <c r="B1868" s="5"/>
      <c r="C1868" s="5"/>
      <c r="D1868" s="5"/>
      <c r="E1868" s="5"/>
      <c r="F1868" s="5"/>
      <c r="G1868" s="5"/>
      <c r="H1868" s="5"/>
      <c r="I1868" s="5"/>
      <c r="J1868" s="5"/>
      <c r="K1868" s="5"/>
      <c r="L1868" s="5"/>
      <c r="M1868" s="5"/>
      <c r="N1868" s="5"/>
      <c r="O1868" s="5"/>
    </row>
    <row r="1869" spans="2:15" x14ac:dyDescent="0.55000000000000004"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</row>
    <row r="1870" spans="2:15" x14ac:dyDescent="0.55000000000000004">
      <c r="B1870" s="5"/>
      <c r="C1870" s="5"/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5"/>
      <c r="O1870" s="5"/>
    </row>
    <row r="1871" spans="2:15" x14ac:dyDescent="0.55000000000000004">
      <c r="B1871" s="5"/>
      <c r="C1871" s="5"/>
      <c r="D1871" s="5"/>
      <c r="E1871" s="5"/>
      <c r="F1871" s="5"/>
      <c r="G1871" s="5"/>
      <c r="H1871" s="5"/>
      <c r="I1871" s="5"/>
      <c r="J1871" s="5"/>
      <c r="K1871" s="5"/>
      <c r="L1871" s="5"/>
      <c r="M1871" s="5"/>
      <c r="N1871" s="5"/>
      <c r="O1871" s="5"/>
    </row>
    <row r="1872" spans="2:15" x14ac:dyDescent="0.55000000000000004">
      <c r="B1872" s="5"/>
      <c r="C1872" s="5"/>
      <c r="D1872" s="5"/>
      <c r="E1872" s="5"/>
      <c r="F1872" s="5"/>
      <c r="G1872" s="5"/>
      <c r="H1872" s="5"/>
      <c r="I1872" s="5"/>
      <c r="J1872" s="5"/>
      <c r="K1872" s="5"/>
      <c r="L1872" s="5"/>
      <c r="M1872" s="5"/>
      <c r="N1872" s="5"/>
      <c r="O1872" s="5"/>
    </row>
    <row r="1873" spans="2:15" x14ac:dyDescent="0.55000000000000004"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5"/>
      <c r="O1873" s="5"/>
    </row>
    <row r="1874" spans="2:15" x14ac:dyDescent="0.55000000000000004">
      <c r="B1874" s="5"/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5"/>
      <c r="O1874" s="5"/>
    </row>
    <row r="1875" spans="2:15" x14ac:dyDescent="0.55000000000000004">
      <c r="B1875" s="5"/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5"/>
      <c r="O1875" s="5"/>
    </row>
    <row r="1876" spans="2:15" x14ac:dyDescent="0.55000000000000004">
      <c r="B1876" s="5"/>
      <c r="C1876" s="5"/>
      <c r="D1876" s="5"/>
      <c r="E1876" s="5"/>
      <c r="F1876" s="5"/>
      <c r="G1876" s="5"/>
      <c r="H1876" s="5"/>
      <c r="I1876" s="5"/>
      <c r="J1876" s="5"/>
      <c r="K1876" s="5"/>
      <c r="L1876" s="5"/>
      <c r="M1876" s="5"/>
      <c r="N1876" s="5"/>
      <c r="O1876" s="5"/>
    </row>
    <row r="1877" spans="2:15" x14ac:dyDescent="0.55000000000000004"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5"/>
      <c r="O1877" s="5"/>
    </row>
    <row r="1878" spans="2:15" x14ac:dyDescent="0.55000000000000004">
      <c r="B1878" s="5"/>
      <c r="C1878" s="5"/>
      <c r="D1878" s="5"/>
      <c r="E1878" s="5"/>
      <c r="F1878" s="5"/>
      <c r="G1878" s="5"/>
      <c r="H1878" s="5"/>
      <c r="I1878" s="5"/>
      <c r="J1878" s="5"/>
      <c r="K1878" s="5"/>
      <c r="L1878" s="5"/>
      <c r="M1878" s="5"/>
      <c r="N1878" s="5"/>
      <c r="O1878" s="5"/>
    </row>
    <row r="1879" spans="2:15" x14ac:dyDescent="0.55000000000000004"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</row>
    <row r="1880" spans="2:15" x14ac:dyDescent="0.55000000000000004">
      <c r="B1880" s="5"/>
      <c r="C1880" s="5"/>
      <c r="D1880" s="5"/>
      <c r="E1880" s="5"/>
      <c r="F1880" s="5"/>
      <c r="G1880" s="5"/>
      <c r="H1880" s="5"/>
      <c r="I1880" s="5"/>
      <c r="J1880" s="5"/>
      <c r="K1880" s="5"/>
      <c r="L1880" s="5"/>
      <c r="M1880" s="5"/>
      <c r="N1880" s="5"/>
      <c r="O1880" s="5"/>
    </row>
    <row r="1881" spans="2:15" x14ac:dyDescent="0.55000000000000004"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5"/>
      <c r="O1881" s="5"/>
    </row>
    <row r="1882" spans="2:15" x14ac:dyDescent="0.55000000000000004">
      <c r="B1882" s="5"/>
      <c r="C1882" s="5"/>
      <c r="D1882" s="5"/>
      <c r="E1882" s="5"/>
      <c r="F1882" s="5"/>
      <c r="G1882" s="5"/>
      <c r="H1882" s="5"/>
      <c r="I1882" s="5"/>
      <c r="J1882" s="5"/>
      <c r="K1882" s="5"/>
      <c r="L1882" s="5"/>
      <c r="M1882" s="5"/>
      <c r="N1882" s="5"/>
      <c r="O1882" s="5"/>
    </row>
    <row r="1883" spans="2:15" x14ac:dyDescent="0.55000000000000004"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</row>
    <row r="1884" spans="2:15" x14ac:dyDescent="0.55000000000000004">
      <c r="B1884" s="5"/>
      <c r="C1884" s="5"/>
      <c r="D1884" s="5"/>
      <c r="E1884" s="5"/>
      <c r="F1884" s="5"/>
      <c r="G1884" s="5"/>
      <c r="H1884" s="5"/>
      <c r="I1884" s="5"/>
      <c r="J1884" s="5"/>
      <c r="K1884" s="5"/>
      <c r="L1884" s="5"/>
      <c r="M1884" s="5"/>
      <c r="N1884" s="5"/>
      <c r="O1884" s="5"/>
    </row>
    <row r="1885" spans="2:15" x14ac:dyDescent="0.55000000000000004"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</row>
    <row r="1886" spans="2:15" x14ac:dyDescent="0.55000000000000004">
      <c r="B1886" s="5"/>
      <c r="C1886" s="5"/>
      <c r="D1886" s="5"/>
      <c r="E1886" s="5"/>
      <c r="F1886" s="5"/>
      <c r="G1886" s="5"/>
      <c r="H1886" s="5"/>
      <c r="I1886" s="5"/>
      <c r="J1886" s="5"/>
      <c r="K1886" s="5"/>
      <c r="L1886" s="5"/>
      <c r="M1886" s="5"/>
      <c r="N1886" s="5"/>
      <c r="O1886" s="5"/>
    </row>
    <row r="1887" spans="2:15" x14ac:dyDescent="0.55000000000000004"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</row>
    <row r="1888" spans="2:15" x14ac:dyDescent="0.55000000000000004">
      <c r="B1888" s="5"/>
      <c r="C1888" s="5"/>
      <c r="D1888" s="5"/>
      <c r="E1888" s="5"/>
      <c r="F1888" s="5"/>
      <c r="G1888" s="5"/>
      <c r="H1888" s="5"/>
      <c r="I1888" s="5"/>
      <c r="J1888" s="5"/>
      <c r="K1888" s="5"/>
      <c r="L1888" s="5"/>
      <c r="M1888" s="5"/>
      <c r="N1888" s="5"/>
      <c r="O1888" s="5"/>
    </row>
    <row r="1889" spans="2:15" x14ac:dyDescent="0.55000000000000004"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</row>
    <row r="1890" spans="2:15" x14ac:dyDescent="0.55000000000000004">
      <c r="B1890" s="5"/>
      <c r="C1890" s="5"/>
      <c r="D1890" s="5"/>
      <c r="E1890" s="5"/>
      <c r="F1890" s="5"/>
      <c r="G1890" s="5"/>
      <c r="H1890" s="5"/>
      <c r="I1890" s="5"/>
      <c r="J1890" s="5"/>
      <c r="K1890" s="5"/>
      <c r="L1890" s="5"/>
      <c r="M1890" s="5"/>
      <c r="N1890" s="5"/>
      <c r="O1890" s="5"/>
    </row>
    <row r="1891" spans="2:15" x14ac:dyDescent="0.55000000000000004"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5"/>
      <c r="O1891" s="5"/>
    </row>
    <row r="1892" spans="2:15" x14ac:dyDescent="0.55000000000000004">
      <c r="B1892" s="5"/>
      <c r="C1892" s="5"/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5"/>
      <c r="O1892" s="5"/>
    </row>
    <row r="1893" spans="2:15" x14ac:dyDescent="0.55000000000000004">
      <c r="B1893" s="5"/>
      <c r="C1893" s="5"/>
      <c r="D1893" s="5"/>
      <c r="E1893" s="5"/>
      <c r="F1893" s="5"/>
      <c r="G1893" s="5"/>
      <c r="H1893" s="5"/>
      <c r="I1893" s="5"/>
      <c r="J1893" s="5"/>
      <c r="K1893" s="5"/>
      <c r="L1893" s="5"/>
      <c r="M1893" s="5"/>
      <c r="N1893" s="5"/>
      <c r="O1893" s="5"/>
    </row>
    <row r="1894" spans="2:15" x14ac:dyDescent="0.55000000000000004">
      <c r="B1894" s="5"/>
      <c r="C1894" s="5"/>
      <c r="D1894" s="5"/>
      <c r="E1894" s="5"/>
      <c r="F1894" s="5"/>
      <c r="G1894" s="5"/>
      <c r="H1894" s="5"/>
      <c r="I1894" s="5"/>
      <c r="J1894" s="5"/>
      <c r="K1894" s="5"/>
      <c r="L1894" s="5"/>
      <c r="M1894" s="5"/>
      <c r="N1894" s="5"/>
      <c r="O1894" s="5"/>
    </row>
    <row r="1895" spans="2:15" x14ac:dyDescent="0.55000000000000004">
      <c r="B1895" s="5"/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5"/>
      <c r="O1895" s="5"/>
    </row>
    <row r="1896" spans="2:15" x14ac:dyDescent="0.55000000000000004">
      <c r="B1896" s="5"/>
      <c r="C1896" s="5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5"/>
      <c r="O1896" s="5"/>
    </row>
    <row r="1897" spans="2:15" x14ac:dyDescent="0.55000000000000004"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</row>
    <row r="1898" spans="2:15" x14ac:dyDescent="0.55000000000000004">
      <c r="B1898" s="5"/>
      <c r="C1898" s="5"/>
      <c r="D1898" s="5"/>
      <c r="E1898" s="5"/>
      <c r="F1898" s="5"/>
      <c r="G1898" s="5"/>
      <c r="H1898" s="5"/>
      <c r="I1898" s="5"/>
      <c r="J1898" s="5"/>
      <c r="K1898" s="5"/>
      <c r="L1898" s="5"/>
      <c r="M1898" s="5"/>
      <c r="N1898" s="5"/>
      <c r="O1898" s="5"/>
    </row>
    <row r="1899" spans="2:15" x14ac:dyDescent="0.55000000000000004">
      <c r="B1899" s="5"/>
      <c r="C1899" s="5"/>
      <c r="D1899" s="5"/>
      <c r="E1899" s="5"/>
      <c r="F1899" s="5"/>
      <c r="G1899" s="5"/>
      <c r="H1899" s="5"/>
      <c r="I1899" s="5"/>
      <c r="J1899" s="5"/>
      <c r="K1899" s="5"/>
      <c r="L1899" s="5"/>
      <c r="M1899" s="5"/>
      <c r="N1899" s="5"/>
      <c r="O1899" s="5"/>
    </row>
    <row r="1900" spans="2:15" x14ac:dyDescent="0.55000000000000004">
      <c r="B1900" s="5"/>
      <c r="C1900" s="5"/>
      <c r="D1900" s="5"/>
      <c r="E1900" s="5"/>
      <c r="F1900" s="5"/>
      <c r="G1900" s="5"/>
      <c r="H1900" s="5"/>
      <c r="I1900" s="5"/>
      <c r="J1900" s="5"/>
      <c r="K1900" s="5"/>
      <c r="L1900" s="5"/>
      <c r="M1900" s="5"/>
      <c r="N1900" s="5"/>
      <c r="O1900" s="5"/>
    </row>
    <row r="1901" spans="2:15" x14ac:dyDescent="0.55000000000000004">
      <c r="B1901" s="5"/>
      <c r="C1901" s="5"/>
      <c r="D1901" s="5"/>
      <c r="E1901" s="5"/>
      <c r="F1901" s="5"/>
      <c r="G1901" s="5"/>
      <c r="H1901" s="5"/>
      <c r="I1901" s="5"/>
      <c r="J1901" s="5"/>
      <c r="K1901" s="5"/>
      <c r="L1901" s="5"/>
      <c r="M1901" s="5"/>
      <c r="N1901" s="5"/>
      <c r="O1901" s="5"/>
    </row>
    <row r="1902" spans="2:15" x14ac:dyDescent="0.55000000000000004">
      <c r="B1902" s="5"/>
      <c r="C1902" s="5"/>
      <c r="D1902" s="5"/>
      <c r="E1902" s="5"/>
      <c r="F1902" s="5"/>
      <c r="G1902" s="5"/>
      <c r="H1902" s="5"/>
      <c r="I1902" s="5"/>
      <c r="J1902" s="5"/>
      <c r="K1902" s="5"/>
      <c r="L1902" s="5"/>
      <c r="M1902" s="5"/>
      <c r="N1902" s="5"/>
      <c r="O1902" s="5"/>
    </row>
    <row r="1903" spans="2:15" x14ac:dyDescent="0.55000000000000004"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/>
    </row>
    <row r="1904" spans="2:15" x14ac:dyDescent="0.55000000000000004">
      <c r="B1904" s="5"/>
      <c r="C1904" s="5"/>
      <c r="D1904" s="5"/>
      <c r="E1904" s="5"/>
      <c r="F1904" s="5"/>
      <c r="G1904" s="5"/>
      <c r="H1904" s="5"/>
      <c r="I1904" s="5"/>
      <c r="J1904" s="5"/>
      <c r="K1904" s="5"/>
      <c r="L1904" s="5"/>
      <c r="M1904" s="5"/>
      <c r="N1904" s="5"/>
      <c r="O1904" s="5"/>
    </row>
    <row r="1905" spans="2:15" x14ac:dyDescent="0.55000000000000004"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/>
    </row>
    <row r="1906" spans="2:15" x14ac:dyDescent="0.55000000000000004">
      <c r="B1906" s="5"/>
      <c r="C1906" s="5"/>
      <c r="D1906" s="5"/>
      <c r="E1906" s="5"/>
      <c r="F1906" s="5"/>
      <c r="G1906" s="5"/>
      <c r="H1906" s="5"/>
      <c r="I1906" s="5"/>
      <c r="J1906" s="5"/>
      <c r="K1906" s="5"/>
      <c r="L1906" s="5"/>
      <c r="M1906" s="5"/>
      <c r="N1906" s="5"/>
      <c r="O1906" s="5"/>
    </row>
    <row r="1907" spans="2:15" x14ac:dyDescent="0.55000000000000004"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/>
    </row>
    <row r="1908" spans="2:15" x14ac:dyDescent="0.55000000000000004">
      <c r="B1908" s="5"/>
      <c r="C1908" s="5"/>
      <c r="D1908" s="5"/>
      <c r="E1908" s="5"/>
      <c r="F1908" s="5"/>
      <c r="G1908" s="5"/>
      <c r="H1908" s="5"/>
      <c r="I1908" s="5"/>
      <c r="J1908" s="5"/>
      <c r="K1908" s="5"/>
      <c r="L1908" s="5"/>
      <c r="M1908" s="5"/>
      <c r="N1908" s="5"/>
      <c r="O1908" s="5"/>
    </row>
    <row r="1909" spans="2:15" x14ac:dyDescent="0.55000000000000004">
      <c r="B1909" s="5"/>
      <c r="C1909" s="5"/>
      <c r="D1909" s="5"/>
      <c r="E1909" s="5"/>
      <c r="F1909" s="5"/>
      <c r="G1909" s="5"/>
      <c r="H1909" s="5"/>
      <c r="I1909" s="5"/>
      <c r="J1909" s="5"/>
      <c r="K1909" s="5"/>
      <c r="L1909" s="5"/>
      <c r="M1909" s="5"/>
      <c r="N1909" s="5"/>
      <c r="O1909" s="5"/>
    </row>
    <row r="1910" spans="2:15" x14ac:dyDescent="0.55000000000000004">
      <c r="B1910" s="5"/>
      <c r="C1910" s="5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5"/>
      <c r="O1910" s="5"/>
    </row>
    <row r="1911" spans="2:15" x14ac:dyDescent="0.55000000000000004">
      <c r="B1911" s="5"/>
      <c r="C1911" s="5"/>
      <c r="D1911" s="5"/>
      <c r="E1911" s="5"/>
      <c r="F1911" s="5"/>
      <c r="G1911" s="5"/>
      <c r="H1911" s="5"/>
      <c r="I1911" s="5"/>
      <c r="J1911" s="5"/>
      <c r="K1911" s="5"/>
      <c r="L1911" s="5"/>
      <c r="M1911" s="5"/>
      <c r="N1911" s="5"/>
      <c r="O1911" s="5"/>
    </row>
    <row r="1912" spans="2:15" x14ac:dyDescent="0.55000000000000004">
      <c r="B1912" s="5"/>
      <c r="C1912" s="5"/>
      <c r="D1912" s="5"/>
      <c r="E1912" s="5"/>
      <c r="F1912" s="5"/>
      <c r="G1912" s="5"/>
      <c r="H1912" s="5"/>
      <c r="I1912" s="5"/>
      <c r="J1912" s="5"/>
      <c r="K1912" s="5"/>
      <c r="L1912" s="5"/>
      <c r="M1912" s="5"/>
      <c r="N1912" s="5"/>
      <c r="O1912" s="5"/>
    </row>
    <row r="1913" spans="2:15" x14ac:dyDescent="0.55000000000000004">
      <c r="B1913" s="5"/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5"/>
      <c r="O1913" s="5"/>
    </row>
    <row r="1914" spans="2:15" x14ac:dyDescent="0.55000000000000004">
      <c r="B1914" s="5"/>
      <c r="C1914" s="5"/>
      <c r="D1914" s="5"/>
      <c r="E1914" s="5"/>
      <c r="F1914" s="5"/>
      <c r="G1914" s="5"/>
      <c r="H1914" s="5"/>
      <c r="I1914" s="5"/>
      <c r="J1914" s="5"/>
      <c r="K1914" s="5"/>
      <c r="L1914" s="5"/>
      <c r="M1914" s="5"/>
      <c r="N1914" s="5"/>
      <c r="O1914" s="5"/>
    </row>
    <row r="1915" spans="2:15" x14ac:dyDescent="0.55000000000000004">
      <c r="B1915" s="5"/>
      <c r="C1915" s="5"/>
      <c r="D1915" s="5"/>
      <c r="E1915" s="5"/>
      <c r="F1915" s="5"/>
      <c r="G1915" s="5"/>
      <c r="H1915" s="5"/>
      <c r="I1915" s="5"/>
      <c r="J1915" s="5"/>
      <c r="K1915" s="5"/>
      <c r="L1915" s="5"/>
      <c r="M1915" s="5"/>
      <c r="N1915" s="5"/>
      <c r="O1915" s="5"/>
    </row>
    <row r="1916" spans="2:15" x14ac:dyDescent="0.55000000000000004">
      <c r="B1916" s="5"/>
      <c r="C1916" s="5"/>
      <c r="D1916" s="5"/>
      <c r="E1916" s="5"/>
      <c r="F1916" s="5"/>
      <c r="G1916" s="5"/>
      <c r="H1916" s="5"/>
      <c r="I1916" s="5"/>
      <c r="J1916" s="5"/>
      <c r="K1916" s="5"/>
      <c r="L1916" s="5"/>
      <c r="M1916" s="5"/>
      <c r="N1916" s="5"/>
      <c r="O1916" s="5"/>
    </row>
    <row r="1917" spans="2:15" x14ac:dyDescent="0.55000000000000004">
      <c r="B1917" s="5"/>
      <c r="C1917" s="5"/>
      <c r="D1917" s="5"/>
      <c r="E1917" s="5"/>
      <c r="F1917" s="5"/>
      <c r="G1917" s="5"/>
      <c r="H1917" s="5"/>
      <c r="I1917" s="5"/>
      <c r="J1917" s="5"/>
      <c r="K1917" s="5"/>
      <c r="L1917" s="5"/>
      <c r="M1917" s="5"/>
      <c r="N1917" s="5"/>
      <c r="O1917" s="5"/>
    </row>
    <row r="1918" spans="2:15" x14ac:dyDescent="0.55000000000000004"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5"/>
      <c r="O1918" s="5"/>
    </row>
    <row r="1919" spans="2:15" x14ac:dyDescent="0.55000000000000004">
      <c r="B1919" s="5"/>
      <c r="C1919" s="5"/>
      <c r="D1919" s="5"/>
      <c r="E1919" s="5"/>
      <c r="F1919" s="5"/>
      <c r="G1919" s="5"/>
      <c r="H1919" s="5"/>
      <c r="I1919" s="5"/>
      <c r="J1919" s="5"/>
      <c r="K1919" s="5"/>
      <c r="L1919" s="5"/>
      <c r="M1919" s="5"/>
      <c r="N1919" s="5"/>
      <c r="O1919" s="5"/>
    </row>
    <row r="1920" spans="2:15" x14ac:dyDescent="0.55000000000000004">
      <c r="B1920" s="5"/>
      <c r="C1920" s="5"/>
      <c r="D1920" s="5"/>
      <c r="E1920" s="5"/>
      <c r="F1920" s="5"/>
      <c r="G1920" s="5"/>
      <c r="H1920" s="5"/>
      <c r="I1920" s="5"/>
      <c r="J1920" s="5"/>
      <c r="K1920" s="5"/>
      <c r="L1920" s="5"/>
      <c r="M1920" s="5"/>
      <c r="N1920" s="5"/>
      <c r="O1920" s="5"/>
    </row>
    <row r="1921" spans="2:15" x14ac:dyDescent="0.55000000000000004">
      <c r="B1921" s="5"/>
      <c r="C1921" s="5"/>
      <c r="D1921" s="5"/>
      <c r="E1921" s="5"/>
      <c r="F1921" s="5"/>
      <c r="G1921" s="5"/>
      <c r="H1921" s="5"/>
      <c r="I1921" s="5"/>
      <c r="J1921" s="5"/>
      <c r="K1921" s="5"/>
      <c r="L1921" s="5"/>
      <c r="M1921" s="5"/>
      <c r="N1921" s="5"/>
      <c r="O1921" s="5"/>
    </row>
    <row r="1922" spans="2:15" x14ac:dyDescent="0.55000000000000004">
      <c r="B1922" s="5"/>
      <c r="C1922" s="5"/>
      <c r="D1922" s="5"/>
      <c r="E1922" s="5"/>
      <c r="F1922" s="5"/>
      <c r="G1922" s="5"/>
      <c r="H1922" s="5"/>
      <c r="I1922" s="5"/>
      <c r="J1922" s="5"/>
      <c r="K1922" s="5"/>
      <c r="L1922" s="5"/>
      <c r="M1922" s="5"/>
      <c r="N1922" s="5"/>
      <c r="O1922" s="5"/>
    </row>
    <row r="1923" spans="2:15" x14ac:dyDescent="0.55000000000000004">
      <c r="B1923" s="5"/>
      <c r="C1923" s="5"/>
      <c r="D1923" s="5"/>
      <c r="E1923" s="5"/>
      <c r="F1923" s="5"/>
      <c r="G1923" s="5"/>
      <c r="H1923" s="5"/>
      <c r="I1923" s="5"/>
      <c r="J1923" s="5"/>
      <c r="K1923" s="5"/>
      <c r="L1923" s="5"/>
      <c r="M1923" s="5"/>
      <c r="N1923" s="5"/>
      <c r="O1923" s="5"/>
    </row>
    <row r="1924" spans="2:15" x14ac:dyDescent="0.55000000000000004">
      <c r="B1924" s="5"/>
      <c r="C1924" s="5"/>
      <c r="D1924" s="5"/>
      <c r="E1924" s="5"/>
      <c r="F1924" s="5"/>
      <c r="G1924" s="5"/>
      <c r="H1924" s="5"/>
      <c r="I1924" s="5"/>
      <c r="J1924" s="5"/>
      <c r="K1924" s="5"/>
      <c r="L1924" s="5"/>
      <c r="M1924" s="5"/>
      <c r="N1924" s="5"/>
      <c r="O1924" s="5"/>
    </row>
    <row r="1925" spans="2:15" x14ac:dyDescent="0.55000000000000004"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5"/>
      <c r="N1925" s="5"/>
      <c r="O1925" s="5"/>
    </row>
    <row r="1926" spans="2:15" x14ac:dyDescent="0.55000000000000004">
      <c r="B1926" s="5"/>
      <c r="C1926" s="5"/>
      <c r="D1926" s="5"/>
      <c r="E1926" s="5"/>
      <c r="F1926" s="5"/>
      <c r="G1926" s="5"/>
      <c r="H1926" s="5"/>
      <c r="I1926" s="5"/>
      <c r="J1926" s="5"/>
      <c r="K1926" s="5"/>
      <c r="L1926" s="5"/>
      <c r="M1926" s="5"/>
      <c r="N1926" s="5"/>
      <c r="O1926" s="5"/>
    </row>
    <row r="1927" spans="2:15" x14ac:dyDescent="0.55000000000000004">
      <c r="B1927" s="5"/>
      <c r="C1927" s="5"/>
      <c r="D1927" s="5"/>
      <c r="E1927" s="5"/>
      <c r="F1927" s="5"/>
      <c r="G1927" s="5"/>
      <c r="H1927" s="5"/>
      <c r="I1927" s="5"/>
      <c r="J1927" s="5"/>
      <c r="K1927" s="5"/>
      <c r="L1927" s="5"/>
      <c r="M1927" s="5"/>
      <c r="N1927" s="5"/>
      <c r="O1927" s="5"/>
    </row>
    <row r="1928" spans="2:15" x14ac:dyDescent="0.55000000000000004">
      <c r="B1928" s="5"/>
      <c r="C1928" s="5"/>
      <c r="D1928" s="5"/>
      <c r="E1928" s="5"/>
      <c r="F1928" s="5"/>
      <c r="G1928" s="5"/>
      <c r="H1928" s="5"/>
      <c r="I1928" s="5"/>
      <c r="J1928" s="5"/>
      <c r="K1928" s="5"/>
      <c r="L1928" s="5"/>
      <c r="M1928" s="5"/>
      <c r="N1928" s="5"/>
      <c r="O1928" s="5"/>
    </row>
    <row r="1929" spans="2:15" x14ac:dyDescent="0.55000000000000004">
      <c r="B1929" s="5"/>
      <c r="C1929" s="5"/>
      <c r="D1929" s="5"/>
      <c r="E1929" s="5"/>
      <c r="F1929" s="5"/>
      <c r="G1929" s="5"/>
      <c r="H1929" s="5"/>
      <c r="I1929" s="5"/>
      <c r="J1929" s="5"/>
      <c r="K1929" s="5"/>
      <c r="L1929" s="5"/>
      <c r="M1929" s="5"/>
      <c r="N1929" s="5"/>
      <c r="O1929" s="5"/>
    </row>
    <row r="1930" spans="2:15" x14ac:dyDescent="0.55000000000000004">
      <c r="B1930" s="5"/>
      <c r="C1930" s="5"/>
      <c r="D1930" s="5"/>
      <c r="E1930" s="5"/>
      <c r="F1930" s="5"/>
      <c r="G1930" s="5"/>
      <c r="H1930" s="5"/>
      <c r="I1930" s="5"/>
      <c r="J1930" s="5"/>
      <c r="K1930" s="5"/>
      <c r="L1930" s="5"/>
      <c r="M1930" s="5"/>
      <c r="N1930" s="5"/>
      <c r="O1930" s="5"/>
    </row>
    <row r="1931" spans="2:15" x14ac:dyDescent="0.55000000000000004">
      <c r="B1931" s="5"/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5"/>
      <c r="N1931" s="5"/>
      <c r="O1931" s="5"/>
    </row>
    <row r="1932" spans="2:15" x14ac:dyDescent="0.55000000000000004">
      <c r="B1932" s="5"/>
      <c r="C1932" s="5"/>
      <c r="D1932" s="5"/>
      <c r="E1932" s="5"/>
      <c r="F1932" s="5"/>
      <c r="G1932" s="5"/>
      <c r="H1932" s="5"/>
      <c r="I1932" s="5"/>
      <c r="J1932" s="5"/>
      <c r="K1932" s="5"/>
      <c r="L1932" s="5"/>
      <c r="M1932" s="5"/>
      <c r="N1932" s="5"/>
      <c r="O1932" s="5"/>
    </row>
    <row r="1933" spans="2:15" x14ac:dyDescent="0.55000000000000004">
      <c r="B1933" s="5"/>
      <c r="C1933" s="5"/>
      <c r="D1933" s="5"/>
      <c r="E1933" s="5"/>
      <c r="F1933" s="5"/>
      <c r="G1933" s="5"/>
      <c r="H1933" s="5"/>
      <c r="I1933" s="5"/>
      <c r="J1933" s="5"/>
      <c r="K1933" s="5"/>
      <c r="L1933" s="5"/>
      <c r="M1933" s="5"/>
      <c r="N1933" s="5"/>
      <c r="O1933" s="5"/>
    </row>
    <row r="1934" spans="2:15" x14ac:dyDescent="0.55000000000000004">
      <c r="B1934" s="5"/>
      <c r="C1934" s="5"/>
      <c r="D1934" s="5"/>
      <c r="E1934" s="5"/>
      <c r="F1934" s="5"/>
      <c r="G1934" s="5"/>
      <c r="H1934" s="5"/>
      <c r="I1934" s="5"/>
      <c r="J1934" s="5"/>
      <c r="K1934" s="5"/>
      <c r="L1934" s="5"/>
      <c r="M1934" s="5"/>
      <c r="N1934" s="5"/>
      <c r="O1934" s="5"/>
    </row>
    <row r="1935" spans="2:15" x14ac:dyDescent="0.55000000000000004">
      <c r="B1935" s="5"/>
      <c r="C1935" s="5"/>
      <c r="D1935" s="5"/>
      <c r="E1935" s="5"/>
      <c r="F1935" s="5"/>
      <c r="G1935" s="5"/>
      <c r="H1935" s="5"/>
      <c r="I1935" s="5"/>
      <c r="J1935" s="5"/>
      <c r="K1935" s="5"/>
      <c r="L1935" s="5"/>
      <c r="M1935" s="5"/>
      <c r="N1935" s="5"/>
      <c r="O1935" s="5"/>
    </row>
    <row r="1936" spans="2:15" x14ac:dyDescent="0.55000000000000004">
      <c r="B1936" s="5"/>
      <c r="C1936" s="5"/>
      <c r="D1936" s="5"/>
      <c r="E1936" s="5"/>
      <c r="F1936" s="5"/>
      <c r="G1936" s="5"/>
      <c r="H1936" s="5"/>
      <c r="I1936" s="5"/>
      <c r="J1936" s="5"/>
      <c r="K1936" s="5"/>
      <c r="L1936" s="5"/>
      <c r="M1936" s="5"/>
      <c r="N1936" s="5"/>
      <c r="O1936" s="5"/>
    </row>
    <row r="1937" spans="2:15" x14ac:dyDescent="0.55000000000000004">
      <c r="B1937" s="5"/>
      <c r="C1937" s="5"/>
      <c r="D1937" s="5"/>
      <c r="E1937" s="5"/>
      <c r="F1937" s="5"/>
      <c r="G1937" s="5"/>
      <c r="H1937" s="5"/>
      <c r="I1937" s="5"/>
      <c r="J1937" s="5"/>
      <c r="K1937" s="5"/>
      <c r="L1937" s="5"/>
      <c r="M1937" s="5"/>
      <c r="N1937" s="5"/>
      <c r="O1937" s="5"/>
    </row>
    <row r="1938" spans="2:15" x14ac:dyDescent="0.55000000000000004">
      <c r="B1938" s="5"/>
      <c r="C1938" s="5"/>
      <c r="D1938" s="5"/>
      <c r="E1938" s="5"/>
      <c r="F1938" s="5"/>
      <c r="G1938" s="5"/>
      <c r="H1938" s="5"/>
      <c r="I1938" s="5"/>
      <c r="J1938" s="5"/>
      <c r="K1938" s="5"/>
      <c r="L1938" s="5"/>
      <c r="M1938" s="5"/>
      <c r="N1938" s="5"/>
      <c r="O1938" s="5"/>
    </row>
    <row r="1939" spans="2:15" x14ac:dyDescent="0.55000000000000004">
      <c r="B1939" s="5"/>
      <c r="C1939" s="5"/>
      <c r="D1939" s="5"/>
      <c r="E1939" s="5"/>
      <c r="F1939" s="5"/>
      <c r="G1939" s="5"/>
      <c r="H1939" s="5"/>
      <c r="I1939" s="5"/>
      <c r="J1939" s="5"/>
      <c r="K1939" s="5"/>
      <c r="L1939" s="5"/>
      <c r="M1939" s="5"/>
      <c r="N1939" s="5"/>
      <c r="O1939" s="5"/>
    </row>
    <row r="1940" spans="2:15" x14ac:dyDescent="0.55000000000000004">
      <c r="B1940" s="5"/>
      <c r="C1940" s="5"/>
      <c r="D1940" s="5"/>
      <c r="E1940" s="5"/>
      <c r="F1940" s="5"/>
      <c r="G1940" s="5"/>
      <c r="H1940" s="5"/>
      <c r="I1940" s="5"/>
      <c r="J1940" s="5"/>
      <c r="K1940" s="5"/>
      <c r="L1940" s="5"/>
      <c r="M1940" s="5"/>
      <c r="N1940" s="5"/>
      <c r="O1940" s="5"/>
    </row>
    <row r="1941" spans="2:15" x14ac:dyDescent="0.55000000000000004">
      <c r="B1941" s="5"/>
      <c r="C1941" s="5"/>
      <c r="D1941" s="5"/>
      <c r="E1941" s="5"/>
      <c r="F1941" s="5"/>
      <c r="G1941" s="5"/>
      <c r="H1941" s="5"/>
      <c r="I1941" s="5"/>
      <c r="J1941" s="5"/>
      <c r="K1941" s="5"/>
      <c r="L1941" s="5"/>
      <c r="M1941" s="5"/>
      <c r="N1941" s="5"/>
      <c r="O1941" s="5"/>
    </row>
    <row r="1942" spans="2:15" x14ac:dyDescent="0.55000000000000004">
      <c r="B1942" s="5"/>
      <c r="C1942" s="5"/>
      <c r="D1942" s="5"/>
      <c r="E1942" s="5"/>
      <c r="F1942" s="5"/>
      <c r="G1942" s="5"/>
      <c r="H1942" s="5"/>
      <c r="I1942" s="5"/>
      <c r="J1942" s="5"/>
      <c r="K1942" s="5"/>
      <c r="L1942" s="5"/>
      <c r="M1942" s="5"/>
      <c r="N1942" s="5"/>
      <c r="O1942" s="5"/>
    </row>
    <row r="1943" spans="2:15" x14ac:dyDescent="0.55000000000000004"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5"/>
      <c r="N1943" s="5"/>
      <c r="O1943" s="5"/>
    </row>
    <row r="1944" spans="2:15" x14ac:dyDescent="0.55000000000000004">
      <c r="B1944" s="5"/>
      <c r="C1944" s="5"/>
      <c r="D1944" s="5"/>
      <c r="E1944" s="5"/>
      <c r="F1944" s="5"/>
      <c r="G1944" s="5"/>
      <c r="H1944" s="5"/>
      <c r="I1944" s="5"/>
      <c r="J1944" s="5"/>
      <c r="K1944" s="5"/>
      <c r="L1944" s="5"/>
      <c r="M1944" s="5"/>
      <c r="N1944" s="5"/>
      <c r="O1944" s="5"/>
    </row>
    <row r="1945" spans="2:15" x14ac:dyDescent="0.55000000000000004"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5"/>
      <c r="O1945" s="5"/>
    </row>
    <row r="1946" spans="2:15" x14ac:dyDescent="0.55000000000000004">
      <c r="B1946" s="5"/>
      <c r="C1946" s="5"/>
      <c r="D1946" s="5"/>
      <c r="E1946" s="5"/>
      <c r="F1946" s="5"/>
      <c r="G1946" s="5"/>
      <c r="H1946" s="5"/>
      <c r="I1946" s="5"/>
      <c r="J1946" s="5"/>
      <c r="K1946" s="5"/>
      <c r="L1946" s="5"/>
      <c r="M1946" s="5"/>
      <c r="N1946" s="5"/>
      <c r="O1946" s="5"/>
    </row>
    <row r="1947" spans="2:15" x14ac:dyDescent="0.55000000000000004">
      <c r="B1947" s="5"/>
      <c r="C1947" s="5"/>
      <c r="D1947" s="5"/>
      <c r="E1947" s="5"/>
      <c r="F1947" s="5"/>
      <c r="G1947" s="5"/>
      <c r="H1947" s="5"/>
      <c r="I1947" s="5"/>
      <c r="J1947" s="5"/>
      <c r="K1947" s="5"/>
      <c r="L1947" s="5"/>
      <c r="M1947" s="5"/>
      <c r="N1947" s="5"/>
      <c r="O1947" s="5"/>
    </row>
    <row r="1948" spans="2:15" x14ac:dyDescent="0.55000000000000004">
      <c r="B1948" s="5"/>
      <c r="C1948" s="5"/>
      <c r="D1948" s="5"/>
      <c r="E1948" s="5"/>
      <c r="F1948" s="5"/>
      <c r="G1948" s="5"/>
      <c r="H1948" s="5"/>
      <c r="I1948" s="5"/>
      <c r="J1948" s="5"/>
      <c r="K1948" s="5"/>
      <c r="L1948" s="5"/>
      <c r="M1948" s="5"/>
      <c r="N1948" s="5"/>
      <c r="O1948" s="5"/>
    </row>
    <row r="1949" spans="2:15" x14ac:dyDescent="0.55000000000000004">
      <c r="B1949" s="5"/>
      <c r="C1949" s="5"/>
      <c r="D1949" s="5"/>
      <c r="E1949" s="5"/>
      <c r="F1949" s="5"/>
      <c r="G1949" s="5"/>
      <c r="H1949" s="5"/>
      <c r="I1949" s="5"/>
      <c r="J1949" s="5"/>
      <c r="K1949" s="5"/>
      <c r="L1949" s="5"/>
      <c r="M1949" s="5"/>
      <c r="N1949" s="5"/>
      <c r="O1949" s="5"/>
    </row>
    <row r="1950" spans="2:15" x14ac:dyDescent="0.55000000000000004">
      <c r="B1950" s="5"/>
      <c r="C1950" s="5"/>
      <c r="D1950" s="5"/>
      <c r="E1950" s="5"/>
      <c r="F1950" s="5"/>
      <c r="G1950" s="5"/>
      <c r="H1950" s="5"/>
      <c r="I1950" s="5"/>
      <c r="J1950" s="5"/>
      <c r="K1950" s="5"/>
      <c r="L1950" s="5"/>
      <c r="M1950" s="5"/>
      <c r="N1950" s="5"/>
      <c r="O1950" s="5"/>
    </row>
    <row r="1951" spans="2:15" x14ac:dyDescent="0.55000000000000004">
      <c r="B1951" s="5"/>
      <c r="C1951" s="5"/>
      <c r="D1951" s="5"/>
      <c r="E1951" s="5"/>
      <c r="F1951" s="5"/>
      <c r="G1951" s="5"/>
      <c r="H1951" s="5"/>
      <c r="I1951" s="5"/>
      <c r="J1951" s="5"/>
      <c r="K1951" s="5"/>
      <c r="L1951" s="5"/>
      <c r="M1951" s="5"/>
      <c r="N1951" s="5"/>
      <c r="O1951" s="5"/>
    </row>
    <row r="1952" spans="2:15" x14ac:dyDescent="0.55000000000000004">
      <c r="B1952" s="5"/>
      <c r="C1952" s="5"/>
      <c r="D1952" s="5"/>
      <c r="E1952" s="5"/>
      <c r="F1952" s="5"/>
      <c r="G1952" s="5"/>
      <c r="H1952" s="5"/>
      <c r="I1952" s="5"/>
      <c r="J1952" s="5"/>
      <c r="K1952" s="5"/>
      <c r="L1952" s="5"/>
      <c r="M1952" s="5"/>
      <c r="N1952" s="5"/>
      <c r="O1952" s="5"/>
    </row>
    <row r="1953" spans="2:15" x14ac:dyDescent="0.55000000000000004">
      <c r="B1953" s="5"/>
      <c r="C1953" s="5"/>
      <c r="D1953" s="5"/>
      <c r="E1953" s="5"/>
      <c r="F1953" s="5"/>
      <c r="G1953" s="5"/>
      <c r="H1953" s="5"/>
      <c r="I1953" s="5"/>
      <c r="J1953" s="5"/>
      <c r="K1953" s="5"/>
      <c r="L1953" s="5"/>
      <c r="M1953" s="5"/>
      <c r="N1953" s="5"/>
      <c r="O1953" s="5"/>
    </row>
    <row r="1954" spans="2:15" x14ac:dyDescent="0.55000000000000004">
      <c r="B1954" s="5"/>
      <c r="C1954" s="5"/>
      <c r="D1954" s="5"/>
      <c r="E1954" s="5"/>
      <c r="F1954" s="5"/>
      <c r="G1954" s="5"/>
      <c r="H1954" s="5"/>
      <c r="I1954" s="5"/>
      <c r="J1954" s="5"/>
      <c r="K1954" s="5"/>
      <c r="L1954" s="5"/>
      <c r="M1954" s="5"/>
      <c r="N1954" s="5"/>
      <c r="O1954" s="5"/>
    </row>
    <row r="1955" spans="2:15" x14ac:dyDescent="0.55000000000000004">
      <c r="B1955" s="5"/>
      <c r="C1955" s="5"/>
      <c r="D1955" s="5"/>
      <c r="E1955" s="5"/>
      <c r="F1955" s="5"/>
      <c r="G1955" s="5"/>
      <c r="H1955" s="5"/>
      <c r="I1955" s="5"/>
      <c r="J1955" s="5"/>
      <c r="K1955" s="5"/>
      <c r="L1955" s="5"/>
      <c r="M1955" s="5"/>
      <c r="N1955" s="5"/>
      <c r="O1955" s="5"/>
    </row>
    <row r="1956" spans="2:15" x14ac:dyDescent="0.55000000000000004">
      <c r="B1956" s="5"/>
      <c r="C1956" s="5"/>
      <c r="D1956" s="5"/>
      <c r="E1956" s="5"/>
      <c r="F1956" s="5"/>
      <c r="G1956" s="5"/>
      <c r="H1956" s="5"/>
      <c r="I1956" s="5"/>
      <c r="J1956" s="5"/>
      <c r="K1956" s="5"/>
      <c r="L1956" s="5"/>
      <c r="M1956" s="5"/>
      <c r="N1956" s="5"/>
      <c r="O1956" s="5"/>
    </row>
    <row r="1957" spans="2:15" x14ac:dyDescent="0.55000000000000004">
      <c r="B1957" s="5"/>
      <c r="C1957" s="5"/>
      <c r="D1957" s="5"/>
      <c r="E1957" s="5"/>
      <c r="F1957" s="5"/>
      <c r="G1957" s="5"/>
      <c r="H1957" s="5"/>
      <c r="I1957" s="5"/>
      <c r="J1957" s="5"/>
      <c r="K1957" s="5"/>
      <c r="L1957" s="5"/>
      <c r="M1957" s="5"/>
      <c r="N1957" s="5"/>
      <c r="O1957" s="5"/>
    </row>
    <row r="1958" spans="2:15" x14ac:dyDescent="0.55000000000000004"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5"/>
      <c r="N1958" s="5"/>
      <c r="O1958" s="5"/>
    </row>
    <row r="1959" spans="2:15" x14ac:dyDescent="0.55000000000000004">
      <c r="B1959" s="5"/>
      <c r="C1959" s="5"/>
      <c r="D1959" s="5"/>
      <c r="E1959" s="5"/>
      <c r="F1959" s="5"/>
      <c r="G1959" s="5"/>
      <c r="H1959" s="5"/>
      <c r="I1959" s="5"/>
      <c r="J1959" s="5"/>
      <c r="K1959" s="5"/>
      <c r="L1959" s="5"/>
      <c r="M1959" s="5"/>
      <c r="N1959" s="5"/>
      <c r="O1959" s="5"/>
    </row>
    <row r="1960" spans="2:15" x14ac:dyDescent="0.55000000000000004">
      <c r="B1960" s="5"/>
      <c r="C1960" s="5"/>
      <c r="D1960" s="5"/>
      <c r="E1960" s="5"/>
      <c r="F1960" s="5"/>
      <c r="G1960" s="5"/>
      <c r="H1960" s="5"/>
      <c r="I1960" s="5"/>
      <c r="J1960" s="5"/>
      <c r="K1960" s="5"/>
      <c r="L1960" s="5"/>
      <c r="M1960" s="5"/>
      <c r="N1960" s="5"/>
      <c r="O1960" s="5"/>
    </row>
    <row r="1961" spans="2:15" x14ac:dyDescent="0.55000000000000004">
      <c r="B1961" s="5"/>
      <c r="C1961" s="5"/>
      <c r="D1961" s="5"/>
      <c r="E1961" s="5"/>
      <c r="F1961" s="5"/>
      <c r="G1961" s="5"/>
      <c r="H1961" s="5"/>
      <c r="I1961" s="5"/>
      <c r="J1961" s="5"/>
      <c r="K1961" s="5"/>
      <c r="L1961" s="5"/>
      <c r="M1961" s="5"/>
      <c r="N1961" s="5"/>
      <c r="O1961" s="5"/>
    </row>
    <row r="1962" spans="2:15" x14ac:dyDescent="0.55000000000000004">
      <c r="B1962" s="5"/>
      <c r="C1962" s="5"/>
      <c r="D1962" s="5"/>
      <c r="E1962" s="5"/>
      <c r="F1962" s="5"/>
      <c r="G1962" s="5"/>
      <c r="H1962" s="5"/>
      <c r="I1962" s="5"/>
      <c r="J1962" s="5"/>
      <c r="K1962" s="5"/>
      <c r="L1962" s="5"/>
      <c r="M1962" s="5"/>
      <c r="N1962" s="5"/>
      <c r="O1962" s="5"/>
    </row>
    <row r="1963" spans="2:15" x14ac:dyDescent="0.55000000000000004">
      <c r="B1963" s="5"/>
      <c r="C1963" s="5"/>
      <c r="D1963" s="5"/>
      <c r="E1963" s="5"/>
      <c r="F1963" s="5"/>
      <c r="G1963" s="5"/>
      <c r="H1963" s="5"/>
      <c r="I1963" s="5"/>
      <c r="J1963" s="5"/>
      <c r="K1963" s="5"/>
      <c r="L1963" s="5"/>
      <c r="M1963" s="5"/>
      <c r="N1963" s="5"/>
      <c r="O1963" s="5"/>
    </row>
    <row r="1964" spans="2:15" x14ac:dyDescent="0.55000000000000004">
      <c r="B1964" s="5"/>
      <c r="C1964" s="5"/>
      <c r="D1964" s="5"/>
      <c r="E1964" s="5"/>
      <c r="F1964" s="5"/>
      <c r="G1964" s="5"/>
      <c r="H1964" s="5"/>
      <c r="I1964" s="5"/>
      <c r="J1964" s="5"/>
      <c r="K1964" s="5"/>
      <c r="L1964" s="5"/>
      <c r="M1964" s="5"/>
      <c r="N1964" s="5"/>
      <c r="O1964" s="5"/>
    </row>
    <row r="1965" spans="2:15" x14ac:dyDescent="0.55000000000000004"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5"/>
      <c r="O1965" s="5"/>
    </row>
    <row r="1966" spans="2:15" x14ac:dyDescent="0.55000000000000004">
      <c r="B1966" s="5"/>
      <c r="C1966" s="5"/>
      <c r="D1966" s="5"/>
      <c r="E1966" s="5"/>
      <c r="F1966" s="5"/>
      <c r="G1966" s="5"/>
      <c r="H1966" s="5"/>
      <c r="I1966" s="5"/>
      <c r="J1966" s="5"/>
      <c r="K1966" s="5"/>
      <c r="L1966" s="5"/>
      <c r="M1966" s="5"/>
      <c r="N1966" s="5"/>
      <c r="O1966" s="5"/>
    </row>
    <row r="1967" spans="2:15" x14ac:dyDescent="0.55000000000000004">
      <c r="B1967" s="5"/>
      <c r="C1967" s="5"/>
      <c r="D1967" s="5"/>
      <c r="E1967" s="5"/>
      <c r="F1967" s="5"/>
      <c r="G1967" s="5"/>
      <c r="H1967" s="5"/>
      <c r="I1967" s="5"/>
      <c r="J1967" s="5"/>
      <c r="K1967" s="5"/>
      <c r="L1967" s="5"/>
      <c r="M1967" s="5"/>
      <c r="N1967" s="5"/>
      <c r="O1967" s="5"/>
    </row>
    <row r="1968" spans="2:15" x14ac:dyDescent="0.55000000000000004">
      <c r="B1968" s="5"/>
      <c r="C1968" s="5"/>
      <c r="D1968" s="5"/>
      <c r="E1968" s="5"/>
      <c r="F1968" s="5"/>
      <c r="G1968" s="5"/>
      <c r="H1968" s="5"/>
      <c r="I1968" s="5"/>
      <c r="J1968" s="5"/>
      <c r="K1968" s="5"/>
      <c r="L1968" s="5"/>
      <c r="M1968" s="5"/>
      <c r="N1968" s="5"/>
      <c r="O1968" s="5"/>
    </row>
    <row r="1969" spans="2:15" x14ac:dyDescent="0.55000000000000004"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L1969" s="5"/>
      <c r="M1969" s="5"/>
      <c r="N1969" s="5"/>
      <c r="O1969" s="5"/>
    </row>
    <row r="1970" spans="2:15" x14ac:dyDescent="0.55000000000000004">
      <c r="B1970" s="5"/>
      <c r="C1970" s="5"/>
      <c r="D1970" s="5"/>
      <c r="E1970" s="5"/>
      <c r="F1970" s="5"/>
      <c r="G1970" s="5"/>
      <c r="H1970" s="5"/>
      <c r="I1970" s="5"/>
      <c r="J1970" s="5"/>
      <c r="K1970" s="5"/>
      <c r="L1970" s="5"/>
      <c r="M1970" s="5"/>
      <c r="N1970" s="5"/>
      <c r="O1970" s="5"/>
    </row>
    <row r="1971" spans="2:15" x14ac:dyDescent="0.55000000000000004">
      <c r="B1971" s="5"/>
      <c r="C1971" s="5"/>
      <c r="D1971" s="5"/>
      <c r="E1971" s="5"/>
      <c r="F1971" s="5"/>
      <c r="G1971" s="5"/>
      <c r="H1971" s="5"/>
      <c r="I1971" s="5"/>
      <c r="J1971" s="5"/>
      <c r="K1971" s="5"/>
      <c r="L1971" s="5"/>
      <c r="M1971" s="5"/>
      <c r="N1971" s="5"/>
      <c r="O1971" s="5"/>
    </row>
    <row r="1972" spans="2:15" x14ac:dyDescent="0.55000000000000004">
      <c r="B1972" s="5"/>
      <c r="C1972" s="5"/>
      <c r="D1972" s="5"/>
      <c r="E1972" s="5"/>
      <c r="F1972" s="5"/>
      <c r="G1972" s="5"/>
      <c r="H1972" s="5"/>
      <c r="I1972" s="5"/>
      <c r="J1972" s="5"/>
      <c r="K1972" s="5"/>
      <c r="L1972" s="5"/>
      <c r="M1972" s="5"/>
      <c r="N1972" s="5"/>
      <c r="O1972" s="5"/>
    </row>
    <row r="1973" spans="2:15" x14ac:dyDescent="0.55000000000000004">
      <c r="B1973" s="5"/>
      <c r="C1973" s="5"/>
      <c r="D1973" s="5"/>
      <c r="E1973" s="5"/>
      <c r="F1973" s="5"/>
      <c r="G1973" s="5"/>
      <c r="H1973" s="5"/>
      <c r="I1973" s="5"/>
      <c r="J1973" s="5"/>
      <c r="K1973" s="5"/>
      <c r="L1973" s="5"/>
      <c r="M1973" s="5"/>
      <c r="N1973" s="5"/>
      <c r="O1973" s="5"/>
    </row>
    <row r="1974" spans="2:15" x14ac:dyDescent="0.55000000000000004">
      <c r="B1974" s="5"/>
      <c r="C1974" s="5"/>
      <c r="D1974" s="5"/>
      <c r="E1974" s="5"/>
      <c r="F1974" s="5"/>
      <c r="G1974" s="5"/>
      <c r="H1974" s="5"/>
      <c r="I1974" s="5"/>
      <c r="J1974" s="5"/>
      <c r="K1974" s="5"/>
      <c r="L1974" s="5"/>
      <c r="M1974" s="5"/>
      <c r="N1974" s="5"/>
      <c r="O1974" s="5"/>
    </row>
    <row r="1975" spans="2:15" x14ac:dyDescent="0.55000000000000004">
      <c r="B1975" s="5"/>
      <c r="C1975" s="5"/>
      <c r="D1975" s="5"/>
      <c r="E1975" s="5"/>
      <c r="F1975" s="5"/>
      <c r="G1975" s="5"/>
      <c r="H1975" s="5"/>
      <c r="I1975" s="5"/>
      <c r="J1975" s="5"/>
      <c r="K1975" s="5"/>
      <c r="L1975" s="5"/>
      <c r="M1975" s="5"/>
      <c r="N1975" s="5"/>
      <c r="O1975" s="5"/>
    </row>
    <row r="1976" spans="2:15" x14ac:dyDescent="0.55000000000000004"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5"/>
      <c r="M1976" s="5"/>
      <c r="N1976" s="5"/>
      <c r="O1976" s="5"/>
    </row>
    <row r="1977" spans="2:15" x14ac:dyDescent="0.55000000000000004">
      <c r="B1977" s="5"/>
      <c r="C1977" s="5"/>
      <c r="D1977" s="5"/>
      <c r="E1977" s="5"/>
      <c r="F1977" s="5"/>
      <c r="G1977" s="5"/>
      <c r="H1977" s="5"/>
      <c r="I1977" s="5"/>
      <c r="J1977" s="5"/>
      <c r="K1977" s="5"/>
      <c r="L1977" s="5"/>
      <c r="M1977" s="5"/>
      <c r="N1977" s="5"/>
      <c r="O1977" s="5"/>
    </row>
    <row r="1978" spans="2:15" x14ac:dyDescent="0.55000000000000004">
      <c r="B1978" s="5"/>
      <c r="C1978" s="5"/>
      <c r="D1978" s="5"/>
      <c r="E1978" s="5"/>
      <c r="F1978" s="5"/>
      <c r="G1978" s="5"/>
      <c r="H1978" s="5"/>
      <c r="I1978" s="5"/>
      <c r="J1978" s="5"/>
      <c r="K1978" s="5"/>
      <c r="L1978" s="5"/>
      <c r="M1978" s="5"/>
      <c r="N1978" s="5"/>
      <c r="O1978" s="5"/>
    </row>
    <row r="1979" spans="2:15" x14ac:dyDescent="0.55000000000000004">
      <c r="B1979" s="5"/>
      <c r="C1979" s="5"/>
      <c r="D1979" s="5"/>
      <c r="E1979" s="5"/>
      <c r="F1979" s="5"/>
      <c r="G1979" s="5"/>
      <c r="H1979" s="5"/>
      <c r="I1979" s="5"/>
      <c r="J1979" s="5"/>
      <c r="K1979" s="5"/>
      <c r="L1979" s="5"/>
      <c r="M1979" s="5"/>
      <c r="N1979" s="5"/>
      <c r="O1979" s="5"/>
    </row>
    <row r="1980" spans="2:15" x14ac:dyDescent="0.55000000000000004">
      <c r="B1980" s="5"/>
      <c r="C1980" s="5"/>
      <c r="D1980" s="5"/>
      <c r="E1980" s="5"/>
      <c r="F1980" s="5"/>
      <c r="G1980" s="5"/>
      <c r="H1980" s="5"/>
      <c r="I1980" s="5"/>
      <c r="J1980" s="5"/>
      <c r="K1980" s="5"/>
      <c r="L1980" s="5"/>
      <c r="M1980" s="5"/>
      <c r="N1980" s="5"/>
      <c r="O1980" s="5"/>
    </row>
    <row r="1981" spans="2:15" x14ac:dyDescent="0.55000000000000004"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5"/>
      <c r="N1981" s="5"/>
      <c r="O1981" s="5"/>
    </row>
    <row r="1982" spans="2:15" x14ac:dyDescent="0.55000000000000004">
      <c r="B1982" s="5"/>
      <c r="C1982" s="5"/>
      <c r="D1982" s="5"/>
      <c r="E1982" s="5"/>
      <c r="F1982" s="5"/>
      <c r="G1982" s="5"/>
      <c r="H1982" s="5"/>
      <c r="I1982" s="5"/>
      <c r="J1982" s="5"/>
      <c r="K1982" s="5"/>
      <c r="L1982" s="5"/>
      <c r="M1982" s="5"/>
      <c r="N1982" s="5"/>
      <c r="O1982" s="5"/>
    </row>
    <row r="1983" spans="2:15" x14ac:dyDescent="0.55000000000000004">
      <c r="B1983" s="5"/>
      <c r="C1983" s="5"/>
      <c r="D1983" s="5"/>
      <c r="E1983" s="5"/>
      <c r="F1983" s="5"/>
      <c r="G1983" s="5"/>
      <c r="H1983" s="5"/>
      <c r="I1983" s="5"/>
      <c r="J1983" s="5"/>
      <c r="K1983" s="5"/>
      <c r="L1983" s="5"/>
      <c r="M1983" s="5"/>
      <c r="N1983" s="5"/>
      <c r="O1983" s="5"/>
    </row>
    <row r="1984" spans="2:15" x14ac:dyDescent="0.55000000000000004">
      <c r="B1984" s="5"/>
      <c r="C1984" s="5"/>
      <c r="D1984" s="5"/>
      <c r="E1984" s="5"/>
      <c r="F1984" s="5"/>
      <c r="G1984" s="5"/>
      <c r="H1984" s="5"/>
      <c r="I1984" s="5"/>
      <c r="J1984" s="5"/>
      <c r="K1984" s="5"/>
      <c r="L1984" s="5"/>
      <c r="M1984" s="5"/>
      <c r="N1984" s="5"/>
      <c r="O1984" s="5"/>
    </row>
    <row r="1985" spans="2:15" x14ac:dyDescent="0.55000000000000004"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5"/>
      <c r="N1985" s="5"/>
      <c r="O1985" s="5"/>
    </row>
    <row r="1986" spans="2:15" x14ac:dyDescent="0.55000000000000004">
      <c r="B1986" s="5"/>
      <c r="C1986" s="5"/>
      <c r="D1986" s="5"/>
      <c r="E1986" s="5"/>
      <c r="F1986" s="5"/>
      <c r="G1986" s="5"/>
      <c r="H1986" s="5"/>
      <c r="I1986" s="5"/>
      <c r="J1986" s="5"/>
      <c r="K1986" s="5"/>
      <c r="L1986" s="5"/>
      <c r="M1986" s="5"/>
      <c r="N1986" s="5"/>
      <c r="O1986" s="5"/>
    </row>
    <row r="1987" spans="2:15" x14ac:dyDescent="0.55000000000000004">
      <c r="B1987" s="5"/>
      <c r="C1987" s="5"/>
      <c r="D1987" s="5"/>
      <c r="E1987" s="5"/>
      <c r="F1987" s="5"/>
      <c r="G1987" s="5"/>
      <c r="H1987" s="5"/>
      <c r="I1987" s="5"/>
      <c r="J1987" s="5"/>
      <c r="K1987" s="5"/>
      <c r="L1987" s="5"/>
      <c r="M1987" s="5"/>
      <c r="N1987" s="5"/>
      <c r="O1987" s="5"/>
    </row>
    <row r="1988" spans="2:15" x14ac:dyDescent="0.55000000000000004">
      <c r="B1988" s="5"/>
      <c r="C1988" s="5"/>
      <c r="D1988" s="5"/>
      <c r="E1988" s="5"/>
      <c r="F1988" s="5"/>
      <c r="G1988" s="5"/>
      <c r="H1988" s="5"/>
      <c r="I1988" s="5"/>
      <c r="J1988" s="5"/>
      <c r="K1988" s="5"/>
      <c r="L1988" s="5"/>
      <c r="M1988" s="5"/>
      <c r="N1988" s="5"/>
      <c r="O1988" s="5"/>
    </row>
    <row r="1989" spans="2:15" x14ac:dyDescent="0.55000000000000004">
      <c r="B1989" s="5"/>
      <c r="C1989" s="5"/>
      <c r="D1989" s="5"/>
      <c r="E1989" s="5"/>
      <c r="F1989" s="5"/>
      <c r="G1989" s="5"/>
      <c r="H1989" s="5"/>
      <c r="I1989" s="5"/>
      <c r="J1989" s="5"/>
      <c r="K1989" s="5"/>
      <c r="L1989" s="5"/>
      <c r="M1989" s="5"/>
      <c r="N1989" s="5"/>
      <c r="O1989" s="5"/>
    </row>
    <row r="1990" spans="2:15" x14ac:dyDescent="0.55000000000000004">
      <c r="B1990" s="5"/>
      <c r="C1990" s="5"/>
      <c r="D1990" s="5"/>
      <c r="E1990" s="5"/>
      <c r="F1990" s="5"/>
      <c r="G1990" s="5"/>
      <c r="H1990" s="5"/>
      <c r="I1990" s="5"/>
      <c r="J1990" s="5"/>
      <c r="K1990" s="5"/>
      <c r="L1990" s="5"/>
      <c r="M1990" s="5"/>
      <c r="N1990" s="5"/>
      <c r="O1990" s="5"/>
    </row>
    <row r="1991" spans="2:15" x14ac:dyDescent="0.55000000000000004"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L1991" s="5"/>
      <c r="M1991" s="5"/>
      <c r="N1991" s="5"/>
      <c r="O1991" s="5"/>
    </row>
    <row r="1992" spans="2:15" x14ac:dyDescent="0.55000000000000004">
      <c r="B1992" s="5"/>
      <c r="C1992" s="5"/>
      <c r="D1992" s="5"/>
      <c r="E1992" s="5"/>
      <c r="F1992" s="5"/>
      <c r="G1992" s="5"/>
      <c r="H1992" s="5"/>
      <c r="I1992" s="5"/>
      <c r="J1992" s="5"/>
      <c r="K1992" s="5"/>
      <c r="L1992" s="5"/>
      <c r="M1992" s="5"/>
      <c r="N1992" s="5"/>
      <c r="O1992" s="5"/>
    </row>
    <row r="1993" spans="2:15" x14ac:dyDescent="0.55000000000000004"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</row>
    <row r="1994" spans="2:15" x14ac:dyDescent="0.55000000000000004">
      <c r="B1994" s="5"/>
      <c r="C1994" s="5"/>
      <c r="D1994" s="5"/>
      <c r="E1994" s="5"/>
      <c r="F1994" s="5"/>
      <c r="G1994" s="5"/>
      <c r="H1994" s="5"/>
      <c r="I1994" s="5"/>
      <c r="J1994" s="5"/>
      <c r="K1994" s="5"/>
      <c r="L1994" s="5"/>
      <c r="M1994" s="5"/>
      <c r="N1994" s="5"/>
      <c r="O1994" s="5"/>
    </row>
    <row r="1995" spans="2:15" x14ac:dyDescent="0.55000000000000004">
      <c r="B1995" s="5"/>
      <c r="C1995" s="5"/>
      <c r="D1995" s="5"/>
      <c r="E1995" s="5"/>
      <c r="F1995" s="5"/>
      <c r="G1995" s="5"/>
      <c r="H1995" s="5"/>
      <c r="I1995" s="5"/>
      <c r="J1995" s="5"/>
      <c r="K1995" s="5"/>
      <c r="L1995" s="5"/>
      <c r="M1995" s="5"/>
      <c r="N1995" s="5"/>
      <c r="O1995" s="5"/>
    </row>
    <row r="1996" spans="2:15" x14ac:dyDescent="0.55000000000000004">
      <c r="B1996" s="5"/>
      <c r="C1996" s="5"/>
      <c r="D1996" s="5"/>
      <c r="E1996" s="5"/>
      <c r="F1996" s="5"/>
      <c r="G1996" s="5"/>
      <c r="H1996" s="5"/>
      <c r="I1996" s="5"/>
      <c r="J1996" s="5"/>
      <c r="K1996" s="5"/>
      <c r="L1996" s="5"/>
      <c r="M1996" s="5"/>
      <c r="N1996" s="5"/>
      <c r="O1996" s="5"/>
    </row>
    <row r="1997" spans="2:15" x14ac:dyDescent="0.55000000000000004">
      <c r="B1997" s="5"/>
      <c r="C1997" s="5"/>
      <c r="D1997" s="5"/>
      <c r="E1997" s="5"/>
      <c r="F1997" s="5"/>
      <c r="G1997" s="5"/>
      <c r="H1997" s="5"/>
      <c r="I1997" s="5"/>
      <c r="J1997" s="5"/>
      <c r="K1997" s="5"/>
      <c r="L1997" s="5"/>
      <c r="M1997" s="5"/>
      <c r="N1997" s="5"/>
      <c r="O1997" s="5"/>
    </row>
    <row r="1998" spans="2:15" x14ac:dyDescent="0.55000000000000004">
      <c r="B1998" s="5"/>
      <c r="C1998" s="5"/>
      <c r="D1998" s="5"/>
      <c r="E1998" s="5"/>
      <c r="F1998" s="5"/>
      <c r="G1998" s="5"/>
      <c r="H1998" s="5"/>
      <c r="I1998" s="5"/>
      <c r="J1998" s="5"/>
      <c r="K1998" s="5"/>
      <c r="L1998" s="5"/>
      <c r="M1998" s="5"/>
      <c r="N1998" s="5"/>
      <c r="O1998" s="5"/>
    </row>
    <row r="1999" spans="2:15" x14ac:dyDescent="0.55000000000000004">
      <c r="B1999" s="5"/>
      <c r="C1999" s="5"/>
      <c r="D1999" s="5"/>
      <c r="E1999" s="5"/>
      <c r="F1999" s="5"/>
      <c r="G1999" s="5"/>
      <c r="H1999" s="5"/>
      <c r="I1999" s="5"/>
      <c r="J1999" s="5"/>
      <c r="K1999" s="5"/>
      <c r="L1999" s="5"/>
      <c r="M1999" s="5"/>
      <c r="N1999" s="5"/>
      <c r="O1999" s="5"/>
    </row>
    <row r="2000" spans="2:15" x14ac:dyDescent="0.55000000000000004">
      <c r="B2000" s="5"/>
      <c r="C2000" s="5"/>
      <c r="D2000" s="5"/>
      <c r="E2000" s="5"/>
      <c r="F2000" s="5"/>
      <c r="G2000" s="5"/>
      <c r="H2000" s="5"/>
      <c r="I2000" s="5"/>
      <c r="J2000" s="5"/>
      <c r="K2000" s="5"/>
      <c r="L2000" s="5"/>
      <c r="M2000" s="5"/>
      <c r="N2000" s="5"/>
      <c r="O2000" s="5"/>
    </row>
    <row r="2001" spans="2:15" x14ac:dyDescent="0.55000000000000004"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O2001" s="5"/>
    </row>
    <row r="2002" spans="2:15" x14ac:dyDescent="0.55000000000000004">
      <c r="B2002" s="5"/>
      <c r="C2002" s="5"/>
      <c r="D2002" s="5"/>
      <c r="E2002" s="5"/>
      <c r="F2002" s="5"/>
      <c r="G2002" s="5"/>
      <c r="H2002" s="5"/>
      <c r="I2002" s="5"/>
      <c r="J2002" s="5"/>
      <c r="K2002" s="5"/>
      <c r="L2002" s="5"/>
      <c r="M2002" s="5"/>
      <c r="N2002" s="5"/>
      <c r="O2002" s="5"/>
    </row>
    <row r="2003" spans="2:15" x14ac:dyDescent="0.55000000000000004">
      <c r="B2003" s="5"/>
      <c r="C2003" s="5"/>
      <c r="D2003" s="5"/>
      <c r="E2003" s="5"/>
      <c r="F2003" s="5"/>
      <c r="G2003" s="5"/>
      <c r="H2003" s="5"/>
      <c r="I2003" s="5"/>
      <c r="J2003" s="5"/>
      <c r="K2003" s="5"/>
      <c r="L2003" s="5"/>
      <c r="M2003" s="5"/>
      <c r="N2003" s="5"/>
      <c r="O2003" s="5"/>
    </row>
    <row r="2004" spans="2:15" x14ac:dyDescent="0.55000000000000004">
      <c r="B2004" s="5"/>
      <c r="C2004" s="5"/>
      <c r="D2004" s="5"/>
      <c r="E2004" s="5"/>
      <c r="F2004" s="5"/>
      <c r="G2004" s="5"/>
      <c r="H2004" s="5"/>
      <c r="I2004" s="5"/>
      <c r="J2004" s="5"/>
      <c r="K2004" s="5"/>
      <c r="L2004" s="5"/>
      <c r="M2004" s="5"/>
      <c r="N2004" s="5"/>
      <c r="O2004" s="5"/>
    </row>
    <row r="2005" spans="2:15" x14ac:dyDescent="0.55000000000000004">
      <c r="B2005" s="5"/>
      <c r="C2005" s="5"/>
      <c r="D2005" s="5"/>
      <c r="E2005" s="5"/>
      <c r="F2005" s="5"/>
      <c r="G2005" s="5"/>
      <c r="H2005" s="5"/>
      <c r="I2005" s="5"/>
      <c r="J2005" s="5"/>
      <c r="K2005" s="5"/>
      <c r="L2005" s="5"/>
      <c r="M2005" s="5"/>
      <c r="N2005" s="5"/>
      <c r="O2005" s="5"/>
    </row>
    <row r="2006" spans="2:15" x14ac:dyDescent="0.55000000000000004">
      <c r="B2006" s="5"/>
      <c r="C2006" s="5"/>
      <c r="D2006" s="5"/>
      <c r="E2006" s="5"/>
      <c r="F2006" s="5"/>
      <c r="G2006" s="5"/>
      <c r="H2006" s="5"/>
      <c r="I2006" s="5"/>
      <c r="J2006" s="5"/>
      <c r="K2006" s="5"/>
      <c r="L2006" s="5"/>
      <c r="M2006" s="5"/>
      <c r="N2006" s="5"/>
      <c r="O2006" s="5"/>
    </row>
    <row r="2007" spans="2:15" x14ac:dyDescent="0.55000000000000004">
      <c r="B2007" s="5"/>
      <c r="C2007" s="5"/>
      <c r="D2007" s="5"/>
      <c r="E2007" s="5"/>
      <c r="F2007" s="5"/>
      <c r="G2007" s="5"/>
      <c r="H2007" s="5"/>
      <c r="I2007" s="5"/>
      <c r="J2007" s="5"/>
      <c r="K2007" s="5"/>
      <c r="L2007" s="5"/>
      <c r="M2007" s="5"/>
      <c r="N2007" s="5"/>
      <c r="O2007" s="5"/>
    </row>
    <row r="2008" spans="2:15" x14ac:dyDescent="0.55000000000000004">
      <c r="B2008" s="5"/>
      <c r="C2008" s="5"/>
      <c r="D2008" s="5"/>
      <c r="E2008" s="5"/>
      <c r="F2008" s="5"/>
      <c r="G2008" s="5"/>
      <c r="H2008" s="5"/>
      <c r="I2008" s="5"/>
      <c r="J2008" s="5"/>
      <c r="K2008" s="5"/>
      <c r="L2008" s="5"/>
      <c r="M2008" s="5"/>
      <c r="N2008" s="5"/>
      <c r="O2008" s="5"/>
    </row>
    <row r="2009" spans="2:15" x14ac:dyDescent="0.55000000000000004">
      <c r="B2009" s="5"/>
      <c r="C2009" s="5"/>
      <c r="D2009" s="5"/>
      <c r="E2009" s="5"/>
      <c r="F2009" s="5"/>
      <c r="G2009" s="5"/>
      <c r="H2009" s="5"/>
      <c r="I2009" s="5"/>
      <c r="J2009" s="5"/>
      <c r="K2009" s="5"/>
      <c r="L2009" s="5"/>
      <c r="M2009" s="5"/>
      <c r="N2009" s="5"/>
      <c r="O2009" s="5"/>
    </row>
    <row r="2010" spans="2:15" x14ac:dyDescent="0.55000000000000004">
      <c r="B2010" s="5"/>
      <c r="C2010" s="5"/>
      <c r="D2010" s="5"/>
      <c r="E2010" s="5"/>
      <c r="F2010" s="5"/>
      <c r="G2010" s="5"/>
      <c r="H2010" s="5"/>
      <c r="I2010" s="5"/>
      <c r="J2010" s="5"/>
      <c r="K2010" s="5"/>
      <c r="L2010" s="5"/>
      <c r="M2010" s="5"/>
      <c r="N2010" s="5"/>
      <c r="O2010" s="5"/>
    </row>
    <row r="2011" spans="2:15" x14ac:dyDescent="0.55000000000000004">
      <c r="B2011" s="5"/>
      <c r="C2011" s="5"/>
      <c r="D2011" s="5"/>
      <c r="E2011" s="5"/>
      <c r="F2011" s="5"/>
      <c r="G2011" s="5"/>
      <c r="H2011" s="5"/>
      <c r="I2011" s="5"/>
      <c r="J2011" s="5"/>
      <c r="K2011" s="5"/>
      <c r="L2011" s="5"/>
      <c r="M2011" s="5"/>
      <c r="N2011" s="5"/>
      <c r="O2011" s="5"/>
    </row>
    <row r="2012" spans="2:15" x14ac:dyDescent="0.55000000000000004">
      <c r="B2012" s="5"/>
      <c r="C2012" s="5"/>
      <c r="D2012" s="5"/>
      <c r="E2012" s="5"/>
      <c r="F2012" s="5"/>
      <c r="G2012" s="5"/>
      <c r="H2012" s="5"/>
      <c r="I2012" s="5"/>
      <c r="J2012" s="5"/>
      <c r="K2012" s="5"/>
      <c r="L2012" s="5"/>
      <c r="M2012" s="5"/>
      <c r="N2012" s="5"/>
      <c r="O2012" s="5"/>
    </row>
    <row r="2013" spans="2:15" x14ac:dyDescent="0.55000000000000004"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5"/>
      <c r="N2013" s="5"/>
      <c r="O2013" s="5"/>
    </row>
    <row r="2014" spans="2:15" x14ac:dyDescent="0.55000000000000004">
      <c r="B2014" s="5"/>
      <c r="C2014" s="5"/>
      <c r="D2014" s="5"/>
      <c r="E2014" s="5"/>
      <c r="F2014" s="5"/>
      <c r="G2014" s="5"/>
      <c r="H2014" s="5"/>
      <c r="I2014" s="5"/>
      <c r="J2014" s="5"/>
      <c r="K2014" s="5"/>
      <c r="L2014" s="5"/>
      <c r="M2014" s="5"/>
      <c r="N2014" s="5"/>
      <c r="O2014" s="5"/>
    </row>
    <row r="2015" spans="2:15" x14ac:dyDescent="0.55000000000000004">
      <c r="B2015" s="5"/>
      <c r="C2015" s="5"/>
      <c r="D2015" s="5"/>
      <c r="E2015" s="5"/>
      <c r="F2015" s="5"/>
      <c r="G2015" s="5"/>
      <c r="H2015" s="5"/>
      <c r="I2015" s="5"/>
      <c r="J2015" s="5"/>
      <c r="K2015" s="5"/>
      <c r="L2015" s="5"/>
      <c r="M2015" s="5"/>
      <c r="N2015" s="5"/>
      <c r="O2015" s="5"/>
    </row>
    <row r="2016" spans="2:15" x14ac:dyDescent="0.55000000000000004">
      <c r="B2016" s="5"/>
      <c r="C2016" s="5"/>
      <c r="D2016" s="5"/>
      <c r="E2016" s="5"/>
      <c r="F2016" s="5"/>
      <c r="G2016" s="5"/>
      <c r="H2016" s="5"/>
      <c r="I2016" s="5"/>
      <c r="J2016" s="5"/>
      <c r="K2016" s="5"/>
      <c r="L2016" s="5"/>
      <c r="M2016" s="5"/>
      <c r="N2016" s="5"/>
      <c r="O2016" s="5"/>
    </row>
    <row r="2017" spans="2:15" x14ac:dyDescent="0.55000000000000004">
      <c r="B2017" s="5"/>
      <c r="C2017" s="5"/>
      <c r="D2017" s="5"/>
      <c r="E2017" s="5"/>
      <c r="F2017" s="5"/>
      <c r="G2017" s="5"/>
      <c r="H2017" s="5"/>
      <c r="I2017" s="5"/>
      <c r="J2017" s="5"/>
      <c r="K2017" s="5"/>
      <c r="L2017" s="5"/>
      <c r="M2017" s="5"/>
      <c r="N2017" s="5"/>
      <c r="O2017" s="5"/>
    </row>
    <row r="2018" spans="2:15" x14ac:dyDescent="0.55000000000000004">
      <c r="B2018" s="5"/>
      <c r="C2018" s="5"/>
      <c r="D2018" s="5"/>
      <c r="E2018" s="5"/>
      <c r="F2018" s="5"/>
      <c r="G2018" s="5"/>
      <c r="H2018" s="5"/>
      <c r="I2018" s="5"/>
      <c r="J2018" s="5"/>
      <c r="K2018" s="5"/>
      <c r="L2018" s="5"/>
      <c r="M2018" s="5"/>
      <c r="N2018" s="5"/>
      <c r="O2018" s="5"/>
    </row>
    <row r="2019" spans="2:15" x14ac:dyDescent="0.55000000000000004">
      <c r="B2019" s="5"/>
      <c r="C2019" s="5"/>
      <c r="D2019" s="5"/>
      <c r="E2019" s="5"/>
      <c r="F2019" s="5"/>
      <c r="G2019" s="5"/>
      <c r="H2019" s="5"/>
      <c r="I2019" s="5"/>
      <c r="J2019" s="5"/>
      <c r="K2019" s="5"/>
      <c r="L2019" s="5"/>
      <c r="M2019" s="5"/>
      <c r="N2019" s="5"/>
      <c r="O2019" s="5"/>
    </row>
    <row r="2020" spans="2:15" x14ac:dyDescent="0.55000000000000004">
      <c r="B2020" s="5"/>
      <c r="C2020" s="5"/>
      <c r="D2020" s="5"/>
      <c r="E2020" s="5"/>
      <c r="F2020" s="5"/>
      <c r="G2020" s="5"/>
      <c r="H2020" s="5"/>
      <c r="I2020" s="5"/>
      <c r="J2020" s="5"/>
      <c r="K2020" s="5"/>
      <c r="L2020" s="5"/>
      <c r="M2020" s="5"/>
      <c r="N2020" s="5"/>
      <c r="O2020" s="5"/>
    </row>
    <row r="2021" spans="2:15" x14ac:dyDescent="0.55000000000000004">
      <c r="B2021" s="5"/>
      <c r="C2021" s="5"/>
      <c r="D2021" s="5"/>
      <c r="E2021" s="5"/>
      <c r="F2021" s="5"/>
      <c r="G2021" s="5"/>
      <c r="H2021" s="5"/>
      <c r="I2021" s="5"/>
      <c r="J2021" s="5"/>
      <c r="K2021" s="5"/>
      <c r="L2021" s="5"/>
      <c r="M2021" s="5"/>
      <c r="N2021" s="5"/>
      <c r="O2021" s="5"/>
    </row>
    <row r="2022" spans="2:15" x14ac:dyDescent="0.55000000000000004">
      <c r="B2022" s="5"/>
      <c r="C2022" s="5"/>
      <c r="D2022" s="5"/>
      <c r="E2022" s="5"/>
      <c r="F2022" s="5"/>
      <c r="G2022" s="5"/>
      <c r="H2022" s="5"/>
      <c r="I2022" s="5"/>
      <c r="J2022" s="5"/>
      <c r="K2022" s="5"/>
      <c r="L2022" s="5"/>
      <c r="M2022" s="5"/>
      <c r="N2022" s="5"/>
      <c r="O2022" s="5"/>
    </row>
    <row r="2023" spans="2:15" x14ac:dyDescent="0.55000000000000004">
      <c r="B2023" s="5"/>
      <c r="C2023" s="5"/>
      <c r="D2023" s="5"/>
      <c r="E2023" s="5"/>
      <c r="F2023" s="5"/>
      <c r="G2023" s="5"/>
      <c r="H2023" s="5"/>
      <c r="I2023" s="5"/>
      <c r="J2023" s="5"/>
      <c r="K2023" s="5"/>
      <c r="L2023" s="5"/>
      <c r="M2023" s="5"/>
      <c r="N2023" s="5"/>
      <c r="O2023" s="5"/>
    </row>
    <row r="2024" spans="2:15" x14ac:dyDescent="0.55000000000000004">
      <c r="B2024" s="5"/>
      <c r="C2024" s="5"/>
      <c r="D2024" s="5"/>
      <c r="E2024" s="5"/>
      <c r="F2024" s="5"/>
      <c r="G2024" s="5"/>
      <c r="H2024" s="5"/>
      <c r="I2024" s="5"/>
      <c r="J2024" s="5"/>
      <c r="K2024" s="5"/>
      <c r="L2024" s="5"/>
      <c r="M2024" s="5"/>
      <c r="N2024" s="5"/>
      <c r="O2024" s="5"/>
    </row>
    <row r="2025" spans="2:15" x14ac:dyDescent="0.55000000000000004">
      <c r="B2025" s="5"/>
      <c r="C2025" s="5"/>
      <c r="D2025" s="5"/>
      <c r="E2025" s="5"/>
      <c r="F2025" s="5"/>
      <c r="G2025" s="5"/>
      <c r="H2025" s="5"/>
      <c r="I2025" s="5"/>
      <c r="J2025" s="5"/>
      <c r="K2025" s="5"/>
      <c r="L2025" s="5"/>
      <c r="M2025" s="5"/>
      <c r="N2025" s="5"/>
      <c r="O2025" s="5"/>
    </row>
    <row r="2026" spans="2:15" x14ac:dyDescent="0.55000000000000004">
      <c r="B2026" s="5"/>
      <c r="C2026" s="5"/>
      <c r="D2026" s="5"/>
      <c r="E2026" s="5"/>
      <c r="F2026" s="5"/>
      <c r="G2026" s="5"/>
      <c r="H2026" s="5"/>
      <c r="I2026" s="5"/>
      <c r="J2026" s="5"/>
      <c r="K2026" s="5"/>
      <c r="L2026" s="5"/>
      <c r="M2026" s="5"/>
      <c r="N2026" s="5"/>
      <c r="O2026" s="5"/>
    </row>
    <row r="2027" spans="2:15" x14ac:dyDescent="0.55000000000000004">
      <c r="B2027" s="5"/>
      <c r="C2027" s="5"/>
      <c r="D2027" s="5"/>
      <c r="E2027" s="5"/>
      <c r="F2027" s="5"/>
      <c r="G2027" s="5"/>
      <c r="H2027" s="5"/>
      <c r="I2027" s="5"/>
      <c r="J2027" s="5"/>
      <c r="K2027" s="5"/>
      <c r="L2027" s="5"/>
      <c r="M2027" s="5"/>
      <c r="N2027" s="5"/>
      <c r="O2027" s="5"/>
    </row>
    <row r="2028" spans="2:15" x14ac:dyDescent="0.55000000000000004">
      <c r="B2028" s="5"/>
      <c r="C2028" s="5"/>
      <c r="D2028" s="5"/>
      <c r="E2028" s="5"/>
      <c r="F2028" s="5"/>
      <c r="G2028" s="5"/>
      <c r="H2028" s="5"/>
      <c r="I2028" s="5"/>
      <c r="J2028" s="5"/>
      <c r="K2028" s="5"/>
      <c r="L2028" s="5"/>
      <c r="M2028" s="5"/>
      <c r="N2028" s="5"/>
      <c r="O2028" s="5"/>
    </row>
    <row r="2029" spans="2:15" x14ac:dyDescent="0.55000000000000004">
      <c r="B2029" s="5"/>
      <c r="C2029" s="5"/>
      <c r="D2029" s="5"/>
      <c r="E2029" s="5"/>
      <c r="F2029" s="5"/>
      <c r="G2029" s="5"/>
      <c r="H2029" s="5"/>
      <c r="I2029" s="5"/>
      <c r="J2029" s="5"/>
      <c r="K2029" s="5"/>
      <c r="L2029" s="5"/>
      <c r="M2029" s="5"/>
      <c r="N2029" s="5"/>
      <c r="O2029" s="5"/>
    </row>
    <row r="2030" spans="2:15" x14ac:dyDescent="0.55000000000000004">
      <c r="B2030" s="5"/>
      <c r="C2030" s="5"/>
      <c r="D2030" s="5"/>
      <c r="E2030" s="5"/>
      <c r="F2030" s="5"/>
      <c r="G2030" s="5"/>
      <c r="H2030" s="5"/>
      <c r="I2030" s="5"/>
      <c r="J2030" s="5"/>
      <c r="K2030" s="5"/>
      <c r="L2030" s="5"/>
      <c r="M2030" s="5"/>
      <c r="N2030" s="5"/>
      <c r="O2030" s="5"/>
    </row>
    <row r="2031" spans="2:15" x14ac:dyDescent="0.55000000000000004">
      <c r="B2031" s="5"/>
      <c r="C2031" s="5"/>
      <c r="D2031" s="5"/>
      <c r="E2031" s="5"/>
      <c r="F2031" s="5"/>
      <c r="G2031" s="5"/>
      <c r="H2031" s="5"/>
      <c r="I2031" s="5"/>
      <c r="J2031" s="5"/>
      <c r="K2031" s="5"/>
      <c r="L2031" s="5"/>
      <c r="M2031" s="5"/>
      <c r="N2031" s="5"/>
      <c r="O2031" s="5"/>
    </row>
    <row r="2032" spans="2:15" x14ac:dyDescent="0.55000000000000004">
      <c r="B2032" s="5"/>
      <c r="C2032" s="5"/>
      <c r="D2032" s="5"/>
      <c r="E2032" s="5"/>
      <c r="F2032" s="5"/>
      <c r="G2032" s="5"/>
      <c r="H2032" s="5"/>
      <c r="I2032" s="5"/>
      <c r="J2032" s="5"/>
      <c r="K2032" s="5"/>
      <c r="L2032" s="5"/>
      <c r="M2032" s="5"/>
      <c r="N2032" s="5"/>
      <c r="O2032" s="5"/>
    </row>
    <row r="2033" spans="2:15" x14ac:dyDescent="0.55000000000000004">
      <c r="B2033" s="5"/>
      <c r="C2033" s="5"/>
      <c r="D2033" s="5"/>
      <c r="E2033" s="5"/>
      <c r="F2033" s="5"/>
      <c r="G2033" s="5"/>
      <c r="H2033" s="5"/>
      <c r="I2033" s="5"/>
      <c r="J2033" s="5"/>
      <c r="K2033" s="5"/>
      <c r="L2033" s="5"/>
      <c r="M2033" s="5"/>
      <c r="N2033" s="5"/>
      <c r="O2033" s="5"/>
    </row>
    <row r="2034" spans="2:15" x14ac:dyDescent="0.55000000000000004">
      <c r="B2034" s="5"/>
      <c r="C2034" s="5"/>
      <c r="D2034" s="5"/>
      <c r="E2034" s="5"/>
      <c r="F2034" s="5"/>
      <c r="G2034" s="5"/>
      <c r="H2034" s="5"/>
      <c r="I2034" s="5"/>
      <c r="J2034" s="5"/>
      <c r="K2034" s="5"/>
      <c r="L2034" s="5"/>
      <c r="M2034" s="5"/>
      <c r="N2034" s="5"/>
      <c r="O2034" s="5"/>
    </row>
    <row r="2035" spans="2:15" x14ac:dyDescent="0.55000000000000004">
      <c r="B2035" s="5"/>
      <c r="C2035" s="5"/>
      <c r="D2035" s="5"/>
      <c r="E2035" s="5"/>
      <c r="F2035" s="5"/>
      <c r="G2035" s="5"/>
      <c r="H2035" s="5"/>
      <c r="I2035" s="5"/>
      <c r="J2035" s="5"/>
      <c r="K2035" s="5"/>
      <c r="L2035" s="5"/>
      <c r="M2035" s="5"/>
      <c r="N2035" s="5"/>
      <c r="O2035" s="5"/>
    </row>
    <row r="2036" spans="2:15" x14ac:dyDescent="0.55000000000000004">
      <c r="B2036" s="5"/>
      <c r="C2036" s="5"/>
      <c r="D2036" s="5"/>
      <c r="E2036" s="5"/>
      <c r="F2036" s="5"/>
      <c r="G2036" s="5"/>
      <c r="H2036" s="5"/>
      <c r="I2036" s="5"/>
      <c r="J2036" s="5"/>
      <c r="K2036" s="5"/>
      <c r="L2036" s="5"/>
      <c r="M2036" s="5"/>
      <c r="N2036" s="5"/>
      <c r="O2036" s="5"/>
    </row>
    <row r="2037" spans="2:15" x14ac:dyDescent="0.55000000000000004">
      <c r="B2037" s="5"/>
      <c r="C2037" s="5"/>
      <c r="D2037" s="5"/>
      <c r="E2037" s="5"/>
      <c r="F2037" s="5"/>
      <c r="G2037" s="5"/>
      <c r="H2037" s="5"/>
      <c r="I2037" s="5"/>
      <c r="J2037" s="5"/>
      <c r="K2037" s="5"/>
      <c r="L2037" s="5"/>
      <c r="M2037" s="5"/>
      <c r="N2037" s="5"/>
      <c r="O2037" s="5"/>
    </row>
    <row r="2038" spans="2:15" x14ac:dyDescent="0.55000000000000004">
      <c r="B2038" s="5"/>
      <c r="C2038" s="5"/>
      <c r="D2038" s="5"/>
      <c r="E2038" s="5"/>
      <c r="F2038" s="5"/>
      <c r="G2038" s="5"/>
      <c r="H2038" s="5"/>
      <c r="I2038" s="5"/>
      <c r="J2038" s="5"/>
      <c r="K2038" s="5"/>
      <c r="L2038" s="5"/>
      <c r="M2038" s="5"/>
      <c r="N2038" s="5"/>
      <c r="O2038" s="5"/>
    </row>
    <row r="2039" spans="2:15" x14ac:dyDescent="0.55000000000000004">
      <c r="B2039" s="5"/>
      <c r="C2039" s="5"/>
      <c r="D2039" s="5"/>
      <c r="E2039" s="5"/>
      <c r="F2039" s="5"/>
      <c r="G2039" s="5"/>
      <c r="H2039" s="5"/>
      <c r="I2039" s="5"/>
      <c r="J2039" s="5"/>
      <c r="K2039" s="5"/>
      <c r="L2039" s="5"/>
      <c r="M2039" s="5"/>
      <c r="N2039" s="5"/>
      <c r="O2039" s="5"/>
    </row>
    <row r="2040" spans="2:15" x14ac:dyDescent="0.55000000000000004">
      <c r="B2040" s="5"/>
      <c r="C2040" s="5"/>
      <c r="D2040" s="5"/>
      <c r="E2040" s="5"/>
      <c r="F2040" s="5"/>
      <c r="G2040" s="5"/>
      <c r="H2040" s="5"/>
      <c r="I2040" s="5"/>
      <c r="J2040" s="5"/>
      <c r="K2040" s="5"/>
      <c r="L2040" s="5"/>
      <c r="M2040" s="5"/>
      <c r="N2040" s="5"/>
      <c r="O2040" s="5"/>
    </row>
    <row r="2041" spans="2:15" x14ac:dyDescent="0.55000000000000004">
      <c r="B2041" s="5"/>
      <c r="C2041" s="5"/>
      <c r="D2041" s="5"/>
      <c r="E2041" s="5"/>
      <c r="F2041" s="5"/>
      <c r="G2041" s="5"/>
      <c r="H2041" s="5"/>
      <c r="I2041" s="5"/>
      <c r="J2041" s="5"/>
      <c r="K2041" s="5"/>
      <c r="L2041" s="5"/>
      <c r="M2041" s="5"/>
      <c r="N2041" s="5"/>
      <c r="O2041" s="5"/>
    </row>
    <row r="2042" spans="2:15" x14ac:dyDescent="0.55000000000000004">
      <c r="B2042" s="5"/>
      <c r="C2042" s="5"/>
      <c r="D2042" s="5"/>
      <c r="E2042" s="5"/>
      <c r="F2042" s="5"/>
      <c r="G2042" s="5"/>
      <c r="H2042" s="5"/>
      <c r="I2042" s="5"/>
      <c r="J2042" s="5"/>
      <c r="K2042" s="5"/>
      <c r="L2042" s="5"/>
      <c r="M2042" s="5"/>
      <c r="N2042" s="5"/>
      <c r="O2042" s="5"/>
    </row>
    <row r="2043" spans="2:15" x14ac:dyDescent="0.55000000000000004">
      <c r="B2043" s="5"/>
      <c r="C2043" s="5"/>
      <c r="D2043" s="5"/>
      <c r="E2043" s="5"/>
      <c r="F2043" s="5"/>
      <c r="G2043" s="5"/>
      <c r="H2043" s="5"/>
      <c r="I2043" s="5"/>
      <c r="J2043" s="5"/>
      <c r="K2043" s="5"/>
      <c r="L2043" s="5"/>
      <c r="M2043" s="5"/>
      <c r="N2043" s="5"/>
      <c r="O2043" s="5"/>
    </row>
    <row r="2044" spans="2:15" x14ac:dyDescent="0.55000000000000004">
      <c r="B2044" s="5"/>
      <c r="C2044" s="5"/>
      <c r="D2044" s="5"/>
      <c r="E2044" s="5"/>
      <c r="F2044" s="5"/>
      <c r="G2044" s="5"/>
      <c r="H2044" s="5"/>
      <c r="I2044" s="5"/>
      <c r="J2044" s="5"/>
      <c r="K2044" s="5"/>
      <c r="L2044" s="5"/>
      <c r="M2044" s="5"/>
      <c r="N2044" s="5"/>
      <c r="O2044" s="5"/>
    </row>
    <row r="2045" spans="2:15" x14ac:dyDescent="0.55000000000000004">
      <c r="B2045" s="5"/>
      <c r="C2045" s="5"/>
      <c r="D2045" s="5"/>
      <c r="E2045" s="5"/>
      <c r="F2045" s="5"/>
      <c r="G2045" s="5"/>
      <c r="H2045" s="5"/>
      <c r="I2045" s="5"/>
      <c r="J2045" s="5"/>
      <c r="K2045" s="5"/>
      <c r="L2045" s="5"/>
      <c r="M2045" s="5"/>
      <c r="N2045" s="5"/>
      <c r="O2045" s="5"/>
    </row>
    <row r="2046" spans="2:15" x14ac:dyDescent="0.55000000000000004">
      <c r="B2046" s="5"/>
      <c r="C2046" s="5"/>
      <c r="D2046" s="5"/>
      <c r="E2046" s="5"/>
      <c r="F2046" s="5"/>
      <c r="G2046" s="5"/>
      <c r="H2046" s="5"/>
      <c r="I2046" s="5"/>
      <c r="J2046" s="5"/>
      <c r="K2046" s="5"/>
      <c r="L2046" s="5"/>
      <c r="M2046" s="5"/>
      <c r="N2046" s="5"/>
      <c r="O2046" s="5"/>
    </row>
    <row r="2047" spans="2:15" x14ac:dyDescent="0.55000000000000004">
      <c r="B2047" s="5"/>
      <c r="C2047" s="5"/>
      <c r="D2047" s="5"/>
      <c r="E2047" s="5"/>
      <c r="F2047" s="5"/>
      <c r="G2047" s="5"/>
      <c r="H2047" s="5"/>
      <c r="I2047" s="5"/>
      <c r="J2047" s="5"/>
      <c r="K2047" s="5"/>
      <c r="L2047" s="5"/>
      <c r="M2047" s="5"/>
      <c r="N2047" s="5"/>
      <c r="O2047" s="5"/>
    </row>
    <row r="2048" spans="2:15" x14ac:dyDescent="0.55000000000000004">
      <c r="B2048" s="5"/>
      <c r="C2048" s="5"/>
      <c r="D2048" s="5"/>
      <c r="E2048" s="5"/>
      <c r="F2048" s="5"/>
      <c r="G2048" s="5"/>
      <c r="H2048" s="5"/>
      <c r="I2048" s="5"/>
      <c r="J2048" s="5"/>
      <c r="K2048" s="5"/>
      <c r="L2048" s="5"/>
      <c r="M2048" s="5"/>
      <c r="N2048" s="5"/>
      <c r="O2048" s="5"/>
    </row>
    <row r="2049" spans="2:15" x14ac:dyDescent="0.55000000000000004">
      <c r="B2049" s="5"/>
      <c r="C2049" s="5"/>
      <c r="D2049" s="5"/>
      <c r="E2049" s="5"/>
      <c r="F2049" s="5"/>
      <c r="G2049" s="5"/>
      <c r="H2049" s="5"/>
      <c r="I2049" s="5"/>
      <c r="J2049" s="5"/>
      <c r="K2049" s="5"/>
      <c r="L2049" s="5"/>
      <c r="M2049" s="5"/>
      <c r="N2049" s="5"/>
      <c r="O2049" s="5"/>
    </row>
    <row r="2050" spans="2:15" x14ac:dyDescent="0.55000000000000004">
      <c r="B2050" s="5"/>
      <c r="C2050" s="5"/>
      <c r="D2050" s="5"/>
      <c r="E2050" s="5"/>
      <c r="F2050" s="5"/>
      <c r="G2050" s="5"/>
      <c r="H2050" s="5"/>
      <c r="I2050" s="5"/>
      <c r="J2050" s="5"/>
      <c r="K2050" s="5"/>
      <c r="L2050" s="5"/>
      <c r="M2050" s="5"/>
      <c r="N2050" s="5"/>
      <c r="O2050" s="5"/>
    </row>
    <row r="2051" spans="2:15" x14ac:dyDescent="0.55000000000000004">
      <c r="B2051" s="5"/>
      <c r="C2051" s="5"/>
      <c r="D2051" s="5"/>
      <c r="E2051" s="5"/>
      <c r="F2051" s="5"/>
      <c r="G2051" s="5"/>
      <c r="H2051" s="5"/>
      <c r="I2051" s="5"/>
      <c r="J2051" s="5"/>
      <c r="K2051" s="5"/>
      <c r="L2051" s="5"/>
      <c r="M2051" s="5"/>
      <c r="N2051" s="5"/>
      <c r="O2051" s="5"/>
    </row>
    <row r="2052" spans="2:15" x14ac:dyDescent="0.55000000000000004">
      <c r="B2052" s="5"/>
      <c r="C2052" s="5"/>
      <c r="D2052" s="5"/>
      <c r="E2052" s="5"/>
      <c r="F2052" s="5"/>
      <c r="G2052" s="5"/>
      <c r="H2052" s="5"/>
      <c r="I2052" s="5"/>
      <c r="J2052" s="5"/>
      <c r="K2052" s="5"/>
      <c r="L2052" s="5"/>
      <c r="M2052" s="5"/>
      <c r="N2052" s="5"/>
      <c r="O2052" s="5"/>
    </row>
    <row r="2053" spans="2:15" x14ac:dyDescent="0.55000000000000004">
      <c r="B2053" s="5"/>
      <c r="C2053" s="5"/>
      <c r="D2053" s="5"/>
      <c r="E2053" s="5"/>
      <c r="F2053" s="5"/>
      <c r="G2053" s="5"/>
      <c r="H2053" s="5"/>
      <c r="I2053" s="5"/>
      <c r="J2053" s="5"/>
      <c r="K2053" s="5"/>
      <c r="L2053" s="5"/>
      <c r="M2053" s="5"/>
      <c r="N2053" s="5"/>
      <c r="O2053" s="5"/>
    </row>
    <row r="2054" spans="2:15" x14ac:dyDescent="0.55000000000000004">
      <c r="B2054" s="5"/>
      <c r="C2054" s="5"/>
      <c r="D2054" s="5"/>
      <c r="E2054" s="5"/>
      <c r="F2054" s="5"/>
      <c r="G2054" s="5"/>
      <c r="H2054" s="5"/>
      <c r="I2054" s="5"/>
      <c r="J2054" s="5"/>
      <c r="K2054" s="5"/>
      <c r="L2054" s="5"/>
      <c r="M2054" s="5"/>
      <c r="N2054" s="5"/>
      <c r="O2054" s="5"/>
    </row>
    <row r="2055" spans="2:15" x14ac:dyDescent="0.55000000000000004">
      <c r="B2055" s="5"/>
      <c r="C2055" s="5"/>
      <c r="D2055" s="5"/>
      <c r="E2055" s="5"/>
      <c r="F2055" s="5"/>
      <c r="G2055" s="5"/>
      <c r="H2055" s="5"/>
      <c r="I2055" s="5"/>
      <c r="J2055" s="5"/>
      <c r="K2055" s="5"/>
      <c r="L2055" s="5"/>
      <c r="M2055" s="5"/>
      <c r="N2055" s="5"/>
      <c r="O2055" s="5"/>
    </row>
    <row r="2056" spans="2:15" x14ac:dyDescent="0.55000000000000004">
      <c r="B2056" s="5"/>
      <c r="C2056" s="5"/>
      <c r="D2056" s="5"/>
      <c r="E2056" s="5"/>
      <c r="F2056" s="5"/>
      <c r="G2056" s="5"/>
      <c r="H2056" s="5"/>
      <c r="I2056" s="5"/>
      <c r="J2056" s="5"/>
      <c r="K2056" s="5"/>
      <c r="L2056" s="5"/>
      <c r="M2056" s="5"/>
      <c r="N2056" s="5"/>
      <c r="O2056" s="5"/>
    </row>
    <row r="2057" spans="2:15" x14ac:dyDescent="0.55000000000000004">
      <c r="B2057" s="5"/>
      <c r="C2057" s="5"/>
      <c r="D2057" s="5"/>
      <c r="E2057" s="5"/>
      <c r="F2057" s="5"/>
      <c r="G2057" s="5"/>
      <c r="H2057" s="5"/>
      <c r="I2057" s="5"/>
      <c r="J2057" s="5"/>
      <c r="K2057" s="5"/>
      <c r="L2057" s="5"/>
      <c r="M2057" s="5"/>
      <c r="N2057" s="5"/>
      <c r="O2057" s="5"/>
    </row>
    <row r="2058" spans="2:15" x14ac:dyDescent="0.55000000000000004">
      <c r="B2058" s="5"/>
      <c r="C2058" s="5"/>
      <c r="D2058" s="5"/>
      <c r="E2058" s="5"/>
      <c r="F2058" s="5"/>
      <c r="G2058" s="5"/>
      <c r="H2058" s="5"/>
      <c r="I2058" s="5"/>
      <c r="J2058" s="5"/>
      <c r="K2058" s="5"/>
      <c r="L2058" s="5"/>
      <c r="M2058" s="5"/>
      <c r="N2058" s="5"/>
      <c r="O2058" s="5"/>
    </row>
    <row r="2059" spans="2:15" x14ac:dyDescent="0.55000000000000004">
      <c r="B2059" s="5"/>
      <c r="C2059" s="5"/>
      <c r="D2059" s="5"/>
      <c r="E2059" s="5"/>
      <c r="F2059" s="5"/>
      <c r="G2059" s="5"/>
      <c r="H2059" s="5"/>
      <c r="I2059" s="5"/>
      <c r="J2059" s="5"/>
      <c r="K2059" s="5"/>
      <c r="L2059" s="5"/>
      <c r="M2059" s="5"/>
      <c r="N2059" s="5"/>
      <c r="O2059" s="5"/>
    </row>
    <row r="2060" spans="2:15" x14ac:dyDescent="0.55000000000000004">
      <c r="B2060" s="5"/>
      <c r="C2060" s="5"/>
      <c r="D2060" s="5"/>
      <c r="E2060" s="5"/>
      <c r="F2060" s="5"/>
      <c r="G2060" s="5"/>
      <c r="H2060" s="5"/>
      <c r="I2060" s="5"/>
      <c r="J2060" s="5"/>
      <c r="K2060" s="5"/>
      <c r="L2060" s="5"/>
      <c r="M2060" s="5"/>
      <c r="N2060" s="5"/>
      <c r="O2060" s="5"/>
    </row>
    <row r="2061" spans="2:15" x14ac:dyDescent="0.55000000000000004">
      <c r="B2061" s="5"/>
      <c r="C2061" s="5"/>
      <c r="D2061" s="5"/>
      <c r="E2061" s="5"/>
      <c r="F2061" s="5"/>
      <c r="G2061" s="5"/>
      <c r="H2061" s="5"/>
      <c r="I2061" s="5"/>
      <c r="J2061" s="5"/>
      <c r="K2061" s="5"/>
      <c r="L2061" s="5"/>
      <c r="M2061" s="5"/>
      <c r="N2061" s="5"/>
      <c r="O2061" s="5"/>
    </row>
    <row r="2062" spans="2:15" x14ac:dyDescent="0.55000000000000004">
      <c r="B2062" s="5"/>
      <c r="C2062" s="5"/>
      <c r="D2062" s="5"/>
      <c r="E2062" s="5"/>
      <c r="F2062" s="5"/>
      <c r="G2062" s="5"/>
      <c r="H2062" s="5"/>
      <c r="I2062" s="5"/>
      <c r="J2062" s="5"/>
      <c r="K2062" s="5"/>
      <c r="L2062" s="5"/>
      <c r="M2062" s="5"/>
      <c r="N2062" s="5"/>
      <c r="O2062" s="5"/>
    </row>
    <row r="2063" spans="2:15" x14ac:dyDescent="0.55000000000000004">
      <c r="B2063" s="5"/>
      <c r="C2063" s="5"/>
      <c r="D2063" s="5"/>
      <c r="E2063" s="5"/>
      <c r="F2063" s="5"/>
      <c r="G2063" s="5"/>
      <c r="H2063" s="5"/>
      <c r="I2063" s="5"/>
      <c r="J2063" s="5"/>
      <c r="K2063" s="5"/>
      <c r="L2063" s="5"/>
      <c r="M2063" s="5"/>
      <c r="N2063" s="5"/>
      <c r="O2063" s="5"/>
    </row>
    <row r="2064" spans="2:15" x14ac:dyDescent="0.55000000000000004">
      <c r="B2064" s="5"/>
      <c r="C2064" s="5"/>
      <c r="D2064" s="5"/>
      <c r="E2064" s="5"/>
      <c r="F2064" s="5"/>
      <c r="G2064" s="5"/>
      <c r="H2064" s="5"/>
      <c r="I2064" s="5"/>
      <c r="J2064" s="5"/>
      <c r="K2064" s="5"/>
      <c r="L2064" s="5"/>
      <c r="M2064" s="5"/>
      <c r="N2064" s="5"/>
      <c r="O2064" s="5"/>
    </row>
    <row r="2065" spans="2:15" x14ac:dyDescent="0.55000000000000004">
      <c r="B2065" s="5"/>
      <c r="C2065" s="5"/>
      <c r="D2065" s="5"/>
      <c r="E2065" s="5"/>
      <c r="F2065" s="5"/>
      <c r="G2065" s="5"/>
      <c r="H2065" s="5"/>
      <c r="I2065" s="5"/>
      <c r="J2065" s="5"/>
      <c r="K2065" s="5"/>
      <c r="L2065" s="5"/>
      <c r="M2065" s="5"/>
      <c r="N2065" s="5"/>
      <c r="O2065" s="5"/>
    </row>
    <row r="2066" spans="2:15" x14ac:dyDescent="0.55000000000000004">
      <c r="B2066" s="5"/>
      <c r="C2066" s="5"/>
      <c r="D2066" s="5"/>
      <c r="E2066" s="5"/>
      <c r="F2066" s="5"/>
      <c r="G2066" s="5"/>
      <c r="H2066" s="5"/>
      <c r="I2066" s="5"/>
      <c r="J2066" s="5"/>
      <c r="K2066" s="5"/>
      <c r="L2066" s="5"/>
      <c r="M2066" s="5"/>
      <c r="N2066" s="5"/>
      <c r="O2066" s="5"/>
    </row>
    <row r="2067" spans="2:15" x14ac:dyDescent="0.55000000000000004">
      <c r="B2067" s="5"/>
      <c r="C2067" s="5"/>
      <c r="D2067" s="5"/>
      <c r="E2067" s="5"/>
      <c r="F2067" s="5"/>
      <c r="G2067" s="5"/>
      <c r="H2067" s="5"/>
      <c r="I2067" s="5"/>
      <c r="J2067" s="5"/>
      <c r="K2067" s="5"/>
      <c r="L2067" s="5"/>
      <c r="M2067" s="5"/>
      <c r="N2067" s="5"/>
      <c r="O2067" s="5"/>
    </row>
    <row r="2068" spans="2:15" x14ac:dyDescent="0.55000000000000004">
      <c r="B2068" s="5"/>
      <c r="C2068" s="5"/>
      <c r="D2068" s="5"/>
      <c r="E2068" s="5"/>
      <c r="F2068" s="5"/>
      <c r="G2068" s="5"/>
      <c r="H2068" s="5"/>
      <c r="I2068" s="5"/>
      <c r="J2068" s="5"/>
      <c r="K2068" s="5"/>
      <c r="L2068" s="5"/>
      <c r="M2068" s="5"/>
      <c r="N2068" s="5"/>
      <c r="O2068" s="5"/>
    </row>
    <row r="2069" spans="2:15" x14ac:dyDescent="0.55000000000000004">
      <c r="B2069" s="5"/>
      <c r="C2069" s="5"/>
      <c r="D2069" s="5"/>
      <c r="E2069" s="5"/>
      <c r="F2069" s="5"/>
      <c r="G2069" s="5"/>
      <c r="H2069" s="5"/>
      <c r="I2069" s="5"/>
      <c r="J2069" s="5"/>
      <c r="K2069" s="5"/>
      <c r="L2069" s="5"/>
      <c r="M2069" s="5"/>
      <c r="N2069" s="5"/>
      <c r="O2069" s="5"/>
    </row>
    <row r="2070" spans="2:15" x14ac:dyDescent="0.55000000000000004">
      <c r="B2070" s="5"/>
      <c r="C2070" s="5"/>
      <c r="D2070" s="5"/>
      <c r="E2070" s="5"/>
      <c r="F2070" s="5"/>
      <c r="G2070" s="5"/>
      <c r="H2070" s="5"/>
      <c r="I2070" s="5"/>
      <c r="J2070" s="5"/>
      <c r="K2070" s="5"/>
      <c r="L2070" s="5"/>
      <c r="M2070" s="5"/>
      <c r="N2070" s="5"/>
      <c r="O2070" s="5"/>
    </row>
    <row r="2071" spans="2:15" x14ac:dyDescent="0.55000000000000004">
      <c r="B2071" s="5"/>
      <c r="C2071" s="5"/>
      <c r="D2071" s="5"/>
      <c r="E2071" s="5"/>
      <c r="F2071" s="5"/>
      <c r="G2071" s="5"/>
      <c r="H2071" s="5"/>
      <c r="I2071" s="5"/>
      <c r="J2071" s="5"/>
      <c r="K2071" s="5"/>
      <c r="L2071" s="5"/>
      <c r="M2071" s="5"/>
      <c r="N2071" s="5"/>
      <c r="O2071" s="5"/>
    </row>
    <row r="2072" spans="2:15" x14ac:dyDescent="0.55000000000000004">
      <c r="B2072" s="5"/>
      <c r="C2072" s="5"/>
      <c r="D2072" s="5"/>
      <c r="E2072" s="5"/>
      <c r="F2072" s="5"/>
      <c r="G2072" s="5"/>
      <c r="H2072" s="5"/>
      <c r="I2072" s="5"/>
      <c r="J2072" s="5"/>
      <c r="K2072" s="5"/>
      <c r="L2072" s="5"/>
      <c r="M2072" s="5"/>
      <c r="N2072" s="5"/>
      <c r="O2072" s="5"/>
    </row>
    <row r="2073" spans="2:15" x14ac:dyDescent="0.55000000000000004">
      <c r="B2073" s="5"/>
      <c r="C2073" s="5"/>
      <c r="D2073" s="5"/>
      <c r="E2073" s="5"/>
      <c r="F2073" s="5"/>
      <c r="G2073" s="5"/>
      <c r="H2073" s="5"/>
      <c r="I2073" s="5"/>
      <c r="J2073" s="5"/>
      <c r="K2073" s="5"/>
      <c r="L2073" s="5"/>
      <c r="M2073" s="5"/>
      <c r="N2073" s="5"/>
      <c r="O2073" s="5"/>
    </row>
    <row r="2074" spans="2:15" x14ac:dyDescent="0.55000000000000004">
      <c r="B2074" s="5"/>
      <c r="C2074" s="5"/>
      <c r="D2074" s="5"/>
      <c r="E2074" s="5"/>
      <c r="F2074" s="5"/>
      <c r="G2074" s="5"/>
      <c r="H2074" s="5"/>
      <c r="I2074" s="5"/>
      <c r="J2074" s="5"/>
      <c r="K2074" s="5"/>
      <c r="L2074" s="5"/>
      <c r="M2074" s="5"/>
      <c r="N2074" s="5"/>
      <c r="O2074" s="5"/>
    </row>
    <row r="2075" spans="2:15" x14ac:dyDescent="0.55000000000000004">
      <c r="B2075" s="5"/>
      <c r="C2075" s="5"/>
      <c r="D2075" s="5"/>
      <c r="E2075" s="5"/>
      <c r="F2075" s="5"/>
      <c r="G2075" s="5"/>
      <c r="H2075" s="5"/>
      <c r="I2075" s="5"/>
      <c r="J2075" s="5"/>
      <c r="K2075" s="5"/>
      <c r="L2075" s="5"/>
      <c r="M2075" s="5"/>
      <c r="N2075" s="5"/>
      <c r="O2075" s="5"/>
    </row>
    <row r="2076" spans="2:15" x14ac:dyDescent="0.55000000000000004">
      <c r="B2076" s="5"/>
      <c r="C2076" s="5"/>
      <c r="D2076" s="5"/>
      <c r="E2076" s="5"/>
      <c r="F2076" s="5"/>
      <c r="G2076" s="5"/>
      <c r="H2076" s="5"/>
      <c r="I2076" s="5"/>
      <c r="J2076" s="5"/>
      <c r="K2076" s="5"/>
      <c r="L2076" s="5"/>
      <c r="M2076" s="5"/>
      <c r="N2076" s="5"/>
      <c r="O2076" s="5"/>
    </row>
    <row r="2077" spans="2:15" x14ac:dyDescent="0.55000000000000004">
      <c r="B2077" s="5"/>
      <c r="C2077" s="5"/>
      <c r="D2077" s="5"/>
      <c r="E2077" s="5"/>
      <c r="F2077" s="5"/>
      <c r="G2077" s="5"/>
      <c r="H2077" s="5"/>
      <c r="I2077" s="5"/>
      <c r="J2077" s="5"/>
      <c r="K2077" s="5"/>
      <c r="L2077" s="5"/>
      <c r="M2077" s="5"/>
      <c r="N2077" s="5"/>
      <c r="O2077" s="5"/>
    </row>
    <row r="2078" spans="2:15" x14ac:dyDescent="0.55000000000000004">
      <c r="B2078" s="5"/>
      <c r="C2078" s="5"/>
      <c r="D2078" s="5"/>
      <c r="E2078" s="5"/>
      <c r="F2078" s="5"/>
      <c r="G2078" s="5"/>
      <c r="H2078" s="5"/>
      <c r="I2078" s="5"/>
      <c r="J2078" s="5"/>
      <c r="K2078" s="5"/>
      <c r="L2078" s="5"/>
      <c r="M2078" s="5"/>
      <c r="N2078" s="5"/>
      <c r="O2078" s="5"/>
    </row>
    <row r="2079" spans="2:15" x14ac:dyDescent="0.55000000000000004">
      <c r="B2079" s="5"/>
      <c r="C2079" s="5"/>
      <c r="D2079" s="5"/>
      <c r="E2079" s="5"/>
      <c r="F2079" s="5"/>
      <c r="G2079" s="5"/>
      <c r="H2079" s="5"/>
      <c r="I2079" s="5"/>
      <c r="J2079" s="5"/>
      <c r="K2079" s="5"/>
      <c r="L2079" s="5"/>
      <c r="M2079" s="5"/>
      <c r="N2079" s="5"/>
      <c r="O2079" s="5"/>
    </row>
    <row r="2080" spans="2:15" x14ac:dyDescent="0.55000000000000004">
      <c r="B2080" s="5"/>
      <c r="C2080" s="5"/>
      <c r="D2080" s="5"/>
      <c r="E2080" s="5"/>
      <c r="F2080" s="5"/>
      <c r="G2080" s="5"/>
      <c r="H2080" s="5"/>
      <c r="I2080" s="5"/>
      <c r="J2080" s="5"/>
      <c r="K2080" s="5"/>
      <c r="L2080" s="5"/>
      <c r="M2080" s="5"/>
      <c r="N2080" s="5"/>
      <c r="O2080" s="5"/>
    </row>
    <row r="2081" spans="2:15" x14ac:dyDescent="0.55000000000000004">
      <c r="B2081" s="5"/>
      <c r="C2081" s="5"/>
      <c r="D2081" s="5"/>
      <c r="E2081" s="5"/>
      <c r="F2081" s="5"/>
      <c r="G2081" s="5"/>
      <c r="H2081" s="5"/>
      <c r="I2081" s="5"/>
      <c r="J2081" s="5"/>
      <c r="K2081" s="5"/>
      <c r="L2081" s="5"/>
      <c r="M2081" s="5"/>
      <c r="N2081" s="5"/>
      <c r="O2081" s="5"/>
    </row>
    <row r="2082" spans="2:15" x14ac:dyDescent="0.55000000000000004">
      <c r="B2082" s="5"/>
      <c r="C2082" s="5"/>
      <c r="D2082" s="5"/>
      <c r="E2082" s="5"/>
      <c r="F2082" s="5"/>
      <c r="G2082" s="5"/>
      <c r="H2082" s="5"/>
      <c r="I2082" s="5"/>
      <c r="J2082" s="5"/>
      <c r="K2082" s="5"/>
      <c r="L2082" s="5"/>
      <c r="M2082" s="5"/>
      <c r="N2082" s="5"/>
      <c r="O2082" s="5"/>
    </row>
    <row r="2083" spans="2:15" x14ac:dyDescent="0.55000000000000004">
      <c r="B2083" s="5"/>
      <c r="C2083" s="5"/>
      <c r="D2083" s="5"/>
      <c r="E2083" s="5"/>
      <c r="F2083" s="5"/>
      <c r="G2083" s="5"/>
      <c r="H2083" s="5"/>
      <c r="I2083" s="5"/>
      <c r="J2083" s="5"/>
      <c r="K2083" s="5"/>
      <c r="L2083" s="5"/>
      <c r="M2083" s="5"/>
      <c r="N2083" s="5"/>
      <c r="O2083" s="5"/>
    </row>
    <row r="2084" spans="2:15" x14ac:dyDescent="0.55000000000000004">
      <c r="B2084" s="5"/>
      <c r="C2084" s="5"/>
      <c r="D2084" s="5"/>
      <c r="E2084" s="5"/>
      <c r="F2084" s="5"/>
      <c r="G2084" s="5"/>
      <c r="H2084" s="5"/>
      <c r="I2084" s="5"/>
      <c r="J2084" s="5"/>
      <c r="K2084" s="5"/>
      <c r="L2084" s="5"/>
      <c r="M2084" s="5"/>
      <c r="N2084" s="5"/>
      <c r="O2084" s="5"/>
    </row>
    <row r="2085" spans="2:15" x14ac:dyDescent="0.55000000000000004">
      <c r="B2085" s="5"/>
      <c r="C2085" s="5"/>
      <c r="D2085" s="5"/>
      <c r="E2085" s="5"/>
      <c r="F2085" s="5"/>
      <c r="G2085" s="5"/>
      <c r="H2085" s="5"/>
      <c r="I2085" s="5"/>
      <c r="J2085" s="5"/>
      <c r="K2085" s="5"/>
      <c r="L2085" s="5"/>
      <c r="M2085" s="5"/>
      <c r="N2085" s="5"/>
      <c r="O2085" s="5"/>
    </row>
    <row r="2086" spans="2:15" x14ac:dyDescent="0.55000000000000004">
      <c r="B2086" s="5"/>
      <c r="C2086" s="5"/>
      <c r="D2086" s="5"/>
      <c r="E2086" s="5"/>
      <c r="F2086" s="5"/>
      <c r="G2086" s="5"/>
      <c r="H2086" s="5"/>
      <c r="I2086" s="5"/>
      <c r="J2086" s="5"/>
      <c r="K2086" s="5"/>
      <c r="L2086" s="5"/>
      <c r="M2086" s="5"/>
      <c r="N2086" s="5"/>
      <c r="O2086" s="5"/>
    </row>
    <row r="2087" spans="2:15" x14ac:dyDescent="0.55000000000000004">
      <c r="B2087" s="5"/>
      <c r="C2087" s="5"/>
      <c r="D2087" s="5"/>
      <c r="E2087" s="5"/>
      <c r="F2087" s="5"/>
      <c r="G2087" s="5"/>
      <c r="H2087" s="5"/>
      <c r="I2087" s="5"/>
      <c r="J2087" s="5"/>
      <c r="K2087" s="5"/>
      <c r="L2087" s="5"/>
      <c r="M2087" s="5"/>
      <c r="N2087" s="5"/>
      <c r="O2087" s="5"/>
    </row>
    <row r="2088" spans="2:15" x14ac:dyDescent="0.55000000000000004">
      <c r="B2088" s="5"/>
      <c r="C2088" s="5"/>
      <c r="D2088" s="5"/>
      <c r="E2088" s="5"/>
      <c r="F2088" s="5"/>
      <c r="G2088" s="5"/>
      <c r="H2088" s="5"/>
      <c r="I2088" s="5"/>
      <c r="J2088" s="5"/>
      <c r="K2088" s="5"/>
      <c r="L2088" s="5"/>
      <c r="M2088" s="5"/>
      <c r="N2088" s="5"/>
      <c r="O2088" s="5"/>
    </row>
    <row r="2089" spans="2:15" x14ac:dyDescent="0.55000000000000004">
      <c r="B2089" s="5"/>
      <c r="C2089" s="5"/>
      <c r="D2089" s="5"/>
      <c r="E2089" s="5"/>
      <c r="F2089" s="5"/>
      <c r="G2089" s="5"/>
      <c r="H2089" s="5"/>
      <c r="I2089" s="5"/>
      <c r="J2089" s="5"/>
      <c r="K2089" s="5"/>
      <c r="L2089" s="5"/>
      <c r="M2089" s="5"/>
      <c r="N2089" s="5"/>
      <c r="O2089" s="5"/>
    </row>
    <row r="2090" spans="2:15" x14ac:dyDescent="0.55000000000000004">
      <c r="B2090" s="5"/>
      <c r="C2090" s="5"/>
      <c r="D2090" s="5"/>
      <c r="E2090" s="5"/>
      <c r="F2090" s="5"/>
      <c r="G2090" s="5"/>
      <c r="H2090" s="5"/>
      <c r="I2090" s="5"/>
      <c r="J2090" s="5"/>
      <c r="K2090" s="5"/>
      <c r="L2090" s="5"/>
      <c r="M2090" s="5"/>
      <c r="N2090" s="5"/>
      <c r="O2090" s="5"/>
    </row>
    <row r="2091" spans="2:15" x14ac:dyDescent="0.55000000000000004">
      <c r="B2091" s="5"/>
      <c r="C2091" s="5"/>
      <c r="D2091" s="5"/>
      <c r="E2091" s="5"/>
      <c r="F2091" s="5"/>
      <c r="G2091" s="5"/>
      <c r="H2091" s="5"/>
      <c r="I2091" s="5"/>
      <c r="J2091" s="5"/>
      <c r="K2091" s="5"/>
      <c r="L2091" s="5"/>
      <c r="M2091" s="5"/>
      <c r="N2091" s="5"/>
      <c r="O2091" s="5"/>
    </row>
    <row r="2092" spans="2:15" x14ac:dyDescent="0.55000000000000004">
      <c r="B2092" s="5"/>
      <c r="C2092" s="5"/>
      <c r="D2092" s="5"/>
      <c r="E2092" s="5"/>
      <c r="F2092" s="5"/>
      <c r="G2092" s="5"/>
      <c r="H2092" s="5"/>
      <c r="I2092" s="5"/>
      <c r="J2092" s="5"/>
      <c r="K2092" s="5"/>
      <c r="L2092" s="5"/>
      <c r="M2092" s="5"/>
      <c r="N2092" s="5"/>
      <c r="O2092" s="5"/>
    </row>
    <row r="2093" spans="2:15" x14ac:dyDescent="0.55000000000000004">
      <c r="B2093" s="5"/>
      <c r="C2093" s="5"/>
      <c r="D2093" s="5"/>
      <c r="E2093" s="5"/>
      <c r="F2093" s="5"/>
      <c r="G2093" s="5"/>
      <c r="H2093" s="5"/>
      <c r="I2093" s="5"/>
      <c r="J2093" s="5"/>
      <c r="K2093" s="5"/>
      <c r="L2093" s="5"/>
      <c r="M2093" s="5"/>
      <c r="N2093" s="5"/>
      <c r="O2093" s="5"/>
    </row>
    <row r="2094" spans="2:15" x14ac:dyDescent="0.55000000000000004">
      <c r="B2094" s="5"/>
      <c r="C2094" s="5"/>
      <c r="D2094" s="5"/>
      <c r="E2094" s="5"/>
      <c r="F2094" s="5"/>
      <c r="G2094" s="5"/>
      <c r="H2094" s="5"/>
      <c r="I2094" s="5"/>
      <c r="J2094" s="5"/>
      <c r="K2094" s="5"/>
      <c r="L2094" s="5"/>
      <c r="M2094" s="5"/>
      <c r="N2094" s="5"/>
      <c r="O2094" s="5"/>
    </row>
    <row r="2095" spans="2:15" x14ac:dyDescent="0.55000000000000004">
      <c r="B2095" s="5"/>
      <c r="C2095" s="5"/>
      <c r="D2095" s="5"/>
      <c r="E2095" s="5"/>
      <c r="F2095" s="5"/>
      <c r="G2095" s="5"/>
      <c r="H2095" s="5"/>
      <c r="I2095" s="5"/>
      <c r="J2095" s="5"/>
      <c r="K2095" s="5"/>
      <c r="L2095" s="5"/>
      <c r="M2095" s="5"/>
      <c r="N2095" s="5"/>
      <c r="O2095" s="5"/>
    </row>
    <row r="2096" spans="2:15" x14ac:dyDescent="0.55000000000000004">
      <c r="B2096" s="5"/>
      <c r="C2096" s="5"/>
      <c r="D2096" s="5"/>
      <c r="E2096" s="5"/>
      <c r="F2096" s="5"/>
      <c r="G2096" s="5"/>
      <c r="H2096" s="5"/>
      <c r="I2096" s="5"/>
      <c r="J2096" s="5"/>
      <c r="K2096" s="5"/>
      <c r="L2096" s="5"/>
      <c r="M2096" s="5"/>
      <c r="N2096" s="5"/>
      <c r="O2096" s="5"/>
    </row>
    <row r="2097" spans="2:15" x14ac:dyDescent="0.55000000000000004">
      <c r="B2097" s="5"/>
      <c r="C2097" s="5"/>
      <c r="D2097" s="5"/>
      <c r="E2097" s="5"/>
      <c r="F2097" s="5"/>
      <c r="G2097" s="5"/>
      <c r="H2097" s="5"/>
      <c r="I2097" s="5"/>
      <c r="J2097" s="5"/>
      <c r="K2097" s="5"/>
      <c r="L2097" s="5"/>
      <c r="M2097" s="5"/>
      <c r="N2097" s="5"/>
      <c r="O2097" s="5"/>
    </row>
    <row r="2098" spans="2:15" x14ac:dyDescent="0.55000000000000004">
      <c r="B2098" s="5"/>
      <c r="C2098" s="5"/>
      <c r="D2098" s="5"/>
      <c r="E2098" s="5"/>
      <c r="F2098" s="5"/>
      <c r="G2098" s="5"/>
      <c r="H2098" s="5"/>
      <c r="I2098" s="5"/>
      <c r="J2098" s="5"/>
      <c r="K2098" s="5"/>
      <c r="L2098" s="5"/>
      <c r="M2098" s="5"/>
      <c r="N2098" s="5"/>
      <c r="O2098" s="5"/>
    </row>
    <row r="2099" spans="2:15" x14ac:dyDescent="0.55000000000000004">
      <c r="B2099" s="5"/>
      <c r="C2099" s="5"/>
      <c r="D2099" s="5"/>
      <c r="E2099" s="5"/>
      <c r="F2099" s="5"/>
      <c r="G2099" s="5"/>
      <c r="H2099" s="5"/>
      <c r="I2099" s="5"/>
      <c r="J2099" s="5"/>
      <c r="K2099" s="5"/>
      <c r="L2099" s="5"/>
      <c r="M2099" s="5"/>
      <c r="N2099" s="5"/>
      <c r="O2099" s="5"/>
    </row>
    <row r="2100" spans="2:15" x14ac:dyDescent="0.55000000000000004">
      <c r="B2100" s="5"/>
      <c r="C2100" s="5"/>
      <c r="D2100" s="5"/>
      <c r="E2100" s="5"/>
      <c r="F2100" s="5"/>
      <c r="G2100" s="5"/>
      <c r="H2100" s="5"/>
      <c r="I2100" s="5"/>
      <c r="J2100" s="5"/>
      <c r="K2100" s="5"/>
      <c r="L2100" s="5"/>
      <c r="M2100" s="5"/>
      <c r="N2100" s="5"/>
      <c r="O2100" s="5"/>
    </row>
    <row r="2101" spans="2:15" x14ac:dyDescent="0.55000000000000004">
      <c r="B2101" s="5"/>
      <c r="C2101" s="5"/>
      <c r="D2101" s="5"/>
      <c r="E2101" s="5"/>
      <c r="F2101" s="5"/>
      <c r="G2101" s="5"/>
      <c r="H2101" s="5"/>
      <c r="I2101" s="5"/>
      <c r="J2101" s="5"/>
      <c r="K2101" s="5"/>
      <c r="L2101" s="5"/>
      <c r="M2101" s="5"/>
      <c r="N2101" s="5"/>
      <c r="O2101" s="5"/>
    </row>
    <row r="2102" spans="2:15" x14ac:dyDescent="0.55000000000000004">
      <c r="B2102" s="5"/>
      <c r="C2102" s="5"/>
      <c r="D2102" s="5"/>
      <c r="E2102" s="5"/>
      <c r="F2102" s="5"/>
      <c r="G2102" s="5"/>
      <c r="H2102" s="5"/>
      <c r="I2102" s="5"/>
      <c r="J2102" s="5"/>
      <c r="K2102" s="5"/>
      <c r="L2102" s="5"/>
      <c r="M2102" s="5"/>
      <c r="N2102" s="5"/>
      <c r="O2102" s="5"/>
    </row>
    <row r="2103" spans="2:15" x14ac:dyDescent="0.55000000000000004">
      <c r="B2103" s="5"/>
      <c r="C2103" s="5"/>
      <c r="D2103" s="5"/>
      <c r="E2103" s="5"/>
      <c r="F2103" s="5"/>
      <c r="G2103" s="5"/>
      <c r="H2103" s="5"/>
      <c r="I2103" s="5"/>
      <c r="J2103" s="5"/>
      <c r="K2103" s="5"/>
      <c r="L2103" s="5"/>
      <c r="M2103" s="5"/>
      <c r="N2103" s="5"/>
      <c r="O2103" s="5"/>
    </row>
    <row r="2104" spans="2:15" x14ac:dyDescent="0.55000000000000004">
      <c r="B2104" s="5"/>
      <c r="C2104" s="5"/>
      <c r="D2104" s="5"/>
      <c r="E2104" s="5"/>
      <c r="F2104" s="5"/>
      <c r="G2104" s="5"/>
      <c r="H2104" s="5"/>
      <c r="I2104" s="5"/>
      <c r="J2104" s="5"/>
      <c r="K2104" s="5"/>
      <c r="L2104" s="5"/>
      <c r="M2104" s="5"/>
      <c r="N2104" s="5"/>
      <c r="O2104" s="5"/>
    </row>
    <row r="2105" spans="2:15" x14ac:dyDescent="0.55000000000000004">
      <c r="B2105" s="5"/>
      <c r="C2105" s="5"/>
      <c r="D2105" s="5"/>
      <c r="E2105" s="5"/>
      <c r="F2105" s="5"/>
      <c r="G2105" s="5"/>
      <c r="H2105" s="5"/>
      <c r="I2105" s="5"/>
      <c r="J2105" s="5"/>
      <c r="K2105" s="5"/>
      <c r="L2105" s="5"/>
      <c r="M2105" s="5"/>
      <c r="N2105" s="5"/>
      <c r="O2105" s="5"/>
    </row>
    <row r="2106" spans="2:15" x14ac:dyDescent="0.55000000000000004">
      <c r="B2106" s="5"/>
      <c r="C2106" s="5"/>
      <c r="D2106" s="5"/>
      <c r="E2106" s="5"/>
      <c r="F2106" s="5"/>
      <c r="G2106" s="5"/>
      <c r="H2106" s="5"/>
      <c r="I2106" s="5"/>
      <c r="J2106" s="5"/>
      <c r="K2106" s="5"/>
      <c r="L2106" s="5"/>
      <c r="M2106" s="5"/>
      <c r="N2106" s="5"/>
      <c r="O2106" s="5"/>
    </row>
    <row r="2107" spans="2:15" x14ac:dyDescent="0.55000000000000004">
      <c r="B2107" s="5"/>
      <c r="C2107" s="5"/>
      <c r="D2107" s="5"/>
      <c r="E2107" s="5"/>
      <c r="F2107" s="5"/>
      <c r="G2107" s="5"/>
      <c r="H2107" s="5"/>
      <c r="I2107" s="5"/>
      <c r="J2107" s="5"/>
      <c r="K2107" s="5"/>
      <c r="L2107" s="5"/>
      <c r="M2107" s="5"/>
      <c r="N2107" s="5"/>
      <c r="O2107" s="5"/>
    </row>
    <row r="2108" spans="2:15" x14ac:dyDescent="0.55000000000000004">
      <c r="B2108" s="5"/>
      <c r="C2108" s="5"/>
      <c r="D2108" s="5"/>
      <c r="E2108" s="5"/>
      <c r="F2108" s="5"/>
      <c r="G2108" s="5"/>
      <c r="H2108" s="5"/>
      <c r="I2108" s="5"/>
      <c r="J2108" s="5"/>
      <c r="K2108" s="5"/>
      <c r="L2108" s="5"/>
      <c r="M2108" s="5"/>
      <c r="N2108" s="5"/>
      <c r="O2108" s="5"/>
    </row>
    <row r="2109" spans="2:15" x14ac:dyDescent="0.55000000000000004">
      <c r="B2109" s="5"/>
      <c r="C2109" s="5"/>
      <c r="D2109" s="5"/>
      <c r="E2109" s="5"/>
      <c r="F2109" s="5"/>
      <c r="G2109" s="5"/>
      <c r="H2109" s="5"/>
      <c r="I2109" s="5"/>
      <c r="J2109" s="5"/>
      <c r="K2109" s="5"/>
      <c r="L2109" s="5"/>
      <c r="M2109" s="5"/>
      <c r="N2109" s="5"/>
      <c r="O2109" s="5"/>
    </row>
    <row r="2110" spans="2:15" x14ac:dyDescent="0.55000000000000004">
      <c r="B2110" s="5"/>
      <c r="C2110" s="5"/>
      <c r="D2110" s="5"/>
      <c r="E2110" s="5"/>
      <c r="F2110" s="5"/>
      <c r="G2110" s="5"/>
      <c r="H2110" s="5"/>
      <c r="I2110" s="5"/>
      <c r="J2110" s="5"/>
      <c r="K2110" s="5"/>
      <c r="L2110" s="5"/>
      <c r="M2110" s="5"/>
      <c r="N2110" s="5"/>
      <c r="O2110" s="5"/>
    </row>
    <row r="2111" spans="2:15" x14ac:dyDescent="0.55000000000000004">
      <c r="B2111" s="5"/>
      <c r="C2111" s="5"/>
      <c r="D2111" s="5"/>
      <c r="E2111" s="5"/>
      <c r="F2111" s="5"/>
      <c r="G2111" s="5"/>
      <c r="H2111" s="5"/>
      <c r="I2111" s="5"/>
      <c r="J2111" s="5"/>
      <c r="K2111" s="5"/>
      <c r="L2111" s="5"/>
      <c r="M2111" s="5"/>
      <c r="N2111" s="5"/>
      <c r="O2111" s="5"/>
    </row>
    <row r="2112" spans="2:15" x14ac:dyDescent="0.55000000000000004">
      <c r="B2112" s="5"/>
      <c r="C2112" s="5"/>
      <c r="D2112" s="5"/>
      <c r="E2112" s="5"/>
      <c r="F2112" s="5"/>
      <c r="G2112" s="5"/>
      <c r="H2112" s="5"/>
      <c r="I2112" s="5"/>
      <c r="J2112" s="5"/>
      <c r="K2112" s="5"/>
      <c r="L2112" s="5"/>
      <c r="M2112" s="5"/>
      <c r="N2112" s="5"/>
      <c r="O2112" s="5"/>
    </row>
    <row r="2113" spans="2:15" x14ac:dyDescent="0.55000000000000004">
      <c r="B2113" s="5"/>
      <c r="C2113" s="5"/>
      <c r="D2113" s="5"/>
      <c r="E2113" s="5"/>
      <c r="F2113" s="5"/>
      <c r="G2113" s="5"/>
      <c r="H2113" s="5"/>
      <c r="I2113" s="5"/>
      <c r="J2113" s="5"/>
      <c r="K2113" s="5"/>
      <c r="L2113" s="5"/>
      <c r="M2113" s="5"/>
      <c r="N2113" s="5"/>
      <c r="O2113" s="5"/>
    </row>
    <row r="2114" spans="2:15" x14ac:dyDescent="0.55000000000000004">
      <c r="B2114" s="5"/>
      <c r="C2114" s="5"/>
      <c r="D2114" s="5"/>
      <c r="E2114" s="5"/>
      <c r="F2114" s="5"/>
      <c r="G2114" s="5"/>
      <c r="H2114" s="5"/>
      <c r="I2114" s="5"/>
      <c r="J2114" s="5"/>
      <c r="K2114" s="5"/>
      <c r="L2114" s="5"/>
      <c r="M2114" s="5"/>
      <c r="N2114" s="5"/>
      <c r="O2114" s="5"/>
    </row>
    <row r="2115" spans="2:15" x14ac:dyDescent="0.55000000000000004">
      <c r="B2115" s="5"/>
      <c r="C2115" s="5"/>
      <c r="D2115" s="5"/>
      <c r="E2115" s="5"/>
      <c r="F2115" s="5"/>
      <c r="G2115" s="5"/>
      <c r="H2115" s="5"/>
      <c r="I2115" s="5"/>
      <c r="J2115" s="5"/>
      <c r="K2115" s="5"/>
      <c r="L2115" s="5"/>
      <c r="M2115" s="5"/>
      <c r="N2115" s="5"/>
      <c r="O2115" s="5"/>
    </row>
    <row r="2116" spans="2:15" x14ac:dyDescent="0.55000000000000004">
      <c r="B2116" s="5"/>
      <c r="C2116" s="5"/>
      <c r="D2116" s="5"/>
      <c r="E2116" s="5"/>
      <c r="F2116" s="5"/>
      <c r="G2116" s="5"/>
      <c r="H2116" s="5"/>
      <c r="I2116" s="5"/>
      <c r="J2116" s="5"/>
      <c r="K2116" s="5"/>
      <c r="L2116" s="5"/>
      <c r="M2116" s="5"/>
      <c r="N2116" s="5"/>
      <c r="O2116" s="5"/>
    </row>
    <row r="2117" spans="2:15" x14ac:dyDescent="0.55000000000000004">
      <c r="B2117" s="5"/>
      <c r="C2117" s="5"/>
      <c r="D2117" s="5"/>
      <c r="E2117" s="5"/>
      <c r="F2117" s="5"/>
      <c r="G2117" s="5"/>
      <c r="H2117" s="5"/>
      <c r="I2117" s="5"/>
      <c r="J2117" s="5"/>
      <c r="K2117" s="5"/>
      <c r="L2117" s="5"/>
      <c r="M2117" s="5"/>
      <c r="N2117" s="5"/>
      <c r="O2117" s="5"/>
    </row>
    <row r="2118" spans="2:15" x14ac:dyDescent="0.55000000000000004">
      <c r="B2118" s="5"/>
      <c r="C2118" s="5"/>
      <c r="D2118" s="5"/>
      <c r="E2118" s="5"/>
      <c r="F2118" s="5"/>
      <c r="G2118" s="5"/>
      <c r="H2118" s="5"/>
      <c r="I2118" s="5"/>
      <c r="J2118" s="5"/>
      <c r="K2118" s="5"/>
      <c r="L2118" s="5"/>
      <c r="M2118" s="5"/>
      <c r="N2118" s="5"/>
      <c r="O2118" s="5"/>
    </row>
    <row r="2119" spans="2:15" x14ac:dyDescent="0.55000000000000004">
      <c r="B2119" s="5"/>
      <c r="C2119" s="5"/>
      <c r="D2119" s="5"/>
      <c r="E2119" s="5"/>
      <c r="F2119" s="5"/>
      <c r="G2119" s="5"/>
      <c r="H2119" s="5"/>
      <c r="I2119" s="5"/>
      <c r="J2119" s="5"/>
      <c r="K2119" s="5"/>
      <c r="L2119" s="5"/>
      <c r="M2119" s="5"/>
      <c r="N2119" s="5"/>
      <c r="O2119" s="5"/>
    </row>
    <row r="2120" spans="2:15" x14ac:dyDescent="0.55000000000000004">
      <c r="B2120" s="5"/>
      <c r="C2120" s="5"/>
      <c r="D2120" s="5"/>
      <c r="E2120" s="5"/>
      <c r="F2120" s="5"/>
      <c r="G2120" s="5"/>
      <c r="H2120" s="5"/>
      <c r="I2120" s="5"/>
      <c r="J2120" s="5"/>
      <c r="K2120" s="5"/>
      <c r="L2120" s="5"/>
      <c r="M2120" s="5"/>
      <c r="N2120" s="5"/>
      <c r="O2120" s="5"/>
    </row>
    <row r="2121" spans="2:15" x14ac:dyDescent="0.55000000000000004">
      <c r="B2121" s="5"/>
      <c r="C2121" s="5"/>
      <c r="D2121" s="5"/>
      <c r="E2121" s="5"/>
      <c r="F2121" s="5"/>
      <c r="G2121" s="5"/>
      <c r="H2121" s="5"/>
      <c r="I2121" s="5"/>
      <c r="J2121" s="5"/>
      <c r="K2121" s="5"/>
      <c r="L2121" s="5"/>
      <c r="M2121" s="5"/>
      <c r="N2121" s="5"/>
      <c r="O2121" s="5"/>
    </row>
    <row r="2122" spans="2:15" x14ac:dyDescent="0.55000000000000004">
      <c r="B2122" s="5"/>
      <c r="C2122" s="5"/>
      <c r="D2122" s="5"/>
      <c r="E2122" s="5"/>
      <c r="F2122" s="5"/>
      <c r="G2122" s="5"/>
      <c r="H2122" s="5"/>
      <c r="I2122" s="5"/>
      <c r="J2122" s="5"/>
      <c r="K2122" s="5"/>
      <c r="L2122" s="5"/>
      <c r="M2122" s="5"/>
      <c r="N2122" s="5"/>
      <c r="O2122" s="5"/>
    </row>
    <row r="2123" spans="2:15" x14ac:dyDescent="0.55000000000000004">
      <c r="B2123" s="5"/>
      <c r="C2123" s="5"/>
      <c r="D2123" s="5"/>
      <c r="E2123" s="5"/>
      <c r="F2123" s="5"/>
      <c r="G2123" s="5"/>
      <c r="H2123" s="5"/>
      <c r="I2123" s="5"/>
      <c r="J2123" s="5"/>
      <c r="K2123" s="5"/>
      <c r="L2123" s="5"/>
      <c r="M2123" s="5"/>
      <c r="N2123" s="5"/>
      <c r="O2123" s="5"/>
    </row>
    <row r="2124" spans="2:15" x14ac:dyDescent="0.55000000000000004">
      <c r="B2124" s="5"/>
      <c r="C2124" s="5"/>
      <c r="D2124" s="5"/>
      <c r="E2124" s="5"/>
      <c r="F2124" s="5"/>
      <c r="G2124" s="5"/>
      <c r="H2124" s="5"/>
      <c r="I2124" s="5"/>
      <c r="J2124" s="5"/>
      <c r="K2124" s="5"/>
      <c r="L2124" s="5"/>
      <c r="M2124" s="5"/>
      <c r="N2124" s="5"/>
      <c r="O2124" s="5"/>
    </row>
    <row r="2125" spans="2:15" x14ac:dyDescent="0.55000000000000004">
      <c r="B2125" s="5"/>
      <c r="C2125" s="5"/>
      <c r="D2125" s="5"/>
      <c r="E2125" s="5"/>
      <c r="F2125" s="5"/>
      <c r="G2125" s="5"/>
      <c r="H2125" s="5"/>
      <c r="I2125" s="5"/>
      <c r="J2125" s="5"/>
      <c r="K2125" s="5"/>
      <c r="L2125" s="5"/>
      <c r="M2125" s="5"/>
      <c r="N2125" s="5"/>
      <c r="O2125" s="5"/>
    </row>
    <row r="2126" spans="2:15" x14ac:dyDescent="0.55000000000000004">
      <c r="B2126" s="5"/>
      <c r="C2126" s="5"/>
      <c r="D2126" s="5"/>
      <c r="E2126" s="5"/>
      <c r="F2126" s="5"/>
      <c r="G2126" s="5"/>
      <c r="H2126" s="5"/>
      <c r="I2126" s="5"/>
      <c r="J2126" s="5"/>
      <c r="K2126" s="5"/>
      <c r="L2126" s="5"/>
      <c r="M2126" s="5"/>
      <c r="N2126" s="5"/>
      <c r="O2126" s="5"/>
    </row>
    <row r="2127" spans="2:15" x14ac:dyDescent="0.55000000000000004">
      <c r="B2127" s="5"/>
      <c r="C2127" s="5"/>
      <c r="D2127" s="5"/>
      <c r="E2127" s="5"/>
      <c r="F2127" s="5"/>
      <c r="G2127" s="5"/>
      <c r="H2127" s="5"/>
      <c r="I2127" s="5"/>
      <c r="J2127" s="5"/>
      <c r="K2127" s="5"/>
      <c r="L2127" s="5"/>
      <c r="M2127" s="5"/>
      <c r="N2127" s="5"/>
      <c r="O2127" s="5"/>
    </row>
    <row r="2128" spans="2:15" x14ac:dyDescent="0.55000000000000004">
      <c r="B2128" s="5"/>
      <c r="C2128" s="5"/>
      <c r="D2128" s="5"/>
      <c r="E2128" s="5"/>
      <c r="F2128" s="5"/>
      <c r="G2128" s="5"/>
      <c r="H2128" s="5"/>
      <c r="I2128" s="5"/>
      <c r="J2128" s="5"/>
      <c r="K2128" s="5"/>
      <c r="L2128" s="5"/>
      <c r="M2128" s="5"/>
      <c r="N2128" s="5"/>
      <c r="O2128" s="5"/>
    </row>
    <row r="2129" spans="2:15" x14ac:dyDescent="0.55000000000000004"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5"/>
      <c r="O2129" s="5"/>
    </row>
    <row r="2130" spans="2:15" x14ac:dyDescent="0.55000000000000004">
      <c r="B2130" s="5"/>
      <c r="C2130" s="5"/>
      <c r="D2130" s="5"/>
      <c r="E2130" s="5"/>
      <c r="F2130" s="5"/>
      <c r="G2130" s="5"/>
      <c r="H2130" s="5"/>
      <c r="I2130" s="5"/>
      <c r="J2130" s="5"/>
      <c r="K2130" s="5"/>
      <c r="L2130" s="5"/>
      <c r="M2130" s="5"/>
      <c r="N2130" s="5"/>
      <c r="O2130" s="5"/>
    </row>
    <row r="2131" spans="2:15" x14ac:dyDescent="0.55000000000000004"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L2131" s="5"/>
      <c r="M2131" s="5"/>
      <c r="N2131" s="5"/>
      <c r="O2131" s="5"/>
    </row>
    <row r="2132" spans="2:15" x14ac:dyDescent="0.55000000000000004">
      <c r="B2132" s="5"/>
      <c r="C2132" s="5"/>
      <c r="D2132" s="5"/>
      <c r="E2132" s="5"/>
      <c r="F2132" s="5"/>
      <c r="G2132" s="5"/>
      <c r="H2132" s="5"/>
      <c r="I2132" s="5"/>
      <c r="J2132" s="5"/>
      <c r="K2132" s="5"/>
      <c r="L2132" s="5"/>
      <c r="M2132" s="5"/>
      <c r="N2132" s="5"/>
      <c r="O2132" s="5"/>
    </row>
    <row r="2133" spans="2:15" x14ac:dyDescent="0.55000000000000004"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5"/>
      <c r="O2133" s="5"/>
    </row>
    <row r="2134" spans="2:15" x14ac:dyDescent="0.55000000000000004">
      <c r="B2134" s="5"/>
      <c r="C2134" s="5"/>
      <c r="D2134" s="5"/>
      <c r="E2134" s="5"/>
      <c r="F2134" s="5"/>
      <c r="G2134" s="5"/>
      <c r="H2134" s="5"/>
      <c r="I2134" s="5"/>
      <c r="J2134" s="5"/>
      <c r="K2134" s="5"/>
      <c r="L2134" s="5"/>
      <c r="M2134" s="5"/>
      <c r="N2134" s="5"/>
      <c r="O2134" s="5"/>
    </row>
    <row r="2135" spans="2:15" x14ac:dyDescent="0.55000000000000004">
      <c r="B2135" s="5"/>
      <c r="C2135" s="5"/>
      <c r="D2135" s="5"/>
      <c r="E2135" s="5"/>
      <c r="F2135" s="5"/>
      <c r="G2135" s="5"/>
      <c r="H2135" s="5"/>
      <c r="I2135" s="5"/>
      <c r="J2135" s="5"/>
      <c r="K2135" s="5"/>
      <c r="L2135" s="5"/>
      <c r="M2135" s="5"/>
      <c r="N2135" s="5"/>
      <c r="O2135" s="5"/>
    </row>
    <row r="2136" spans="2:15" x14ac:dyDescent="0.55000000000000004">
      <c r="B2136" s="5"/>
      <c r="C2136" s="5"/>
      <c r="D2136" s="5"/>
      <c r="E2136" s="5"/>
      <c r="F2136" s="5"/>
      <c r="G2136" s="5"/>
      <c r="H2136" s="5"/>
      <c r="I2136" s="5"/>
      <c r="J2136" s="5"/>
      <c r="K2136" s="5"/>
      <c r="L2136" s="5"/>
      <c r="M2136" s="5"/>
      <c r="N2136" s="5"/>
      <c r="O2136" s="5"/>
    </row>
    <row r="2137" spans="2:15" x14ac:dyDescent="0.55000000000000004"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5"/>
      <c r="N2137" s="5"/>
      <c r="O2137" s="5"/>
    </row>
    <row r="2138" spans="2:15" x14ac:dyDescent="0.55000000000000004">
      <c r="B2138" s="5"/>
      <c r="C2138" s="5"/>
      <c r="D2138" s="5"/>
      <c r="E2138" s="5"/>
      <c r="F2138" s="5"/>
      <c r="G2138" s="5"/>
      <c r="H2138" s="5"/>
      <c r="I2138" s="5"/>
      <c r="J2138" s="5"/>
      <c r="K2138" s="5"/>
      <c r="L2138" s="5"/>
      <c r="M2138" s="5"/>
      <c r="N2138" s="5"/>
      <c r="O2138" s="5"/>
    </row>
    <row r="2139" spans="2:15" x14ac:dyDescent="0.55000000000000004">
      <c r="B2139" s="5"/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5"/>
      <c r="N2139" s="5"/>
      <c r="O2139" s="5"/>
    </row>
    <row r="2140" spans="2:15" x14ac:dyDescent="0.55000000000000004">
      <c r="B2140" s="5"/>
      <c r="C2140" s="5"/>
      <c r="D2140" s="5"/>
      <c r="E2140" s="5"/>
      <c r="F2140" s="5"/>
      <c r="G2140" s="5"/>
      <c r="H2140" s="5"/>
      <c r="I2140" s="5"/>
      <c r="J2140" s="5"/>
      <c r="K2140" s="5"/>
      <c r="L2140" s="5"/>
      <c r="M2140" s="5"/>
      <c r="N2140" s="5"/>
      <c r="O2140" s="5"/>
    </row>
    <row r="2141" spans="2:15" x14ac:dyDescent="0.55000000000000004">
      <c r="B2141" s="5"/>
      <c r="C2141" s="5"/>
      <c r="D2141" s="5"/>
      <c r="E2141" s="5"/>
      <c r="F2141" s="5"/>
      <c r="G2141" s="5"/>
      <c r="H2141" s="5"/>
      <c r="I2141" s="5"/>
      <c r="J2141" s="5"/>
      <c r="K2141" s="5"/>
      <c r="L2141" s="5"/>
      <c r="M2141" s="5"/>
      <c r="N2141" s="5"/>
      <c r="O2141" s="5"/>
    </row>
    <row r="2142" spans="2:15" x14ac:dyDescent="0.55000000000000004">
      <c r="B2142" s="5"/>
      <c r="C2142" s="5"/>
      <c r="D2142" s="5"/>
      <c r="E2142" s="5"/>
      <c r="F2142" s="5"/>
      <c r="G2142" s="5"/>
      <c r="H2142" s="5"/>
      <c r="I2142" s="5"/>
      <c r="J2142" s="5"/>
      <c r="K2142" s="5"/>
      <c r="L2142" s="5"/>
      <c r="M2142" s="5"/>
      <c r="N2142" s="5"/>
      <c r="O2142" s="5"/>
    </row>
    <row r="2143" spans="2:15" x14ac:dyDescent="0.55000000000000004"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5"/>
      <c r="N2143" s="5"/>
      <c r="O2143" s="5"/>
    </row>
    <row r="2144" spans="2:15" x14ac:dyDescent="0.55000000000000004">
      <c r="B2144" s="5"/>
      <c r="C2144" s="5"/>
      <c r="D2144" s="5"/>
      <c r="E2144" s="5"/>
      <c r="F2144" s="5"/>
      <c r="G2144" s="5"/>
      <c r="H2144" s="5"/>
      <c r="I2144" s="5"/>
      <c r="J2144" s="5"/>
      <c r="K2144" s="5"/>
      <c r="L2144" s="5"/>
      <c r="M2144" s="5"/>
      <c r="N2144" s="5"/>
      <c r="O2144" s="5"/>
    </row>
    <row r="2145" spans="2:15" x14ac:dyDescent="0.55000000000000004"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5"/>
      <c r="O2145" s="5"/>
    </row>
    <row r="2146" spans="2:15" x14ac:dyDescent="0.55000000000000004">
      <c r="B2146" s="5"/>
      <c r="C2146" s="5"/>
      <c r="D2146" s="5"/>
      <c r="E2146" s="5"/>
      <c r="F2146" s="5"/>
      <c r="G2146" s="5"/>
      <c r="H2146" s="5"/>
      <c r="I2146" s="5"/>
      <c r="J2146" s="5"/>
      <c r="K2146" s="5"/>
      <c r="L2146" s="5"/>
      <c r="M2146" s="5"/>
      <c r="N2146" s="5"/>
      <c r="O2146" s="5"/>
    </row>
    <row r="2147" spans="2:15" x14ac:dyDescent="0.55000000000000004">
      <c r="B2147" s="5"/>
      <c r="C2147" s="5"/>
      <c r="D2147" s="5"/>
      <c r="E2147" s="5"/>
      <c r="F2147" s="5"/>
      <c r="G2147" s="5"/>
      <c r="H2147" s="5"/>
      <c r="I2147" s="5"/>
      <c r="J2147" s="5"/>
      <c r="K2147" s="5"/>
      <c r="L2147" s="5"/>
      <c r="M2147" s="5"/>
      <c r="N2147" s="5"/>
      <c r="O2147" s="5"/>
    </row>
    <row r="2148" spans="2:15" x14ac:dyDescent="0.55000000000000004">
      <c r="B2148" s="5"/>
      <c r="C2148" s="5"/>
      <c r="D2148" s="5"/>
      <c r="E2148" s="5"/>
      <c r="F2148" s="5"/>
      <c r="G2148" s="5"/>
      <c r="H2148" s="5"/>
      <c r="I2148" s="5"/>
      <c r="J2148" s="5"/>
      <c r="K2148" s="5"/>
      <c r="L2148" s="5"/>
      <c r="M2148" s="5"/>
      <c r="N2148" s="5"/>
      <c r="O2148" s="5"/>
    </row>
    <row r="2149" spans="2:15" x14ac:dyDescent="0.55000000000000004"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5"/>
      <c r="O2149" s="5"/>
    </row>
    <row r="2150" spans="2:15" x14ac:dyDescent="0.55000000000000004">
      <c r="B2150" s="5"/>
      <c r="C2150" s="5"/>
      <c r="D2150" s="5"/>
      <c r="E2150" s="5"/>
      <c r="F2150" s="5"/>
      <c r="G2150" s="5"/>
      <c r="H2150" s="5"/>
      <c r="I2150" s="5"/>
      <c r="J2150" s="5"/>
      <c r="K2150" s="5"/>
      <c r="L2150" s="5"/>
      <c r="M2150" s="5"/>
      <c r="N2150" s="5"/>
      <c r="O2150" s="5"/>
    </row>
    <row r="2151" spans="2:15" x14ac:dyDescent="0.55000000000000004">
      <c r="B2151" s="5"/>
      <c r="C2151" s="5"/>
      <c r="D2151" s="5"/>
      <c r="E2151" s="5"/>
      <c r="F2151" s="5"/>
      <c r="G2151" s="5"/>
      <c r="H2151" s="5"/>
      <c r="I2151" s="5"/>
      <c r="J2151" s="5"/>
      <c r="K2151" s="5"/>
      <c r="L2151" s="5"/>
      <c r="M2151" s="5"/>
      <c r="N2151" s="5"/>
      <c r="O2151" s="5"/>
    </row>
    <row r="2152" spans="2:15" x14ac:dyDescent="0.55000000000000004">
      <c r="B2152" s="5"/>
      <c r="C2152" s="5"/>
      <c r="D2152" s="5"/>
      <c r="E2152" s="5"/>
      <c r="F2152" s="5"/>
      <c r="G2152" s="5"/>
      <c r="H2152" s="5"/>
      <c r="I2152" s="5"/>
      <c r="J2152" s="5"/>
      <c r="K2152" s="5"/>
      <c r="L2152" s="5"/>
      <c r="M2152" s="5"/>
      <c r="N2152" s="5"/>
      <c r="O2152" s="5"/>
    </row>
    <row r="2153" spans="2:15" x14ac:dyDescent="0.55000000000000004"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5"/>
      <c r="O2153" s="5"/>
    </row>
    <row r="2154" spans="2:15" x14ac:dyDescent="0.55000000000000004">
      <c r="B2154" s="5"/>
      <c r="C2154" s="5"/>
      <c r="D2154" s="5"/>
      <c r="E2154" s="5"/>
      <c r="F2154" s="5"/>
      <c r="G2154" s="5"/>
      <c r="H2154" s="5"/>
      <c r="I2154" s="5"/>
      <c r="J2154" s="5"/>
      <c r="K2154" s="5"/>
      <c r="L2154" s="5"/>
      <c r="M2154" s="5"/>
      <c r="N2154" s="5"/>
      <c r="O2154" s="5"/>
    </row>
    <row r="2155" spans="2:15" x14ac:dyDescent="0.55000000000000004"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5"/>
      <c r="M2155" s="5"/>
      <c r="N2155" s="5"/>
      <c r="O2155" s="5"/>
    </row>
    <row r="2156" spans="2:15" x14ac:dyDescent="0.55000000000000004">
      <c r="B2156" s="5"/>
      <c r="C2156" s="5"/>
      <c r="D2156" s="5"/>
      <c r="E2156" s="5"/>
      <c r="F2156" s="5"/>
      <c r="G2156" s="5"/>
      <c r="H2156" s="5"/>
      <c r="I2156" s="5"/>
      <c r="J2156" s="5"/>
      <c r="K2156" s="5"/>
      <c r="L2156" s="5"/>
      <c r="M2156" s="5"/>
      <c r="N2156" s="5"/>
      <c r="O2156" s="5"/>
    </row>
    <row r="2157" spans="2:15" x14ac:dyDescent="0.55000000000000004">
      <c r="B2157" s="5"/>
      <c r="C2157" s="5"/>
      <c r="D2157" s="5"/>
      <c r="E2157" s="5"/>
      <c r="F2157" s="5"/>
      <c r="G2157" s="5"/>
      <c r="H2157" s="5"/>
      <c r="I2157" s="5"/>
      <c r="J2157" s="5"/>
      <c r="K2157" s="5"/>
      <c r="L2157" s="5"/>
      <c r="M2157" s="5"/>
      <c r="N2157" s="5"/>
      <c r="O2157" s="5"/>
    </row>
    <row r="2158" spans="2:15" x14ac:dyDescent="0.55000000000000004">
      <c r="B2158" s="5"/>
      <c r="C2158" s="5"/>
      <c r="D2158" s="5"/>
      <c r="E2158" s="5"/>
      <c r="F2158" s="5"/>
      <c r="G2158" s="5"/>
      <c r="H2158" s="5"/>
      <c r="I2158" s="5"/>
      <c r="J2158" s="5"/>
      <c r="K2158" s="5"/>
      <c r="L2158" s="5"/>
      <c r="M2158" s="5"/>
      <c r="N2158" s="5"/>
      <c r="O2158" s="5"/>
    </row>
    <row r="2159" spans="2:15" x14ac:dyDescent="0.55000000000000004">
      <c r="B2159" s="5"/>
      <c r="C2159" s="5"/>
      <c r="D2159" s="5"/>
      <c r="E2159" s="5"/>
      <c r="F2159" s="5"/>
      <c r="G2159" s="5"/>
      <c r="H2159" s="5"/>
      <c r="I2159" s="5"/>
      <c r="J2159" s="5"/>
      <c r="K2159" s="5"/>
      <c r="L2159" s="5"/>
      <c r="M2159" s="5"/>
      <c r="N2159" s="5"/>
      <c r="O2159" s="5"/>
    </row>
    <row r="2160" spans="2:15" x14ac:dyDescent="0.55000000000000004">
      <c r="B2160" s="5"/>
      <c r="C2160" s="5"/>
      <c r="D2160" s="5"/>
      <c r="E2160" s="5"/>
      <c r="F2160" s="5"/>
      <c r="G2160" s="5"/>
      <c r="H2160" s="5"/>
      <c r="I2160" s="5"/>
      <c r="J2160" s="5"/>
      <c r="K2160" s="5"/>
      <c r="L2160" s="5"/>
      <c r="M2160" s="5"/>
      <c r="N2160" s="5"/>
      <c r="O2160" s="5"/>
    </row>
    <row r="2161" spans="2:15" x14ac:dyDescent="0.55000000000000004"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5"/>
      <c r="O2161" s="5"/>
    </row>
    <row r="2162" spans="2:15" x14ac:dyDescent="0.55000000000000004">
      <c r="B2162" s="5"/>
      <c r="C2162" s="5"/>
      <c r="D2162" s="5"/>
      <c r="E2162" s="5"/>
      <c r="F2162" s="5"/>
      <c r="G2162" s="5"/>
      <c r="H2162" s="5"/>
      <c r="I2162" s="5"/>
      <c r="J2162" s="5"/>
      <c r="K2162" s="5"/>
      <c r="L2162" s="5"/>
      <c r="M2162" s="5"/>
      <c r="N2162" s="5"/>
      <c r="O2162" s="5"/>
    </row>
    <row r="2163" spans="2:15" x14ac:dyDescent="0.55000000000000004">
      <c r="B2163" s="5"/>
      <c r="C2163" s="5"/>
      <c r="D2163" s="5"/>
      <c r="E2163" s="5"/>
      <c r="F2163" s="5"/>
      <c r="G2163" s="5"/>
      <c r="H2163" s="5"/>
      <c r="I2163" s="5"/>
      <c r="J2163" s="5"/>
      <c r="K2163" s="5"/>
      <c r="L2163" s="5"/>
      <c r="M2163" s="5"/>
      <c r="N2163" s="5"/>
      <c r="O2163" s="5"/>
    </row>
    <row r="2164" spans="2:15" x14ac:dyDescent="0.55000000000000004">
      <c r="B2164" s="5"/>
      <c r="C2164" s="5"/>
      <c r="D2164" s="5"/>
      <c r="E2164" s="5"/>
      <c r="F2164" s="5"/>
      <c r="G2164" s="5"/>
      <c r="H2164" s="5"/>
      <c r="I2164" s="5"/>
      <c r="J2164" s="5"/>
      <c r="K2164" s="5"/>
      <c r="L2164" s="5"/>
      <c r="M2164" s="5"/>
      <c r="N2164" s="5"/>
      <c r="O2164" s="5"/>
    </row>
    <row r="2165" spans="2:15" x14ac:dyDescent="0.55000000000000004">
      <c r="B2165" s="5"/>
      <c r="C2165" s="5"/>
      <c r="D2165" s="5"/>
      <c r="E2165" s="5"/>
      <c r="F2165" s="5"/>
      <c r="G2165" s="5"/>
      <c r="H2165" s="5"/>
      <c r="I2165" s="5"/>
      <c r="J2165" s="5"/>
      <c r="K2165" s="5"/>
      <c r="L2165" s="5"/>
      <c r="M2165" s="5"/>
      <c r="N2165" s="5"/>
      <c r="O2165" s="5"/>
    </row>
    <row r="2166" spans="2:15" x14ac:dyDescent="0.55000000000000004">
      <c r="B2166" s="5"/>
      <c r="C2166" s="5"/>
      <c r="D2166" s="5"/>
      <c r="E2166" s="5"/>
      <c r="F2166" s="5"/>
      <c r="G2166" s="5"/>
      <c r="H2166" s="5"/>
      <c r="I2166" s="5"/>
      <c r="J2166" s="5"/>
      <c r="K2166" s="5"/>
      <c r="L2166" s="5"/>
      <c r="M2166" s="5"/>
      <c r="N2166" s="5"/>
      <c r="O2166" s="5"/>
    </row>
    <row r="2167" spans="2:15" x14ac:dyDescent="0.55000000000000004">
      <c r="B2167" s="5"/>
      <c r="C2167" s="5"/>
      <c r="D2167" s="5"/>
      <c r="E2167" s="5"/>
      <c r="F2167" s="5"/>
      <c r="G2167" s="5"/>
      <c r="H2167" s="5"/>
      <c r="I2167" s="5"/>
      <c r="J2167" s="5"/>
      <c r="K2167" s="5"/>
      <c r="L2167" s="5"/>
      <c r="M2167" s="5"/>
      <c r="N2167" s="5"/>
      <c r="O2167" s="5"/>
    </row>
    <row r="2168" spans="2:15" x14ac:dyDescent="0.55000000000000004">
      <c r="B2168" s="5"/>
      <c r="C2168" s="5"/>
      <c r="D2168" s="5"/>
      <c r="E2168" s="5"/>
      <c r="F2168" s="5"/>
      <c r="G2168" s="5"/>
      <c r="H2168" s="5"/>
      <c r="I2168" s="5"/>
      <c r="J2168" s="5"/>
      <c r="K2168" s="5"/>
      <c r="L2168" s="5"/>
      <c r="M2168" s="5"/>
      <c r="N2168" s="5"/>
      <c r="O2168" s="5"/>
    </row>
    <row r="2169" spans="2:15" x14ac:dyDescent="0.55000000000000004">
      <c r="B2169" s="5"/>
      <c r="C2169" s="5"/>
      <c r="D2169" s="5"/>
      <c r="E2169" s="5"/>
      <c r="F2169" s="5"/>
      <c r="G2169" s="5"/>
      <c r="H2169" s="5"/>
      <c r="I2169" s="5"/>
      <c r="J2169" s="5"/>
      <c r="K2169" s="5"/>
      <c r="L2169" s="5"/>
      <c r="M2169" s="5"/>
      <c r="N2169" s="5"/>
      <c r="O2169" s="5"/>
    </row>
    <row r="2170" spans="2:15" x14ac:dyDescent="0.55000000000000004">
      <c r="B2170" s="5"/>
      <c r="C2170" s="5"/>
      <c r="D2170" s="5"/>
      <c r="E2170" s="5"/>
      <c r="F2170" s="5"/>
      <c r="G2170" s="5"/>
      <c r="H2170" s="5"/>
      <c r="I2170" s="5"/>
      <c r="J2170" s="5"/>
      <c r="K2170" s="5"/>
      <c r="L2170" s="5"/>
      <c r="M2170" s="5"/>
      <c r="N2170" s="5"/>
      <c r="O2170" s="5"/>
    </row>
    <row r="2171" spans="2:15" x14ac:dyDescent="0.55000000000000004">
      <c r="B2171" s="5"/>
      <c r="C2171" s="5"/>
      <c r="D2171" s="5"/>
      <c r="E2171" s="5"/>
      <c r="F2171" s="5"/>
      <c r="G2171" s="5"/>
      <c r="H2171" s="5"/>
      <c r="I2171" s="5"/>
      <c r="J2171" s="5"/>
      <c r="K2171" s="5"/>
      <c r="L2171" s="5"/>
      <c r="M2171" s="5"/>
      <c r="N2171" s="5"/>
      <c r="O2171" s="5"/>
    </row>
    <row r="2172" spans="2:15" x14ac:dyDescent="0.55000000000000004">
      <c r="B2172" s="5"/>
      <c r="C2172" s="5"/>
      <c r="D2172" s="5"/>
      <c r="E2172" s="5"/>
      <c r="F2172" s="5"/>
      <c r="G2172" s="5"/>
      <c r="H2172" s="5"/>
      <c r="I2172" s="5"/>
      <c r="J2172" s="5"/>
      <c r="K2172" s="5"/>
      <c r="L2172" s="5"/>
      <c r="M2172" s="5"/>
      <c r="N2172" s="5"/>
      <c r="O2172" s="5"/>
    </row>
    <row r="2173" spans="2:15" x14ac:dyDescent="0.55000000000000004"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5"/>
      <c r="N2173" s="5"/>
      <c r="O2173" s="5"/>
    </row>
    <row r="2174" spans="2:15" x14ac:dyDescent="0.55000000000000004">
      <c r="B2174" s="5"/>
      <c r="C2174" s="5"/>
      <c r="D2174" s="5"/>
      <c r="E2174" s="5"/>
      <c r="F2174" s="5"/>
      <c r="G2174" s="5"/>
      <c r="H2174" s="5"/>
      <c r="I2174" s="5"/>
      <c r="J2174" s="5"/>
      <c r="K2174" s="5"/>
      <c r="L2174" s="5"/>
      <c r="M2174" s="5"/>
      <c r="N2174" s="5"/>
      <c r="O2174" s="5"/>
    </row>
    <row r="2175" spans="2:15" x14ac:dyDescent="0.55000000000000004">
      <c r="B2175" s="5"/>
      <c r="C2175" s="5"/>
      <c r="D2175" s="5"/>
      <c r="E2175" s="5"/>
      <c r="F2175" s="5"/>
      <c r="G2175" s="5"/>
      <c r="H2175" s="5"/>
      <c r="I2175" s="5"/>
      <c r="J2175" s="5"/>
      <c r="K2175" s="5"/>
      <c r="L2175" s="5"/>
      <c r="M2175" s="5"/>
      <c r="N2175" s="5"/>
      <c r="O2175" s="5"/>
    </row>
    <row r="2176" spans="2:15" x14ac:dyDescent="0.55000000000000004">
      <c r="B2176" s="5"/>
      <c r="C2176" s="5"/>
      <c r="D2176" s="5"/>
      <c r="E2176" s="5"/>
      <c r="F2176" s="5"/>
      <c r="G2176" s="5"/>
      <c r="H2176" s="5"/>
      <c r="I2176" s="5"/>
      <c r="J2176" s="5"/>
      <c r="K2176" s="5"/>
      <c r="L2176" s="5"/>
      <c r="M2176" s="5"/>
      <c r="N2176" s="5"/>
      <c r="O2176" s="5"/>
    </row>
    <row r="2177" spans="2:15" x14ac:dyDescent="0.55000000000000004">
      <c r="B2177" s="5"/>
      <c r="C2177" s="5"/>
      <c r="D2177" s="5"/>
      <c r="E2177" s="5"/>
      <c r="F2177" s="5"/>
      <c r="G2177" s="5"/>
      <c r="H2177" s="5"/>
      <c r="I2177" s="5"/>
      <c r="J2177" s="5"/>
      <c r="K2177" s="5"/>
      <c r="L2177" s="5"/>
      <c r="M2177" s="5"/>
      <c r="N2177" s="5"/>
      <c r="O2177" s="5"/>
    </row>
    <row r="2178" spans="2:15" x14ac:dyDescent="0.55000000000000004">
      <c r="B2178" s="5"/>
      <c r="C2178" s="5"/>
      <c r="D2178" s="5"/>
      <c r="E2178" s="5"/>
      <c r="F2178" s="5"/>
      <c r="G2178" s="5"/>
      <c r="H2178" s="5"/>
      <c r="I2178" s="5"/>
      <c r="J2178" s="5"/>
      <c r="K2178" s="5"/>
      <c r="L2178" s="5"/>
      <c r="M2178" s="5"/>
      <c r="N2178" s="5"/>
      <c r="O2178" s="5"/>
    </row>
    <row r="2179" spans="2:15" x14ac:dyDescent="0.55000000000000004">
      <c r="B2179" s="5"/>
      <c r="C2179" s="5"/>
      <c r="D2179" s="5"/>
      <c r="E2179" s="5"/>
      <c r="F2179" s="5"/>
      <c r="G2179" s="5"/>
      <c r="H2179" s="5"/>
      <c r="I2179" s="5"/>
      <c r="J2179" s="5"/>
      <c r="K2179" s="5"/>
      <c r="L2179" s="5"/>
      <c r="M2179" s="5"/>
      <c r="N2179" s="5"/>
      <c r="O2179" s="5"/>
    </row>
    <row r="2180" spans="2:15" x14ac:dyDescent="0.55000000000000004">
      <c r="B2180" s="5"/>
      <c r="C2180" s="5"/>
      <c r="D2180" s="5"/>
      <c r="E2180" s="5"/>
      <c r="F2180" s="5"/>
      <c r="G2180" s="5"/>
      <c r="H2180" s="5"/>
      <c r="I2180" s="5"/>
      <c r="J2180" s="5"/>
      <c r="K2180" s="5"/>
      <c r="L2180" s="5"/>
      <c r="M2180" s="5"/>
      <c r="N2180" s="5"/>
      <c r="O2180" s="5"/>
    </row>
    <row r="2181" spans="2:15" x14ac:dyDescent="0.55000000000000004">
      <c r="B2181" s="5"/>
      <c r="C2181" s="5"/>
      <c r="D2181" s="5"/>
      <c r="E2181" s="5"/>
      <c r="F2181" s="5"/>
      <c r="G2181" s="5"/>
      <c r="H2181" s="5"/>
      <c r="I2181" s="5"/>
      <c r="J2181" s="5"/>
      <c r="K2181" s="5"/>
      <c r="L2181" s="5"/>
      <c r="M2181" s="5"/>
      <c r="N2181" s="5"/>
      <c r="O2181" s="5"/>
    </row>
    <row r="2182" spans="2:15" x14ac:dyDescent="0.55000000000000004">
      <c r="B2182" s="5"/>
      <c r="C2182" s="5"/>
      <c r="D2182" s="5"/>
      <c r="E2182" s="5"/>
      <c r="F2182" s="5"/>
      <c r="G2182" s="5"/>
      <c r="H2182" s="5"/>
      <c r="I2182" s="5"/>
      <c r="J2182" s="5"/>
      <c r="K2182" s="5"/>
      <c r="L2182" s="5"/>
      <c r="M2182" s="5"/>
      <c r="N2182" s="5"/>
      <c r="O2182" s="5"/>
    </row>
    <row r="2183" spans="2:15" x14ac:dyDescent="0.55000000000000004">
      <c r="B2183" s="5"/>
      <c r="C2183" s="5"/>
      <c r="D2183" s="5"/>
      <c r="E2183" s="5"/>
      <c r="F2183" s="5"/>
      <c r="G2183" s="5"/>
      <c r="H2183" s="5"/>
      <c r="I2183" s="5"/>
      <c r="J2183" s="5"/>
      <c r="K2183" s="5"/>
      <c r="L2183" s="5"/>
      <c r="M2183" s="5"/>
      <c r="N2183" s="5"/>
      <c r="O2183" s="5"/>
    </row>
    <row r="2184" spans="2:15" x14ac:dyDescent="0.55000000000000004">
      <c r="B2184" s="5"/>
      <c r="C2184" s="5"/>
      <c r="D2184" s="5"/>
      <c r="E2184" s="5"/>
      <c r="F2184" s="5"/>
      <c r="G2184" s="5"/>
      <c r="H2184" s="5"/>
      <c r="I2184" s="5"/>
      <c r="J2184" s="5"/>
      <c r="K2184" s="5"/>
      <c r="L2184" s="5"/>
      <c r="M2184" s="5"/>
      <c r="N2184" s="5"/>
      <c r="O2184" s="5"/>
    </row>
    <row r="2185" spans="2:15" x14ac:dyDescent="0.55000000000000004">
      <c r="B2185" s="5"/>
      <c r="C2185" s="5"/>
      <c r="D2185" s="5"/>
      <c r="E2185" s="5"/>
      <c r="F2185" s="5"/>
      <c r="G2185" s="5"/>
      <c r="H2185" s="5"/>
      <c r="I2185" s="5"/>
      <c r="J2185" s="5"/>
      <c r="K2185" s="5"/>
      <c r="L2185" s="5"/>
      <c r="M2185" s="5"/>
      <c r="N2185" s="5"/>
      <c r="O2185" s="5"/>
    </row>
    <row r="2186" spans="2:15" x14ac:dyDescent="0.55000000000000004">
      <c r="B2186" s="5"/>
      <c r="C2186" s="5"/>
      <c r="D2186" s="5"/>
      <c r="E2186" s="5"/>
      <c r="F2186" s="5"/>
      <c r="G2186" s="5"/>
      <c r="H2186" s="5"/>
      <c r="I2186" s="5"/>
      <c r="J2186" s="5"/>
      <c r="K2186" s="5"/>
      <c r="L2186" s="5"/>
      <c r="M2186" s="5"/>
      <c r="N2186" s="5"/>
      <c r="O2186" s="5"/>
    </row>
    <row r="2187" spans="2:15" x14ac:dyDescent="0.55000000000000004">
      <c r="B2187" s="5"/>
      <c r="C2187" s="5"/>
      <c r="D2187" s="5"/>
      <c r="E2187" s="5"/>
      <c r="F2187" s="5"/>
      <c r="G2187" s="5"/>
      <c r="H2187" s="5"/>
      <c r="I2187" s="5"/>
      <c r="J2187" s="5"/>
      <c r="K2187" s="5"/>
      <c r="L2187" s="5"/>
      <c r="M2187" s="5"/>
      <c r="N2187" s="5"/>
      <c r="O2187" s="5"/>
    </row>
    <row r="2188" spans="2:15" x14ac:dyDescent="0.55000000000000004">
      <c r="B2188" s="5"/>
      <c r="C2188" s="5"/>
      <c r="D2188" s="5"/>
      <c r="E2188" s="5"/>
      <c r="F2188" s="5"/>
      <c r="G2188" s="5"/>
      <c r="H2188" s="5"/>
      <c r="I2188" s="5"/>
      <c r="J2188" s="5"/>
      <c r="K2188" s="5"/>
      <c r="L2188" s="5"/>
      <c r="M2188" s="5"/>
      <c r="N2188" s="5"/>
      <c r="O2188" s="5"/>
    </row>
    <row r="2189" spans="2:15" x14ac:dyDescent="0.55000000000000004"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5"/>
      <c r="N2189" s="5"/>
      <c r="O2189" s="5"/>
    </row>
    <row r="2190" spans="2:15" x14ac:dyDescent="0.55000000000000004">
      <c r="B2190" s="5"/>
      <c r="C2190" s="5"/>
      <c r="D2190" s="5"/>
      <c r="E2190" s="5"/>
      <c r="F2190" s="5"/>
      <c r="G2190" s="5"/>
      <c r="H2190" s="5"/>
      <c r="I2190" s="5"/>
      <c r="J2190" s="5"/>
      <c r="K2190" s="5"/>
      <c r="L2190" s="5"/>
      <c r="M2190" s="5"/>
      <c r="N2190" s="5"/>
      <c r="O2190" s="5"/>
    </row>
    <row r="2191" spans="2:15" x14ac:dyDescent="0.55000000000000004">
      <c r="B2191" s="5"/>
      <c r="C2191" s="5"/>
      <c r="D2191" s="5"/>
      <c r="E2191" s="5"/>
      <c r="F2191" s="5"/>
      <c r="G2191" s="5"/>
      <c r="H2191" s="5"/>
      <c r="I2191" s="5"/>
      <c r="J2191" s="5"/>
      <c r="K2191" s="5"/>
      <c r="L2191" s="5"/>
      <c r="M2191" s="5"/>
      <c r="N2191" s="5"/>
      <c r="O2191" s="5"/>
    </row>
    <row r="2192" spans="2:15" x14ac:dyDescent="0.55000000000000004">
      <c r="B2192" s="5"/>
      <c r="C2192" s="5"/>
      <c r="D2192" s="5"/>
      <c r="E2192" s="5"/>
      <c r="F2192" s="5"/>
      <c r="G2192" s="5"/>
      <c r="H2192" s="5"/>
      <c r="I2192" s="5"/>
      <c r="J2192" s="5"/>
      <c r="K2192" s="5"/>
      <c r="L2192" s="5"/>
      <c r="M2192" s="5"/>
      <c r="N2192" s="5"/>
      <c r="O2192" s="5"/>
    </row>
    <row r="2193" spans="2:15" x14ac:dyDescent="0.55000000000000004">
      <c r="B2193" s="5"/>
      <c r="C2193" s="5"/>
      <c r="D2193" s="5"/>
      <c r="E2193" s="5"/>
      <c r="F2193" s="5"/>
      <c r="G2193" s="5"/>
      <c r="H2193" s="5"/>
      <c r="I2193" s="5"/>
      <c r="J2193" s="5"/>
      <c r="K2193" s="5"/>
      <c r="L2193" s="5"/>
      <c r="M2193" s="5"/>
      <c r="N2193" s="5"/>
      <c r="O2193" s="5"/>
    </row>
    <row r="2194" spans="2:15" x14ac:dyDescent="0.55000000000000004">
      <c r="B2194" s="5"/>
      <c r="C2194" s="5"/>
      <c r="D2194" s="5"/>
      <c r="E2194" s="5"/>
      <c r="F2194" s="5"/>
      <c r="G2194" s="5"/>
      <c r="H2194" s="5"/>
      <c r="I2194" s="5"/>
      <c r="J2194" s="5"/>
      <c r="K2194" s="5"/>
      <c r="L2194" s="5"/>
      <c r="M2194" s="5"/>
      <c r="N2194" s="5"/>
      <c r="O2194" s="5"/>
    </row>
    <row r="2195" spans="2:15" x14ac:dyDescent="0.55000000000000004">
      <c r="B2195" s="5"/>
      <c r="C2195" s="5"/>
      <c r="D2195" s="5"/>
      <c r="E2195" s="5"/>
      <c r="F2195" s="5"/>
      <c r="G2195" s="5"/>
      <c r="H2195" s="5"/>
      <c r="I2195" s="5"/>
      <c r="J2195" s="5"/>
      <c r="K2195" s="5"/>
      <c r="L2195" s="5"/>
      <c r="M2195" s="5"/>
      <c r="N2195" s="5"/>
      <c r="O2195" s="5"/>
    </row>
    <row r="2196" spans="2:15" x14ac:dyDescent="0.55000000000000004">
      <c r="B2196" s="5"/>
      <c r="C2196" s="5"/>
      <c r="D2196" s="5"/>
      <c r="E2196" s="5"/>
      <c r="F2196" s="5"/>
      <c r="G2196" s="5"/>
      <c r="H2196" s="5"/>
      <c r="I2196" s="5"/>
      <c r="J2196" s="5"/>
      <c r="K2196" s="5"/>
      <c r="L2196" s="5"/>
      <c r="M2196" s="5"/>
      <c r="N2196" s="5"/>
      <c r="O2196" s="5"/>
    </row>
    <row r="2197" spans="2:15" x14ac:dyDescent="0.55000000000000004">
      <c r="B2197" s="5"/>
      <c r="C2197" s="5"/>
      <c r="D2197" s="5"/>
      <c r="E2197" s="5"/>
      <c r="F2197" s="5"/>
      <c r="G2197" s="5"/>
      <c r="H2197" s="5"/>
      <c r="I2197" s="5"/>
      <c r="J2197" s="5"/>
      <c r="K2197" s="5"/>
      <c r="L2197" s="5"/>
      <c r="M2197" s="5"/>
      <c r="N2197" s="5"/>
      <c r="O2197" s="5"/>
    </row>
    <row r="2198" spans="2:15" x14ac:dyDescent="0.55000000000000004">
      <c r="B2198" s="5"/>
      <c r="C2198" s="5"/>
      <c r="D2198" s="5"/>
      <c r="E2198" s="5"/>
      <c r="F2198" s="5"/>
      <c r="G2198" s="5"/>
      <c r="H2198" s="5"/>
      <c r="I2198" s="5"/>
      <c r="J2198" s="5"/>
      <c r="K2198" s="5"/>
      <c r="L2198" s="5"/>
      <c r="M2198" s="5"/>
      <c r="N2198" s="5"/>
      <c r="O2198" s="5"/>
    </row>
    <row r="2199" spans="2:15" x14ac:dyDescent="0.55000000000000004">
      <c r="B2199" s="5"/>
      <c r="C2199" s="5"/>
      <c r="D2199" s="5"/>
      <c r="E2199" s="5"/>
      <c r="F2199" s="5"/>
      <c r="G2199" s="5"/>
      <c r="H2199" s="5"/>
      <c r="I2199" s="5"/>
      <c r="J2199" s="5"/>
      <c r="K2199" s="5"/>
      <c r="L2199" s="5"/>
      <c r="M2199" s="5"/>
      <c r="N2199" s="5"/>
      <c r="O2199" s="5"/>
    </row>
    <row r="2200" spans="2:15" x14ac:dyDescent="0.55000000000000004">
      <c r="B2200" s="5"/>
      <c r="C2200" s="5"/>
      <c r="D2200" s="5"/>
      <c r="E2200" s="5"/>
      <c r="F2200" s="5"/>
      <c r="G2200" s="5"/>
      <c r="H2200" s="5"/>
      <c r="I2200" s="5"/>
      <c r="J2200" s="5"/>
      <c r="K2200" s="5"/>
      <c r="L2200" s="5"/>
      <c r="M2200" s="5"/>
      <c r="N2200" s="5"/>
      <c r="O2200" s="5"/>
    </row>
    <row r="2201" spans="2:15" x14ac:dyDescent="0.55000000000000004">
      <c r="B2201" s="5"/>
      <c r="C2201" s="5"/>
      <c r="D2201" s="5"/>
      <c r="E2201" s="5"/>
      <c r="F2201" s="5"/>
      <c r="G2201" s="5"/>
      <c r="H2201" s="5"/>
      <c r="I2201" s="5"/>
      <c r="J2201" s="5"/>
      <c r="K2201" s="5"/>
      <c r="L2201" s="5"/>
      <c r="M2201" s="5"/>
      <c r="N2201" s="5"/>
      <c r="O2201" s="5"/>
    </row>
    <row r="2202" spans="2:15" x14ac:dyDescent="0.55000000000000004">
      <c r="B2202" s="5"/>
      <c r="C2202" s="5"/>
      <c r="D2202" s="5"/>
      <c r="E2202" s="5"/>
      <c r="F2202" s="5"/>
      <c r="G2202" s="5"/>
      <c r="H2202" s="5"/>
      <c r="I2202" s="5"/>
      <c r="J2202" s="5"/>
      <c r="K2202" s="5"/>
      <c r="L2202" s="5"/>
      <c r="M2202" s="5"/>
      <c r="N2202" s="5"/>
      <c r="O2202" s="5"/>
    </row>
    <row r="2203" spans="2:15" x14ac:dyDescent="0.55000000000000004">
      <c r="B2203" s="5"/>
      <c r="C2203" s="5"/>
      <c r="D2203" s="5"/>
      <c r="E2203" s="5"/>
      <c r="F2203" s="5"/>
      <c r="G2203" s="5"/>
      <c r="H2203" s="5"/>
      <c r="I2203" s="5"/>
      <c r="J2203" s="5"/>
      <c r="K2203" s="5"/>
      <c r="L2203" s="5"/>
      <c r="M2203" s="5"/>
      <c r="N2203" s="5"/>
      <c r="O2203" s="5"/>
    </row>
    <row r="2204" spans="2:15" x14ac:dyDescent="0.55000000000000004">
      <c r="B2204" s="5"/>
      <c r="C2204" s="5"/>
      <c r="D2204" s="5"/>
      <c r="E2204" s="5"/>
      <c r="F2204" s="5"/>
      <c r="G2204" s="5"/>
      <c r="H2204" s="5"/>
      <c r="I2204" s="5"/>
      <c r="J2204" s="5"/>
      <c r="K2204" s="5"/>
      <c r="L2204" s="5"/>
      <c r="M2204" s="5"/>
      <c r="N2204" s="5"/>
      <c r="O2204" s="5"/>
    </row>
    <row r="2205" spans="2:15" x14ac:dyDescent="0.55000000000000004">
      <c r="B2205" s="5"/>
      <c r="C2205" s="5"/>
      <c r="D2205" s="5"/>
      <c r="E2205" s="5"/>
      <c r="F2205" s="5"/>
      <c r="G2205" s="5"/>
      <c r="H2205" s="5"/>
      <c r="I2205" s="5"/>
      <c r="J2205" s="5"/>
      <c r="K2205" s="5"/>
      <c r="L2205" s="5"/>
      <c r="M2205" s="5"/>
      <c r="N2205" s="5"/>
      <c r="O2205" s="5"/>
    </row>
    <row r="2206" spans="2:15" x14ac:dyDescent="0.55000000000000004">
      <c r="B2206" s="5"/>
      <c r="C2206" s="5"/>
      <c r="D2206" s="5"/>
      <c r="E2206" s="5"/>
      <c r="F2206" s="5"/>
      <c r="G2206" s="5"/>
      <c r="H2206" s="5"/>
      <c r="I2206" s="5"/>
      <c r="J2206" s="5"/>
      <c r="K2206" s="5"/>
      <c r="L2206" s="5"/>
      <c r="M2206" s="5"/>
      <c r="N2206" s="5"/>
      <c r="O2206" s="5"/>
    </row>
    <row r="2207" spans="2:15" x14ac:dyDescent="0.55000000000000004">
      <c r="B2207" s="5"/>
      <c r="C2207" s="5"/>
      <c r="D2207" s="5"/>
      <c r="E2207" s="5"/>
      <c r="F2207" s="5"/>
      <c r="G2207" s="5"/>
      <c r="H2207" s="5"/>
      <c r="I2207" s="5"/>
      <c r="J2207" s="5"/>
      <c r="K2207" s="5"/>
      <c r="L2207" s="5"/>
      <c r="M2207" s="5"/>
      <c r="N2207" s="5"/>
      <c r="O2207" s="5"/>
    </row>
    <row r="2208" spans="2:15" x14ac:dyDescent="0.55000000000000004">
      <c r="B2208" s="5"/>
      <c r="C2208" s="5"/>
      <c r="D2208" s="5"/>
      <c r="E2208" s="5"/>
      <c r="F2208" s="5"/>
      <c r="G2208" s="5"/>
      <c r="H2208" s="5"/>
      <c r="I2208" s="5"/>
      <c r="J2208" s="5"/>
      <c r="K2208" s="5"/>
      <c r="L2208" s="5"/>
      <c r="M2208" s="5"/>
      <c r="N2208" s="5"/>
      <c r="O2208" s="5"/>
    </row>
    <row r="2209" spans="2:15" x14ac:dyDescent="0.55000000000000004">
      <c r="B2209" s="5"/>
      <c r="C2209" s="5"/>
      <c r="D2209" s="5"/>
      <c r="E2209" s="5"/>
      <c r="F2209" s="5"/>
      <c r="G2209" s="5"/>
      <c r="H2209" s="5"/>
      <c r="I2209" s="5"/>
      <c r="J2209" s="5"/>
      <c r="K2209" s="5"/>
      <c r="L2209" s="5"/>
      <c r="M2209" s="5"/>
      <c r="N2209" s="5"/>
      <c r="O2209" s="5"/>
    </row>
    <row r="2210" spans="2:15" x14ac:dyDescent="0.55000000000000004">
      <c r="B2210" s="5"/>
      <c r="C2210" s="5"/>
      <c r="D2210" s="5"/>
      <c r="E2210" s="5"/>
      <c r="F2210" s="5"/>
      <c r="G2210" s="5"/>
      <c r="H2210" s="5"/>
      <c r="I2210" s="5"/>
      <c r="J2210" s="5"/>
      <c r="K2210" s="5"/>
      <c r="L2210" s="5"/>
      <c r="M2210" s="5"/>
      <c r="N2210" s="5"/>
      <c r="O2210" s="5"/>
    </row>
    <row r="2211" spans="2:15" x14ac:dyDescent="0.55000000000000004">
      <c r="B2211" s="5"/>
      <c r="C2211" s="5"/>
      <c r="D2211" s="5"/>
      <c r="E2211" s="5"/>
      <c r="F2211" s="5"/>
      <c r="G2211" s="5"/>
      <c r="H2211" s="5"/>
      <c r="I2211" s="5"/>
      <c r="J2211" s="5"/>
      <c r="K2211" s="5"/>
      <c r="L2211" s="5"/>
      <c r="M2211" s="5"/>
      <c r="N2211" s="5"/>
      <c r="O2211" s="5"/>
    </row>
    <row r="2212" spans="2:15" x14ac:dyDescent="0.55000000000000004">
      <c r="B2212" s="5"/>
      <c r="C2212" s="5"/>
      <c r="D2212" s="5"/>
      <c r="E2212" s="5"/>
      <c r="F2212" s="5"/>
      <c r="G2212" s="5"/>
      <c r="H2212" s="5"/>
      <c r="I2212" s="5"/>
      <c r="J2212" s="5"/>
      <c r="K2212" s="5"/>
      <c r="L2212" s="5"/>
      <c r="M2212" s="5"/>
      <c r="N2212" s="5"/>
      <c r="O2212" s="5"/>
    </row>
    <row r="2213" spans="2:15" x14ac:dyDescent="0.55000000000000004">
      <c r="B2213" s="5"/>
      <c r="C2213" s="5"/>
      <c r="D2213" s="5"/>
      <c r="E2213" s="5"/>
      <c r="F2213" s="5"/>
      <c r="G2213" s="5"/>
      <c r="H2213" s="5"/>
      <c r="I2213" s="5"/>
      <c r="J2213" s="5"/>
      <c r="K2213" s="5"/>
      <c r="L2213" s="5"/>
      <c r="M2213" s="5"/>
      <c r="N2213" s="5"/>
      <c r="O2213" s="5"/>
    </row>
    <row r="2214" spans="2:15" x14ac:dyDescent="0.55000000000000004">
      <c r="B2214" s="5"/>
      <c r="C2214" s="5"/>
      <c r="D2214" s="5"/>
      <c r="E2214" s="5"/>
      <c r="F2214" s="5"/>
      <c r="G2214" s="5"/>
      <c r="H2214" s="5"/>
      <c r="I2214" s="5"/>
      <c r="J2214" s="5"/>
      <c r="K2214" s="5"/>
      <c r="L2214" s="5"/>
      <c r="M2214" s="5"/>
      <c r="N2214" s="5"/>
      <c r="O2214" s="5"/>
    </row>
    <row r="2215" spans="2:15" x14ac:dyDescent="0.55000000000000004">
      <c r="B2215" s="5"/>
      <c r="C2215" s="5"/>
      <c r="D2215" s="5"/>
      <c r="E2215" s="5"/>
      <c r="F2215" s="5"/>
      <c r="G2215" s="5"/>
      <c r="H2215" s="5"/>
      <c r="I2215" s="5"/>
      <c r="J2215" s="5"/>
      <c r="K2215" s="5"/>
      <c r="L2215" s="5"/>
      <c r="M2215" s="5"/>
      <c r="N2215" s="5"/>
      <c r="O2215" s="5"/>
    </row>
    <row r="2216" spans="2:15" x14ac:dyDescent="0.55000000000000004">
      <c r="B2216" s="5"/>
      <c r="C2216" s="5"/>
      <c r="D2216" s="5"/>
      <c r="E2216" s="5"/>
      <c r="F2216" s="5"/>
      <c r="G2216" s="5"/>
      <c r="H2216" s="5"/>
      <c r="I2216" s="5"/>
      <c r="J2216" s="5"/>
      <c r="K2216" s="5"/>
      <c r="L2216" s="5"/>
      <c r="M2216" s="5"/>
      <c r="N2216" s="5"/>
      <c r="O2216" s="5"/>
    </row>
    <row r="2217" spans="2:15" x14ac:dyDescent="0.55000000000000004">
      <c r="B2217" s="5"/>
      <c r="C2217" s="5"/>
      <c r="D2217" s="5"/>
      <c r="E2217" s="5"/>
      <c r="F2217" s="5"/>
      <c r="G2217" s="5"/>
      <c r="H2217" s="5"/>
      <c r="I2217" s="5"/>
      <c r="J2217" s="5"/>
      <c r="K2217" s="5"/>
      <c r="L2217" s="5"/>
      <c r="M2217" s="5"/>
      <c r="N2217" s="5"/>
      <c r="O2217" s="5"/>
    </row>
    <row r="2218" spans="2:15" x14ac:dyDescent="0.55000000000000004">
      <c r="B2218" s="5"/>
      <c r="C2218" s="5"/>
      <c r="D2218" s="5"/>
      <c r="E2218" s="5"/>
      <c r="F2218" s="5"/>
      <c r="G2218" s="5"/>
      <c r="H2218" s="5"/>
      <c r="I2218" s="5"/>
      <c r="J2218" s="5"/>
      <c r="K2218" s="5"/>
      <c r="L2218" s="5"/>
      <c r="M2218" s="5"/>
      <c r="N2218" s="5"/>
      <c r="O2218" s="5"/>
    </row>
    <row r="2219" spans="2:15" x14ac:dyDescent="0.55000000000000004">
      <c r="B2219" s="5"/>
      <c r="C2219" s="5"/>
      <c r="D2219" s="5"/>
      <c r="E2219" s="5"/>
      <c r="F2219" s="5"/>
      <c r="G2219" s="5"/>
      <c r="H2219" s="5"/>
      <c r="I2219" s="5"/>
      <c r="J2219" s="5"/>
      <c r="K2219" s="5"/>
      <c r="L2219" s="5"/>
      <c r="M2219" s="5"/>
      <c r="N2219" s="5"/>
      <c r="O2219" s="5"/>
    </row>
    <row r="2220" spans="2:15" x14ac:dyDescent="0.55000000000000004">
      <c r="B2220" s="5"/>
      <c r="C2220" s="5"/>
      <c r="D2220" s="5"/>
      <c r="E2220" s="5"/>
      <c r="F2220" s="5"/>
      <c r="G2220" s="5"/>
      <c r="H2220" s="5"/>
      <c r="I2220" s="5"/>
      <c r="J2220" s="5"/>
      <c r="K2220" s="5"/>
      <c r="L2220" s="5"/>
      <c r="M2220" s="5"/>
      <c r="N2220" s="5"/>
      <c r="O2220" s="5"/>
    </row>
    <row r="2221" spans="2:15" x14ac:dyDescent="0.55000000000000004">
      <c r="B2221" s="5"/>
      <c r="C2221" s="5"/>
      <c r="D2221" s="5"/>
      <c r="E2221" s="5"/>
      <c r="F2221" s="5"/>
      <c r="G2221" s="5"/>
      <c r="H2221" s="5"/>
      <c r="I2221" s="5"/>
      <c r="J2221" s="5"/>
      <c r="K2221" s="5"/>
      <c r="L2221" s="5"/>
      <c r="M2221" s="5"/>
      <c r="N2221" s="5"/>
      <c r="O2221" s="5"/>
    </row>
    <row r="2222" spans="2:15" x14ac:dyDescent="0.55000000000000004">
      <c r="B2222" s="5"/>
      <c r="C2222" s="5"/>
      <c r="D2222" s="5"/>
      <c r="E2222" s="5"/>
      <c r="F2222" s="5"/>
      <c r="G2222" s="5"/>
      <c r="H2222" s="5"/>
      <c r="I2222" s="5"/>
      <c r="J2222" s="5"/>
      <c r="K2222" s="5"/>
      <c r="L2222" s="5"/>
      <c r="M2222" s="5"/>
      <c r="N2222" s="5"/>
      <c r="O2222" s="5"/>
    </row>
    <row r="2223" spans="2:15" x14ac:dyDescent="0.55000000000000004">
      <c r="B2223" s="5"/>
      <c r="C2223" s="5"/>
      <c r="D2223" s="5"/>
      <c r="E2223" s="5"/>
      <c r="F2223" s="5"/>
      <c r="G2223" s="5"/>
      <c r="H2223" s="5"/>
      <c r="I2223" s="5"/>
      <c r="J2223" s="5"/>
      <c r="K2223" s="5"/>
      <c r="L2223" s="5"/>
      <c r="M2223" s="5"/>
      <c r="N2223" s="5"/>
      <c r="O2223" s="5"/>
    </row>
    <row r="2224" spans="2:15" x14ac:dyDescent="0.55000000000000004">
      <c r="B2224" s="5"/>
      <c r="C2224" s="5"/>
      <c r="D2224" s="5"/>
      <c r="E2224" s="5"/>
      <c r="F2224" s="5"/>
      <c r="G2224" s="5"/>
      <c r="H2224" s="5"/>
      <c r="I2224" s="5"/>
      <c r="J2224" s="5"/>
      <c r="K2224" s="5"/>
      <c r="L2224" s="5"/>
      <c r="M2224" s="5"/>
      <c r="N2224" s="5"/>
      <c r="O2224" s="5"/>
    </row>
    <row r="2225" spans="2:15" x14ac:dyDescent="0.55000000000000004">
      <c r="B2225" s="5"/>
      <c r="C2225" s="5"/>
      <c r="D2225" s="5"/>
      <c r="E2225" s="5"/>
      <c r="F2225" s="5"/>
      <c r="G2225" s="5"/>
      <c r="H2225" s="5"/>
      <c r="I2225" s="5"/>
      <c r="J2225" s="5"/>
      <c r="K2225" s="5"/>
      <c r="L2225" s="5"/>
      <c r="M2225" s="5"/>
      <c r="N2225" s="5"/>
      <c r="O2225" s="5"/>
    </row>
    <row r="2226" spans="2:15" x14ac:dyDescent="0.55000000000000004">
      <c r="B2226" s="5"/>
      <c r="C2226" s="5"/>
      <c r="D2226" s="5"/>
      <c r="E2226" s="5"/>
      <c r="F2226" s="5"/>
      <c r="G2226" s="5"/>
      <c r="H2226" s="5"/>
      <c r="I2226" s="5"/>
      <c r="J2226" s="5"/>
      <c r="K2226" s="5"/>
      <c r="L2226" s="5"/>
      <c r="M2226" s="5"/>
      <c r="N2226" s="5"/>
      <c r="O2226" s="5"/>
    </row>
    <row r="2227" spans="2:15" x14ac:dyDescent="0.55000000000000004">
      <c r="B2227" s="5"/>
      <c r="C2227" s="5"/>
      <c r="D2227" s="5"/>
      <c r="E2227" s="5"/>
      <c r="F2227" s="5"/>
      <c r="G2227" s="5"/>
      <c r="H2227" s="5"/>
      <c r="I2227" s="5"/>
      <c r="J2227" s="5"/>
      <c r="K2227" s="5"/>
      <c r="L2227" s="5"/>
      <c r="M2227" s="5"/>
      <c r="N2227" s="5"/>
      <c r="O2227" s="5"/>
    </row>
    <row r="2228" spans="2:15" x14ac:dyDescent="0.55000000000000004">
      <c r="B2228" s="5"/>
      <c r="C2228" s="5"/>
      <c r="D2228" s="5"/>
      <c r="E2228" s="5"/>
      <c r="F2228" s="5"/>
      <c r="G2228" s="5"/>
      <c r="H2228" s="5"/>
      <c r="I2228" s="5"/>
      <c r="J2228" s="5"/>
      <c r="K2228" s="5"/>
      <c r="L2228" s="5"/>
      <c r="M2228" s="5"/>
      <c r="N2228" s="5"/>
      <c r="O2228" s="5"/>
    </row>
    <row r="2229" spans="2:15" x14ac:dyDescent="0.55000000000000004">
      <c r="B2229" s="5"/>
      <c r="C2229" s="5"/>
      <c r="D2229" s="5"/>
      <c r="E2229" s="5"/>
      <c r="F2229" s="5"/>
      <c r="G2229" s="5"/>
      <c r="H2229" s="5"/>
      <c r="I2229" s="5"/>
      <c r="J2229" s="5"/>
      <c r="K2229" s="5"/>
      <c r="L2229" s="5"/>
      <c r="M2229" s="5"/>
      <c r="N2229" s="5"/>
      <c r="O2229" s="5"/>
    </row>
    <row r="2230" spans="2:15" x14ac:dyDescent="0.55000000000000004">
      <c r="B2230" s="5"/>
      <c r="C2230" s="5"/>
      <c r="D2230" s="5"/>
      <c r="E2230" s="5"/>
      <c r="F2230" s="5"/>
      <c r="G2230" s="5"/>
      <c r="H2230" s="5"/>
      <c r="I2230" s="5"/>
      <c r="J2230" s="5"/>
      <c r="K2230" s="5"/>
      <c r="L2230" s="5"/>
      <c r="M2230" s="5"/>
      <c r="N2230" s="5"/>
      <c r="O2230" s="5"/>
    </row>
    <row r="2231" spans="2:15" x14ac:dyDescent="0.55000000000000004">
      <c r="B2231" s="5"/>
      <c r="C2231" s="5"/>
      <c r="D2231" s="5"/>
      <c r="E2231" s="5"/>
      <c r="F2231" s="5"/>
      <c r="G2231" s="5"/>
      <c r="H2231" s="5"/>
      <c r="I2231" s="5"/>
      <c r="J2231" s="5"/>
      <c r="K2231" s="5"/>
      <c r="L2231" s="5"/>
      <c r="M2231" s="5"/>
      <c r="N2231" s="5"/>
      <c r="O2231" s="5"/>
    </row>
    <row r="2232" spans="2:15" x14ac:dyDescent="0.55000000000000004">
      <c r="B2232" s="5"/>
      <c r="C2232" s="5"/>
      <c r="D2232" s="5"/>
      <c r="E2232" s="5"/>
      <c r="F2232" s="5"/>
      <c r="G2232" s="5"/>
      <c r="H2232" s="5"/>
      <c r="I2232" s="5"/>
      <c r="J2232" s="5"/>
      <c r="K2232" s="5"/>
      <c r="L2232" s="5"/>
      <c r="M2232" s="5"/>
      <c r="N2232" s="5"/>
      <c r="O2232" s="5"/>
    </row>
    <row r="2233" spans="2:15" x14ac:dyDescent="0.55000000000000004">
      <c r="B2233" s="5"/>
      <c r="C2233" s="5"/>
      <c r="D2233" s="5"/>
      <c r="E2233" s="5"/>
      <c r="F2233" s="5"/>
      <c r="G2233" s="5"/>
      <c r="H2233" s="5"/>
      <c r="I2233" s="5"/>
      <c r="J2233" s="5"/>
      <c r="K2233" s="5"/>
      <c r="L2233" s="5"/>
      <c r="M2233" s="5"/>
      <c r="N2233" s="5"/>
      <c r="O2233" s="5"/>
    </row>
    <row r="2234" spans="2:15" x14ac:dyDescent="0.55000000000000004">
      <c r="B2234" s="5"/>
      <c r="C2234" s="5"/>
      <c r="D2234" s="5"/>
      <c r="E2234" s="5"/>
      <c r="F2234" s="5"/>
      <c r="G2234" s="5"/>
      <c r="H2234" s="5"/>
      <c r="I2234" s="5"/>
      <c r="J2234" s="5"/>
      <c r="K2234" s="5"/>
      <c r="L2234" s="5"/>
      <c r="M2234" s="5"/>
      <c r="N2234" s="5"/>
      <c r="O2234" s="5"/>
    </row>
    <row r="2235" spans="2:15" x14ac:dyDescent="0.55000000000000004">
      <c r="B2235" s="5"/>
      <c r="C2235" s="5"/>
      <c r="D2235" s="5"/>
      <c r="E2235" s="5"/>
      <c r="F2235" s="5"/>
      <c r="G2235" s="5"/>
      <c r="H2235" s="5"/>
      <c r="I2235" s="5"/>
      <c r="J2235" s="5"/>
      <c r="K2235" s="5"/>
      <c r="L2235" s="5"/>
      <c r="M2235" s="5"/>
      <c r="N2235" s="5"/>
      <c r="O2235" s="5"/>
    </row>
    <row r="2236" spans="2:15" x14ac:dyDescent="0.55000000000000004">
      <c r="B2236" s="5"/>
      <c r="C2236" s="5"/>
      <c r="D2236" s="5"/>
      <c r="E2236" s="5"/>
      <c r="F2236" s="5"/>
      <c r="G2236" s="5"/>
      <c r="H2236" s="5"/>
      <c r="I2236" s="5"/>
      <c r="J2236" s="5"/>
      <c r="K2236" s="5"/>
      <c r="L2236" s="5"/>
      <c r="M2236" s="5"/>
      <c r="N2236" s="5"/>
      <c r="O2236" s="5"/>
    </row>
    <row r="2237" spans="2:15" x14ac:dyDescent="0.55000000000000004">
      <c r="B2237" s="5"/>
      <c r="C2237" s="5"/>
      <c r="D2237" s="5"/>
      <c r="E2237" s="5"/>
      <c r="F2237" s="5"/>
      <c r="G2237" s="5"/>
      <c r="H2237" s="5"/>
      <c r="I2237" s="5"/>
      <c r="J2237" s="5"/>
      <c r="K2237" s="5"/>
      <c r="L2237" s="5"/>
      <c r="M2237" s="5"/>
      <c r="N2237" s="5"/>
      <c r="O2237" s="5"/>
    </row>
    <row r="2238" spans="2:15" x14ac:dyDescent="0.55000000000000004">
      <c r="B2238" s="5"/>
      <c r="C2238" s="5"/>
      <c r="D2238" s="5"/>
      <c r="E2238" s="5"/>
      <c r="F2238" s="5"/>
      <c r="G2238" s="5"/>
      <c r="H2238" s="5"/>
      <c r="I2238" s="5"/>
      <c r="J2238" s="5"/>
      <c r="K2238" s="5"/>
      <c r="L2238" s="5"/>
      <c r="M2238" s="5"/>
      <c r="N2238" s="5"/>
      <c r="O2238" s="5"/>
    </row>
    <row r="2239" spans="2:15" x14ac:dyDescent="0.55000000000000004">
      <c r="B2239" s="5"/>
      <c r="C2239" s="5"/>
      <c r="D2239" s="5"/>
      <c r="E2239" s="5"/>
      <c r="F2239" s="5"/>
      <c r="G2239" s="5"/>
      <c r="H2239" s="5"/>
      <c r="I2239" s="5"/>
      <c r="J2239" s="5"/>
      <c r="K2239" s="5"/>
      <c r="L2239" s="5"/>
      <c r="M2239" s="5"/>
      <c r="N2239" s="5"/>
      <c r="O2239" s="5"/>
    </row>
    <row r="2240" spans="2:15" x14ac:dyDescent="0.55000000000000004">
      <c r="B2240" s="5"/>
      <c r="C2240" s="5"/>
      <c r="D2240" s="5"/>
      <c r="E2240" s="5"/>
      <c r="F2240" s="5"/>
      <c r="G2240" s="5"/>
      <c r="H2240" s="5"/>
      <c r="I2240" s="5"/>
      <c r="J2240" s="5"/>
      <c r="K2240" s="5"/>
      <c r="L2240" s="5"/>
      <c r="M2240" s="5"/>
      <c r="N2240" s="5"/>
      <c r="O2240" s="5"/>
    </row>
    <row r="2241" spans="2:15" x14ac:dyDescent="0.55000000000000004">
      <c r="B2241" s="5"/>
      <c r="C2241" s="5"/>
      <c r="D2241" s="5"/>
      <c r="E2241" s="5"/>
      <c r="F2241" s="5"/>
      <c r="G2241" s="5"/>
      <c r="H2241" s="5"/>
      <c r="I2241" s="5"/>
      <c r="J2241" s="5"/>
      <c r="K2241" s="5"/>
      <c r="L2241" s="5"/>
      <c r="M2241" s="5"/>
      <c r="N2241" s="5"/>
      <c r="O2241" s="5"/>
    </row>
    <row r="2242" spans="2:15" x14ac:dyDescent="0.55000000000000004">
      <c r="B2242" s="5"/>
      <c r="C2242" s="5"/>
      <c r="D2242" s="5"/>
      <c r="E2242" s="5"/>
      <c r="F2242" s="5"/>
      <c r="G2242" s="5"/>
      <c r="H2242" s="5"/>
      <c r="I2242" s="5"/>
      <c r="J2242" s="5"/>
      <c r="K2242" s="5"/>
      <c r="L2242" s="5"/>
      <c r="M2242" s="5"/>
      <c r="N2242" s="5"/>
      <c r="O2242" s="5"/>
    </row>
    <row r="2243" spans="2:15" x14ac:dyDescent="0.55000000000000004">
      <c r="B2243" s="5"/>
      <c r="C2243" s="5"/>
      <c r="D2243" s="5"/>
      <c r="E2243" s="5"/>
      <c r="F2243" s="5"/>
      <c r="G2243" s="5"/>
      <c r="H2243" s="5"/>
      <c r="I2243" s="5"/>
      <c r="J2243" s="5"/>
      <c r="K2243" s="5"/>
      <c r="L2243" s="5"/>
      <c r="M2243" s="5"/>
      <c r="N2243" s="5"/>
      <c r="O2243" s="5"/>
    </row>
    <row r="2244" spans="2:15" x14ac:dyDescent="0.55000000000000004">
      <c r="B2244" s="5"/>
      <c r="C2244" s="5"/>
      <c r="D2244" s="5"/>
      <c r="E2244" s="5"/>
      <c r="F2244" s="5"/>
      <c r="G2244" s="5"/>
      <c r="H2244" s="5"/>
      <c r="I2244" s="5"/>
      <c r="J2244" s="5"/>
      <c r="K2244" s="5"/>
      <c r="L2244" s="5"/>
      <c r="M2244" s="5"/>
      <c r="N2244" s="5"/>
      <c r="O2244" s="5"/>
    </row>
    <row r="2245" spans="2:15" x14ac:dyDescent="0.55000000000000004">
      <c r="B2245" s="5"/>
      <c r="C2245" s="5"/>
      <c r="D2245" s="5"/>
      <c r="E2245" s="5"/>
      <c r="F2245" s="5"/>
      <c r="G2245" s="5"/>
      <c r="H2245" s="5"/>
      <c r="I2245" s="5"/>
      <c r="J2245" s="5"/>
      <c r="K2245" s="5"/>
      <c r="L2245" s="5"/>
      <c r="M2245" s="5"/>
      <c r="N2245" s="5"/>
      <c r="O2245" s="5"/>
    </row>
    <row r="2246" spans="2:15" x14ac:dyDescent="0.55000000000000004">
      <c r="B2246" s="5"/>
      <c r="C2246" s="5"/>
      <c r="D2246" s="5"/>
      <c r="E2246" s="5"/>
      <c r="F2246" s="5"/>
      <c r="G2246" s="5"/>
      <c r="H2246" s="5"/>
      <c r="I2246" s="5"/>
      <c r="J2246" s="5"/>
      <c r="K2246" s="5"/>
      <c r="L2246" s="5"/>
      <c r="M2246" s="5"/>
      <c r="N2246" s="5"/>
      <c r="O2246" s="5"/>
    </row>
    <row r="2247" spans="2:15" x14ac:dyDescent="0.55000000000000004">
      <c r="B2247" s="5"/>
      <c r="C2247" s="5"/>
      <c r="D2247" s="5"/>
      <c r="E2247" s="5"/>
      <c r="F2247" s="5"/>
      <c r="G2247" s="5"/>
      <c r="H2247" s="5"/>
      <c r="I2247" s="5"/>
      <c r="J2247" s="5"/>
      <c r="K2247" s="5"/>
      <c r="L2247" s="5"/>
      <c r="M2247" s="5"/>
      <c r="N2247" s="5"/>
      <c r="O2247" s="5"/>
    </row>
    <row r="2248" spans="2:15" x14ac:dyDescent="0.55000000000000004">
      <c r="B2248" s="5"/>
      <c r="C2248" s="5"/>
      <c r="D2248" s="5"/>
      <c r="E2248" s="5"/>
      <c r="F2248" s="5"/>
      <c r="G2248" s="5"/>
      <c r="H2248" s="5"/>
      <c r="I2248" s="5"/>
      <c r="J2248" s="5"/>
      <c r="K2248" s="5"/>
      <c r="L2248" s="5"/>
      <c r="M2248" s="5"/>
      <c r="N2248" s="5"/>
      <c r="O2248" s="5"/>
    </row>
    <row r="2249" spans="2:15" x14ac:dyDescent="0.55000000000000004">
      <c r="B2249" s="5"/>
      <c r="C2249" s="5"/>
      <c r="D2249" s="5"/>
      <c r="E2249" s="5"/>
      <c r="F2249" s="5"/>
      <c r="G2249" s="5"/>
      <c r="H2249" s="5"/>
      <c r="I2249" s="5"/>
      <c r="J2249" s="5"/>
      <c r="K2249" s="5"/>
      <c r="L2249" s="5"/>
      <c r="M2249" s="5"/>
      <c r="N2249" s="5"/>
      <c r="O2249" s="5"/>
    </row>
    <row r="2250" spans="2:15" x14ac:dyDescent="0.55000000000000004">
      <c r="B2250" s="5"/>
      <c r="C2250" s="5"/>
      <c r="D2250" s="5"/>
      <c r="E2250" s="5"/>
      <c r="F2250" s="5"/>
      <c r="G2250" s="5"/>
      <c r="H2250" s="5"/>
      <c r="I2250" s="5"/>
      <c r="J2250" s="5"/>
      <c r="K2250" s="5"/>
      <c r="L2250" s="5"/>
      <c r="M2250" s="5"/>
      <c r="N2250" s="5"/>
      <c r="O2250" s="5"/>
    </row>
    <row r="2251" spans="2:15" x14ac:dyDescent="0.55000000000000004">
      <c r="B2251" s="5"/>
      <c r="C2251" s="5"/>
      <c r="D2251" s="5"/>
      <c r="E2251" s="5"/>
      <c r="F2251" s="5"/>
      <c r="G2251" s="5"/>
      <c r="H2251" s="5"/>
      <c r="I2251" s="5"/>
      <c r="J2251" s="5"/>
      <c r="K2251" s="5"/>
      <c r="L2251" s="5"/>
      <c r="M2251" s="5"/>
      <c r="N2251" s="5"/>
      <c r="O2251" s="5"/>
    </row>
    <row r="2252" spans="2:15" x14ac:dyDescent="0.55000000000000004">
      <c r="B2252" s="5"/>
      <c r="C2252" s="5"/>
      <c r="D2252" s="5"/>
      <c r="E2252" s="5"/>
      <c r="F2252" s="5"/>
      <c r="G2252" s="5"/>
      <c r="H2252" s="5"/>
      <c r="I2252" s="5"/>
      <c r="J2252" s="5"/>
      <c r="K2252" s="5"/>
      <c r="L2252" s="5"/>
      <c r="M2252" s="5"/>
      <c r="N2252" s="5"/>
      <c r="O2252" s="5"/>
    </row>
    <row r="2253" spans="2:15" x14ac:dyDescent="0.55000000000000004">
      <c r="B2253" s="5"/>
      <c r="C2253" s="5"/>
      <c r="D2253" s="5"/>
      <c r="E2253" s="5"/>
      <c r="F2253" s="5"/>
      <c r="G2253" s="5"/>
      <c r="H2253" s="5"/>
      <c r="I2253" s="5"/>
      <c r="J2253" s="5"/>
      <c r="K2253" s="5"/>
      <c r="L2253" s="5"/>
      <c r="M2253" s="5"/>
      <c r="N2253" s="5"/>
      <c r="O2253" s="5"/>
    </row>
    <row r="2254" spans="2:15" x14ac:dyDescent="0.55000000000000004">
      <c r="B2254" s="5"/>
      <c r="C2254" s="5"/>
      <c r="D2254" s="5"/>
      <c r="E2254" s="5"/>
      <c r="F2254" s="5"/>
      <c r="G2254" s="5"/>
      <c r="H2254" s="5"/>
      <c r="I2254" s="5"/>
      <c r="J2254" s="5"/>
      <c r="K2254" s="5"/>
      <c r="L2254" s="5"/>
      <c r="M2254" s="5"/>
      <c r="N2254" s="5"/>
      <c r="O2254" s="5"/>
    </row>
    <row r="2255" spans="2:15" x14ac:dyDescent="0.55000000000000004">
      <c r="B2255" s="5"/>
      <c r="C2255" s="5"/>
      <c r="D2255" s="5"/>
      <c r="E2255" s="5"/>
      <c r="F2255" s="5"/>
      <c r="G2255" s="5"/>
      <c r="H2255" s="5"/>
      <c r="I2255" s="5"/>
      <c r="J2255" s="5"/>
      <c r="K2255" s="5"/>
      <c r="L2255" s="5"/>
      <c r="M2255" s="5"/>
      <c r="N2255" s="5"/>
      <c r="O2255" s="5"/>
    </row>
    <row r="2256" spans="2:15" x14ac:dyDescent="0.55000000000000004">
      <c r="B2256" s="5"/>
      <c r="C2256" s="5"/>
      <c r="D2256" s="5"/>
      <c r="E2256" s="5"/>
      <c r="F2256" s="5"/>
      <c r="G2256" s="5"/>
      <c r="H2256" s="5"/>
      <c r="I2256" s="5"/>
      <c r="J2256" s="5"/>
      <c r="K2256" s="5"/>
      <c r="L2256" s="5"/>
      <c r="M2256" s="5"/>
      <c r="N2256" s="5"/>
      <c r="O2256" s="5"/>
    </row>
    <row r="2257" spans="2:15" x14ac:dyDescent="0.55000000000000004">
      <c r="B2257" s="5"/>
      <c r="C2257" s="5"/>
      <c r="D2257" s="5"/>
      <c r="E2257" s="5"/>
      <c r="F2257" s="5"/>
      <c r="G2257" s="5"/>
      <c r="H2257" s="5"/>
      <c r="I2257" s="5"/>
      <c r="J2257" s="5"/>
      <c r="K2257" s="5"/>
      <c r="L2257" s="5"/>
      <c r="M2257" s="5"/>
      <c r="N2257" s="5"/>
      <c r="O2257" s="5"/>
    </row>
    <row r="2258" spans="2:15" x14ac:dyDescent="0.55000000000000004">
      <c r="B2258" s="5"/>
      <c r="C2258" s="5"/>
      <c r="D2258" s="5"/>
      <c r="E2258" s="5"/>
      <c r="F2258" s="5"/>
      <c r="G2258" s="5"/>
      <c r="H2258" s="5"/>
      <c r="I2258" s="5"/>
      <c r="J2258" s="5"/>
      <c r="K2258" s="5"/>
      <c r="L2258" s="5"/>
      <c r="M2258" s="5"/>
      <c r="N2258" s="5"/>
      <c r="O2258" s="5"/>
    </row>
    <row r="2259" spans="2:15" x14ac:dyDescent="0.55000000000000004">
      <c r="B2259" s="5"/>
      <c r="C2259" s="5"/>
      <c r="D2259" s="5"/>
      <c r="E2259" s="5"/>
      <c r="F2259" s="5"/>
      <c r="G2259" s="5"/>
      <c r="H2259" s="5"/>
      <c r="I2259" s="5"/>
      <c r="J2259" s="5"/>
      <c r="K2259" s="5"/>
      <c r="L2259" s="5"/>
      <c r="M2259" s="5"/>
      <c r="N2259" s="5"/>
      <c r="O2259" s="5"/>
    </row>
    <row r="2260" spans="2:15" x14ac:dyDescent="0.55000000000000004">
      <c r="B2260" s="5"/>
      <c r="C2260" s="5"/>
      <c r="D2260" s="5"/>
      <c r="E2260" s="5"/>
      <c r="F2260" s="5"/>
      <c r="G2260" s="5"/>
      <c r="H2260" s="5"/>
      <c r="I2260" s="5"/>
      <c r="J2260" s="5"/>
      <c r="K2260" s="5"/>
      <c r="L2260" s="5"/>
      <c r="M2260" s="5"/>
      <c r="N2260" s="5"/>
      <c r="O2260" s="5"/>
    </row>
    <row r="2261" spans="2:15" x14ac:dyDescent="0.55000000000000004">
      <c r="B2261" s="5"/>
      <c r="C2261" s="5"/>
      <c r="D2261" s="5"/>
      <c r="E2261" s="5"/>
      <c r="F2261" s="5"/>
      <c r="G2261" s="5"/>
      <c r="H2261" s="5"/>
      <c r="I2261" s="5"/>
      <c r="J2261" s="5"/>
      <c r="K2261" s="5"/>
      <c r="L2261" s="5"/>
      <c r="M2261" s="5"/>
      <c r="N2261" s="5"/>
      <c r="O2261" s="5"/>
    </row>
    <row r="2262" spans="2:15" x14ac:dyDescent="0.55000000000000004">
      <c r="B2262" s="5"/>
      <c r="C2262" s="5"/>
      <c r="D2262" s="5"/>
      <c r="E2262" s="5"/>
      <c r="F2262" s="5"/>
      <c r="G2262" s="5"/>
      <c r="H2262" s="5"/>
      <c r="I2262" s="5"/>
      <c r="J2262" s="5"/>
      <c r="K2262" s="5"/>
      <c r="L2262" s="5"/>
      <c r="M2262" s="5"/>
      <c r="N2262" s="5"/>
      <c r="O2262" s="5"/>
    </row>
    <row r="2263" spans="2:15" x14ac:dyDescent="0.55000000000000004">
      <c r="B2263" s="5"/>
      <c r="C2263" s="5"/>
      <c r="D2263" s="5"/>
      <c r="E2263" s="5"/>
      <c r="F2263" s="5"/>
      <c r="G2263" s="5"/>
      <c r="H2263" s="5"/>
      <c r="I2263" s="5"/>
      <c r="J2263" s="5"/>
      <c r="K2263" s="5"/>
      <c r="L2263" s="5"/>
      <c r="M2263" s="5"/>
      <c r="N2263" s="5"/>
      <c r="O2263" s="5"/>
    </row>
    <row r="2264" spans="2:15" x14ac:dyDescent="0.55000000000000004">
      <c r="B2264" s="5"/>
      <c r="C2264" s="5"/>
      <c r="D2264" s="5"/>
      <c r="E2264" s="5"/>
      <c r="F2264" s="5"/>
      <c r="G2264" s="5"/>
      <c r="H2264" s="5"/>
      <c r="I2264" s="5"/>
      <c r="J2264" s="5"/>
      <c r="K2264" s="5"/>
      <c r="L2264" s="5"/>
      <c r="M2264" s="5"/>
      <c r="N2264" s="5"/>
      <c r="O2264" s="5"/>
    </row>
    <row r="2265" spans="2:15" x14ac:dyDescent="0.55000000000000004">
      <c r="B2265" s="5"/>
      <c r="C2265" s="5"/>
      <c r="D2265" s="5"/>
      <c r="E2265" s="5"/>
      <c r="F2265" s="5"/>
      <c r="G2265" s="5"/>
      <c r="H2265" s="5"/>
      <c r="I2265" s="5"/>
      <c r="J2265" s="5"/>
      <c r="K2265" s="5"/>
      <c r="L2265" s="5"/>
      <c r="M2265" s="5"/>
      <c r="N2265" s="5"/>
      <c r="O2265" s="5"/>
    </row>
    <row r="2266" spans="2:15" x14ac:dyDescent="0.55000000000000004">
      <c r="B2266" s="5"/>
      <c r="C2266" s="5"/>
      <c r="D2266" s="5"/>
      <c r="E2266" s="5"/>
      <c r="F2266" s="5"/>
      <c r="G2266" s="5"/>
      <c r="H2266" s="5"/>
      <c r="I2266" s="5"/>
      <c r="J2266" s="5"/>
      <c r="K2266" s="5"/>
      <c r="L2266" s="5"/>
      <c r="M2266" s="5"/>
      <c r="N2266" s="5"/>
      <c r="O2266" s="5"/>
    </row>
    <row r="2267" spans="2:15" x14ac:dyDescent="0.55000000000000004">
      <c r="B2267" s="5"/>
      <c r="C2267" s="5"/>
      <c r="D2267" s="5"/>
      <c r="E2267" s="5"/>
      <c r="F2267" s="5"/>
      <c r="G2267" s="5"/>
      <c r="H2267" s="5"/>
      <c r="I2267" s="5"/>
      <c r="J2267" s="5"/>
      <c r="K2267" s="5"/>
      <c r="L2267" s="5"/>
      <c r="M2267" s="5"/>
      <c r="N2267" s="5"/>
      <c r="O2267" s="5"/>
    </row>
    <row r="2268" spans="2:15" x14ac:dyDescent="0.55000000000000004">
      <c r="B2268" s="5"/>
      <c r="C2268" s="5"/>
      <c r="D2268" s="5"/>
      <c r="E2268" s="5"/>
      <c r="F2268" s="5"/>
      <c r="G2268" s="5"/>
      <c r="H2268" s="5"/>
      <c r="I2268" s="5"/>
      <c r="J2268" s="5"/>
      <c r="K2268" s="5"/>
      <c r="L2268" s="5"/>
      <c r="M2268" s="5"/>
      <c r="N2268" s="5"/>
      <c r="O2268" s="5"/>
    </row>
    <row r="2269" spans="2:15" x14ac:dyDescent="0.55000000000000004">
      <c r="B2269" s="5"/>
      <c r="C2269" s="5"/>
      <c r="D2269" s="5"/>
      <c r="E2269" s="5"/>
      <c r="F2269" s="5"/>
      <c r="G2269" s="5"/>
      <c r="H2269" s="5"/>
      <c r="I2269" s="5"/>
      <c r="J2269" s="5"/>
      <c r="K2269" s="5"/>
      <c r="L2269" s="5"/>
      <c r="M2269" s="5"/>
      <c r="N2269" s="5"/>
      <c r="O2269" s="5"/>
    </row>
    <row r="2270" spans="2:15" x14ac:dyDescent="0.55000000000000004">
      <c r="B2270" s="5"/>
      <c r="C2270" s="5"/>
      <c r="D2270" s="5"/>
      <c r="E2270" s="5"/>
      <c r="F2270" s="5"/>
      <c r="G2270" s="5"/>
      <c r="H2270" s="5"/>
      <c r="I2270" s="5"/>
      <c r="J2270" s="5"/>
      <c r="K2270" s="5"/>
      <c r="L2270" s="5"/>
      <c r="M2270" s="5"/>
      <c r="N2270" s="5"/>
      <c r="O2270" s="5"/>
    </row>
    <row r="2271" spans="2:15" x14ac:dyDescent="0.55000000000000004">
      <c r="B2271" s="5"/>
      <c r="C2271" s="5"/>
      <c r="D2271" s="5"/>
      <c r="E2271" s="5"/>
      <c r="F2271" s="5"/>
      <c r="G2271" s="5"/>
      <c r="H2271" s="5"/>
      <c r="I2271" s="5"/>
      <c r="J2271" s="5"/>
      <c r="K2271" s="5"/>
      <c r="L2271" s="5"/>
      <c r="M2271" s="5"/>
      <c r="N2271" s="5"/>
      <c r="O2271" s="5"/>
    </row>
    <row r="2272" spans="2:15" x14ac:dyDescent="0.55000000000000004">
      <c r="B2272" s="5"/>
      <c r="C2272" s="5"/>
      <c r="D2272" s="5"/>
      <c r="E2272" s="5"/>
      <c r="F2272" s="5"/>
      <c r="G2272" s="5"/>
      <c r="H2272" s="5"/>
      <c r="I2272" s="5"/>
      <c r="J2272" s="5"/>
      <c r="K2272" s="5"/>
      <c r="L2272" s="5"/>
      <c r="M2272" s="5"/>
      <c r="N2272" s="5"/>
      <c r="O2272" s="5"/>
    </row>
    <row r="2273" spans="2:15" x14ac:dyDescent="0.55000000000000004">
      <c r="B2273" s="5"/>
      <c r="C2273" s="5"/>
      <c r="D2273" s="5"/>
      <c r="E2273" s="5"/>
      <c r="F2273" s="5"/>
      <c r="G2273" s="5"/>
      <c r="H2273" s="5"/>
      <c r="I2273" s="5"/>
      <c r="J2273" s="5"/>
      <c r="K2273" s="5"/>
      <c r="L2273" s="5"/>
      <c r="M2273" s="5"/>
      <c r="N2273" s="5"/>
      <c r="O2273" s="5"/>
    </row>
    <row r="2274" spans="2:15" x14ac:dyDescent="0.55000000000000004">
      <c r="B2274" s="5"/>
      <c r="C2274" s="5"/>
      <c r="D2274" s="5"/>
      <c r="E2274" s="5"/>
      <c r="F2274" s="5"/>
      <c r="G2274" s="5"/>
      <c r="H2274" s="5"/>
      <c r="I2274" s="5"/>
      <c r="J2274" s="5"/>
      <c r="K2274" s="5"/>
      <c r="L2274" s="5"/>
      <c r="M2274" s="5"/>
      <c r="N2274" s="5"/>
      <c r="O2274" s="5"/>
    </row>
    <row r="2275" spans="2:15" x14ac:dyDescent="0.55000000000000004">
      <c r="B2275" s="5"/>
      <c r="C2275" s="5"/>
      <c r="D2275" s="5"/>
      <c r="E2275" s="5"/>
      <c r="F2275" s="5"/>
      <c r="G2275" s="5"/>
      <c r="H2275" s="5"/>
      <c r="I2275" s="5"/>
      <c r="J2275" s="5"/>
      <c r="K2275" s="5"/>
      <c r="L2275" s="5"/>
      <c r="M2275" s="5"/>
      <c r="N2275" s="5"/>
      <c r="O2275" s="5"/>
    </row>
    <row r="2276" spans="2:15" x14ac:dyDescent="0.55000000000000004">
      <c r="B2276" s="5"/>
      <c r="C2276" s="5"/>
      <c r="D2276" s="5"/>
      <c r="E2276" s="5"/>
      <c r="F2276" s="5"/>
      <c r="G2276" s="5"/>
      <c r="H2276" s="5"/>
      <c r="I2276" s="5"/>
      <c r="J2276" s="5"/>
      <c r="K2276" s="5"/>
      <c r="L2276" s="5"/>
      <c r="M2276" s="5"/>
      <c r="N2276" s="5"/>
      <c r="O2276" s="5"/>
    </row>
    <row r="2277" spans="2:15" x14ac:dyDescent="0.55000000000000004">
      <c r="B2277" s="5"/>
      <c r="C2277" s="5"/>
      <c r="D2277" s="5"/>
      <c r="E2277" s="5"/>
      <c r="F2277" s="5"/>
      <c r="G2277" s="5"/>
      <c r="H2277" s="5"/>
      <c r="I2277" s="5"/>
      <c r="J2277" s="5"/>
      <c r="K2277" s="5"/>
      <c r="L2277" s="5"/>
      <c r="M2277" s="5"/>
      <c r="N2277" s="5"/>
      <c r="O2277" s="5"/>
    </row>
    <row r="2278" spans="2:15" x14ac:dyDescent="0.55000000000000004">
      <c r="B2278" s="5"/>
      <c r="C2278" s="5"/>
      <c r="D2278" s="5"/>
      <c r="E2278" s="5"/>
      <c r="F2278" s="5"/>
      <c r="G2278" s="5"/>
      <c r="H2278" s="5"/>
      <c r="I2278" s="5"/>
      <c r="J2278" s="5"/>
      <c r="K2278" s="5"/>
      <c r="L2278" s="5"/>
      <c r="M2278" s="5"/>
      <c r="N2278" s="5"/>
      <c r="O2278" s="5"/>
    </row>
    <row r="2279" spans="2:15" x14ac:dyDescent="0.55000000000000004">
      <c r="B2279" s="5"/>
      <c r="C2279" s="5"/>
      <c r="D2279" s="5"/>
      <c r="E2279" s="5"/>
      <c r="F2279" s="5"/>
      <c r="G2279" s="5"/>
      <c r="H2279" s="5"/>
      <c r="I2279" s="5"/>
      <c r="J2279" s="5"/>
      <c r="K2279" s="5"/>
      <c r="L2279" s="5"/>
      <c r="M2279" s="5"/>
      <c r="N2279" s="5"/>
      <c r="O2279" s="5"/>
    </row>
    <row r="2280" spans="2:15" x14ac:dyDescent="0.55000000000000004">
      <c r="B2280" s="5"/>
      <c r="C2280" s="5"/>
      <c r="D2280" s="5"/>
      <c r="E2280" s="5"/>
      <c r="F2280" s="5"/>
      <c r="G2280" s="5"/>
      <c r="H2280" s="5"/>
      <c r="I2280" s="5"/>
      <c r="J2280" s="5"/>
      <c r="K2280" s="5"/>
      <c r="L2280" s="5"/>
      <c r="M2280" s="5"/>
      <c r="N2280" s="5"/>
      <c r="O2280" s="5"/>
    </row>
    <row r="2281" spans="2:15" x14ac:dyDescent="0.55000000000000004">
      <c r="B2281" s="5"/>
      <c r="C2281" s="5"/>
      <c r="D2281" s="5"/>
      <c r="E2281" s="5"/>
      <c r="F2281" s="5"/>
      <c r="G2281" s="5"/>
      <c r="H2281" s="5"/>
      <c r="I2281" s="5"/>
      <c r="J2281" s="5"/>
      <c r="K2281" s="5"/>
      <c r="L2281" s="5"/>
      <c r="M2281" s="5"/>
      <c r="N2281" s="5"/>
      <c r="O2281" s="5"/>
    </row>
    <row r="2282" spans="2:15" x14ac:dyDescent="0.55000000000000004">
      <c r="B2282" s="5"/>
      <c r="C2282" s="5"/>
      <c r="D2282" s="5"/>
      <c r="E2282" s="5"/>
      <c r="F2282" s="5"/>
      <c r="G2282" s="5"/>
      <c r="H2282" s="5"/>
      <c r="I2282" s="5"/>
      <c r="J2282" s="5"/>
      <c r="K2282" s="5"/>
      <c r="L2282" s="5"/>
      <c r="M2282" s="5"/>
      <c r="N2282" s="5"/>
      <c r="O2282" s="5"/>
    </row>
    <row r="2283" spans="2:15" x14ac:dyDescent="0.55000000000000004">
      <c r="B2283" s="5"/>
      <c r="C2283" s="5"/>
      <c r="D2283" s="5"/>
      <c r="E2283" s="5"/>
      <c r="F2283" s="5"/>
      <c r="G2283" s="5"/>
      <c r="H2283" s="5"/>
      <c r="I2283" s="5"/>
      <c r="J2283" s="5"/>
      <c r="K2283" s="5"/>
      <c r="L2283" s="5"/>
      <c r="M2283" s="5"/>
      <c r="N2283" s="5"/>
      <c r="O2283" s="5"/>
    </row>
    <row r="2284" spans="2:15" x14ac:dyDescent="0.55000000000000004">
      <c r="B2284" s="5"/>
      <c r="C2284" s="5"/>
      <c r="D2284" s="5"/>
      <c r="E2284" s="5"/>
      <c r="F2284" s="5"/>
      <c r="G2284" s="5"/>
      <c r="H2284" s="5"/>
      <c r="I2284" s="5"/>
      <c r="J2284" s="5"/>
      <c r="K2284" s="5"/>
      <c r="L2284" s="5"/>
      <c r="M2284" s="5"/>
      <c r="N2284" s="5"/>
      <c r="O2284" s="5"/>
    </row>
    <row r="2285" spans="2:15" x14ac:dyDescent="0.55000000000000004">
      <c r="B2285" s="5"/>
      <c r="C2285" s="5"/>
      <c r="D2285" s="5"/>
      <c r="E2285" s="5"/>
      <c r="F2285" s="5"/>
      <c r="G2285" s="5"/>
      <c r="H2285" s="5"/>
      <c r="I2285" s="5"/>
      <c r="J2285" s="5"/>
      <c r="K2285" s="5"/>
      <c r="L2285" s="5"/>
      <c r="M2285" s="5"/>
      <c r="N2285" s="5"/>
      <c r="O2285" s="5"/>
    </row>
    <row r="2286" spans="2:15" x14ac:dyDescent="0.55000000000000004">
      <c r="B2286" s="5"/>
      <c r="C2286" s="5"/>
      <c r="D2286" s="5"/>
      <c r="E2286" s="5"/>
      <c r="F2286" s="5"/>
      <c r="G2286" s="5"/>
      <c r="H2286" s="5"/>
      <c r="I2286" s="5"/>
      <c r="J2286" s="5"/>
      <c r="K2286" s="5"/>
      <c r="L2286" s="5"/>
      <c r="M2286" s="5"/>
      <c r="N2286" s="5"/>
      <c r="O2286" s="5"/>
    </row>
    <row r="2287" spans="2:15" x14ac:dyDescent="0.55000000000000004">
      <c r="B2287" s="5"/>
      <c r="C2287" s="5"/>
      <c r="D2287" s="5"/>
      <c r="E2287" s="5"/>
      <c r="F2287" s="5"/>
      <c r="G2287" s="5"/>
      <c r="H2287" s="5"/>
      <c r="I2287" s="5"/>
      <c r="J2287" s="5"/>
      <c r="K2287" s="5"/>
      <c r="L2287" s="5"/>
      <c r="M2287" s="5"/>
      <c r="N2287" s="5"/>
      <c r="O2287" s="5"/>
    </row>
    <row r="2288" spans="2:15" x14ac:dyDescent="0.55000000000000004">
      <c r="B2288" s="5"/>
      <c r="C2288" s="5"/>
      <c r="D2288" s="5"/>
      <c r="E2288" s="5"/>
      <c r="F2288" s="5"/>
      <c r="G2288" s="5"/>
      <c r="H2288" s="5"/>
      <c r="I2288" s="5"/>
      <c r="J2288" s="5"/>
      <c r="K2288" s="5"/>
      <c r="L2288" s="5"/>
      <c r="M2288" s="5"/>
      <c r="N2288" s="5"/>
      <c r="O2288" s="5"/>
    </row>
    <row r="2289" spans="2:15" x14ac:dyDescent="0.55000000000000004">
      <c r="B2289" s="5"/>
      <c r="C2289" s="5"/>
      <c r="D2289" s="5"/>
      <c r="E2289" s="5"/>
      <c r="F2289" s="5"/>
      <c r="G2289" s="5"/>
      <c r="H2289" s="5"/>
      <c r="I2289" s="5"/>
      <c r="J2289" s="5"/>
      <c r="K2289" s="5"/>
      <c r="L2289" s="5"/>
      <c r="M2289" s="5"/>
      <c r="N2289" s="5"/>
      <c r="O2289" s="5"/>
    </row>
    <row r="2290" spans="2:15" x14ac:dyDescent="0.55000000000000004">
      <c r="B2290" s="5"/>
      <c r="C2290" s="5"/>
      <c r="D2290" s="5"/>
      <c r="E2290" s="5"/>
      <c r="F2290" s="5"/>
      <c r="G2290" s="5"/>
      <c r="H2290" s="5"/>
      <c r="I2290" s="5"/>
      <c r="J2290" s="5"/>
      <c r="K2290" s="5"/>
      <c r="L2290" s="5"/>
      <c r="M2290" s="5"/>
      <c r="N2290" s="5"/>
      <c r="O2290" s="5"/>
    </row>
    <row r="2291" spans="2:15" x14ac:dyDescent="0.55000000000000004">
      <c r="B2291" s="5"/>
      <c r="C2291" s="5"/>
      <c r="D2291" s="5"/>
      <c r="E2291" s="5"/>
      <c r="F2291" s="5"/>
      <c r="G2291" s="5"/>
      <c r="H2291" s="5"/>
      <c r="I2291" s="5"/>
      <c r="J2291" s="5"/>
      <c r="K2291" s="5"/>
      <c r="L2291" s="5"/>
      <c r="M2291" s="5"/>
      <c r="N2291" s="5"/>
      <c r="O2291" s="5"/>
    </row>
    <row r="2292" spans="2:15" x14ac:dyDescent="0.55000000000000004">
      <c r="B2292" s="5"/>
      <c r="C2292" s="5"/>
      <c r="D2292" s="5"/>
      <c r="E2292" s="5"/>
      <c r="F2292" s="5"/>
      <c r="G2292" s="5"/>
      <c r="H2292" s="5"/>
      <c r="I2292" s="5"/>
      <c r="J2292" s="5"/>
      <c r="K2292" s="5"/>
      <c r="L2292" s="5"/>
      <c r="M2292" s="5"/>
      <c r="N2292" s="5"/>
      <c r="O2292" s="5"/>
    </row>
    <row r="2293" spans="2:15" x14ac:dyDescent="0.55000000000000004">
      <c r="B2293" s="5"/>
      <c r="C2293" s="5"/>
      <c r="D2293" s="5"/>
      <c r="E2293" s="5"/>
      <c r="F2293" s="5"/>
      <c r="G2293" s="5"/>
      <c r="H2293" s="5"/>
      <c r="I2293" s="5"/>
      <c r="J2293" s="5"/>
      <c r="K2293" s="5"/>
      <c r="L2293" s="5"/>
      <c r="M2293" s="5"/>
      <c r="N2293" s="5"/>
      <c r="O2293" s="5"/>
    </row>
    <row r="2294" spans="2:15" x14ac:dyDescent="0.55000000000000004">
      <c r="B2294" s="5"/>
      <c r="C2294" s="5"/>
      <c r="D2294" s="5"/>
      <c r="E2294" s="5"/>
      <c r="F2294" s="5"/>
      <c r="G2294" s="5"/>
      <c r="H2294" s="5"/>
      <c r="I2294" s="5"/>
      <c r="J2294" s="5"/>
      <c r="K2294" s="5"/>
      <c r="L2294" s="5"/>
      <c r="M2294" s="5"/>
      <c r="N2294" s="5"/>
      <c r="O2294" s="5"/>
    </row>
    <row r="2295" spans="2:15" x14ac:dyDescent="0.55000000000000004">
      <c r="B2295" s="5"/>
      <c r="C2295" s="5"/>
      <c r="D2295" s="5"/>
      <c r="E2295" s="5"/>
      <c r="F2295" s="5"/>
      <c r="G2295" s="5"/>
      <c r="H2295" s="5"/>
      <c r="I2295" s="5"/>
      <c r="J2295" s="5"/>
      <c r="K2295" s="5"/>
      <c r="L2295" s="5"/>
      <c r="M2295" s="5"/>
      <c r="N2295" s="5"/>
      <c r="O2295" s="5"/>
    </row>
    <row r="2296" spans="2:15" x14ac:dyDescent="0.55000000000000004">
      <c r="B2296" s="5"/>
      <c r="C2296" s="5"/>
      <c r="D2296" s="5"/>
      <c r="E2296" s="5"/>
      <c r="F2296" s="5"/>
      <c r="G2296" s="5"/>
      <c r="H2296" s="5"/>
      <c r="I2296" s="5"/>
      <c r="J2296" s="5"/>
      <c r="K2296" s="5"/>
      <c r="L2296" s="5"/>
      <c r="M2296" s="5"/>
      <c r="N2296" s="5"/>
      <c r="O2296" s="5"/>
    </row>
    <row r="2297" spans="2:15" x14ac:dyDescent="0.55000000000000004">
      <c r="B2297" s="5"/>
      <c r="C2297" s="5"/>
      <c r="D2297" s="5"/>
      <c r="E2297" s="5"/>
      <c r="F2297" s="5"/>
      <c r="G2297" s="5"/>
      <c r="H2297" s="5"/>
      <c r="I2297" s="5"/>
      <c r="J2297" s="5"/>
      <c r="K2297" s="5"/>
      <c r="L2297" s="5"/>
      <c r="M2297" s="5"/>
      <c r="N2297" s="5"/>
      <c r="O2297" s="5"/>
    </row>
    <row r="2298" spans="2:15" x14ac:dyDescent="0.55000000000000004">
      <c r="B2298" s="5"/>
      <c r="C2298" s="5"/>
      <c r="D2298" s="5"/>
      <c r="E2298" s="5"/>
      <c r="F2298" s="5"/>
      <c r="G2298" s="5"/>
      <c r="H2298" s="5"/>
      <c r="I2298" s="5"/>
      <c r="J2298" s="5"/>
      <c r="K2298" s="5"/>
      <c r="L2298" s="5"/>
      <c r="M2298" s="5"/>
      <c r="N2298" s="5"/>
      <c r="O2298" s="5"/>
    </row>
    <row r="2299" spans="2:15" x14ac:dyDescent="0.55000000000000004">
      <c r="B2299" s="5"/>
      <c r="C2299" s="5"/>
      <c r="D2299" s="5"/>
      <c r="E2299" s="5"/>
      <c r="F2299" s="5"/>
      <c r="G2299" s="5"/>
      <c r="H2299" s="5"/>
      <c r="I2299" s="5"/>
      <c r="J2299" s="5"/>
      <c r="K2299" s="5"/>
      <c r="L2299" s="5"/>
      <c r="M2299" s="5"/>
      <c r="N2299" s="5"/>
      <c r="O2299" s="5"/>
    </row>
    <row r="2300" spans="2:15" x14ac:dyDescent="0.55000000000000004">
      <c r="B2300" s="5"/>
      <c r="C2300" s="5"/>
      <c r="D2300" s="5"/>
      <c r="E2300" s="5"/>
      <c r="F2300" s="5"/>
      <c r="G2300" s="5"/>
      <c r="H2300" s="5"/>
      <c r="I2300" s="5"/>
      <c r="J2300" s="5"/>
      <c r="K2300" s="5"/>
      <c r="L2300" s="5"/>
      <c r="M2300" s="5"/>
      <c r="N2300" s="5"/>
      <c r="O2300" s="5"/>
    </row>
    <row r="2301" spans="2:15" x14ac:dyDescent="0.55000000000000004">
      <c r="B2301" s="5"/>
      <c r="C2301" s="5"/>
      <c r="D2301" s="5"/>
      <c r="E2301" s="5"/>
      <c r="F2301" s="5"/>
      <c r="G2301" s="5"/>
      <c r="H2301" s="5"/>
      <c r="I2301" s="5"/>
      <c r="J2301" s="5"/>
      <c r="K2301" s="5"/>
      <c r="L2301" s="5"/>
      <c r="M2301" s="5"/>
      <c r="N2301" s="5"/>
      <c r="O2301" s="5"/>
    </row>
    <row r="2302" spans="2:15" x14ac:dyDescent="0.55000000000000004">
      <c r="B2302" s="5"/>
      <c r="C2302" s="5"/>
      <c r="D2302" s="5"/>
      <c r="E2302" s="5"/>
      <c r="F2302" s="5"/>
      <c r="G2302" s="5"/>
      <c r="H2302" s="5"/>
      <c r="I2302" s="5"/>
      <c r="J2302" s="5"/>
      <c r="K2302" s="5"/>
      <c r="L2302" s="5"/>
      <c r="M2302" s="5"/>
      <c r="N2302" s="5"/>
      <c r="O2302" s="5"/>
    </row>
    <row r="2303" spans="2:15" x14ac:dyDescent="0.55000000000000004">
      <c r="B2303" s="5"/>
      <c r="C2303" s="5"/>
      <c r="D2303" s="5"/>
      <c r="E2303" s="5"/>
      <c r="F2303" s="5"/>
      <c r="G2303" s="5"/>
      <c r="H2303" s="5"/>
      <c r="I2303" s="5"/>
      <c r="J2303" s="5"/>
      <c r="K2303" s="5"/>
      <c r="L2303" s="5"/>
      <c r="M2303" s="5"/>
      <c r="N2303" s="5"/>
      <c r="O2303" s="5"/>
    </row>
    <row r="2304" spans="2:15" x14ac:dyDescent="0.55000000000000004">
      <c r="B2304" s="5"/>
      <c r="C2304" s="5"/>
      <c r="D2304" s="5"/>
      <c r="E2304" s="5"/>
      <c r="F2304" s="5"/>
      <c r="G2304" s="5"/>
      <c r="H2304" s="5"/>
      <c r="I2304" s="5"/>
      <c r="J2304" s="5"/>
      <c r="K2304" s="5"/>
      <c r="L2304" s="5"/>
      <c r="M2304" s="5"/>
      <c r="N2304" s="5"/>
      <c r="O2304" s="5"/>
    </row>
    <row r="2305" spans="2:15" x14ac:dyDescent="0.55000000000000004">
      <c r="B2305" s="5"/>
      <c r="C2305" s="5"/>
      <c r="D2305" s="5"/>
      <c r="E2305" s="5"/>
      <c r="F2305" s="5"/>
      <c r="G2305" s="5"/>
      <c r="H2305" s="5"/>
      <c r="I2305" s="5"/>
      <c r="J2305" s="5"/>
      <c r="K2305" s="5"/>
      <c r="L2305" s="5"/>
      <c r="M2305" s="5"/>
      <c r="N2305" s="5"/>
      <c r="O2305" s="5"/>
    </row>
    <row r="2306" spans="2:15" x14ac:dyDescent="0.55000000000000004">
      <c r="B2306" s="5"/>
      <c r="C2306" s="5"/>
      <c r="D2306" s="5"/>
      <c r="E2306" s="5"/>
      <c r="F2306" s="5"/>
      <c r="G2306" s="5"/>
      <c r="H2306" s="5"/>
      <c r="I2306" s="5"/>
      <c r="J2306" s="5"/>
      <c r="K2306" s="5"/>
      <c r="L2306" s="5"/>
      <c r="M2306" s="5"/>
      <c r="N2306" s="5"/>
      <c r="O2306" s="5"/>
    </row>
    <row r="2307" spans="2:15" x14ac:dyDescent="0.55000000000000004">
      <c r="B2307" s="5"/>
      <c r="C2307" s="5"/>
      <c r="D2307" s="5"/>
      <c r="E2307" s="5"/>
      <c r="F2307" s="5"/>
      <c r="G2307" s="5"/>
      <c r="H2307" s="5"/>
      <c r="I2307" s="5"/>
      <c r="J2307" s="5"/>
      <c r="K2307" s="5"/>
      <c r="L2307" s="5"/>
      <c r="M2307" s="5"/>
      <c r="N2307" s="5"/>
      <c r="O2307" s="5"/>
    </row>
    <row r="2308" spans="2:15" x14ac:dyDescent="0.55000000000000004">
      <c r="B2308" s="5"/>
      <c r="C2308" s="5"/>
      <c r="D2308" s="5"/>
      <c r="E2308" s="5"/>
      <c r="F2308" s="5"/>
      <c r="G2308" s="5"/>
      <c r="H2308" s="5"/>
      <c r="I2308" s="5"/>
      <c r="J2308" s="5"/>
      <c r="K2308" s="5"/>
      <c r="L2308" s="5"/>
      <c r="M2308" s="5"/>
      <c r="N2308" s="5"/>
      <c r="O2308" s="5"/>
    </row>
    <row r="2309" spans="2:15" x14ac:dyDescent="0.55000000000000004">
      <c r="B2309" s="5"/>
      <c r="C2309" s="5"/>
      <c r="D2309" s="5"/>
      <c r="E2309" s="5"/>
      <c r="F2309" s="5"/>
      <c r="G2309" s="5"/>
      <c r="H2309" s="5"/>
      <c r="I2309" s="5"/>
      <c r="J2309" s="5"/>
      <c r="K2309" s="5"/>
      <c r="L2309" s="5"/>
      <c r="M2309" s="5"/>
      <c r="N2309" s="5"/>
      <c r="O2309" s="5"/>
    </row>
    <row r="2310" spans="2:15" x14ac:dyDescent="0.55000000000000004">
      <c r="B2310" s="5"/>
      <c r="C2310" s="5"/>
      <c r="D2310" s="5"/>
      <c r="E2310" s="5"/>
      <c r="F2310" s="5"/>
      <c r="G2310" s="5"/>
      <c r="H2310" s="5"/>
      <c r="I2310" s="5"/>
      <c r="J2310" s="5"/>
      <c r="K2310" s="5"/>
      <c r="L2310" s="5"/>
      <c r="M2310" s="5"/>
      <c r="N2310" s="5"/>
      <c r="O2310" s="5"/>
    </row>
    <row r="2311" spans="2:15" x14ac:dyDescent="0.55000000000000004">
      <c r="B2311" s="5"/>
      <c r="C2311" s="5"/>
      <c r="D2311" s="5"/>
      <c r="E2311" s="5"/>
      <c r="F2311" s="5"/>
      <c r="G2311" s="5"/>
      <c r="H2311" s="5"/>
      <c r="I2311" s="5"/>
      <c r="J2311" s="5"/>
      <c r="K2311" s="5"/>
      <c r="L2311" s="5"/>
      <c r="M2311" s="5"/>
      <c r="N2311" s="5"/>
      <c r="O2311" s="5"/>
    </row>
    <row r="2312" spans="2:15" x14ac:dyDescent="0.55000000000000004">
      <c r="B2312" s="5"/>
      <c r="C2312" s="5"/>
      <c r="D2312" s="5"/>
      <c r="E2312" s="5"/>
      <c r="F2312" s="5"/>
      <c r="G2312" s="5"/>
      <c r="H2312" s="5"/>
      <c r="I2312" s="5"/>
      <c r="J2312" s="5"/>
      <c r="K2312" s="5"/>
      <c r="L2312" s="5"/>
      <c r="M2312" s="5"/>
      <c r="N2312" s="5"/>
      <c r="O2312" s="5"/>
    </row>
    <row r="2313" spans="2:15" x14ac:dyDescent="0.55000000000000004">
      <c r="B2313" s="5"/>
      <c r="C2313" s="5"/>
      <c r="D2313" s="5"/>
      <c r="E2313" s="5"/>
      <c r="F2313" s="5"/>
      <c r="G2313" s="5"/>
      <c r="H2313" s="5"/>
      <c r="I2313" s="5"/>
      <c r="J2313" s="5"/>
      <c r="K2313" s="5"/>
      <c r="L2313" s="5"/>
      <c r="M2313" s="5"/>
      <c r="N2313" s="5"/>
      <c r="O2313" s="5"/>
    </row>
    <row r="2314" spans="2:15" x14ac:dyDescent="0.55000000000000004">
      <c r="B2314" s="5"/>
      <c r="C2314" s="5"/>
      <c r="D2314" s="5"/>
      <c r="E2314" s="5"/>
      <c r="F2314" s="5"/>
      <c r="G2314" s="5"/>
      <c r="H2314" s="5"/>
      <c r="I2314" s="5"/>
      <c r="J2314" s="5"/>
      <c r="K2314" s="5"/>
      <c r="L2314" s="5"/>
      <c r="M2314" s="5"/>
      <c r="N2314" s="5"/>
      <c r="O2314" s="5"/>
    </row>
    <row r="2315" spans="2:15" x14ac:dyDescent="0.55000000000000004">
      <c r="B2315" s="5"/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5"/>
      <c r="O2315" s="5"/>
    </row>
    <row r="2316" spans="2:15" x14ac:dyDescent="0.55000000000000004">
      <c r="B2316" s="5"/>
      <c r="C2316" s="5"/>
      <c r="D2316" s="5"/>
      <c r="E2316" s="5"/>
      <c r="F2316" s="5"/>
      <c r="G2316" s="5"/>
      <c r="H2316" s="5"/>
      <c r="I2316" s="5"/>
      <c r="J2316" s="5"/>
      <c r="K2316" s="5"/>
      <c r="L2316" s="5"/>
      <c r="M2316" s="5"/>
      <c r="N2316" s="5"/>
      <c r="O2316" s="5"/>
    </row>
    <row r="2317" spans="2:15" x14ac:dyDescent="0.55000000000000004">
      <c r="B2317" s="5"/>
      <c r="C2317" s="5"/>
      <c r="D2317" s="5"/>
      <c r="E2317" s="5"/>
      <c r="F2317" s="5"/>
      <c r="G2317" s="5"/>
      <c r="H2317" s="5"/>
      <c r="I2317" s="5"/>
      <c r="J2317" s="5"/>
      <c r="K2317" s="5"/>
      <c r="L2317" s="5"/>
      <c r="M2317" s="5"/>
      <c r="N2317" s="5"/>
      <c r="O2317" s="5"/>
    </row>
    <row r="2318" spans="2:15" x14ac:dyDescent="0.55000000000000004">
      <c r="B2318" s="5"/>
      <c r="C2318" s="5"/>
      <c r="D2318" s="5"/>
      <c r="E2318" s="5"/>
      <c r="F2318" s="5"/>
      <c r="G2318" s="5"/>
      <c r="H2318" s="5"/>
      <c r="I2318" s="5"/>
      <c r="J2318" s="5"/>
      <c r="K2318" s="5"/>
      <c r="L2318" s="5"/>
      <c r="M2318" s="5"/>
      <c r="N2318" s="5"/>
      <c r="O2318" s="5"/>
    </row>
    <row r="2319" spans="2:15" x14ac:dyDescent="0.55000000000000004">
      <c r="B2319" s="5"/>
      <c r="C2319" s="5"/>
      <c r="D2319" s="5"/>
      <c r="E2319" s="5"/>
      <c r="F2319" s="5"/>
      <c r="G2319" s="5"/>
      <c r="H2319" s="5"/>
      <c r="I2319" s="5"/>
      <c r="J2319" s="5"/>
      <c r="K2319" s="5"/>
      <c r="L2319" s="5"/>
      <c r="M2319" s="5"/>
      <c r="N2319" s="5"/>
      <c r="O2319" s="5"/>
    </row>
    <row r="2320" spans="2:15" x14ac:dyDescent="0.55000000000000004">
      <c r="B2320" s="5"/>
      <c r="C2320" s="5"/>
      <c r="D2320" s="5"/>
      <c r="E2320" s="5"/>
      <c r="F2320" s="5"/>
      <c r="G2320" s="5"/>
      <c r="H2320" s="5"/>
      <c r="I2320" s="5"/>
      <c r="J2320" s="5"/>
      <c r="K2320" s="5"/>
      <c r="L2320" s="5"/>
      <c r="M2320" s="5"/>
      <c r="N2320" s="5"/>
      <c r="O2320" s="5"/>
    </row>
    <row r="2321" spans="2:15" x14ac:dyDescent="0.55000000000000004">
      <c r="B2321" s="5"/>
      <c r="C2321" s="5"/>
      <c r="D2321" s="5"/>
      <c r="E2321" s="5"/>
      <c r="F2321" s="5"/>
      <c r="G2321" s="5"/>
      <c r="H2321" s="5"/>
      <c r="I2321" s="5"/>
      <c r="J2321" s="5"/>
      <c r="K2321" s="5"/>
      <c r="L2321" s="5"/>
      <c r="M2321" s="5"/>
      <c r="N2321" s="5"/>
      <c r="O2321" s="5"/>
    </row>
    <row r="2322" spans="2:15" x14ac:dyDescent="0.55000000000000004">
      <c r="B2322" s="5"/>
      <c r="C2322" s="5"/>
      <c r="D2322" s="5"/>
      <c r="E2322" s="5"/>
      <c r="F2322" s="5"/>
      <c r="G2322" s="5"/>
      <c r="H2322" s="5"/>
      <c r="I2322" s="5"/>
      <c r="J2322" s="5"/>
      <c r="K2322" s="5"/>
      <c r="L2322" s="5"/>
      <c r="M2322" s="5"/>
      <c r="N2322" s="5"/>
      <c r="O2322" s="5"/>
    </row>
    <row r="2323" spans="2:15" x14ac:dyDescent="0.55000000000000004">
      <c r="B2323" s="5"/>
      <c r="C2323" s="5"/>
      <c r="D2323" s="5"/>
      <c r="E2323" s="5"/>
      <c r="F2323" s="5"/>
      <c r="G2323" s="5"/>
      <c r="H2323" s="5"/>
      <c r="I2323" s="5"/>
      <c r="J2323" s="5"/>
      <c r="K2323" s="5"/>
      <c r="L2323" s="5"/>
      <c r="M2323" s="5"/>
      <c r="N2323" s="5"/>
      <c r="O2323" s="5"/>
    </row>
    <row r="2324" spans="2:15" x14ac:dyDescent="0.55000000000000004">
      <c r="B2324" s="5"/>
      <c r="C2324" s="5"/>
      <c r="D2324" s="5"/>
      <c r="E2324" s="5"/>
      <c r="F2324" s="5"/>
      <c r="G2324" s="5"/>
      <c r="H2324" s="5"/>
      <c r="I2324" s="5"/>
      <c r="J2324" s="5"/>
      <c r="K2324" s="5"/>
      <c r="L2324" s="5"/>
      <c r="M2324" s="5"/>
      <c r="N2324" s="5"/>
      <c r="O2324" s="5"/>
    </row>
    <row r="2325" spans="2:15" x14ac:dyDescent="0.55000000000000004">
      <c r="B2325" s="5"/>
      <c r="C2325" s="5"/>
      <c r="D2325" s="5"/>
      <c r="E2325" s="5"/>
      <c r="F2325" s="5"/>
      <c r="G2325" s="5"/>
      <c r="H2325" s="5"/>
      <c r="I2325" s="5"/>
      <c r="J2325" s="5"/>
      <c r="K2325" s="5"/>
      <c r="L2325" s="5"/>
      <c r="M2325" s="5"/>
      <c r="N2325" s="5"/>
      <c r="O2325" s="5"/>
    </row>
    <row r="2326" spans="2:15" x14ac:dyDescent="0.55000000000000004">
      <c r="B2326" s="5"/>
      <c r="C2326" s="5"/>
      <c r="D2326" s="5"/>
      <c r="E2326" s="5"/>
      <c r="F2326" s="5"/>
      <c r="G2326" s="5"/>
      <c r="H2326" s="5"/>
      <c r="I2326" s="5"/>
      <c r="J2326" s="5"/>
      <c r="K2326" s="5"/>
      <c r="L2326" s="5"/>
      <c r="M2326" s="5"/>
      <c r="N2326" s="5"/>
      <c r="O2326" s="5"/>
    </row>
    <row r="2327" spans="2:15" x14ac:dyDescent="0.55000000000000004">
      <c r="B2327" s="5"/>
      <c r="C2327" s="5"/>
      <c r="D2327" s="5"/>
      <c r="E2327" s="5"/>
      <c r="F2327" s="5"/>
      <c r="G2327" s="5"/>
      <c r="H2327" s="5"/>
      <c r="I2327" s="5"/>
      <c r="J2327" s="5"/>
      <c r="K2327" s="5"/>
      <c r="L2327" s="5"/>
      <c r="M2327" s="5"/>
      <c r="N2327" s="5"/>
      <c r="O2327" s="5"/>
    </row>
    <row r="2328" spans="2:15" x14ac:dyDescent="0.55000000000000004">
      <c r="B2328" s="5"/>
      <c r="C2328" s="5"/>
      <c r="D2328" s="5"/>
      <c r="E2328" s="5"/>
      <c r="F2328" s="5"/>
      <c r="G2328" s="5"/>
      <c r="H2328" s="5"/>
      <c r="I2328" s="5"/>
      <c r="J2328" s="5"/>
      <c r="K2328" s="5"/>
      <c r="L2328" s="5"/>
      <c r="M2328" s="5"/>
      <c r="N2328" s="5"/>
      <c r="O2328" s="5"/>
    </row>
    <row r="2329" spans="2:15" x14ac:dyDescent="0.55000000000000004">
      <c r="B2329" s="5"/>
      <c r="C2329" s="5"/>
      <c r="D2329" s="5"/>
      <c r="E2329" s="5"/>
      <c r="F2329" s="5"/>
      <c r="G2329" s="5"/>
      <c r="H2329" s="5"/>
      <c r="I2329" s="5"/>
      <c r="J2329" s="5"/>
      <c r="K2329" s="5"/>
      <c r="L2329" s="5"/>
      <c r="M2329" s="5"/>
      <c r="N2329" s="5"/>
      <c r="O2329" s="5"/>
    </row>
    <row r="2330" spans="2:15" x14ac:dyDescent="0.55000000000000004">
      <c r="B2330" s="5"/>
      <c r="C2330" s="5"/>
      <c r="D2330" s="5"/>
      <c r="E2330" s="5"/>
      <c r="F2330" s="5"/>
      <c r="G2330" s="5"/>
      <c r="H2330" s="5"/>
      <c r="I2330" s="5"/>
      <c r="J2330" s="5"/>
      <c r="K2330" s="5"/>
      <c r="L2330" s="5"/>
      <c r="M2330" s="5"/>
      <c r="N2330" s="5"/>
      <c r="O2330" s="5"/>
    </row>
    <row r="2331" spans="2:15" x14ac:dyDescent="0.55000000000000004">
      <c r="B2331" s="5"/>
      <c r="C2331" s="5"/>
      <c r="D2331" s="5"/>
      <c r="E2331" s="5"/>
      <c r="F2331" s="5"/>
      <c r="G2331" s="5"/>
      <c r="H2331" s="5"/>
      <c r="I2331" s="5"/>
      <c r="J2331" s="5"/>
      <c r="K2331" s="5"/>
      <c r="L2331" s="5"/>
      <c r="M2331" s="5"/>
      <c r="N2331" s="5"/>
      <c r="O2331" s="5"/>
    </row>
    <row r="2332" spans="2:15" x14ac:dyDescent="0.55000000000000004">
      <c r="B2332" s="5"/>
      <c r="C2332" s="5"/>
      <c r="D2332" s="5"/>
      <c r="E2332" s="5"/>
      <c r="F2332" s="5"/>
      <c r="G2332" s="5"/>
      <c r="H2332" s="5"/>
      <c r="I2332" s="5"/>
      <c r="J2332" s="5"/>
      <c r="K2332" s="5"/>
      <c r="L2332" s="5"/>
      <c r="M2332" s="5"/>
      <c r="N2332" s="5"/>
      <c r="O2332" s="5"/>
    </row>
    <row r="2333" spans="2:15" x14ac:dyDescent="0.55000000000000004">
      <c r="B2333" s="5"/>
      <c r="C2333" s="5"/>
      <c r="D2333" s="5"/>
      <c r="E2333" s="5"/>
      <c r="F2333" s="5"/>
      <c r="G2333" s="5"/>
      <c r="H2333" s="5"/>
      <c r="I2333" s="5"/>
      <c r="J2333" s="5"/>
      <c r="K2333" s="5"/>
      <c r="L2333" s="5"/>
      <c r="M2333" s="5"/>
      <c r="N2333" s="5"/>
      <c r="O2333" s="5"/>
    </row>
    <row r="2334" spans="2:15" x14ac:dyDescent="0.55000000000000004">
      <c r="B2334" s="5"/>
      <c r="C2334" s="5"/>
      <c r="D2334" s="5"/>
      <c r="E2334" s="5"/>
      <c r="F2334" s="5"/>
      <c r="G2334" s="5"/>
      <c r="H2334" s="5"/>
      <c r="I2334" s="5"/>
      <c r="J2334" s="5"/>
      <c r="K2334" s="5"/>
      <c r="L2334" s="5"/>
      <c r="M2334" s="5"/>
      <c r="N2334" s="5"/>
      <c r="O2334" s="5"/>
    </row>
    <row r="2335" spans="2:15" x14ac:dyDescent="0.55000000000000004">
      <c r="B2335" s="5"/>
      <c r="C2335" s="5"/>
      <c r="D2335" s="5"/>
      <c r="E2335" s="5"/>
      <c r="F2335" s="5"/>
      <c r="G2335" s="5"/>
      <c r="H2335" s="5"/>
      <c r="I2335" s="5"/>
      <c r="J2335" s="5"/>
      <c r="K2335" s="5"/>
      <c r="L2335" s="5"/>
      <c r="M2335" s="5"/>
      <c r="N2335" s="5"/>
      <c r="O2335" s="5"/>
    </row>
    <row r="2336" spans="2:15" x14ac:dyDescent="0.55000000000000004">
      <c r="B2336" s="5"/>
      <c r="C2336" s="5"/>
      <c r="D2336" s="5"/>
      <c r="E2336" s="5"/>
      <c r="F2336" s="5"/>
      <c r="G2336" s="5"/>
      <c r="H2336" s="5"/>
      <c r="I2336" s="5"/>
      <c r="J2336" s="5"/>
      <c r="K2336" s="5"/>
      <c r="L2336" s="5"/>
      <c r="M2336" s="5"/>
      <c r="N2336" s="5"/>
      <c r="O2336" s="5"/>
    </row>
    <row r="2337" spans="2:15" x14ac:dyDescent="0.55000000000000004">
      <c r="B2337" s="5"/>
      <c r="C2337" s="5"/>
      <c r="D2337" s="5"/>
      <c r="E2337" s="5"/>
      <c r="F2337" s="5"/>
      <c r="G2337" s="5"/>
      <c r="H2337" s="5"/>
      <c r="I2337" s="5"/>
      <c r="J2337" s="5"/>
      <c r="K2337" s="5"/>
      <c r="L2337" s="5"/>
      <c r="M2337" s="5"/>
      <c r="N2337" s="5"/>
      <c r="O2337" s="5"/>
    </row>
    <row r="2338" spans="2:15" x14ac:dyDescent="0.55000000000000004">
      <c r="B2338" s="5"/>
      <c r="C2338" s="5"/>
      <c r="D2338" s="5"/>
      <c r="E2338" s="5"/>
      <c r="F2338" s="5"/>
      <c r="G2338" s="5"/>
      <c r="H2338" s="5"/>
      <c r="I2338" s="5"/>
      <c r="J2338" s="5"/>
      <c r="K2338" s="5"/>
      <c r="L2338" s="5"/>
      <c r="M2338" s="5"/>
      <c r="N2338" s="5"/>
      <c r="O2338" s="5"/>
    </row>
    <row r="2339" spans="2:15" x14ac:dyDescent="0.55000000000000004">
      <c r="B2339" s="5"/>
      <c r="C2339" s="5"/>
      <c r="D2339" s="5"/>
      <c r="E2339" s="5"/>
      <c r="F2339" s="5"/>
      <c r="G2339" s="5"/>
      <c r="H2339" s="5"/>
      <c r="I2339" s="5"/>
      <c r="J2339" s="5"/>
      <c r="K2339" s="5"/>
      <c r="L2339" s="5"/>
      <c r="M2339" s="5"/>
      <c r="N2339" s="5"/>
      <c r="O2339" s="5"/>
    </row>
    <row r="2340" spans="2:15" x14ac:dyDescent="0.55000000000000004">
      <c r="B2340" s="5"/>
      <c r="C2340" s="5"/>
      <c r="D2340" s="5"/>
      <c r="E2340" s="5"/>
      <c r="F2340" s="5"/>
      <c r="G2340" s="5"/>
      <c r="H2340" s="5"/>
      <c r="I2340" s="5"/>
      <c r="J2340" s="5"/>
      <c r="K2340" s="5"/>
      <c r="L2340" s="5"/>
      <c r="M2340" s="5"/>
      <c r="N2340" s="5"/>
      <c r="O2340" s="5"/>
    </row>
    <row r="2341" spans="2:15" x14ac:dyDescent="0.55000000000000004">
      <c r="B2341" s="5"/>
      <c r="C2341" s="5"/>
      <c r="D2341" s="5"/>
      <c r="E2341" s="5"/>
      <c r="F2341" s="5"/>
      <c r="G2341" s="5"/>
      <c r="H2341" s="5"/>
      <c r="I2341" s="5"/>
      <c r="J2341" s="5"/>
      <c r="K2341" s="5"/>
      <c r="L2341" s="5"/>
      <c r="M2341" s="5"/>
      <c r="N2341" s="5"/>
      <c r="O2341" s="5"/>
    </row>
    <row r="2342" spans="2:15" x14ac:dyDescent="0.55000000000000004">
      <c r="B2342" s="5"/>
      <c r="C2342" s="5"/>
      <c r="D2342" s="5"/>
      <c r="E2342" s="5"/>
      <c r="F2342" s="5"/>
      <c r="G2342" s="5"/>
      <c r="H2342" s="5"/>
      <c r="I2342" s="5"/>
      <c r="J2342" s="5"/>
      <c r="K2342" s="5"/>
      <c r="L2342" s="5"/>
      <c r="M2342" s="5"/>
      <c r="N2342" s="5"/>
      <c r="O2342" s="5"/>
    </row>
    <row r="2343" spans="2:15" x14ac:dyDescent="0.55000000000000004">
      <c r="B2343" s="5"/>
      <c r="C2343" s="5"/>
      <c r="D2343" s="5"/>
      <c r="E2343" s="5"/>
      <c r="F2343" s="5"/>
      <c r="G2343" s="5"/>
      <c r="H2343" s="5"/>
      <c r="I2343" s="5"/>
      <c r="J2343" s="5"/>
      <c r="K2343" s="5"/>
      <c r="L2343" s="5"/>
      <c r="M2343" s="5"/>
      <c r="N2343" s="5"/>
      <c r="O2343" s="5"/>
    </row>
    <row r="2344" spans="2:15" x14ac:dyDescent="0.55000000000000004">
      <c r="B2344" s="5"/>
      <c r="C2344" s="5"/>
      <c r="D2344" s="5"/>
      <c r="E2344" s="5"/>
      <c r="F2344" s="5"/>
      <c r="G2344" s="5"/>
      <c r="H2344" s="5"/>
      <c r="I2344" s="5"/>
      <c r="J2344" s="5"/>
      <c r="K2344" s="5"/>
      <c r="L2344" s="5"/>
      <c r="M2344" s="5"/>
      <c r="N2344" s="5"/>
      <c r="O2344" s="5"/>
    </row>
    <row r="2345" spans="2:15" x14ac:dyDescent="0.55000000000000004">
      <c r="B2345" s="5"/>
      <c r="C2345" s="5"/>
      <c r="D2345" s="5"/>
      <c r="E2345" s="5"/>
      <c r="F2345" s="5"/>
      <c r="G2345" s="5"/>
      <c r="H2345" s="5"/>
      <c r="I2345" s="5"/>
      <c r="J2345" s="5"/>
      <c r="K2345" s="5"/>
      <c r="L2345" s="5"/>
      <c r="M2345" s="5"/>
      <c r="N2345" s="5"/>
      <c r="O2345" s="5"/>
    </row>
    <row r="2346" spans="2:15" x14ac:dyDescent="0.55000000000000004">
      <c r="B2346" s="5"/>
      <c r="C2346" s="5"/>
      <c r="D2346" s="5"/>
      <c r="E2346" s="5"/>
      <c r="F2346" s="5"/>
      <c r="G2346" s="5"/>
      <c r="H2346" s="5"/>
      <c r="I2346" s="5"/>
      <c r="J2346" s="5"/>
      <c r="K2346" s="5"/>
      <c r="L2346" s="5"/>
      <c r="M2346" s="5"/>
      <c r="N2346" s="5"/>
      <c r="O2346" s="5"/>
    </row>
    <row r="2347" spans="2:15" x14ac:dyDescent="0.55000000000000004">
      <c r="B2347" s="5"/>
      <c r="C2347" s="5"/>
      <c r="D2347" s="5"/>
      <c r="E2347" s="5"/>
      <c r="F2347" s="5"/>
      <c r="G2347" s="5"/>
      <c r="H2347" s="5"/>
      <c r="I2347" s="5"/>
      <c r="J2347" s="5"/>
      <c r="K2347" s="5"/>
      <c r="L2347" s="5"/>
      <c r="M2347" s="5"/>
      <c r="N2347" s="5"/>
      <c r="O2347" s="5"/>
    </row>
    <row r="2348" spans="2:15" x14ac:dyDescent="0.55000000000000004">
      <c r="B2348" s="5"/>
      <c r="C2348" s="5"/>
      <c r="D2348" s="5"/>
      <c r="E2348" s="5"/>
      <c r="F2348" s="5"/>
      <c r="G2348" s="5"/>
      <c r="H2348" s="5"/>
      <c r="I2348" s="5"/>
      <c r="J2348" s="5"/>
      <c r="K2348" s="5"/>
      <c r="L2348" s="5"/>
      <c r="M2348" s="5"/>
      <c r="N2348" s="5"/>
      <c r="O2348" s="5"/>
    </row>
    <row r="2349" spans="2:15" x14ac:dyDescent="0.55000000000000004">
      <c r="B2349" s="5"/>
      <c r="C2349" s="5"/>
      <c r="D2349" s="5"/>
      <c r="E2349" s="5"/>
      <c r="F2349" s="5"/>
      <c r="G2349" s="5"/>
      <c r="H2349" s="5"/>
      <c r="I2349" s="5"/>
      <c r="J2349" s="5"/>
      <c r="K2349" s="5"/>
      <c r="L2349" s="5"/>
      <c r="M2349" s="5"/>
      <c r="N2349" s="5"/>
      <c r="O2349" s="5"/>
    </row>
    <row r="2350" spans="2:15" x14ac:dyDescent="0.55000000000000004">
      <c r="B2350" s="5"/>
      <c r="C2350" s="5"/>
      <c r="D2350" s="5"/>
      <c r="E2350" s="5"/>
      <c r="F2350" s="5"/>
      <c r="G2350" s="5"/>
      <c r="H2350" s="5"/>
      <c r="I2350" s="5"/>
      <c r="J2350" s="5"/>
      <c r="K2350" s="5"/>
      <c r="L2350" s="5"/>
      <c r="M2350" s="5"/>
      <c r="N2350" s="5"/>
      <c r="O2350" s="5"/>
    </row>
    <row r="2351" spans="2:15" x14ac:dyDescent="0.55000000000000004">
      <c r="B2351" s="5"/>
      <c r="C2351" s="5"/>
      <c r="D2351" s="5"/>
      <c r="E2351" s="5"/>
      <c r="F2351" s="5"/>
      <c r="G2351" s="5"/>
      <c r="H2351" s="5"/>
      <c r="I2351" s="5"/>
      <c r="J2351" s="5"/>
      <c r="K2351" s="5"/>
      <c r="L2351" s="5"/>
      <c r="M2351" s="5"/>
      <c r="N2351" s="5"/>
      <c r="O2351" s="5"/>
    </row>
    <row r="2352" spans="2:15" x14ac:dyDescent="0.55000000000000004">
      <c r="B2352" s="5"/>
      <c r="C2352" s="5"/>
      <c r="D2352" s="5"/>
      <c r="E2352" s="5"/>
      <c r="F2352" s="5"/>
      <c r="G2352" s="5"/>
      <c r="H2352" s="5"/>
      <c r="I2352" s="5"/>
      <c r="J2352" s="5"/>
      <c r="K2352" s="5"/>
      <c r="L2352" s="5"/>
      <c r="M2352" s="5"/>
      <c r="N2352" s="5"/>
      <c r="O2352" s="5"/>
    </row>
    <row r="2353" spans="2:15" x14ac:dyDescent="0.55000000000000004">
      <c r="B2353" s="5"/>
      <c r="C2353" s="5"/>
      <c r="D2353" s="5"/>
      <c r="E2353" s="5"/>
      <c r="F2353" s="5"/>
      <c r="G2353" s="5"/>
      <c r="H2353" s="5"/>
      <c r="I2353" s="5"/>
      <c r="J2353" s="5"/>
      <c r="K2353" s="5"/>
      <c r="L2353" s="5"/>
      <c r="M2353" s="5"/>
      <c r="N2353" s="5"/>
      <c r="O2353" s="5"/>
    </row>
    <row r="2354" spans="2:15" x14ac:dyDescent="0.55000000000000004">
      <c r="B2354" s="5"/>
      <c r="C2354" s="5"/>
      <c r="D2354" s="5"/>
      <c r="E2354" s="5"/>
      <c r="F2354" s="5"/>
      <c r="G2354" s="5"/>
      <c r="H2354" s="5"/>
      <c r="I2354" s="5"/>
      <c r="J2354" s="5"/>
      <c r="K2354" s="5"/>
      <c r="L2354" s="5"/>
      <c r="M2354" s="5"/>
      <c r="N2354" s="5"/>
      <c r="O2354" s="5"/>
    </row>
    <row r="2355" spans="2:15" x14ac:dyDescent="0.55000000000000004">
      <c r="B2355" s="5"/>
      <c r="C2355" s="5"/>
      <c r="D2355" s="5"/>
      <c r="E2355" s="5"/>
      <c r="F2355" s="5"/>
      <c r="G2355" s="5"/>
      <c r="H2355" s="5"/>
      <c r="I2355" s="5"/>
      <c r="J2355" s="5"/>
      <c r="K2355" s="5"/>
      <c r="L2355" s="5"/>
      <c r="M2355" s="5"/>
      <c r="N2355" s="5"/>
      <c r="O2355" s="5"/>
    </row>
    <row r="2356" spans="2:15" x14ac:dyDescent="0.55000000000000004">
      <c r="B2356" s="5"/>
      <c r="C2356" s="5"/>
      <c r="D2356" s="5"/>
      <c r="E2356" s="5"/>
      <c r="F2356" s="5"/>
      <c r="G2356" s="5"/>
      <c r="H2356" s="5"/>
      <c r="I2356" s="5"/>
      <c r="J2356" s="5"/>
      <c r="K2356" s="5"/>
      <c r="L2356" s="5"/>
      <c r="M2356" s="5"/>
      <c r="N2356" s="5"/>
      <c r="O2356" s="5"/>
    </row>
    <row r="2357" spans="2:15" x14ac:dyDescent="0.55000000000000004">
      <c r="B2357" s="5"/>
      <c r="C2357" s="5"/>
      <c r="D2357" s="5"/>
      <c r="E2357" s="5"/>
      <c r="F2357" s="5"/>
      <c r="G2357" s="5"/>
      <c r="H2357" s="5"/>
      <c r="I2357" s="5"/>
      <c r="J2357" s="5"/>
      <c r="K2357" s="5"/>
      <c r="L2357" s="5"/>
      <c r="M2357" s="5"/>
      <c r="N2357" s="5"/>
      <c r="O2357" s="5"/>
    </row>
    <row r="2358" spans="2:15" x14ac:dyDescent="0.55000000000000004">
      <c r="B2358" s="5"/>
      <c r="C2358" s="5"/>
      <c r="D2358" s="5"/>
      <c r="E2358" s="5"/>
      <c r="F2358" s="5"/>
      <c r="G2358" s="5"/>
      <c r="H2358" s="5"/>
      <c r="I2358" s="5"/>
      <c r="J2358" s="5"/>
      <c r="K2358" s="5"/>
      <c r="L2358" s="5"/>
      <c r="M2358" s="5"/>
      <c r="N2358" s="5"/>
      <c r="O2358" s="5"/>
    </row>
    <row r="2359" spans="2:15" x14ac:dyDescent="0.55000000000000004">
      <c r="B2359" s="5"/>
      <c r="C2359" s="5"/>
      <c r="D2359" s="5"/>
      <c r="E2359" s="5"/>
      <c r="F2359" s="5"/>
      <c r="G2359" s="5"/>
      <c r="H2359" s="5"/>
      <c r="I2359" s="5"/>
      <c r="J2359" s="5"/>
      <c r="K2359" s="5"/>
      <c r="L2359" s="5"/>
      <c r="M2359" s="5"/>
      <c r="N2359" s="5"/>
      <c r="O2359" s="5"/>
    </row>
    <row r="2360" spans="2:15" x14ac:dyDescent="0.55000000000000004">
      <c r="B2360" s="5"/>
      <c r="C2360" s="5"/>
      <c r="D2360" s="5"/>
      <c r="E2360" s="5"/>
      <c r="F2360" s="5"/>
      <c r="G2360" s="5"/>
      <c r="H2360" s="5"/>
      <c r="I2360" s="5"/>
      <c r="J2360" s="5"/>
      <c r="K2360" s="5"/>
      <c r="L2360" s="5"/>
      <c r="M2360" s="5"/>
      <c r="N2360" s="5"/>
      <c r="O2360" s="5"/>
    </row>
    <row r="2361" spans="2:15" x14ac:dyDescent="0.55000000000000004">
      <c r="B2361" s="5"/>
      <c r="C2361" s="5"/>
      <c r="D2361" s="5"/>
      <c r="E2361" s="5"/>
      <c r="F2361" s="5"/>
      <c r="G2361" s="5"/>
      <c r="H2361" s="5"/>
      <c r="I2361" s="5"/>
      <c r="J2361" s="5"/>
      <c r="K2361" s="5"/>
      <c r="L2361" s="5"/>
      <c r="M2361" s="5"/>
      <c r="N2361" s="5"/>
      <c r="O2361" s="5"/>
    </row>
    <row r="2362" spans="2:15" x14ac:dyDescent="0.55000000000000004">
      <c r="B2362" s="5"/>
      <c r="C2362" s="5"/>
      <c r="D2362" s="5"/>
      <c r="E2362" s="5"/>
      <c r="F2362" s="5"/>
      <c r="G2362" s="5"/>
      <c r="H2362" s="5"/>
      <c r="I2362" s="5"/>
      <c r="J2362" s="5"/>
      <c r="K2362" s="5"/>
      <c r="L2362" s="5"/>
      <c r="M2362" s="5"/>
      <c r="N2362" s="5"/>
      <c r="O2362" s="5"/>
    </row>
    <row r="2363" spans="2:15" x14ac:dyDescent="0.55000000000000004">
      <c r="B2363" s="5"/>
      <c r="C2363" s="5"/>
      <c r="D2363" s="5"/>
      <c r="E2363" s="5"/>
      <c r="F2363" s="5"/>
      <c r="G2363" s="5"/>
      <c r="H2363" s="5"/>
      <c r="I2363" s="5"/>
      <c r="J2363" s="5"/>
      <c r="K2363" s="5"/>
      <c r="L2363" s="5"/>
      <c r="M2363" s="5"/>
      <c r="N2363" s="5"/>
      <c r="O2363" s="5"/>
    </row>
    <row r="2364" spans="2:15" x14ac:dyDescent="0.55000000000000004">
      <c r="B2364" s="5"/>
      <c r="C2364" s="5"/>
      <c r="D2364" s="5"/>
      <c r="E2364" s="5"/>
      <c r="F2364" s="5"/>
      <c r="G2364" s="5"/>
      <c r="H2364" s="5"/>
      <c r="I2364" s="5"/>
      <c r="J2364" s="5"/>
      <c r="K2364" s="5"/>
      <c r="L2364" s="5"/>
      <c r="M2364" s="5"/>
      <c r="N2364" s="5"/>
      <c r="O2364" s="5"/>
    </row>
    <row r="2365" spans="2:15" x14ac:dyDescent="0.55000000000000004">
      <c r="B2365" s="5"/>
      <c r="C2365" s="5"/>
      <c r="D2365" s="5"/>
      <c r="E2365" s="5"/>
      <c r="F2365" s="5"/>
      <c r="G2365" s="5"/>
      <c r="H2365" s="5"/>
      <c r="I2365" s="5"/>
      <c r="J2365" s="5"/>
      <c r="K2365" s="5"/>
      <c r="L2365" s="5"/>
      <c r="M2365" s="5"/>
      <c r="N2365" s="5"/>
      <c r="O2365" s="5"/>
    </row>
    <row r="2366" spans="2:15" x14ac:dyDescent="0.55000000000000004">
      <c r="B2366" s="5"/>
      <c r="C2366" s="5"/>
      <c r="D2366" s="5"/>
      <c r="E2366" s="5"/>
      <c r="F2366" s="5"/>
      <c r="G2366" s="5"/>
      <c r="H2366" s="5"/>
      <c r="I2366" s="5"/>
      <c r="J2366" s="5"/>
      <c r="K2366" s="5"/>
      <c r="L2366" s="5"/>
      <c r="M2366" s="5"/>
      <c r="N2366" s="5"/>
      <c r="O2366" s="5"/>
    </row>
    <row r="2367" spans="2:15" x14ac:dyDescent="0.55000000000000004">
      <c r="B2367" s="5"/>
      <c r="C2367" s="5"/>
      <c r="D2367" s="5"/>
      <c r="E2367" s="5"/>
      <c r="F2367" s="5"/>
      <c r="G2367" s="5"/>
      <c r="H2367" s="5"/>
      <c r="I2367" s="5"/>
      <c r="J2367" s="5"/>
      <c r="K2367" s="5"/>
      <c r="L2367" s="5"/>
      <c r="M2367" s="5"/>
      <c r="N2367" s="5"/>
      <c r="O2367" s="5"/>
    </row>
    <row r="2368" spans="2:15" x14ac:dyDescent="0.55000000000000004">
      <c r="B2368" s="5"/>
      <c r="C2368" s="5"/>
      <c r="D2368" s="5"/>
      <c r="E2368" s="5"/>
      <c r="F2368" s="5"/>
      <c r="G2368" s="5"/>
      <c r="H2368" s="5"/>
      <c r="I2368" s="5"/>
      <c r="J2368" s="5"/>
      <c r="K2368" s="5"/>
      <c r="L2368" s="5"/>
      <c r="M2368" s="5"/>
      <c r="N2368" s="5"/>
      <c r="O2368" s="5"/>
    </row>
    <row r="2369" spans="2:15" x14ac:dyDescent="0.55000000000000004">
      <c r="B2369" s="5"/>
      <c r="C2369" s="5"/>
      <c r="D2369" s="5"/>
      <c r="E2369" s="5"/>
      <c r="F2369" s="5"/>
      <c r="G2369" s="5"/>
      <c r="H2369" s="5"/>
      <c r="I2369" s="5"/>
      <c r="J2369" s="5"/>
      <c r="K2369" s="5"/>
      <c r="L2369" s="5"/>
      <c r="M2369" s="5"/>
      <c r="N2369" s="5"/>
      <c r="O2369" s="5"/>
    </row>
    <row r="2370" spans="2:15" x14ac:dyDescent="0.55000000000000004">
      <c r="B2370" s="5"/>
      <c r="C2370" s="5"/>
      <c r="D2370" s="5"/>
      <c r="E2370" s="5"/>
      <c r="F2370" s="5"/>
      <c r="G2370" s="5"/>
      <c r="H2370" s="5"/>
      <c r="I2370" s="5"/>
      <c r="J2370" s="5"/>
      <c r="K2370" s="5"/>
      <c r="L2370" s="5"/>
      <c r="M2370" s="5"/>
      <c r="N2370" s="5"/>
      <c r="O2370" s="5"/>
    </row>
    <row r="2371" spans="2:15" x14ac:dyDescent="0.55000000000000004">
      <c r="B2371" s="5"/>
      <c r="C2371" s="5"/>
      <c r="D2371" s="5"/>
      <c r="E2371" s="5"/>
      <c r="F2371" s="5"/>
      <c r="G2371" s="5"/>
      <c r="H2371" s="5"/>
      <c r="I2371" s="5"/>
      <c r="J2371" s="5"/>
      <c r="K2371" s="5"/>
      <c r="L2371" s="5"/>
      <c r="M2371" s="5"/>
      <c r="N2371" s="5"/>
      <c r="O2371" s="5"/>
    </row>
    <row r="2372" spans="2:15" x14ac:dyDescent="0.55000000000000004">
      <c r="B2372" s="5"/>
      <c r="C2372" s="5"/>
      <c r="D2372" s="5"/>
      <c r="E2372" s="5"/>
      <c r="F2372" s="5"/>
      <c r="G2372" s="5"/>
      <c r="H2372" s="5"/>
      <c r="I2372" s="5"/>
      <c r="J2372" s="5"/>
      <c r="K2372" s="5"/>
      <c r="L2372" s="5"/>
      <c r="M2372" s="5"/>
      <c r="N2372" s="5"/>
      <c r="O2372" s="5"/>
    </row>
    <row r="2373" spans="2:15" x14ac:dyDescent="0.55000000000000004">
      <c r="B2373" s="5"/>
      <c r="C2373" s="5"/>
      <c r="D2373" s="5"/>
      <c r="E2373" s="5"/>
      <c r="F2373" s="5"/>
      <c r="G2373" s="5"/>
      <c r="H2373" s="5"/>
      <c r="I2373" s="5"/>
      <c r="J2373" s="5"/>
      <c r="K2373" s="5"/>
      <c r="L2373" s="5"/>
      <c r="M2373" s="5"/>
      <c r="N2373" s="5"/>
      <c r="O2373" s="5"/>
    </row>
    <row r="2374" spans="2:15" x14ac:dyDescent="0.55000000000000004">
      <c r="B2374" s="5"/>
      <c r="C2374" s="5"/>
      <c r="D2374" s="5"/>
      <c r="E2374" s="5"/>
      <c r="F2374" s="5"/>
      <c r="G2374" s="5"/>
      <c r="H2374" s="5"/>
      <c r="I2374" s="5"/>
      <c r="J2374" s="5"/>
      <c r="K2374" s="5"/>
      <c r="L2374" s="5"/>
      <c r="M2374" s="5"/>
      <c r="N2374" s="5"/>
      <c r="O2374" s="5"/>
    </row>
    <row r="2375" spans="2:15" x14ac:dyDescent="0.55000000000000004">
      <c r="B2375" s="5"/>
      <c r="C2375" s="5"/>
      <c r="D2375" s="5"/>
      <c r="E2375" s="5"/>
      <c r="F2375" s="5"/>
      <c r="G2375" s="5"/>
      <c r="H2375" s="5"/>
      <c r="I2375" s="5"/>
      <c r="J2375" s="5"/>
      <c r="K2375" s="5"/>
      <c r="L2375" s="5"/>
      <c r="M2375" s="5"/>
      <c r="N2375" s="5"/>
      <c r="O2375" s="5"/>
    </row>
    <row r="2376" spans="2:15" x14ac:dyDescent="0.55000000000000004">
      <c r="B2376" s="5"/>
      <c r="C2376" s="5"/>
      <c r="D2376" s="5"/>
      <c r="E2376" s="5"/>
      <c r="F2376" s="5"/>
      <c r="G2376" s="5"/>
      <c r="H2376" s="5"/>
      <c r="I2376" s="5"/>
      <c r="J2376" s="5"/>
      <c r="K2376" s="5"/>
      <c r="L2376" s="5"/>
      <c r="M2376" s="5"/>
      <c r="N2376" s="5"/>
      <c r="O2376" s="5"/>
    </row>
    <row r="2377" spans="2:15" x14ac:dyDescent="0.55000000000000004">
      <c r="B2377" s="5"/>
      <c r="C2377" s="5"/>
      <c r="D2377" s="5"/>
      <c r="E2377" s="5"/>
      <c r="F2377" s="5"/>
      <c r="G2377" s="5"/>
      <c r="H2377" s="5"/>
      <c r="I2377" s="5"/>
      <c r="J2377" s="5"/>
      <c r="K2377" s="5"/>
      <c r="L2377" s="5"/>
      <c r="M2377" s="5"/>
      <c r="N2377" s="5"/>
      <c r="O2377" s="5"/>
    </row>
    <row r="2378" spans="2:15" x14ac:dyDescent="0.55000000000000004">
      <c r="B2378" s="5"/>
      <c r="C2378" s="5"/>
      <c r="D2378" s="5"/>
      <c r="E2378" s="5"/>
      <c r="F2378" s="5"/>
      <c r="G2378" s="5"/>
      <c r="H2378" s="5"/>
      <c r="I2378" s="5"/>
      <c r="J2378" s="5"/>
      <c r="K2378" s="5"/>
      <c r="L2378" s="5"/>
      <c r="M2378" s="5"/>
      <c r="N2378" s="5"/>
      <c r="O2378" s="5"/>
    </row>
    <row r="2379" spans="2:15" x14ac:dyDescent="0.55000000000000004">
      <c r="B2379" s="5"/>
      <c r="C2379" s="5"/>
      <c r="D2379" s="5"/>
      <c r="E2379" s="5"/>
      <c r="F2379" s="5"/>
      <c r="G2379" s="5"/>
      <c r="H2379" s="5"/>
      <c r="I2379" s="5"/>
      <c r="J2379" s="5"/>
      <c r="K2379" s="5"/>
      <c r="L2379" s="5"/>
      <c r="M2379" s="5"/>
      <c r="N2379" s="5"/>
      <c r="O2379" s="5"/>
    </row>
    <row r="2380" spans="2:15" x14ac:dyDescent="0.55000000000000004">
      <c r="B2380" s="5"/>
      <c r="C2380" s="5"/>
      <c r="D2380" s="5"/>
      <c r="E2380" s="5"/>
      <c r="F2380" s="5"/>
      <c r="G2380" s="5"/>
      <c r="H2380" s="5"/>
      <c r="I2380" s="5"/>
      <c r="J2380" s="5"/>
      <c r="K2380" s="5"/>
      <c r="L2380" s="5"/>
      <c r="M2380" s="5"/>
      <c r="N2380" s="5"/>
      <c r="O2380" s="5"/>
    </row>
    <row r="2381" spans="2:15" x14ac:dyDescent="0.55000000000000004">
      <c r="B2381" s="5"/>
      <c r="C2381" s="5"/>
      <c r="D2381" s="5"/>
      <c r="E2381" s="5"/>
      <c r="F2381" s="5"/>
      <c r="G2381" s="5"/>
      <c r="H2381" s="5"/>
      <c r="I2381" s="5"/>
      <c r="J2381" s="5"/>
      <c r="K2381" s="5"/>
      <c r="L2381" s="5"/>
      <c r="M2381" s="5"/>
      <c r="N2381" s="5"/>
      <c r="O2381" s="5"/>
    </row>
    <row r="2382" spans="2:15" x14ac:dyDescent="0.55000000000000004">
      <c r="B2382" s="5"/>
      <c r="C2382" s="5"/>
      <c r="D2382" s="5"/>
      <c r="E2382" s="5"/>
      <c r="F2382" s="5"/>
      <c r="G2382" s="5"/>
      <c r="H2382" s="5"/>
      <c r="I2382" s="5"/>
      <c r="J2382" s="5"/>
      <c r="K2382" s="5"/>
      <c r="L2382" s="5"/>
      <c r="M2382" s="5"/>
      <c r="N2382" s="5"/>
      <c r="O2382" s="5"/>
    </row>
    <row r="2383" spans="2:15" x14ac:dyDescent="0.55000000000000004">
      <c r="B2383" s="5"/>
      <c r="C2383" s="5"/>
      <c r="D2383" s="5"/>
      <c r="E2383" s="5"/>
      <c r="F2383" s="5"/>
      <c r="G2383" s="5"/>
      <c r="H2383" s="5"/>
      <c r="I2383" s="5"/>
      <c r="J2383" s="5"/>
      <c r="K2383" s="5"/>
      <c r="L2383" s="5"/>
      <c r="M2383" s="5"/>
      <c r="N2383" s="5"/>
      <c r="O2383" s="5"/>
    </row>
    <row r="2384" spans="2:15" x14ac:dyDescent="0.55000000000000004">
      <c r="B2384" s="5"/>
      <c r="C2384" s="5"/>
      <c r="D2384" s="5"/>
      <c r="E2384" s="5"/>
      <c r="F2384" s="5"/>
      <c r="G2384" s="5"/>
      <c r="H2384" s="5"/>
      <c r="I2384" s="5"/>
      <c r="J2384" s="5"/>
      <c r="K2384" s="5"/>
      <c r="L2384" s="5"/>
      <c r="M2384" s="5"/>
      <c r="N2384" s="5"/>
      <c r="O2384" s="5"/>
    </row>
    <row r="2385" spans="2:15" x14ac:dyDescent="0.55000000000000004">
      <c r="B2385" s="5"/>
      <c r="C2385" s="5"/>
      <c r="D2385" s="5"/>
      <c r="E2385" s="5"/>
      <c r="F2385" s="5"/>
      <c r="G2385" s="5"/>
      <c r="H2385" s="5"/>
      <c r="I2385" s="5"/>
      <c r="J2385" s="5"/>
      <c r="K2385" s="5"/>
      <c r="L2385" s="5"/>
      <c r="M2385" s="5"/>
      <c r="N2385" s="5"/>
      <c r="O2385" s="5"/>
    </row>
    <row r="2386" spans="2:15" x14ac:dyDescent="0.55000000000000004">
      <c r="B2386" s="5"/>
      <c r="C2386" s="5"/>
      <c r="D2386" s="5"/>
      <c r="E2386" s="5"/>
      <c r="F2386" s="5"/>
      <c r="G2386" s="5"/>
      <c r="H2386" s="5"/>
      <c r="I2386" s="5"/>
      <c r="J2386" s="5"/>
      <c r="K2386" s="5"/>
      <c r="L2386" s="5"/>
      <c r="M2386" s="5"/>
      <c r="N2386" s="5"/>
      <c r="O2386" s="5"/>
    </row>
    <row r="2387" spans="2:15" x14ac:dyDescent="0.55000000000000004">
      <c r="B2387" s="5"/>
      <c r="C2387" s="5"/>
      <c r="D2387" s="5"/>
      <c r="E2387" s="5"/>
      <c r="F2387" s="5"/>
      <c r="G2387" s="5"/>
      <c r="H2387" s="5"/>
      <c r="I2387" s="5"/>
      <c r="J2387" s="5"/>
      <c r="K2387" s="5"/>
      <c r="L2387" s="5"/>
      <c r="M2387" s="5"/>
      <c r="N2387" s="5"/>
      <c r="O2387" s="5"/>
    </row>
    <row r="2388" spans="2:15" x14ac:dyDescent="0.55000000000000004">
      <c r="B2388" s="5"/>
      <c r="C2388" s="5"/>
      <c r="D2388" s="5"/>
      <c r="E2388" s="5"/>
      <c r="F2388" s="5"/>
      <c r="G2388" s="5"/>
      <c r="H2388" s="5"/>
      <c r="I2388" s="5"/>
      <c r="J2388" s="5"/>
      <c r="K2388" s="5"/>
      <c r="L2388" s="5"/>
      <c r="M2388" s="5"/>
      <c r="N2388" s="5"/>
      <c r="O2388" s="5"/>
    </row>
    <row r="2389" spans="2:15" x14ac:dyDescent="0.55000000000000004">
      <c r="B2389" s="5"/>
      <c r="C2389" s="5"/>
      <c r="D2389" s="5"/>
      <c r="E2389" s="5"/>
      <c r="F2389" s="5"/>
      <c r="G2389" s="5"/>
      <c r="H2389" s="5"/>
      <c r="I2389" s="5"/>
      <c r="J2389" s="5"/>
      <c r="K2389" s="5"/>
      <c r="L2389" s="5"/>
      <c r="M2389" s="5"/>
      <c r="N2389" s="5"/>
      <c r="O2389" s="5"/>
    </row>
    <row r="2390" spans="2:15" x14ac:dyDescent="0.55000000000000004">
      <c r="B2390" s="5"/>
      <c r="C2390" s="5"/>
      <c r="D2390" s="5"/>
      <c r="E2390" s="5"/>
      <c r="F2390" s="5"/>
      <c r="G2390" s="5"/>
      <c r="H2390" s="5"/>
      <c r="I2390" s="5"/>
      <c r="J2390" s="5"/>
      <c r="K2390" s="5"/>
      <c r="L2390" s="5"/>
      <c r="M2390" s="5"/>
      <c r="N2390" s="5"/>
      <c r="O2390" s="5"/>
    </row>
    <row r="2391" spans="2:15" x14ac:dyDescent="0.55000000000000004">
      <c r="B2391" s="5"/>
      <c r="C2391" s="5"/>
      <c r="D2391" s="5"/>
      <c r="E2391" s="5"/>
      <c r="F2391" s="5"/>
      <c r="G2391" s="5"/>
      <c r="H2391" s="5"/>
      <c r="I2391" s="5"/>
      <c r="J2391" s="5"/>
      <c r="K2391" s="5"/>
      <c r="L2391" s="5"/>
      <c r="M2391" s="5"/>
      <c r="N2391" s="5"/>
      <c r="O2391" s="5"/>
    </row>
    <row r="2392" spans="2:15" x14ac:dyDescent="0.55000000000000004">
      <c r="B2392" s="5"/>
      <c r="C2392" s="5"/>
      <c r="D2392" s="5"/>
      <c r="E2392" s="5"/>
      <c r="F2392" s="5"/>
      <c r="G2392" s="5"/>
      <c r="H2392" s="5"/>
      <c r="I2392" s="5"/>
      <c r="J2392" s="5"/>
      <c r="K2392" s="5"/>
      <c r="L2392" s="5"/>
      <c r="M2392" s="5"/>
      <c r="N2392" s="5"/>
      <c r="O2392" s="5"/>
    </row>
    <row r="2393" spans="2:15" x14ac:dyDescent="0.55000000000000004">
      <c r="B2393" s="5"/>
      <c r="C2393" s="5"/>
      <c r="D2393" s="5"/>
      <c r="E2393" s="5"/>
      <c r="F2393" s="5"/>
      <c r="G2393" s="5"/>
      <c r="H2393" s="5"/>
      <c r="I2393" s="5"/>
      <c r="J2393" s="5"/>
      <c r="K2393" s="5"/>
      <c r="L2393" s="5"/>
      <c r="M2393" s="5"/>
      <c r="N2393" s="5"/>
      <c r="O2393" s="5"/>
    </row>
    <row r="2394" spans="2:15" x14ac:dyDescent="0.55000000000000004">
      <c r="B2394" s="5"/>
      <c r="C2394" s="5"/>
      <c r="D2394" s="5"/>
      <c r="E2394" s="5"/>
      <c r="F2394" s="5"/>
      <c r="G2394" s="5"/>
      <c r="H2394" s="5"/>
      <c r="I2394" s="5"/>
      <c r="J2394" s="5"/>
      <c r="K2394" s="5"/>
      <c r="L2394" s="5"/>
      <c r="M2394" s="5"/>
      <c r="N2394" s="5"/>
      <c r="O2394" s="5"/>
    </row>
    <row r="2395" spans="2:15" x14ac:dyDescent="0.55000000000000004">
      <c r="B2395" s="5"/>
      <c r="C2395" s="5"/>
      <c r="D2395" s="5"/>
      <c r="E2395" s="5"/>
      <c r="F2395" s="5"/>
      <c r="G2395" s="5"/>
      <c r="H2395" s="5"/>
      <c r="I2395" s="5"/>
      <c r="J2395" s="5"/>
      <c r="K2395" s="5"/>
      <c r="L2395" s="5"/>
      <c r="M2395" s="5"/>
      <c r="N2395" s="5"/>
      <c r="O2395" s="5"/>
    </row>
    <row r="2396" spans="2:15" x14ac:dyDescent="0.55000000000000004">
      <c r="B2396" s="5"/>
      <c r="C2396" s="5"/>
      <c r="D2396" s="5"/>
      <c r="E2396" s="5"/>
      <c r="F2396" s="5"/>
      <c r="G2396" s="5"/>
      <c r="H2396" s="5"/>
      <c r="I2396" s="5"/>
      <c r="J2396" s="5"/>
      <c r="K2396" s="5"/>
      <c r="L2396" s="5"/>
      <c r="M2396" s="5"/>
      <c r="N2396" s="5"/>
      <c r="O2396" s="5"/>
    </row>
    <row r="2397" spans="2:15" x14ac:dyDescent="0.55000000000000004">
      <c r="B2397" s="5"/>
      <c r="C2397" s="5"/>
      <c r="D2397" s="5"/>
      <c r="E2397" s="5"/>
      <c r="F2397" s="5"/>
      <c r="G2397" s="5"/>
      <c r="H2397" s="5"/>
      <c r="I2397" s="5"/>
      <c r="J2397" s="5"/>
      <c r="K2397" s="5"/>
      <c r="L2397" s="5"/>
      <c r="M2397" s="5"/>
      <c r="N2397" s="5"/>
      <c r="O2397" s="5"/>
    </row>
    <row r="2398" spans="2:15" x14ac:dyDescent="0.55000000000000004">
      <c r="B2398" s="5"/>
      <c r="C2398" s="5"/>
      <c r="D2398" s="5"/>
      <c r="E2398" s="5"/>
      <c r="F2398" s="5"/>
      <c r="G2398" s="5"/>
      <c r="H2398" s="5"/>
      <c r="I2398" s="5"/>
      <c r="J2398" s="5"/>
      <c r="K2398" s="5"/>
      <c r="L2398" s="5"/>
      <c r="M2398" s="5"/>
      <c r="N2398" s="5"/>
      <c r="O2398" s="5"/>
    </row>
    <row r="2399" spans="2:15" x14ac:dyDescent="0.55000000000000004">
      <c r="B2399" s="5"/>
      <c r="C2399" s="5"/>
      <c r="D2399" s="5"/>
      <c r="E2399" s="5"/>
      <c r="F2399" s="5"/>
      <c r="G2399" s="5"/>
      <c r="H2399" s="5"/>
      <c r="I2399" s="5"/>
      <c r="J2399" s="5"/>
      <c r="K2399" s="5"/>
      <c r="L2399" s="5"/>
      <c r="M2399" s="5"/>
      <c r="N2399" s="5"/>
      <c r="O2399" s="5"/>
    </row>
    <row r="2400" spans="2:15" x14ac:dyDescent="0.55000000000000004">
      <c r="B2400" s="5"/>
      <c r="C2400" s="5"/>
      <c r="D2400" s="5"/>
      <c r="E2400" s="5"/>
      <c r="F2400" s="5"/>
      <c r="G2400" s="5"/>
      <c r="H2400" s="5"/>
      <c r="I2400" s="5"/>
      <c r="J2400" s="5"/>
      <c r="K2400" s="5"/>
      <c r="L2400" s="5"/>
      <c r="M2400" s="5"/>
      <c r="N2400" s="5"/>
      <c r="O2400" s="5"/>
    </row>
    <row r="2401" spans="2:15" x14ac:dyDescent="0.55000000000000004">
      <c r="B2401" s="5"/>
      <c r="C2401" s="5"/>
      <c r="D2401" s="5"/>
      <c r="E2401" s="5"/>
      <c r="F2401" s="5"/>
      <c r="G2401" s="5"/>
      <c r="H2401" s="5"/>
      <c r="I2401" s="5"/>
      <c r="J2401" s="5"/>
      <c r="K2401" s="5"/>
      <c r="L2401" s="5"/>
      <c r="M2401" s="5"/>
      <c r="N2401" s="5"/>
      <c r="O2401" s="5"/>
    </row>
    <row r="2402" spans="2:15" x14ac:dyDescent="0.55000000000000004">
      <c r="B2402" s="5"/>
      <c r="C2402" s="5"/>
      <c r="D2402" s="5"/>
      <c r="E2402" s="5"/>
      <c r="F2402" s="5"/>
      <c r="G2402" s="5"/>
      <c r="H2402" s="5"/>
      <c r="I2402" s="5"/>
      <c r="J2402" s="5"/>
      <c r="K2402" s="5"/>
      <c r="L2402" s="5"/>
      <c r="M2402" s="5"/>
      <c r="N2402" s="5"/>
      <c r="O2402" s="5"/>
    </row>
    <row r="2403" spans="2:15" x14ac:dyDescent="0.55000000000000004">
      <c r="B2403" s="5"/>
      <c r="C2403" s="5"/>
      <c r="D2403" s="5"/>
      <c r="E2403" s="5"/>
      <c r="F2403" s="5"/>
      <c r="G2403" s="5"/>
      <c r="H2403" s="5"/>
      <c r="I2403" s="5"/>
      <c r="J2403" s="5"/>
      <c r="K2403" s="5"/>
      <c r="L2403" s="5"/>
      <c r="M2403" s="5"/>
      <c r="N2403" s="5"/>
      <c r="O2403" s="5"/>
    </row>
    <row r="2404" spans="2:15" x14ac:dyDescent="0.55000000000000004">
      <c r="B2404" s="5"/>
      <c r="C2404" s="5"/>
      <c r="D2404" s="5"/>
      <c r="E2404" s="5"/>
      <c r="F2404" s="5"/>
      <c r="G2404" s="5"/>
      <c r="H2404" s="5"/>
      <c r="I2404" s="5"/>
      <c r="J2404" s="5"/>
      <c r="K2404" s="5"/>
      <c r="L2404" s="5"/>
      <c r="M2404" s="5"/>
      <c r="N2404" s="5"/>
      <c r="O2404" s="5"/>
    </row>
    <row r="2405" spans="2:15" x14ac:dyDescent="0.55000000000000004">
      <c r="B2405" s="5"/>
      <c r="C2405" s="5"/>
      <c r="D2405" s="5"/>
      <c r="E2405" s="5"/>
      <c r="F2405" s="5"/>
      <c r="G2405" s="5"/>
      <c r="H2405" s="5"/>
      <c r="I2405" s="5"/>
      <c r="J2405" s="5"/>
      <c r="K2405" s="5"/>
      <c r="L2405" s="5"/>
      <c r="M2405" s="5"/>
      <c r="N2405" s="5"/>
      <c r="O2405" s="5"/>
    </row>
    <row r="2406" spans="2:15" x14ac:dyDescent="0.55000000000000004">
      <c r="B2406" s="5"/>
      <c r="C2406" s="5"/>
      <c r="D2406" s="5"/>
      <c r="E2406" s="5"/>
      <c r="F2406" s="5"/>
      <c r="G2406" s="5"/>
      <c r="H2406" s="5"/>
      <c r="I2406" s="5"/>
      <c r="J2406" s="5"/>
      <c r="K2406" s="5"/>
      <c r="L2406" s="5"/>
      <c r="M2406" s="5"/>
      <c r="N2406" s="5"/>
      <c r="O2406" s="5"/>
    </row>
    <row r="2407" spans="2:15" x14ac:dyDescent="0.55000000000000004">
      <c r="B2407" s="5"/>
      <c r="C2407" s="5"/>
      <c r="D2407" s="5"/>
      <c r="E2407" s="5"/>
      <c r="F2407" s="5"/>
      <c r="G2407" s="5"/>
      <c r="H2407" s="5"/>
      <c r="I2407" s="5"/>
      <c r="J2407" s="5"/>
      <c r="K2407" s="5"/>
      <c r="L2407" s="5"/>
      <c r="M2407" s="5"/>
      <c r="N2407" s="5"/>
      <c r="O2407" s="5"/>
    </row>
    <row r="2408" spans="2:15" x14ac:dyDescent="0.55000000000000004">
      <c r="B2408" s="5"/>
      <c r="C2408" s="5"/>
      <c r="D2408" s="5"/>
      <c r="E2408" s="5"/>
      <c r="F2408" s="5"/>
      <c r="G2408" s="5"/>
      <c r="H2408" s="5"/>
      <c r="I2408" s="5"/>
      <c r="J2408" s="5"/>
      <c r="K2408" s="5"/>
      <c r="L2408" s="5"/>
      <c r="M2408" s="5"/>
      <c r="N2408" s="5"/>
      <c r="O2408" s="5"/>
    </row>
    <row r="2409" spans="2:15" x14ac:dyDescent="0.55000000000000004">
      <c r="B2409" s="5"/>
      <c r="C2409" s="5"/>
      <c r="D2409" s="5"/>
      <c r="E2409" s="5"/>
      <c r="F2409" s="5"/>
      <c r="G2409" s="5"/>
      <c r="H2409" s="5"/>
      <c r="I2409" s="5"/>
      <c r="J2409" s="5"/>
      <c r="K2409" s="5"/>
      <c r="L2409" s="5"/>
      <c r="M2409" s="5"/>
      <c r="N2409" s="5"/>
      <c r="O2409" s="5"/>
    </row>
    <row r="2410" spans="2:15" x14ac:dyDescent="0.55000000000000004">
      <c r="B2410" s="5"/>
      <c r="C2410" s="5"/>
      <c r="D2410" s="5"/>
      <c r="E2410" s="5"/>
      <c r="F2410" s="5"/>
      <c r="G2410" s="5"/>
      <c r="H2410" s="5"/>
      <c r="I2410" s="5"/>
      <c r="J2410" s="5"/>
      <c r="K2410" s="5"/>
      <c r="L2410" s="5"/>
      <c r="M2410" s="5"/>
      <c r="N2410" s="5"/>
      <c r="O2410" s="5"/>
    </row>
    <row r="2411" spans="2:15" x14ac:dyDescent="0.55000000000000004">
      <c r="B2411" s="5"/>
      <c r="C2411" s="5"/>
      <c r="D2411" s="5"/>
      <c r="E2411" s="5"/>
      <c r="F2411" s="5"/>
      <c r="G2411" s="5"/>
      <c r="H2411" s="5"/>
      <c r="I2411" s="5"/>
      <c r="J2411" s="5"/>
      <c r="K2411" s="5"/>
      <c r="L2411" s="5"/>
      <c r="M2411" s="5"/>
      <c r="N2411" s="5"/>
      <c r="O2411" s="5"/>
    </row>
    <row r="2412" spans="2:15" x14ac:dyDescent="0.55000000000000004">
      <c r="B2412" s="5"/>
      <c r="C2412" s="5"/>
      <c r="D2412" s="5"/>
      <c r="E2412" s="5"/>
      <c r="F2412" s="5"/>
      <c r="G2412" s="5"/>
      <c r="H2412" s="5"/>
      <c r="I2412" s="5"/>
      <c r="J2412" s="5"/>
      <c r="K2412" s="5"/>
      <c r="L2412" s="5"/>
      <c r="M2412" s="5"/>
      <c r="N2412" s="5"/>
      <c r="O2412" s="5"/>
    </row>
    <row r="2413" spans="2:15" x14ac:dyDescent="0.55000000000000004">
      <c r="B2413" s="5"/>
      <c r="C2413" s="5"/>
      <c r="D2413" s="5"/>
      <c r="E2413" s="5"/>
      <c r="F2413" s="5"/>
      <c r="G2413" s="5"/>
      <c r="H2413" s="5"/>
      <c r="I2413" s="5"/>
      <c r="J2413" s="5"/>
      <c r="K2413" s="5"/>
      <c r="L2413" s="5"/>
      <c r="M2413" s="5"/>
      <c r="N2413" s="5"/>
      <c r="O2413" s="5"/>
    </row>
    <row r="2414" spans="2:15" x14ac:dyDescent="0.55000000000000004">
      <c r="B2414" s="5"/>
      <c r="C2414" s="5"/>
      <c r="D2414" s="5"/>
      <c r="E2414" s="5"/>
      <c r="F2414" s="5"/>
      <c r="G2414" s="5"/>
      <c r="H2414" s="5"/>
      <c r="I2414" s="5"/>
      <c r="J2414" s="5"/>
      <c r="K2414" s="5"/>
      <c r="L2414" s="5"/>
      <c r="M2414" s="5"/>
      <c r="N2414" s="5"/>
      <c r="O2414" s="5"/>
    </row>
    <row r="2415" spans="2:15" x14ac:dyDescent="0.55000000000000004">
      <c r="B2415" s="5"/>
      <c r="C2415" s="5"/>
      <c r="D2415" s="5"/>
      <c r="E2415" s="5"/>
      <c r="F2415" s="5"/>
      <c r="G2415" s="5"/>
      <c r="H2415" s="5"/>
      <c r="I2415" s="5"/>
      <c r="J2415" s="5"/>
      <c r="K2415" s="5"/>
      <c r="L2415" s="5"/>
      <c r="M2415" s="5"/>
      <c r="N2415" s="5"/>
      <c r="O2415" s="5"/>
    </row>
    <row r="2416" spans="2:15" x14ac:dyDescent="0.55000000000000004">
      <c r="B2416" s="5"/>
      <c r="C2416" s="5"/>
      <c r="D2416" s="5"/>
      <c r="E2416" s="5"/>
      <c r="F2416" s="5"/>
      <c r="G2416" s="5"/>
      <c r="H2416" s="5"/>
      <c r="I2416" s="5"/>
      <c r="J2416" s="5"/>
      <c r="K2416" s="5"/>
      <c r="L2416" s="5"/>
      <c r="M2416" s="5"/>
      <c r="N2416" s="5"/>
      <c r="O2416" s="5"/>
    </row>
    <row r="2417" spans="2:15" x14ac:dyDescent="0.55000000000000004"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L2417" s="5"/>
      <c r="M2417" s="5"/>
      <c r="N2417" s="5"/>
      <c r="O2417" s="5"/>
    </row>
    <row r="2418" spans="2:15" x14ac:dyDescent="0.55000000000000004">
      <c r="B2418" s="5"/>
      <c r="C2418" s="5"/>
      <c r="D2418" s="5"/>
      <c r="E2418" s="5"/>
      <c r="F2418" s="5"/>
      <c r="G2418" s="5"/>
      <c r="H2418" s="5"/>
      <c r="I2418" s="5"/>
      <c r="J2418" s="5"/>
      <c r="K2418" s="5"/>
      <c r="L2418" s="5"/>
      <c r="M2418" s="5"/>
      <c r="N2418" s="5"/>
      <c r="O2418" s="5"/>
    </row>
    <row r="2419" spans="2:15" x14ac:dyDescent="0.55000000000000004">
      <c r="B2419" s="5"/>
      <c r="C2419" s="5"/>
      <c r="D2419" s="5"/>
      <c r="E2419" s="5"/>
      <c r="F2419" s="5"/>
      <c r="G2419" s="5"/>
      <c r="H2419" s="5"/>
      <c r="I2419" s="5"/>
      <c r="J2419" s="5"/>
      <c r="K2419" s="5"/>
      <c r="L2419" s="5"/>
      <c r="M2419" s="5"/>
      <c r="N2419" s="5"/>
      <c r="O2419" s="5"/>
    </row>
    <row r="2420" spans="2:15" x14ac:dyDescent="0.55000000000000004">
      <c r="B2420" s="5"/>
      <c r="C2420" s="5"/>
      <c r="D2420" s="5"/>
      <c r="E2420" s="5"/>
      <c r="F2420" s="5"/>
      <c r="G2420" s="5"/>
      <c r="H2420" s="5"/>
      <c r="I2420" s="5"/>
      <c r="J2420" s="5"/>
      <c r="K2420" s="5"/>
      <c r="L2420" s="5"/>
      <c r="M2420" s="5"/>
      <c r="N2420" s="5"/>
      <c r="O2420" s="5"/>
    </row>
    <row r="2421" spans="2:15" x14ac:dyDescent="0.55000000000000004">
      <c r="B2421" s="5"/>
      <c r="C2421" s="5"/>
      <c r="D2421" s="5"/>
      <c r="E2421" s="5"/>
      <c r="F2421" s="5"/>
      <c r="G2421" s="5"/>
      <c r="H2421" s="5"/>
      <c r="I2421" s="5"/>
      <c r="J2421" s="5"/>
      <c r="K2421" s="5"/>
      <c r="L2421" s="5"/>
      <c r="M2421" s="5"/>
      <c r="N2421" s="5"/>
      <c r="O2421" s="5"/>
    </row>
    <row r="2422" spans="2:15" x14ac:dyDescent="0.55000000000000004">
      <c r="B2422" s="5"/>
      <c r="C2422" s="5"/>
      <c r="D2422" s="5"/>
      <c r="E2422" s="5"/>
      <c r="F2422" s="5"/>
      <c r="G2422" s="5"/>
      <c r="H2422" s="5"/>
      <c r="I2422" s="5"/>
      <c r="J2422" s="5"/>
      <c r="K2422" s="5"/>
      <c r="L2422" s="5"/>
      <c r="M2422" s="5"/>
      <c r="N2422" s="5"/>
      <c r="O2422" s="5"/>
    </row>
    <row r="2423" spans="2:15" x14ac:dyDescent="0.55000000000000004">
      <c r="B2423" s="5"/>
      <c r="C2423" s="5"/>
      <c r="D2423" s="5"/>
      <c r="E2423" s="5"/>
      <c r="F2423" s="5"/>
      <c r="G2423" s="5"/>
      <c r="H2423" s="5"/>
      <c r="I2423" s="5"/>
      <c r="J2423" s="5"/>
      <c r="K2423" s="5"/>
      <c r="L2423" s="5"/>
      <c r="M2423" s="5"/>
      <c r="N2423" s="5"/>
      <c r="O2423" s="5"/>
    </row>
    <row r="2424" spans="2:15" x14ac:dyDescent="0.55000000000000004">
      <c r="B2424" s="5"/>
      <c r="C2424" s="5"/>
      <c r="D2424" s="5"/>
      <c r="E2424" s="5"/>
      <c r="F2424" s="5"/>
      <c r="G2424" s="5"/>
      <c r="H2424" s="5"/>
      <c r="I2424" s="5"/>
      <c r="J2424" s="5"/>
      <c r="K2424" s="5"/>
      <c r="L2424" s="5"/>
      <c r="M2424" s="5"/>
      <c r="N2424" s="5"/>
      <c r="O2424" s="5"/>
    </row>
    <row r="2425" spans="2:15" x14ac:dyDescent="0.55000000000000004">
      <c r="B2425" s="5"/>
      <c r="C2425" s="5"/>
      <c r="D2425" s="5"/>
      <c r="E2425" s="5"/>
      <c r="F2425" s="5"/>
      <c r="G2425" s="5"/>
      <c r="H2425" s="5"/>
      <c r="I2425" s="5"/>
      <c r="J2425" s="5"/>
      <c r="K2425" s="5"/>
      <c r="L2425" s="5"/>
      <c r="M2425" s="5"/>
      <c r="N2425" s="5"/>
      <c r="O2425" s="5"/>
    </row>
    <row r="2426" spans="2:15" x14ac:dyDescent="0.55000000000000004">
      <c r="B2426" s="5"/>
      <c r="C2426" s="5"/>
      <c r="D2426" s="5"/>
      <c r="E2426" s="5"/>
      <c r="F2426" s="5"/>
      <c r="G2426" s="5"/>
      <c r="H2426" s="5"/>
      <c r="I2426" s="5"/>
      <c r="J2426" s="5"/>
      <c r="K2426" s="5"/>
      <c r="L2426" s="5"/>
      <c r="M2426" s="5"/>
      <c r="N2426" s="5"/>
      <c r="O2426" s="5"/>
    </row>
    <row r="2427" spans="2:15" x14ac:dyDescent="0.55000000000000004"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5"/>
      <c r="M2427" s="5"/>
      <c r="N2427" s="5"/>
      <c r="O2427" s="5"/>
    </row>
    <row r="2428" spans="2:15" x14ac:dyDescent="0.55000000000000004">
      <c r="B2428" s="5"/>
      <c r="C2428" s="5"/>
      <c r="D2428" s="5"/>
      <c r="E2428" s="5"/>
      <c r="F2428" s="5"/>
      <c r="G2428" s="5"/>
      <c r="H2428" s="5"/>
      <c r="I2428" s="5"/>
      <c r="J2428" s="5"/>
      <c r="K2428" s="5"/>
      <c r="L2428" s="5"/>
      <c r="M2428" s="5"/>
      <c r="N2428" s="5"/>
      <c r="O2428" s="5"/>
    </row>
    <row r="2429" spans="2:15" x14ac:dyDescent="0.55000000000000004">
      <c r="B2429" s="5"/>
      <c r="C2429" s="5"/>
      <c r="D2429" s="5"/>
      <c r="E2429" s="5"/>
      <c r="F2429" s="5"/>
      <c r="G2429" s="5"/>
      <c r="H2429" s="5"/>
      <c r="I2429" s="5"/>
      <c r="J2429" s="5"/>
      <c r="K2429" s="5"/>
      <c r="L2429" s="5"/>
      <c r="M2429" s="5"/>
      <c r="N2429" s="5"/>
      <c r="O2429" s="5"/>
    </row>
    <row r="2430" spans="2:15" x14ac:dyDescent="0.55000000000000004">
      <c r="B2430" s="5"/>
      <c r="C2430" s="5"/>
      <c r="D2430" s="5"/>
      <c r="E2430" s="5"/>
      <c r="F2430" s="5"/>
      <c r="G2430" s="5"/>
      <c r="H2430" s="5"/>
      <c r="I2430" s="5"/>
      <c r="J2430" s="5"/>
      <c r="K2430" s="5"/>
      <c r="L2430" s="5"/>
      <c r="M2430" s="5"/>
      <c r="N2430" s="5"/>
      <c r="O2430" s="5"/>
    </row>
    <row r="2431" spans="2:15" x14ac:dyDescent="0.55000000000000004">
      <c r="B2431" s="5"/>
      <c r="C2431" s="5"/>
      <c r="D2431" s="5"/>
      <c r="E2431" s="5"/>
      <c r="F2431" s="5"/>
      <c r="G2431" s="5"/>
      <c r="H2431" s="5"/>
      <c r="I2431" s="5"/>
      <c r="J2431" s="5"/>
      <c r="K2431" s="5"/>
      <c r="L2431" s="5"/>
      <c r="M2431" s="5"/>
      <c r="N2431" s="5"/>
      <c r="O2431" s="5"/>
    </row>
    <row r="2432" spans="2:15" x14ac:dyDescent="0.55000000000000004">
      <c r="B2432" s="5"/>
      <c r="C2432" s="5"/>
      <c r="D2432" s="5"/>
      <c r="E2432" s="5"/>
      <c r="F2432" s="5"/>
      <c r="G2432" s="5"/>
      <c r="H2432" s="5"/>
      <c r="I2432" s="5"/>
      <c r="J2432" s="5"/>
      <c r="K2432" s="5"/>
      <c r="L2432" s="5"/>
      <c r="M2432" s="5"/>
      <c r="N2432" s="5"/>
      <c r="O2432" s="5"/>
    </row>
    <row r="2433" spans="2:15" x14ac:dyDescent="0.55000000000000004">
      <c r="B2433" s="5"/>
      <c r="C2433" s="5"/>
      <c r="D2433" s="5"/>
      <c r="E2433" s="5"/>
      <c r="F2433" s="5"/>
      <c r="G2433" s="5"/>
      <c r="H2433" s="5"/>
      <c r="I2433" s="5"/>
      <c r="J2433" s="5"/>
      <c r="K2433" s="5"/>
      <c r="L2433" s="5"/>
      <c r="M2433" s="5"/>
      <c r="N2433" s="5"/>
      <c r="O2433" s="5"/>
    </row>
    <row r="2434" spans="2:15" x14ac:dyDescent="0.55000000000000004">
      <c r="B2434" s="5"/>
      <c r="C2434" s="5"/>
      <c r="D2434" s="5"/>
      <c r="E2434" s="5"/>
      <c r="F2434" s="5"/>
      <c r="G2434" s="5"/>
      <c r="H2434" s="5"/>
      <c r="I2434" s="5"/>
      <c r="J2434" s="5"/>
      <c r="K2434" s="5"/>
      <c r="L2434" s="5"/>
      <c r="M2434" s="5"/>
      <c r="N2434" s="5"/>
      <c r="O2434" s="5"/>
    </row>
    <row r="2435" spans="2:15" x14ac:dyDescent="0.55000000000000004">
      <c r="B2435" s="5"/>
      <c r="C2435" s="5"/>
      <c r="D2435" s="5"/>
      <c r="E2435" s="5"/>
      <c r="F2435" s="5"/>
      <c r="G2435" s="5"/>
      <c r="H2435" s="5"/>
      <c r="I2435" s="5"/>
      <c r="J2435" s="5"/>
      <c r="K2435" s="5"/>
      <c r="L2435" s="5"/>
      <c r="M2435" s="5"/>
      <c r="N2435" s="5"/>
      <c r="O2435" s="5"/>
    </row>
    <row r="2436" spans="2:15" x14ac:dyDescent="0.55000000000000004">
      <c r="B2436" s="5"/>
      <c r="C2436" s="5"/>
      <c r="D2436" s="5"/>
      <c r="E2436" s="5"/>
      <c r="F2436" s="5"/>
      <c r="G2436" s="5"/>
      <c r="H2436" s="5"/>
      <c r="I2436" s="5"/>
      <c r="J2436" s="5"/>
      <c r="K2436" s="5"/>
      <c r="L2436" s="5"/>
      <c r="M2436" s="5"/>
      <c r="N2436" s="5"/>
      <c r="O2436" s="5"/>
    </row>
    <row r="2437" spans="2:15" x14ac:dyDescent="0.55000000000000004">
      <c r="B2437" s="5"/>
      <c r="C2437" s="5"/>
      <c r="D2437" s="5"/>
      <c r="E2437" s="5"/>
      <c r="F2437" s="5"/>
      <c r="G2437" s="5"/>
      <c r="H2437" s="5"/>
      <c r="I2437" s="5"/>
      <c r="J2437" s="5"/>
      <c r="K2437" s="5"/>
      <c r="L2437" s="5"/>
      <c r="M2437" s="5"/>
      <c r="N2437" s="5"/>
      <c r="O2437" s="5"/>
    </row>
    <row r="2438" spans="2:15" x14ac:dyDescent="0.55000000000000004">
      <c r="B2438" s="5"/>
      <c r="C2438" s="5"/>
      <c r="D2438" s="5"/>
      <c r="E2438" s="5"/>
      <c r="F2438" s="5"/>
      <c r="G2438" s="5"/>
      <c r="H2438" s="5"/>
      <c r="I2438" s="5"/>
      <c r="J2438" s="5"/>
      <c r="K2438" s="5"/>
      <c r="L2438" s="5"/>
      <c r="M2438" s="5"/>
      <c r="N2438" s="5"/>
      <c r="O2438" s="5"/>
    </row>
    <row r="2439" spans="2:15" x14ac:dyDescent="0.55000000000000004">
      <c r="B2439" s="5"/>
      <c r="C2439" s="5"/>
      <c r="D2439" s="5"/>
      <c r="E2439" s="5"/>
      <c r="F2439" s="5"/>
      <c r="G2439" s="5"/>
      <c r="H2439" s="5"/>
      <c r="I2439" s="5"/>
      <c r="J2439" s="5"/>
      <c r="K2439" s="5"/>
      <c r="L2439" s="5"/>
      <c r="M2439" s="5"/>
      <c r="N2439" s="5"/>
      <c r="O2439" s="5"/>
    </row>
    <row r="2440" spans="2:15" x14ac:dyDescent="0.55000000000000004">
      <c r="B2440" s="5"/>
      <c r="C2440" s="5"/>
      <c r="D2440" s="5"/>
      <c r="E2440" s="5"/>
      <c r="F2440" s="5"/>
      <c r="G2440" s="5"/>
      <c r="H2440" s="5"/>
      <c r="I2440" s="5"/>
      <c r="J2440" s="5"/>
      <c r="K2440" s="5"/>
      <c r="L2440" s="5"/>
      <c r="M2440" s="5"/>
      <c r="N2440" s="5"/>
      <c r="O2440" s="5"/>
    </row>
    <row r="2441" spans="2:15" x14ac:dyDescent="0.55000000000000004">
      <c r="B2441" s="5"/>
      <c r="C2441" s="5"/>
      <c r="D2441" s="5"/>
      <c r="E2441" s="5"/>
      <c r="F2441" s="5"/>
      <c r="G2441" s="5"/>
      <c r="H2441" s="5"/>
      <c r="I2441" s="5"/>
      <c r="J2441" s="5"/>
      <c r="K2441" s="5"/>
      <c r="L2441" s="5"/>
      <c r="M2441" s="5"/>
      <c r="N2441" s="5"/>
      <c r="O2441" s="5"/>
    </row>
    <row r="2442" spans="2:15" x14ac:dyDescent="0.55000000000000004">
      <c r="B2442" s="5"/>
      <c r="C2442" s="5"/>
      <c r="D2442" s="5"/>
      <c r="E2442" s="5"/>
      <c r="F2442" s="5"/>
      <c r="G2442" s="5"/>
      <c r="H2442" s="5"/>
      <c r="I2442" s="5"/>
      <c r="J2442" s="5"/>
      <c r="K2442" s="5"/>
      <c r="L2442" s="5"/>
      <c r="M2442" s="5"/>
      <c r="N2442" s="5"/>
      <c r="O2442" s="5"/>
    </row>
    <row r="2443" spans="2:15" x14ac:dyDescent="0.55000000000000004">
      <c r="B2443" s="5"/>
      <c r="C2443" s="5"/>
      <c r="D2443" s="5"/>
      <c r="E2443" s="5"/>
      <c r="F2443" s="5"/>
      <c r="G2443" s="5"/>
      <c r="H2443" s="5"/>
      <c r="I2443" s="5"/>
      <c r="J2443" s="5"/>
      <c r="K2443" s="5"/>
      <c r="L2443" s="5"/>
      <c r="M2443" s="5"/>
      <c r="N2443" s="5"/>
      <c r="O2443" s="5"/>
    </row>
    <row r="2444" spans="2:15" x14ac:dyDescent="0.55000000000000004">
      <c r="B2444" s="5"/>
      <c r="C2444" s="5"/>
      <c r="D2444" s="5"/>
      <c r="E2444" s="5"/>
      <c r="F2444" s="5"/>
      <c r="G2444" s="5"/>
      <c r="H2444" s="5"/>
      <c r="I2444" s="5"/>
      <c r="J2444" s="5"/>
      <c r="K2444" s="5"/>
      <c r="L2444" s="5"/>
      <c r="M2444" s="5"/>
      <c r="N2444" s="5"/>
      <c r="O2444" s="5"/>
    </row>
    <row r="2445" spans="2:15" x14ac:dyDescent="0.55000000000000004">
      <c r="B2445" s="5"/>
      <c r="C2445" s="5"/>
      <c r="D2445" s="5"/>
      <c r="E2445" s="5"/>
      <c r="F2445" s="5"/>
      <c r="G2445" s="5"/>
      <c r="H2445" s="5"/>
      <c r="I2445" s="5"/>
      <c r="J2445" s="5"/>
      <c r="K2445" s="5"/>
      <c r="L2445" s="5"/>
      <c r="M2445" s="5"/>
      <c r="N2445" s="5"/>
      <c r="O2445" s="5"/>
    </row>
    <row r="2446" spans="2:15" x14ac:dyDescent="0.55000000000000004">
      <c r="B2446" s="5"/>
      <c r="C2446" s="5"/>
      <c r="D2446" s="5"/>
      <c r="E2446" s="5"/>
      <c r="F2446" s="5"/>
      <c r="G2446" s="5"/>
      <c r="H2446" s="5"/>
      <c r="I2446" s="5"/>
      <c r="J2446" s="5"/>
      <c r="K2446" s="5"/>
      <c r="L2446" s="5"/>
      <c r="M2446" s="5"/>
      <c r="N2446" s="5"/>
      <c r="O2446" s="5"/>
    </row>
    <row r="2447" spans="2:15" x14ac:dyDescent="0.55000000000000004">
      <c r="B2447" s="5"/>
      <c r="C2447" s="5"/>
      <c r="D2447" s="5"/>
      <c r="E2447" s="5"/>
      <c r="F2447" s="5"/>
      <c r="G2447" s="5"/>
      <c r="H2447" s="5"/>
      <c r="I2447" s="5"/>
      <c r="J2447" s="5"/>
      <c r="K2447" s="5"/>
      <c r="L2447" s="5"/>
      <c r="M2447" s="5"/>
      <c r="N2447" s="5"/>
      <c r="O2447" s="5"/>
    </row>
    <row r="2448" spans="2:15" x14ac:dyDescent="0.55000000000000004">
      <c r="B2448" s="5"/>
      <c r="C2448" s="5"/>
      <c r="D2448" s="5"/>
      <c r="E2448" s="5"/>
      <c r="F2448" s="5"/>
      <c r="G2448" s="5"/>
      <c r="H2448" s="5"/>
      <c r="I2448" s="5"/>
      <c r="J2448" s="5"/>
      <c r="K2448" s="5"/>
      <c r="L2448" s="5"/>
      <c r="M2448" s="5"/>
      <c r="N2448" s="5"/>
      <c r="O2448" s="5"/>
    </row>
    <row r="2449" spans="2:15" x14ac:dyDescent="0.55000000000000004">
      <c r="B2449" s="5"/>
      <c r="C2449" s="5"/>
      <c r="D2449" s="5"/>
      <c r="E2449" s="5"/>
      <c r="F2449" s="5"/>
      <c r="G2449" s="5"/>
      <c r="H2449" s="5"/>
      <c r="I2449" s="5"/>
      <c r="J2449" s="5"/>
      <c r="K2449" s="5"/>
      <c r="L2449" s="5"/>
      <c r="M2449" s="5"/>
      <c r="N2449" s="5"/>
      <c r="O2449" s="5"/>
    </row>
    <row r="2450" spans="2:15" x14ac:dyDescent="0.55000000000000004">
      <c r="B2450" s="5"/>
      <c r="C2450" s="5"/>
      <c r="D2450" s="5"/>
      <c r="E2450" s="5"/>
      <c r="F2450" s="5"/>
      <c r="G2450" s="5"/>
      <c r="H2450" s="5"/>
      <c r="I2450" s="5"/>
      <c r="J2450" s="5"/>
      <c r="K2450" s="5"/>
      <c r="L2450" s="5"/>
      <c r="M2450" s="5"/>
      <c r="N2450" s="5"/>
      <c r="O2450" s="5"/>
    </row>
    <row r="2451" spans="2:15" x14ac:dyDescent="0.55000000000000004">
      <c r="B2451" s="5"/>
      <c r="C2451" s="5"/>
      <c r="D2451" s="5"/>
      <c r="E2451" s="5"/>
      <c r="F2451" s="5"/>
      <c r="G2451" s="5"/>
      <c r="H2451" s="5"/>
      <c r="I2451" s="5"/>
      <c r="J2451" s="5"/>
      <c r="K2451" s="5"/>
      <c r="L2451" s="5"/>
      <c r="M2451" s="5"/>
      <c r="N2451" s="5"/>
      <c r="O2451" s="5"/>
    </row>
    <row r="2452" spans="2:15" x14ac:dyDescent="0.55000000000000004">
      <c r="B2452" s="5"/>
      <c r="C2452" s="5"/>
      <c r="D2452" s="5"/>
      <c r="E2452" s="5"/>
      <c r="F2452" s="5"/>
      <c r="G2452" s="5"/>
      <c r="H2452" s="5"/>
      <c r="I2452" s="5"/>
      <c r="J2452" s="5"/>
      <c r="K2452" s="5"/>
      <c r="L2452" s="5"/>
      <c r="M2452" s="5"/>
      <c r="N2452" s="5"/>
      <c r="O2452" s="5"/>
    </row>
    <row r="2453" spans="2:15" x14ac:dyDescent="0.55000000000000004">
      <c r="B2453" s="5"/>
      <c r="C2453" s="5"/>
      <c r="D2453" s="5"/>
      <c r="E2453" s="5"/>
      <c r="F2453" s="5"/>
      <c r="G2453" s="5"/>
      <c r="H2453" s="5"/>
      <c r="I2453" s="5"/>
      <c r="J2453" s="5"/>
      <c r="K2453" s="5"/>
      <c r="L2453" s="5"/>
      <c r="M2453" s="5"/>
      <c r="N2453" s="5"/>
      <c r="O2453" s="5"/>
    </row>
    <row r="2454" spans="2:15" x14ac:dyDescent="0.55000000000000004">
      <c r="B2454" s="5"/>
      <c r="C2454" s="5"/>
      <c r="D2454" s="5"/>
      <c r="E2454" s="5"/>
      <c r="F2454" s="5"/>
      <c r="G2454" s="5"/>
      <c r="H2454" s="5"/>
      <c r="I2454" s="5"/>
      <c r="J2454" s="5"/>
      <c r="K2454" s="5"/>
      <c r="L2454" s="5"/>
      <c r="M2454" s="5"/>
      <c r="N2454" s="5"/>
      <c r="O2454" s="5"/>
    </row>
    <row r="2455" spans="2:15" x14ac:dyDescent="0.55000000000000004">
      <c r="B2455" s="5"/>
      <c r="C2455" s="5"/>
      <c r="D2455" s="5"/>
      <c r="E2455" s="5"/>
      <c r="F2455" s="5"/>
      <c r="G2455" s="5"/>
      <c r="H2455" s="5"/>
      <c r="I2455" s="5"/>
      <c r="J2455" s="5"/>
      <c r="K2455" s="5"/>
      <c r="L2455" s="5"/>
      <c r="M2455" s="5"/>
      <c r="N2455" s="5"/>
      <c r="O2455" s="5"/>
    </row>
    <row r="2456" spans="2:15" x14ac:dyDescent="0.55000000000000004">
      <c r="B2456" s="5"/>
      <c r="C2456" s="5"/>
      <c r="D2456" s="5"/>
      <c r="E2456" s="5"/>
      <c r="F2456" s="5"/>
      <c r="G2456" s="5"/>
      <c r="H2456" s="5"/>
      <c r="I2456" s="5"/>
      <c r="J2456" s="5"/>
      <c r="K2456" s="5"/>
      <c r="L2456" s="5"/>
      <c r="M2456" s="5"/>
      <c r="N2456" s="5"/>
      <c r="O2456" s="5"/>
    </row>
    <row r="2457" spans="2:15" x14ac:dyDescent="0.55000000000000004">
      <c r="B2457" s="5"/>
      <c r="C2457" s="5"/>
      <c r="D2457" s="5"/>
      <c r="E2457" s="5"/>
      <c r="F2457" s="5"/>
      <c r="G2457" s="5"/>
      <c r="H2457" s="5"/>
      <c r="I2457" s="5"/>
      <c r="J2457" s="5"/>
      <c r="K2457" s="5"/>
      <c r="L2457" s="5"/>
      <c r="M2457" s="5"/>
      <c r="N2457" s="5"/>
      <c r="O2457" s="5"/>
    </row>
    <row r="2458" spans="2:15" x14ac:dyDescent="0.55000000000000004">
      <c r="B2458" s="5"/>
      <c r="C2458" s="5"/>
      <c r="D2458" s="5"/>
      <c r="E2458" s="5"/>
      <c r="F2458" s="5"/>
      <c r="G2458" s="5"/>
      <c r="H2458" s="5"/>
      <c r="I2458" s="5"/>
      <c r="J2458" s="5"/>
      <c r="K2458" s="5"/>
      <c r="L2458" s="5"/>
      <c r="M2458" s="5"/>
      <c r="N2458" s="5"/>
      <c r="O2458" s="5"/>
    </row>
    <row r="2459" spans="2:15" x14ac:dyDescent="0.55000000000000004">
      <c r="B2459" s="5"/>
      <c r="C2459" s="5"/>
      <c r="D2459" s="5"/>
      <c r="E2459" s="5"/>
      <c r="F2459" s="5"/>
      <c r="G2459" s="5"/>
      <c r="H2459" s="5"/>
      <c r="I2459" s="5"/>
      <c r="J2459" s="5"/>
      <c r="K2459" s="5"/>
      <c r="L2459" s="5"/>
      <c r="M2459" s="5"/>
      <c r="N2459" s="5"/>
      <c r="O2459" s="5"/>
    </row>
    <row r="2460" spans="2:15" x14ac:dyDescent="0.55000000000000004">
      <c r="B2460" s="5"/>
      <c r="C2460" s="5"/>
      <c r="D2460" s="5"/>
      <c r="E2460" s="5"/>
      <c r="F2460" s="5"/>
      <c r="G2460" s="5"/>
      <c r="H2460" s="5"/>
      <c r="I2460" s="5"/>
      <c r="J2460" s="5"/>
      <c r="K2460" s="5"/>
      <c r="L2460" s="5"/>
      <c r="M2460" s="5"/>
      <c r="N2460" s="5"/>
      <c r="O2460" s="5"/>
    </row>
    <row r="2461" spans="2:15" x14ac:dyDescent="0.55000000000000004">
      <c r="B2461" s="5"/>
      <c r="C2461" s="5"/>
      <c r="D2461" s="5"/>
      <c r="E2461" s="5"/>
      <c r="F2461" s="5"/>
      <c r="G2461" s="5"/>
      <c r="H2461" s="5"/>
      <c r="I2461" s="5"/>
      <c r="J2461" s="5"/>
      <c r="K2461" s="5"/>
      <c r="L2461" s="5"/>
      <c r="M2461" s="5"/>
      <c r="N2461" s="5"/>
      <c r="O2461" s="5"/>
    </row>
    <row r="2462" spans="2:15" x14ac:dyDescent="0.55000000000000004">
      <c r="B2462" s="5"/>
      <c r="C2462" s="5"/>
      <c r="D2462" s="5"/>
      <c r="E2462" s="5"/>
      <c r="F2462" s="5"/>
      <c r="G2462" s="5"/>
      <c r="H2462" s="5"/>
      <c r="I2462" s="5"/>
      <c r="J2462" s="5"/>
      <c r="K2462" s="5"/>
      <c r="L2462" s="5"/>
      <c r="M2462" s="5"/>
      <c r="N2462" s="5"/>
      <c r="O2462" s="5"/>
    </row>
    <row r="2463" spans="2:15" x14ac:dyDescent="0.55000000000000004">
      <c r="B2463" s="5"/>
      <c r="C2463" s="5"/>
      <c r="D2463" s="5"/>
      <c r="E2463" s="5"/>
      <c r="F2463" s="5"/>
      <c r="G2463" s="5"/>
      <c r="H2463" s="5"/>
      <c r="I2463" s="5"/>
      <c r="J2463" s="5"/>
      <c r="K2463" s="5"/>
      <c r="L2463" s="5"/>
      <c r="M2463" s="5"/>
      <c r="N2463" s="5"/>
      <c r="O2463" s="5"/>
    </row>
    <row r="2464" spans="2:15" x14ac:dyDescent="0.55000000000000004">
      <c r="B2464" s="5"/>
      <c r="C2464" s="5"/>
      <c r="D2464" s="5"/>
      <c r="E2464" s="5"/>
      <c r="F2464" s="5"/>
      <c r="G2464" s="5"/>
      <c r="H2464" s="5"/>
      <c r="I2464" s="5"/>
      <c r="J2464" s="5"/>
      <c r="K2464" s="5"/>
      <c r="L2464" s="5"/>
      <c r="M2464" s="5"/>
      <c r="N2464" s="5"/>
      <c r="O2464" s="5"/>
    </row>
    <row r="2465" spans="2:15" x14ac:dyDescent="0.55000000000000004">
      <c r="B2465" s="5"/>
      <c r="C2465" s="5"/>
      <c r="D2465" s="5"/>
      <c r="E2465" s="5"/>
      <c r="F2465" s="5"/>
      <c r="G2465" s="5"/>
      <c r="H2465" s="5"/>
      <c r="I2465" s="5"/>
      <c r="J2465" s="5"/>
      <c r="K2465" s="5"/>
      <c r="L2465" s="5"/>
      <c r="M2465" s="5"/>
      <c r="N2465" s="5"/>
      <c r="O2465" s="5"/>
    </row>
    <row r="2466" spans="2:15" x14ac:dyDescent="0.55000000000000004">
      <c r="B2466" s="5"/>
      <c r="C2466" s="5"/>
      <c r="D2466" s="5"/>
      <c r="E2466" s="5"/>
      <c r="F2466" s="5"/>
      <c r="G2466" s="5"/>
      <c r="H2466" s="5"/>
      <c r="I2466" s="5"/>
      <c r="J2466" s="5"/>
      <c r="K2466" s="5"/>
      <c r="L2466" s="5"/>
      <c r="M2466" s="5"/>
      <c r="N2466" s="5"/>
      <c r="O2466" s="5"/>
    </row>
    <row r="2467" spans="2:15" x14ac:dyDescent="0.55000000000000004">
      <c r="B2467" s="5"/>
      <c r="C2467" s="5"/>
      <c r="D2467" s="5"/>
      <c r="E2467" s="5"/>
      <c r="F2467" s="5"/>
      <c r="G2467" s="5"/>
      <c r="H2467" s="5"/>
      <c r="I2467" s="5"/>
      <c r="J2467" s="5"/>
      <c r="K2467" s="5"/>
      <c r="L2467" s="5"/>
      <c r="M2467" s="5"/>
      <c r="N2467" s="5"/>
      <c r="O2467" s="5"/>
    </row>
    <row r="2468" spans="2:15" x14ac:dyDescent="0.55000000000000004">
      <c r="B2468" s="5"/>
      <c r="C2468" s="5"/>
      <c r="D2468" s="5"/>
      <c r="E2468" s="5"/>
      <c r="F2468" s="5"/>
      <c r="G2468" s="5"/>
      <c r="H2468" s="5"/>
      <c r="I2468" s="5"/>
      <c r="J2468" s="5"/>
      <c r="K2468" s="5"/>
      <c r="L2468" s="5"/>
      <c r="M2468" s="5"/>
      <c r="N2468" s="5"/>
      <c r="O2468" s="5"/>
    </row>
    <row r="2469" spans="2:15" x14ac:dyDescent="0.55000000000000004">
      <c r="B2469" s="5"/>
      <c r="C2469" s="5"/>
      <c r="D2469" s="5"/>
      <c r="E2469" s="5"/>
      <c r="F2469" s="5"/>
      <c r="G2469" s="5"/>
      <c r="H2469" s="5"/>
      <c r="I2469" s="5"/>
      <c r="J2469" s="5"/>
      <c r="K2469" s="5"/>
      <c r="L2469" s="5"/>
      <c r="M2469" s="5"/>
      <c r="N2469" s="5"/>
      <c r="O2469" s="5"/>
    </row>
    <row r="2470" spans="2:15" x14ac:dyDescent="0.55000000000000004">
      <c r="B2470" s="5"/>
      <c r="C2470" s="5"/>
      <c r="D2470" s="5"/>
      <c r="E2470" s="5"/>
      <c r="F2470" s="5"/>
      <c r="G2470" s="5"/>
      <c r="H2470" s="5"/>
      <c r="I2470" s="5"/>
      <c r="J2470" s="5"/>
      <c r="K2470" s="5"/>
      <c r="L2470" s="5"/>
      <c r="M2470" s="5"/>
      <c r="N2470" s="5"/>
      <c r="O2470" s="5"/>
    </row>
    <row r="2471" spans="2:15" x14ac:dyDescent="0.55000000000000004">
      <c r="B2471" s="5"/>
      <c r="C2471" s="5"/>
      <c r="D2471" s="5"/>
      <c r="E2471" s="5"/>
      <c r="F2471" s="5"/>
      <c r="G2471" s="5"/>
      <c r="H2471" s="5"/>
      <c r="I2471" s="5"/>
      <c r="J2471" s="5"/>
      <c r="K2471" s="5"/>
      <c r="L2471" s="5"/>
      <c r="M2471" s="5"/>
      <c r="N2471" s="5"/>
      <c r="O2471" s="5"/>
    </row>
    <row r="2472" spans="2:15" x14ac:dyDescent="0.55000000000000004">
      <c r="B2472" s="5"/>
      <c r="C2472" s="5"/>
      <c r="D2472" s="5"/>
      <c r="E2472" s="5"/>
      <c r="F2472" s="5"/>
      <c r="G2472" s="5"/>
      <c r="H2472" s="5"/>
      <c r="I2472" s="5"/>
      <c r="J2472" s="5"/>
      <c r="K2472" s="5"/>
      <c r="L2472" s="5"/>
      <c r="M2472" s="5"/>
      <c r="N2472" s="5"/>
      <c r="O2472" s="5"/>
    </row>
    <row r="2473" spans="2:15" x14ac:dyDescent="0.55000000000000004">
      <c r="B2473" s="5"/>
      <c r="C2473" s="5"/>
      <c r="D2473" s="5"/>
      <c r="E2473" s="5"/>
      <c r="F2473" s="5"/>
      <c r="G2473" s="5"/>
      <c r="H2473" s="5"/>
      <c r="I2473" s="5"/>
      <c r="J2473" s="5"/>
      <c r="K2473" s="5"/>
      <c r="L2473" s="5"/>
      <c r="M2473" s="5"/>
      <c r="N2473" s="5"/>
      <c r="O2473" s="5"/>
    </row>
    <row r="2474" spans="2:15" x14ac:dyDescent="0.55000000000000004">
      <c r="B2474" s="5"/>
      <c r="C2474" s="5"/>
      <c r="D2474" s="5"/>
      <c r="E2474" s="5"/>
      <c r="F2474" s="5"/>
      <c r="G2474" s="5"/>
      <c r="H2474" s="5"/>
      <c r="I2474" s="5"/>
      <c r="J2474" s="5"/>
      <c r="K2474" s="5"/>
      <c r="L2474" s="5"/>
      <c r="M2474" s="5"/>
      <c r="N2474" s="5"/>
      <c r="O2474" s="5"/>
    </row>
    <row r="2475" spans="2:15" x14ac:dyDescent="0.55000000000000004">
      <c r="B2475" s="5"/>
      <c r="C2475" s="5"/>
      <c r="D2475" s="5"/>
      <c r="E2475" s="5"/>
      <c r="F2475" s="5"/>
      <c r="G2475" s="5"/>
      <c r="H2475" s="5"/>
      <c r="I2475" s="5"/>
      <c r="J2475" s="5"/>
      <c r="K2475" s="5"/>
      <c r="L2475" s="5"/>
      <c r="M2475" s="5"/>
      <c r="N2475" s="5"/>
      <c r="O2475" s="5"/>
    </row>
    <row r="2476" spans="2:15" x14ac:dyDescent="0.55000000000000004">
      <c r="B2476" s="5"/>
      <c r="C2476" s="5"/>
      <c r="D2476" s="5"/>
      <c r="E2476" s="5"/>
      <c r="F2476" s="5"/>
      <c r="G2476" s="5"/>
      <c r="H2476" s="5"/>
      <c r="I2476" s="5"/>
      <c r="J2476" s="5"/>
      <c r="K2476" s="5"/>
      <c r="L2476" s="5"/>
      <c r="M2476" s="5"/>
      <c r="N2476" s="5"/>
      <c r="O2476" s="5"/>
    </row>
    <row r="2477" spans="2:15" x14ac:dyDescent="0.55000000000000004">
      <c r="B2477" s="5"/>
      <c r="C2477" s="5"/>
      <c r="D2477" s="5"/>
      <c r="E2477" s="5"/>
      <c r="F2477" s="5"/>
      <c r="G2477" s="5"/>
      <c r="H2477" s="5"/>
      <c r="I2477" s="5"/>
      <c r="J2477" s="5"/>
      <c r="K2477" s="5"/>
      <c r="L2477" s="5"/>
      <c r="M2477" s="5"/>
      <c r="N2477" s="5"/>
      <c r="O2477" s="5"/>
    </row>
    <row r="2478" spans="2:15" x14ac:dyDescent="0.55000000000000004">
      <c r="B2478" s="5"/>
      <c r="C2478" s="5"/>
      <c r="D2478" s="5"/>
      <c r="E2478" s="5"/>
      <c r="F2478" s="5"/>
      <c r="G2478" s="5"/>
      <c r="H2478" s="5"/>
      <c r="I2478" s="5"/>
      <c r="J2478" s="5"/>
      <c r="K2478" s="5"/>
      <c r="L2478" s="5"/>
      <c r="M2478" s="5"/>
      <c r="N2478" s="5"/>
      <c r="O2478" s="5"/>
    </row>
    <row r="2479" spans="2:15" x14ac:dyDescent="0.55000000000000004">
      <c r="B2479" s="5"/>
      <c r="C2479" s="5"/>
      <c r="D2479" s="5"/>
      <c r="E2479" s="5"/>
      <c r="F2479" s="5"/>
      <c r="G2479" s="5"/>
      <c r="H2479" s="5"/>
      <c r="I2479" s="5"/>
      <c r="J2479" s="5"/>
      <c r="K2479" s="5"/>
      <c r="L2479" s="5"/>
      <c r="M2479" s="5"/>
      <c r="N2479" s="5"/>
      <c r="O2479" s="5"/>
    </row>
    <row r="2480" spans="2:15" x14ac:dyDescent="0.55000000000000004">
      <c r="B2480" s="5"/>
      <c r="C2480" s="5"/>
      <c r="D2480" s="5"/>
      <c r="E2480" s="5"/>
      <c r="F2480" s="5"/>
      <c r="G2480" s="5"/>
      <c r="H2480" s="5"/>
      <c r="I2480" s="5"/>
      <c r="J2480" s="5"/>
      <c r="K2480" s="5"/>
      <c r="L2480" s="5"/>
      <c r="M2480" s="5"/>
      <c r="N2480" s="5"/>
      <c r="O2480" s="5"/>
    </row>
    <row r="2481" spans="2:15" x14ac:dyDescent="0.55000000000000004">
      <c r="B2481" s="5"/>
      <c r="C2481" s="5"/>
      <c r="D2481" s="5"/>
      <c r="E2481" s="5"/>
      <c r="F2481" s="5"/>
      <c r="G2481" s="5"/>
      <c r="H2481" s="5"/>
      <c r="I2481" s="5"/>
      <c r="J2481" s="5"/>
      <c r="K2481" s="5"/>
      <c r="L2481" s="5"/>
      <c r="M2481" s="5"/>
      <c r="N2481" s="5"/>
      <c r="O2481" s="5"/>
    </row>
    <row r="2482" spans="2:15" x14ac:dyDescent="0.55000000000000004">
      <c r="B2482" s="5"/>
      <c r="C2482" s="5"/>
      <c r="D2482" s="5"/>
      <c r="E2482" s="5"/>
      <c r="F2482" s="5"/>
      <c r="G2482" s="5"/>
      <c r="H2482" s="5"/>
      <c r="I2482" s="5"/>
      <c r="J2482" s="5"/>
      <c r="K2482" s="5"/>
      <c r="L2482" s="5"/>
      <c r="M2482" s="5"/>
      <c r="N2482" s="5"/>
      <c r="O2482" s="5"/>
    </row>
    <row r="2483" spans="2:15" x14ac:dyDescent="0.55000000000000004">
      <c r="B2483" s="5"/>
      <c r="C2483" s="5"/>
      <c r="D2483" s="5"/>
      <c r="E2483" s="5"/>
      <c r="F2483" s="5"/>
      <c r="G2483" s="5"/>
      <c r="H2483" s="5"/>
      <c r="I2483" s="5"/>
      <c r="J2483" s="5"/>
      <c r="K2483" s="5"/>
      <c r="L2483" s="5"/>
      <c r="M2483" s="5"/>
      <c r="N2483" s="5"/>
      <c r="O2483" s="5"/>
    </row>
    <row r="2484" spans="2:15" x14ac:dyDescent="0.55000000000000004">
      <c r="B2484" s="5"/>
      <c r="C2484" s="5"/>
      <c r="D2484" s="5"/>
      <c r="E2484" s="5"/>
      <c r="F2484" s="5"/>
      <c r="G2484" s="5"/>
      <c r="H2484" s="5"/>
      <c r="I2484" s="5"/>
      <c r="J2484" s="5"/>
      <c r="K2484" s="5"/>
      <c r="L2484" s="5"/>
      <c r="M2484" s="5"/>
      <c r="N2484" s="5"/>
      <c r="O2484" s="5"/>
    </row>
    <row r="2485" spans="2:15" x14ac:dyDescent="0.55000000000000004">
      <c r="B2485" s="5"/>
      <c r="C2485" s="5"/>
      <c r="D2485" s="5"/>
      <c r="E2485" s="5"/>
      <c r="F2485" s="5"/>
      <c r="G2485" s="5"/>
      <c r="H2485" s="5"/>
      <c r="I2485" s="5"/>
      <c r="J2485" s="5"/>
      <c r="K2485" s="5"/>
      <c r="L2485" s="5"/>
      <c r="M2485" s="5"/>
      <c r="N2485" s="5"/>
      <c r="O2485" s="5"/>
    </row>
    <row r="2486" spans="2:15" x14ac:dyDescent="0.55000000000000004">
      <c r="B2486" s="5"/>
      <c r="C2486" s="5"/>
      <c r="D2486" s="5"/>
      <c r="E2486" s="5"/>
      <c r="F2486" s="5"/>
      <c r="G2486" s="5"/>
      <c r="H2486" s="5"/>
      <c r="I2486" s="5"/>
      <c r="J2486" s="5"/>
      <c r="K2486" s="5"/>
      <c r="L2486" s="5"/>
      <c r="M2486" s="5"/>
      <c r="N2486" s="5"/>
      <c r="O2486" s="5"/>
    </row>
    <row r="2487" spans="2:15" x14ac:dyDescent="0.55000000000000004">
      <c r="B2487" s="5"/>
      <c r="C2487" s="5"/>
      <c r="D2487" s="5"/>
      <c r="E2487" s="5"/>
      <c r="F2487" s="5"/>
      <c r="G2487" s="5"/>
      <c r="H2487" s="5"/>
      <c r="I2487" s="5"/>
      <c r="J2487" s="5"/>
      <c r="K2487" s="5"/>
      <c r="L2487" s="5"/>
      <c r="M2487" s="5"/>
      <c r="N2487" s="5"/>
      <c r="O2487" s="5"/>
    </row>
    <row r="2488" spans="2:15" x14ac:dyDescent="0.55000000000000004">
      <c r="B2488" s="5"/>
      <c r="C2488" s="5"/>
      <c r="D2488" s="5"/>
      <c r="E2488" s="5"/>
      <c r="F2488" s="5"/>
      <c r="G2488" s="5"/>
      <c r="H2488" s="5"/>
      <c r="I2488" s="5"/>
      <c r="J2488" s="5"/>
      <c r="K2488" s="5"/>
      <c r="L2488" s="5"/>
      <c r="M2488" s="5"/>
      <c r="N2488" s="5"/>
      <c r="O2488" s="5"/>
    </row>
    <row r="2489" spans="2:15" x14ac:dyDescent="0.55000000000000004">
      <c r="B2489" s="5"/>
      <c r="C2489" s="5"/>
      <c r="D2489" s="5"/>
      <c r="E2489" s="5"/>
      <c r="F2489" s="5"/>
      <c r="G2489" s="5"/>
      <c r="H2489" s="5"/>
      <c r="I2489" s="5"/>
      <c r="J2489" s="5"/>
      <c r="K2489" s="5"/>
      <c r="L2489" s="5"/>
      <c r="M2489" s="5"/>
      <c r="N2489" s="5"/>
      <c r="O2489" s="5"/>
    </row>
    <row r="2490" spans="2:15" x14ac:dyDescent="0.55000000000000004">
      <c r="B2490" s="5"/>
      <c r="C2490" s="5"/>
      <c r="D2490" s="5"/>
      <c r="E2490" s="5"/>
      <c r="F2490" s="5"/>
      <c r="G2490" s="5"/>
      <c r="H2490" s="5"/>
      <c r="I2490" s="5"/>
      <c r="J2490" s="5"/>
      <c r="K2490" s="5"/>
      <c r="L2490" s="5"/>
      <c r="M2490" s="5"/>
      <c r="N2490" s="5"/>
      <c r="O2490" s="5"/>
    </row>
    <row r="2491" spans="2:15" x14ac:dyDescent="0.55000000000000004">
      <c r="B2491" s="5"/>
      <c r="C2491" s="5"/>
      <c r="D2491" s="5"/>
      <c r="E2491" s="5"/>
      <c r="F2491" s="5"/>
      <c r="G2491" s="5"/>
      <c r="H2491" s="5"/>
      <c r="I2491" s="5"/>
      <c r="J2491" s="5"/>
      <c r="K2491" s="5"/>
      <c r="L2491" s="5"/>
      <c r="M2491" s="5"/>
      <c r="N2491" s="5"/>
      <c r="O2491" s="5"/>
    </row>
    <row r="2492" spans="2:15" x14ac:dyDescent="0.55000000000000004">
      <c r="B2492" s="5"/>
      <c r="C2492" s="5"/>
      <c r="D2492" s="5"/>
      <c r="E2492" s="5"/>
      <c r="F2492" s="5"/>
      <c r="G2492" s="5"/>
      <c r="H2492" s="5"/>
      <c r="I2492" s="5"/>
      <c r="J2492" s="5"/>
      <c r="K2492" s="5"/>
      <c r="L2492" s="5"/>
      <c r="M2492" s="5"/>
      <c r="N2492" s="5"/>
      <c r="O2492" s="5"/>
    </row>
    <row r="2493" spans="2:15" x14ac:dyDescent="0.55000000000000004">
      <c r="B2493" s="5"/>
      <c r="C2493" s="5"/>
      <c r="D2493" s="5"/>
      <c r="E2493" s="5"/>
      <c r="F2493" s="5"/>
      <c r="G2493" s="5"/>
      <c r="H2493" s="5"/>
      <c r="I2493" s="5"/>
      <c r="J2493" s="5"/>
      <c r="K2493" s="5"/>
      <c r="L2493" s="5"/>
      <c r="M2493" s="5"/>
      <c r="N2493" s="5"/>
      <c r="O2493" s="5"/>
    </row>
    <row r="2494" spans="2:15" x14ac:dyDescent="0.55000000000000004">
      <c r="B2494" s="5"/>
      <c r="C2494" s="5"/>
      <c r="D2494" s="5"/>
      <c r="E2494" s="5"/>
      <c r="F2494" s="5"/>
      <c r="G2494" s="5"/>
      <c r="H2494" s="5"/>
      <c r="I2494" s="5"/>
      <c r="J2494" s="5"/>
      <c r="K2494" s="5"/>
      <c r="L2494" s="5"/>
      <c r="M2494" s="5"/>
      <c r="N2494" s="5"/>
      <c r="O2494" s="5"/>
    </row>
    <row r="2495" spans="2:15" x14ac:dyDescent="0.55000000000000004">
      <c r="B2495" s="5"/>
      <c r="C2495" s="5"/>
      <c r="D2495" s="5"/>
      <c r="E2495" s="5"/>
      <c r="F2495" s="5"/>
      <c r="G2495" s="5"/>
      <c r="H2495" s="5"/>
      <c r="I2495" s="5"/>
      <c r="J2495" s="5"/>
      <c r="K2495" s="5"/>
      <c r="L2495" s="5"/>
      <c r="M2495" s="5"/>
      <c r="N2495" s="5"/>
      <c r="O2495" s="5"/>
    </row>
    <row r="2496" spans="2:15" x14ac:dyDescent="0.55000000000000004">
      <c r="B2496" s="5"/>
      <c r="C2496" s="5"/>
      <c r="D2496" s="5"/>
      <c r="E2496" s="5"/>
      <c r="F2496" s="5"/>
      <c r="G2496" s="5"/>
      <c r="H2496" s="5"/>
      <c r="I2496" s="5"/>
      <c r="J2496" s="5"/>
      <c r="K2496" s="5"/>
      <c r="L2496" s="5"/>
      <c r="M2496" s="5"/>
      <c r="N2496" s="5"/>
      <c r="O2496" s="5"/>
    </row>
    <row r="2497" spans="2:15" x14ac:dyDescent="0.55000000000000004">
      <c r="B2497" s="5"/>
      <c r="C2497" s="5"/>
      <c r="D2497" s="5"/>
      <c r="E2497" s="5"/>
      <c r="F2497" s="5"/>
      <c r="G2497" s="5"/>
      <c r="H2497" s="5"/>
      <c r="I2497" s="5"/>
      <c r="J2497" s="5"/>
      <c r="K2497" s="5"/>
      <c r="L2497" s="5"/>
      <c r="M2497" s="5"/>
      <c r="N2497" s="5"/>
      <c r="O2497" s="5"/>
    </row>
    <row r="2498" spans="2:15" x14ac:dyDescent="0.55000000000000004">
      <c r="B2498" s="5"/>
      <c r="C2498" s="5"/>
      <c r="D2498" s="5"/>
      <c r="E2498" s="5"/>
      <c r="F2498" s="5"/>
      <c r="G2498" s="5"/>
      <c r="H2498" s="5"/>
      <c r="I2498" s="5"/>
      <c r="J2498" s="5"/>
      <c r="K2498" s="5"/>
      <c r="L2498" s="5"/>
      <c r="M2498" s="5"/>
      <c r="N2498" s="5"/>
      <c r="O2498" s="5"/>
    </row>
    <row r="2499" spans="2:15" x14ac:dyDescent="0.55000000000000004">
      <c r="B2499" s="5"/>
      <c r="C2499" s="5"/>
      <c r="D2499" s="5"/>
      <c r="E2499" s="5"/>
      <c r="F2499" s="5"/>
      <c r="G2499" s="5"/>
      <c r="H2499" s="5"/>
      <c r="I2499" s="5"/>
      <c r="J2499" s="5"/>
      <c r="K2499" s="5"/>
      <c r="L2499" s="5"/>
      <c r="M2499" s="5"/>
      <c r="N2499" s="5"/>
      <c r="O2499" s="5"/>
    </row>
    <row r="2500" spans="2:15" x14ac:dyDescent="0.55000000000000004">
      <c r="B2500" s="5"/>
      <c r="C2500" s="5"/>
      <c r="D2500" s="5"/>
      <c r="E2500" s="5"/>
      <c r="F2500" s="5"/>
      <c r="G2500" s="5"/>
      <c r="H2500" s="5"/>
      <c r="I2500" s="5"/>
      <c r="J2500" s="5"/>
      <c r="K2500" s="5"/>
      <c r="L2500" s="5"/>
      <c r="M2500" s="5"/>
      <c r="N2500" s="5"/>
      <c r="O2500" s="5"/>
    </row>
    <row r="2501" spans="2:15" x14ac:dyDescent="0.55000000000000004">
      <c r="B2501" s="5"/>
      <c r="C2501" s="5"/>
      <c r="D2501" s="5"/>
      <c r="E2501" s="5"/>
      <c r="F2501" s="5"/>
      <c r="G2501" s="5"/>
      <c r="H2501" s="5"/>
      <c r="I2501" s="5"/>
      <c r="J2501" s="5"/>
      <c r="K2501" s="5"/>
      <c r="L2501" s="5"/>
      <c r="M2501" s="5"/>
      <c r="N2501" s="5"/>
      <c r="O2501" s="5"/>
    </row>
    <row r="2502" spans="2:15" x14ac:dyDescent="0.55000000000000004">
      <c r="B2502" s="5"/>
      <c r="C2502" s="5"/>
      <c r="D2502" s="5"/>
      <c r="E2502" s="5"/>
      <c r="F2502" s="5"/>
      <c r="G2502" s="5"/>
      <c r="H2502" s="5"/>
      <c r="I2502" s="5"/>
      <c r="J2502" s="5"/>
      <c r="K2502" s="5"/>
      <c r="L2502" s="5"/>
      <c r="M2502" s="5"/>
      <c r="N2502" s="5"/>
      <c r="O2502" s="5"/>
    </row>
    <row r="2503" spans="2:15" x14ac:dyDescent="0.55000000000000004">
      <c r="B2503" s="5"/>
      <c r="C2503" s="5"/>
      <c r="D2503" s="5"/>
      <c r="E2503" s="5"/>
      <c r="F2503" s="5"/>
      <c r="G2503" s="5"/>
      <c r="H2503" s="5"/>
      <c r="I2503" s="5"/>
      <c r="J2503" s="5"/>
      <c r="K2503" s="5"/>
      <c r="L2503" s="5"/>
      <c r="M2503" s="5"/>
      <c r="N2503" s="5"/>
      <c r="O2503" s="5"/>
    </row>
    <row r="2504" spans="2:15" x14ac:dyDescent="0.55000000000000004">
      <c r="B2504" s="5"/>
      <c r="C2504" s="5"/>
      <c r="D2504" s="5"/>
      <c r="E2504" s="5"/>
      <c r="F2504" s="5"/>
      <c r="G2504" s="5"/>
      <c r="H2504" s="5"/>
      <c r="I2504" s="5"/>
      <c r="J2504" s="5"/>
      <c r="K2504" s="5"/>
      <c r="L2504" s="5"/>
      <c r="M2504" s="5"/>
      <c r="N2504" s="5"/>
      <c r="O2504" s="5"/>
    </row>
    <row r="2505" spans="2:15" x14ac:dyDescent="0.55000000000000004">
      <c r="B2505" s="5"/>
      <c r="C2505" s="5"/>
      <c r="D2505" s="5"/>
      <c r="E2505" s="5"/>
      <c r="F2505" s="5"/>
      <c r="G2505" s="5"/>
      <c r="H2505" s="5"/>
      <c r="I2505" s="5"/>
      <c r="J2505" s="5"/>
      <c r="K2505" s="5"/>
      <c r="L2505" s="5"/>
      <c r="M2505" s="5"/>
      <c r="N2505" s="5"/>
      <c r="O2505" s="5"/>
    </row>
    <row r="2506" spans="2:15" x14ac:dyDescent="0.55000000000000004">
      <c r="B2506" s="5"/>
      <c r="C2506" s="5"/>
      <c r="D2506" s="5"/>
      <c r="E2506" s="5"/>
      <c r="F2506" s="5"/>
      <c r="G2506" s="5"/>
      <c r="H2506" s="5"/>
      <c r="I2506" s="5"/>
      <c r="J2506" s="5"/>
      <c r="K2506" s="5"/>
      <c r="L2506" s="5"/>
      <c r="M2506" s="5"/>
      <c r="N2506" s="5"/>
      <c r="O2506" s="5"/>
    </row>
    <row r="2507" spans="2:15" x14ac:dyDescent="0.55000000000000004">
      <c r="B2507" s="5"/>
      <c r="C2507" s="5"/>
      <c r="D2507" s="5"/>
      <c r="E2507" s="5"/>
      <c r="F2507" s="5"/>
      <c r="G2507" s="5"/>
      <c r="H2507" s="5"/>
      <c r="I2507" s="5"/>
      <c r="J2507" s="5"/>
      <c r="K2507" s="5"/>
      <c r="L2507" s="5"/>
      <c r="M2507" s="5"/>
      <c r="N2507" s="5"/>
      <c r="O2507" s="5"/>
    </row>
    <row r="2508" spans="2:15" x14ac:dyDescent="0.55000000000000004">
      <c r="B2508" s="5"/>
      <c r="C2508" s="5"/>
      <c r="D2508" s="5"/>
      <c r="E2508" s="5"/>
      <c r="F2508" s="5"/>
      <c r="G2508" s="5"/>
      <c r="H2508" s="5"/>
      <c r="I2508" s="5"/>
      <c r="J2508" s="5"/>
      <c r="K2508" s="5"/>
      <c r="L2508" s="5"/>
      <c r="M2508" s="5"/>
      <c r="N2508" s="5"/>
      <c r="O2508" s="5"/>
    </row>
    <row r="2509" spans="2:15" x14ac:dyDescent="0.55000000000000004">
      <c r="B2509" s="5"/>
      <c r="C2509" s="5"/>
      <c r="D2509" s="5"/>
      <c r="E2509" s="5"/>
      <c r="F2509" s="5"/>
      <c r="G2509" s="5"/>
      <c r="H2509" s="5"/>
      <c r="I2509" s="5"/>
      <c r="J2509" s="5"/>
      <c r="K2509" s="5"/>
      <c r="L2509" s="5"/>
      <c r="M2509" s="5"/>
      <c r="N2509" s="5"/>
      <c r="O2509" s="5"/>
    </row>
    <row r="2510" spans="2:15" x14ac:dyDescent="0.55000000000000004">
      <c r="B2510" s="5"/>
      <c r="C2510" s="5"/>
      <c r="D2510" s="5"/>
      <c r="E2510" s="5"/>
      <c r="F2510" s="5"/>
      <c r="G2510" s="5"/>
      <c r="H2510" s="5"/>
      <c r="I2510" s="5"/>
      <c r="J2510" s="5"/>
      <c r="K2510" s="5"/>
      <c r="L2510" s="5"/>
      <c r="M2510" s="5"/>
      <c r="N2510" s="5"/>
      <c r="O2510" s="5"/>
    </row>
    <row r="2511" spans="2:15" x14ac:dyDescent="0.55000000000000004">
      <c r="B2511" s="5"/>
      <c r="C2511" s="5"/>
      <c r="D2511" s="5"/>
      <c r="E2511" s="5"/>
      <c r="F2511" s="5"/>
      <c r="G2511" s="5"/>
      <c r="H2511" s="5"/>
      <c r="I2511" s="5"/>
      <c r="J2511" s="5"/>
      <c r="K2511" s="5"/>
      <c r="L2511" s="5"/>
      <c r="M2511" s="5"/>
      <c r="N2511" s="5"/>
      <c r="O2511" s="5"/>
    </row>
    <row r="2512" spans="2:15" x14ac:dyDescent="0.55000000000000004">
      <c r="B2512" s="5"/>
      <c r="C2512" s="5"/>
      <c r="D2512" s="5"/>
      <c r="E2512" s="5"/>
      <c r="F2512" s="5"/>
      <c r="G2512" s="5"/>
      <c r="H2512" s="5"/>
      <c r="I2512" s="5"/>
      <c r="J2512" s="5"/>
      <c r="K2512" s="5"/>
      <c r="L2512" s="5"/>
      <c r="M2512" s="5"/>
      <c r="N2512" s="5"/>
      <c r="O2512" s="5"/>
    </row>
    <row r="2513" spans="2:15" x14ac:dyDescent="0.55000000000000004">
      <c r="B2513" s="5"/>
      <c r="C2513" s="5"/>
      <c r="D2513" s="5"/>
      <c r="E2513" s="5"/>
      <c r="F2513" s="5"/>
      <c r="G2513" s="5"/>
      <c r="H2513" s="5"/>
      <c r="I2513" s="5"/>
      <c r="J2513" s="5"/>
      <c r="K2513" s="5"/>
      <c r="L2513" s="5"/>
      <c r="M2513" s="5"/>
      <c r="N2513" s="5"/>
      <c r="O2513" s="5"/>
    </row>
    <row r="2514" spans="2:15" x14ac:dyDescent="0.55000000000000004">
      <c r="B2514" s="5"/>
      <c r="C2514" s="5"/>
      <c r="D2514" s="5"/>
      <c r="E2514" s="5"/>
      <c r="F2514" s="5"/>
      <c r="G2514" s="5"/>
      <c r="H2514" s="5"/>
      <c r="I2514" s="5"/>
      <c r="J2514" s="5"/>
      <c r="K2514" s="5"/>
      <c r="L2514" s="5"/>
      <c r="M2514" s="5"/>
      <c r="N2514" s="5"/>
      <c r="O2514" s="5"/>
    </row>
    <row r="2515" spans="2:15" x14ac:dyDescent="0.55000000000000004">
      <c r="B2515" s="5"/>
      <c r="C2515" s="5"/>
      <c r="D2515" s="5"/>
      <c r="E2515" s="5"/>
      <c r="F2515" s="5"/>
      <c r="G2515" s="5"/>
      <c r="H2515" s="5"/>
      <c r="I2515" s="5"/>
      <c r="J2515" s="5"/>
      <c r="K2515" s="5"/>
      <c r="L2515" s="5"/>
      <c r="M2515" s="5"/>
      <c r="N2515" s="5"/>
      <c r="O2515" s="5"/>
    </row>
    <row r="2516" spans="2:15" x14ac:dyDescent="0.55000000000000004">
      <c r="B2516" s="5"/>
      <c r="C2516" s="5"/>
      <c r="D2516" s="5"/>
      <c r="E2516" s="5"/>
      <c r="F2516" s="5"/>
      <c r="G2516" s="5"/>
      <c r="H2516" s="5"/>
      <c r="I2516" s="5"/>
      <c r="J2516" s="5"/>
      <c r="K2516" s="5"/>
      <c r="L2516" s="5"/>
      <c r="M2516" s="5"/>
      <c r="N2516" s="5"/>
      <c r="O2516" s="5"/>
    </row>
    <row r="2517" spans="2:15" x14ac:dyDescent="0.55000000000000004">
      <c r="B2517" s="5"/>
      <c r="C2517" s="5"/>
      <c r="D2517" s="5"/>
      <c r="E2517" s="5"/>
      <c r="F2517" s="5"/>
      <c r="G2517" s="5"/>
      <c r="H2517" s="5"/>
      <c r="I2517" s="5"/>
      <c r="J2517" s="5"/>
      <c r="K2517" s="5"/>
      <c r="L2517" s="5"/>
      <c r="M2517" s="5"/>
      <c r="N2517" s="5"/>
      <c r="O2517" s="5"/>
    </row>
    <row r="2518" spans="2:15" x14ac:dyDescent="0.55000000000000004">
      <c r="B2518" s="5"/>
      <c r="C2518" s="5"/>
      <c r="D2518" s="5"/>
      <c r="E2518" s="5"/>
      <c r="F2518" s="5"/>
      <c r="G2518" s="5"/>
      <c r="H2518" s="5"/>
      <c r="I2518" s="5"/>
      <c r="J2518" s="5"/>
      <c r="K2518" s="5"/>
      <c r="L2518" s="5"/>
      <c r="M2518" s="5"/>
      <c r="N2518" s="5"/>
      <c r="O2518" s="5"/>
    </row>
    <row r="2519" spans="2:15" x14ac:dyDescent="0.55000000000000004">
      <c r="B2519" s="5"/>
      <c r="C2519" s="5"/>
      <c r="D2519" s="5"/>
      <c r="E2519" s="5"/>
      <c r="F2519" s="5"/>
      <c r="G2519" s="5"/>
      <c r="H2519" s="5"/>
      <c r="I2519" s="5"/>
      <c r="J2519" s="5"/>
      <c r="K2519" s="5"/>
      <c r="L2519" s="5"/>
      <c r="M2519" s="5"/>
      <c r="N2519" s="5"/>
      <c r="O2519" s="5"/>
    </row>
    <row r="2520" spans="2:15" x14ac:dyDescent="0.55000000000000004">
      <c r="B2520" s="5"/>
      <c r="C2520" s="5"/>
      <c r="D2520" s="5"/>
      <c r="E2520" s="5"/>
      <c r="F2520" s="5"/>
      <c r="G2520" s="5"/>
      <c r="H2520" s="5"/>
      <c r="I2520" s="5"/>
      <c r="J2520" s="5"/>
      <c r="K2520" s="5"/>
      <c r="L2520" s="5"/>
      <c r="M2520" s="5"/>
      <c r="N2520" s="5"/>
      <c r="O2520" s="5"/>
    </row>
    <row r="2521" spans="2:15" x14ac:dyDescent="0.55000000000000004">
      <c r="B2521" s="5"/>
      <c r="C2521" s="5"/>
      <c r="D2521" s="5"/>
      <c r="E2521" s="5"/>
      <c r="F2521" s="5"/>
      <c r="G2521" s="5"/>
      <c r="H2521" s="5"/>
      <c r="I2521" s="5"/>
      <c r="J2521" s="5"/>
      <c r="K2521" s="5"/>
      <c r="L2521" s="5"/>
      <c r="M2521" s="5"/>
      <c r="N2521" s="5"/>
      <c r="O2521" s="5"/>
    </row>
    <row r="2522" spans="2:15" x14ac:dyDescent="0.55000000000000004">
      <c r="B2522" s="5"/>
      <c r="C2522" s="5"/>
      <c r="D2522" s="5"/>
      <c r="E2522" s="5"/>
      <c r="F2522" s="5"/>
      <c r="G2522" s="5"/>
      <c r="H2522" s="5"/>
      <c r="I2522" s="5"/>
      <c r="J2522" s="5"/>
      <c r="K2522" s="5"/>
      <c r="L2522" s="5"/>
      <c r="M2522" s="5"/>
      <c r="N2522" s="5"/>
      <c r="O2522" s="5"/>
    </row>
    <row r="2523" spans="2:15" x14ac:dyDescent="0.55000000000000004">
      <c r="B2523" s="5"/>
      <c r="C2523" s="5"/>
      <c r="D2523" s="5"/>
      <c r="E2523" s="5"/>
      <c r="F2523" s="5"/>
      <c r="G2523" s="5"/>
      <c r="H2523" s="5"/>
      <c r="I2523" s="5"/>
      <c r="J2523" s="5"/>
      <c r="K2523" s="5"/>
      <c r="L2523" s="5"/>
      <c r="M2523" s="5"/>
      <c r="N2523" s="5"/>
      <c r="O2523" s="5"/>
    </row>
    <row r="2524" spans="2:15" x14ac:dyDescent="0.55000000000000004">
      <c r="B2524" s="5"/>
      <c r="C2524" s="5"/>
      <c r="D2524" s="5"/>
      <c r="E2524" s="5"/>
      <c r="F2524" s="5"/>
      <c r="G2524" s="5"/>
      <c r="H2524" s="5"/>
      <c r="I2524" s="5"/>
      <c r="J2524" s="5"/>
      <c r="K2524" s="5"/>
      <c r="L2524" s="5"/>
      <c r="M2524" s="5"/>
      <c r="N2524" s="5"/>
      <c r="O2524" s="5"/>
    </row>
    <row r="2525" spans="2:15" x14ac:dyDescent="0.55000000000000004">
      <c r="B2525" s="5"/>
      <c r="C2525" s="5"/>
      <c r="D2525" s="5"/>
      <c r="E2525" s="5"/>
      <c r="F2525" s="5"/>
      <c r="G2525" s="5"/>
      <c r="H2525" s="5"/>
      <c r="I2525" s="5"/>
      <c r="J2525" s="5"/>
      <c r="K2525" s="5"/>
      <c r="L2525" s="5"/>
      <c r="M2525" s="5"/>
      <c r="N2525" s="5"/>
      <c r="O2525" s="5"/>
    </row>
    <row r="2526" spans="2:15" x14ac:dyDescent="0.55000000000000004">
      <c r="B2526" s="5"/>
      <c r="C2526" s="5"/>
      <c r="D2526" s="5"/>
      <c r="E2526" s="5"/>
      <c r="F2526" s="5"/>
      <c r="G2526" s="5"/>
      <c r="H2526" s="5"/>
      <c r="I2526" s="5"/>
      <c r="J2526" s="5"/>
      <c r="K2526" s="5"/>
      <c r="L2526" s="5"/>
      <c r="M2526" s="5"/>
      <c r="N2526" s="5"/>
      <c r="O2526" s="5"/>
    </row>
    <row r="2527" spans="2:15" x14ac:dyDescent="0.55000000000000004">
      <c r="B2527" s="5"/>
      <c r="C2527" s="5"/>
      <c r="D2527" s="5"/>
      <c r="E2527" s="5"/>
      <c r="F2527" s="5"/>
      <c r="G2527" s="5"/>
      <c r="H2527" s="5"/>
      <c r="I2527" s="5"/>
      <c r="J2527" s="5"/>
      <c r="K2527" s="5"/>
      <c r="L2527" s="5"/>
      <c r="M2527" s="5"/>
      <c r="N2527" s="5"/>
      <c r="O2527" s="5"/>
    </row>
    <row r="2528" spans="2:15" x14ac:dyDescent="0.55000000000000004">
      <c r="B2528" s="5"/>
      <c r="C2528" s="5"/>
      <c r="D2528" s="5"/>
      <c r="E2528" s="5"/>
      <c r="F2528" s="5"/>
      <c r="G2528" s="5"/>
      <c r="H2528" s="5"/>
      <c r="I2528" s="5"/>
      <c r="J2528" s="5"/>
      <c r="K2528" s="5"/>
      <c r="L2528" s="5"/>
      <c r="M2528" s="5"/>
      <c r="N2528" s="5"/>
      <c r="O2528" s="5"/>
    </row>
    <row r="2529" spans="2:15" x14ac:dyDescent="0.55000000000000004">
      <c r="B2529" s="5"/>
      <c r="C2529" s="5"/>
      <c r="D2529" s="5"/>
      <c r="E2529" s="5"/>
      <c r="F2529" s="5"/>
      <c r="G2529" s="5"/>
      <c r="H2529" s="5"/>
      <c r="I2529" s="5"/>
      <c r="J2529" s="5"/>
      <c r="K2529" s="5"/>
      <c r="L2529" s="5"/>
      <c r="M2529" s="5"/>
      <c r="N2529" s="5"/>
      <c r="O2529" s="5"/>
    </row>
    <row r="2530" spans="2:15" x14ac:dyDescent="0.55000000000000004">
      <c r="B2530" s="5"/>
      <c r="C2530" s="5"/>
      <c r="D2530" s="5"/>
      <c r="E2530" s="5"/>
      <c r="F2530" s="5"/>
      <c r="G2530" s="5"/>
      <c r="H2530" s="5"/>
      <c r="I2530" s="5"/>
      <c r="J2530" s="5"/>
      <c r="K2530" s="5"/>
      <c r="L2530" s="5"/>
      <c r="M2530" s="5"/>
      <c r="N2530" s="5"/>
      <c r="O2530" s="5"/>
    </row>
    <row r="2531" spans="2:15" x14ac:dyDescent="0.55000000000000004">
      <c r="B2531" s="5"/>
      <c r="C2531" s="5"/>
      <c r="D2531" s="5"/>
      <c r="E2531" s="5"/>
      <c r="F2531" s="5"/>
      <c r="G2531" s="5"/>
      <c r="H2531" s="5"/>
      <c r="I2531" s="5"/>
      <c r="J2531" s="5"/>
      <c r="K2531" s="5"/>
      <c r="L2531" s="5"/>
      <c r="M2531" s="5"/>
      <c r="N2531" s="5"/>
      <c r="O2531" s="5"/>
    </row>
    <row r="2532" spans="2:15" x14ac:dyDescent="0.55000000000000004">
      <c r="B2532" s="5"/>
      <c r="C2532" s="5"/>
      <c r="D2532" s="5"/>
      <c r="E2532" s="5"/>
      <c r="F2532" s="5"/>
      <c r="G2532" s="5"/>
      <c r="H2532" s="5"/>
      <c r="I2532" s="5"/>
      <c r="J2532" s="5"/>
      <c r="K2532" s="5"/>
      <c r="L2532" s="5"/>
      <c r="M2532" s="5"/>
      <c r="N2532" s="5"/>
      <c r="O2532" s="5"/>
    </row>
    <row r="2533" spans="2:15" x14ac:dyDescent="0.55000000000000004">
      <c r="B2533" s="5"/>
      <c r="C2533" s="5"/>
      <c r="D2533" s="5"/>
      <c r="E2533" s="5"/>
      <c r="F2533" s="5"/>
      <c r="G2533" s="5"/>
      <c r="H2533" s="5"/>
      <c r="I2533" s="5"/>
      <c r="J2533" s="5"/>
      <c r="K2533" s="5"/>
      <c r="L2533" s="5"/>
      <c r="M2533" s="5"/>
      <c r="N2533" s="5"/>
      <c r="O2533" s="5"/>
    </row>
    <row r="2534" spans="2:15" x14ac:dyDescent="0.55000000000000004">
      <c r="B2534" s="5"/>
      <c r="C2534" s="5"/>
      <c r="D2534" s="5"/>
      <c r="E2534" s="5"/>
      <c r="F2534" s="5"/>
      <c r="G2534" s="5"/>
      <c r="H2534" s="5"/>
      <c r="I2534" s="5"/>
      <c r="J2534" s="5"/>
      <c r="K2534" s="5"/>
      <c r="L2534" s="5"/>
      <c r="M2534" s="5"/>
      <c r="N2534" s="5"/>
      <c r="O2534" s="5"/>
    </row>
    <row r="2535" spans="2:15" x14ac:dyDescent="0.55000000000000004">
      <c r="B2535" s="5"/>
      <c r="C2535" s="5"/>
      <c r="D2535" s="5"/>
      <c r="E2535" s="5"/>
      <c r="F2535" s="5"/>
      <c r="G2535" s="5"/>
      <c r="H2535" s="5"/>
      <c r="I2535" s="5"/>
      <c r="J2535" s="5"/>
      <c r="K2535" s="5"/>
      <c r="L2535" s="5"/>
      <c r="M2535" s="5"/>
      <c r="N2535" s="5"/>
      <c r="O2535" s="5"/>
    </row>
    <row r="2536" spans="2:15" x14ac:dyDescent="0.55000000000000004">
      <c r="B2536" s="5"/>
      <c r="C2536" s="5"/>
      <c r="D2536" s="5"/>
      <c r="E2536" s="5"/>
      <c r="F2536" s="5"/>
      <c r="G2536" s="5"/>
      <c r="H2536" s="5"/>
      <c r="I2536" s="5"/>
      <c r="J2536" s="5"/>
      <c r="K2536" s="5"/>
      <c r="L2536" s="5"/>
      <c r="M2536" s="5"/>
      <c r="N2536" s="5"/>
      <c r="O2536" s="5"/>
    </row>
    <row r="2537" spans="2:15" x14ac:dyDescent="0.55000000000000004">
      <c r="B2537" s="5"/>
      <c r="C2537" s="5"/>
      <c r="D2537" s="5"/>
      <c r="E2537" s="5"/>
      <c r="F2537" s="5"/>
      <c r="G2537" s="5"/>
      <c r="H2537" s="5"/>
      <c r="I2537" s="5"/>
      <c r="J2537" s="5"/>
      <c r="K2537" s="5"/>
      <c r="L2537" s="5"/>
      <c r="M2537" s="5"/>
      <c r="N2537" s="5"/>
      <c r="O2537" s="5"/>
    </row>
    <row r="2538" spans="2:15" x14ac:dyDescent="0.55000000000000004">
      <c r="B2538" s="5"/>
      <c r="C2538" s="5"/>
      <c r="D2538" s="5"/>
      <c r="E2538" s="5"/>
      <c r="F2538" s="5"/>
      <c r="G2538" s="5"/>
      <c r="H2538" s="5"/>
      <c r="I2538" s="5"/>
      <c r="J2538" s="5"/>
      <c r="K2538" s="5"/>
      <c r="L2538" s="5"/>
      <c r="M2538" s="5"/>
      <c r="N2538" s="5"/>
      <c r="O2538" s="5"/>
    </row>
    <row r="2539" spans="2:15" x14ac:dyDescent="0.55000000000000004">
      <c r="B2539" s="5"/>
      <c r="C2539" s="5"/>
      <c r="D2539" s="5"/>
      <c r="E2539" s="5"/>
      <c r="F2539" s="5"/>
      <c r="G2539" s="5"/>
      <c r="H2539" s="5"/>
      <c r="I2539" s="5"/>
      <c r="J2539" s="5"/>
      <c r="K2539" s="5"/>
      <c r="L2539" s="5"/>
      <c r="M2539" s="5"/>
      <c r="N2539" s="5"/>
      <c r="O2539" s="5"/>
    </row>
    <row r="2540" spans="2:15" x14ac:dyDescent="0.55000000000000004">
      <c r="B2540" s="5"/>
      <c r="C2540" s="5"/>
      <c r="D2540" s="5"/>
      <c r="E2540" s="5"/>
      <c r="F2540" s="5"/>
      <c r="G2540" s="5"/>
      <c r="H2540" s="5"/>
      <c r="I2540" s="5"/>
      <c r="J2540" s="5"/>
      <c r="K2540" s="5"/>
      <c r="L2540" s="5"/>
      <c r="M2540" s="5"/>
      <c r="N2540" s="5"/>
      <c r="O2540" s="5"/>
    </row>
    <row r="2541" spans="2:15" x14ac:dyDescent="0.55000000000000004">
      <c r="B2541" s="5"/>
      <c r="C2541" s="5"/>
      <c r="D2541" s="5"/>
      <c r="E2541" s="5"/>
      <c r="F2541" s="5"/>
      <c r="G2541" s="5"/>
      <c r="H2541" s="5"/>
      <c r="I2541" s="5"/>
      <c r="J2541" s="5"/>
      <c r="K2541" s="5"/>
      <c r="L2541" s="5"/>
      <c r="M2541" s="5"/>
      <c r="N2541" s="5"/>
      <c r="O2541" s="5"/>
    </row>
    <row r="2542" spans="2:15" x14ac:dyDescent="0.55000000000000004">
      <c r="B2542" s="5"/>
      <c r="C2542" s="5"/>
      <c r="D2542" s="5"/>
      <c r="E2542" s="5"/>
      <c r="F2542" s="5"/>
      <c r="G2542" s="5"/>
      <c r="H2542" s="5"/>
      <c r="I2542" s="5"/>
      <c r="J2542" s="5"/>
      <c r="K2542" s="5"/>
      <c r="L2542" s="5"/>
      <c r="M2542" s="5"/>
      <c r="N2542" s="5"/>
      <c r="O2542" s="5"/>
    </row>
    <row r="2543" spans="2:15" x14ac:dyDescent="0.55000000000000004">
      <c r="B2543" s="5"/>
      <c r="C2543" s="5"/>
      <c r="D2543" s="5"/>
      <c r="E2543" s="5"/>
      <c r="F2543" s="5"/>
      <c r="G2543" s="5"/>
      <c r="H2543" s="5"/>
      <c r="I2543" s="5"/>
      <c r="J2543" s="5"/>
      <c r="K2543" s="5"/>
      <c r="L2543" s="5"/>
      <c r="M2543" s="5"/>
      <c r="N2543" s="5"/>
      <c r="O2543" s="5"/>
    </row>
    <row r="2544" spans="2:15" x14ac:dyDescent="0.55000000000000004">
      <c r="B2544" s="5"/>
      <c r="C2544" s="5"/>
      <c r="D2544" s="5"/>
      <c r="E2544" s="5"/>
      <c r="F2544" s="5"/>
      <c r="G2544" s="5"/>
      <c r="H2544" s="5"/>
      <c r="I2544" s="5"/>
      <c r="J2544" s="5"/>
      <c r="K2544" s="5"/>
      <c r="L2544" s="5"/>
      <c r="M2544" s="5"/>
      <c r="N2544" s="5"/>
      <c r="O2544" s="5"/>
    </row>
    <row r="2545" spans="2:15" x14ac:dyDescent="0.55000000000000004">
      <c r="B2545" s="5"/>
      <c r="C2545" s="5"/>
      <c r="D2545" s="5"/>
      <c r="E2545" s="5"/>
      <c r="F2545" s="5"/>
      <c r="G2545" s="5"/>
      <c r="H2545" s="5"/>
      <c r="I2545" s="5"/>
      <c r="J2545" s="5"/>
      <c r="K2545" s="5"/>
      <c r="L2545" s="5"/>
      <c r="M2545" s="5"/>
      <c r="N2545" s="5"/>
      <c r="O2545" s="5"/>
    </row>
    <row r="2546" spans="2:15" x14ac:dyDescent="0.55000000000000004">
      <c r="B2546" s="5"/>
      <c r="C2546" s="5"/>
      <c r="D2546" s="5"/>
      <c r="E2546" s="5"/>
      <c r="F2546" s="5"/>
      <c r="G2546" s="5"/>
      <c r="H2546" s="5"/>
      <c r="I2546" s="5"/>
      <c r="J2546" s="5"/>
      <c r="K2546" s="5"/>
      <c r="L2546" s="5"/>
      <c r="M2546" s="5"/>
      <c r="N2546" s="5"/>
      <c r="O2546" s="5"/>
    </row>
    <row r="2547" spans="2:15" x14ac:dyDescent="0.55000000000000004">
      <c r="B2547" s="5"/>
      <c r="C2547" s="5"/>
      <c r="D2547" s="5"/>
      <c r="E2547" s="5"/>
      <c r="F2547" s="5"/>
      <c r="G2547" s="5"/>
      <c r="H2547" s="5"/>
      <c r="I2547" s="5"/>
      <c r="J2547" s="5"/>
      <c r="K2547" s="5"/>
      <c r="L2547" s="5"/>
      <c r="M2547" s="5"/>
      <c r="N2547" s="5"/>
      <c r="O2547" s="5"/>
    </row>
    <row r="2548" spans="2:15" x14ac:dyDescent="0.55000000000000004">
      <c r="B2548" s="5"/>
      <c r="C2548" s="5"/>
      <c r="D2548" s="5"/>
      <c r="E2548" s="5"/>
      <c r="F2548" s="5"/>
      <c r="G2548" s="5"/>
      <c r="H2548" s="5"/>
      <c r="I2548" s="5"/>
      <c r="J2548" s="5"/>
      <c r="K2548" s="5"/>
      <c r="L2548" s="5"/>
      <c r="M2548" s="5"/>
      <c r="N2548" s="5"/>
      <c r="O2548" s="5"/>
    </row>
    <row r="2549" spans="2:15" x14ac:dyDescent="0.55000000000000004">
      <c r="B2549" s="5"/>
      <c r="C2549" s="5"/>
      <c r="D2549" s="5"/>
      <c r="E2549" s="5"/>
      <c r="F2549" s="5"/>
      <c r="G2549" s="5"/>
      <c r="H2549" s="5"/>
      <c r="I2549" s="5"/>
      <c r="J2549" s="5"/>
      <c r="K2549" s="5"/>
      <c r="L2549" s="5"/>
      <c r="M2549" s="5"/>
      <c r="N2549" s="5"/>
      <c r="O2549" s="5"/>
    </row>
    <row r="2550" spans="2:15" x14ac:dyDescent="0.55000000000000004">
      <c r="B2550" s="5"/>
      <c r="C2550" s="5"/>
      <c r="D2550" s="5"/>
      <c r="E2550" s="5"/>
      <c r="F2550" s="5"/>
      <c r="G2550" s="5"/>
      <c r="H2550" s="5"/>
      <c r="I2550" s="5"/>
      <c r="J2550" s="5"/>
      <c r="K2550" s="5"/>
      <c r="L2550" s="5"/>
      <c r="M2550" s="5"/>
      <c r="N2550" s="5"/>
      <c r="O2550" s="5"/>
    </row>
    <row r="2551" spans="2:15" x14ac:dyDescent="0.55000000000000004">
      <c r="B2551" s="5"/>
      <c r="C2551" s="5"/>
      <c r="D2551" s="5"/>
      <c r="E2551" s="5"/>
      <c r="F2551" s="5"/>
      <c r="G2551" s="5"/>
      <c r="H2551" s="5"/>
      <c r="I2551" s="5"/>
      <c r="J2551" s="5"/>
      <c r="K2551" s="5"/>
      <c r="L2551" s="5"/>
      <c r="M2551" s="5"/>
      <c r="N2551" s="5"/>
      <c r="O2551" s="5"/>
    </row>
    <row r="2552" spans="2:15" x14ac:dyDescent="0.55000000000000004">
      <c r="B2552" s="5"/>
      <c r="C2552" s="5"/>
      <c r="D2552" s="5"/>
      <c r="E2552" s="5"/>
      <c r="F2552" s="5"/>
      <c r="G2552" s="5"/>
      <c r="H2552" s="5"/>
      <c r="I2552" s="5"/>
      <c r="J2552" s="5"/>
      <c r="K2552" s="5"/>
      <c r="L2552" s="5"/>
      <c r="M2552" s="5"/>
      <c r="N2552" s="5"/>
      <c r="O2552" s="5"/>
    </row>
    <row r="2553" spans="2:15" x14ac:dyDescent="0.55000000000000004">
      <c r="B2553" s="5"/>
      <c r="C2553" s="5"/>
      <c r="D2553" s="5"/>
      <c r="E2553" s="5"/>
      <c r="F2553" s="5"/>
      <c r="G2553" s="5"/>
      <c r="H2553" s="5"/>
      <c r="I2553" s="5"/>
      <c r="J2553" s="5"/>
      <c r="K2553" s="5"/>
      <c r="L2553" s="5"/>
      <c r="M2553" s="5"/>
      <c r="N2553" s="5"/>
      <c r="O2553" s="5"/>
    </row>
    <row r="2554" spans="2:15" x14ac:dyDescent="0.55000000000000004">
      <c r="B2554" s="5"/>
      <c r="C2554" s="5"/>
      <c r="D2554" s="5"/>
      <c r="E2554" s="5"/>
      <c r="F2554" s="5"/>
      <c r="G2554" s="5"/>
      <c r="H2554" s="5"/>
      <c r="I2554" s="5"/>
      <c r="J2554" s="5"/>
      <c r="K2554" s="5"/>
      <c r="L2554" s="5"/>
      <c r="M2554" s="5"/>
      <c r="N2554" s="5"/>
      <c r="O2554" s="5"/>
    </row>
    <row r="2555" spans="2:15" x14ac:dyDescent="0.55000000000000004">
      <c r="B2555" s="5"/>
      <c r="C2555" s="5"/>
      <c r="D2555" s="5"/>
      <c r="E2555" s="5"/>
      <c r="F2555" s="5"/>
      <c r="G2555" s="5"/>
      <c r="H2555" s="5"/>
      <c r="I2555" s="5"/>
      <c r="J2555" s="5"/>
      <c r="K2555" s="5"/>
      <c r="L2555" s="5"/>
      <c r="M2555" s="5"/>
      <c r="N2555" s="5"/>
      <c r="O2555" s="5"/>
    </row>
    <row r="2556" spans="2:15" x14ac:dyDescent="0.55000000000000004">
      <c r="B2556" s="5"/>
      <c r="C2556" s="5"/>
      <c r="D2556" s="5"/>
      <c r="E2556" s="5"/>
      <c r="F2556" s="5"/>
      <c r="G2556" s="5"/>
      <c r="H2556" s="5"/>
      <c r="I2556" s="5"/>
      <c r="J2556" s="5"/>
      <c r="K2556" s="5"/>
      <c r="L2556" s="5"/>
      <c r="M2556" s="5"/>
      <c r="N2556" s="5"/>
      <c r="O2556" s="5"/>
    </row>
    <row r="2557" spans="2:15" x14ac:dyDescent="0.55000000000000004">
      <c r="B2557" s="5"/>
      <c r="C2557" s="5"/>
      <c r="D2557" s="5"/>
      <c r="E2557" s="5"/>
      <c r="F2557" s="5"/>
      <c r="G2557" s="5"/>
      <c r="H2557" s="5"/>
      <c r="I2557" s="5"/>
      <c r="J2557" s="5"/>
      <c r="K2557" s="5"/>
      <c r="L2557" s="5"/>
      <c r="M2557" s="5"/>
      <c r="N2557" s="5"/>
      <c r="O2557" s="5"/>
    </row>
    <row r="2558" spans="2:15" x14ac:dyDescent="0.55000000000000004">
      <c r="B2558" s="5"/>
      <c r="C2558" s="5"/>
      <c r="D2558" s="5"/>
      <c r="E2558" s="5"/>
      <c r="F2558" s="5"/>
      <c r="G2558" s="5"/>
      <c r="H2558" s="5"/>
      <c r="I2558" s="5"/>
      <c r="J2558" s="5"/>
      <c r="K2558" s="5"/>
      <c r="L2558" s="5"/>
      <c r="M2558" s="5"/>
      <c r="N2558" s="5"/>
      <c r="O2558" s="5"/>
    </row>
    <row r="2559" spans="2:15" x14ac:dyDescent="0.55000000000000004">
      <c r="B2559" s="5"/>
      <c r="C2559" s="5"/>
      <c r="D2559" s="5"/>
      <c r="E2559" s="5"/>
      <c r="F2559" s="5"/>
      <c r="G2559" s="5"/>
      <c r="H2559" s="5"/>
      <c r="I2559" s="5"/>
      <c r="J2559" s="5"/>
      <c r="K2559" s="5"/>
      <c r="L2559" s="5"/>
      <c r="M2559" s="5"/>
      <c r="N2559" s="5"/>
      <c r="O2559" s="5"/>
    </row>
    <row r="2560" spans="2:15" x14ac:dyDescent="0.55000000000000004">
      <c r="B2560" s="5"/>
      <c r="C2560" s="5"/>
      <c r="D2560" s="5"/>
      <c r="E2560" s="5"/>
      <c r="F2560" s="5"/>
      <c r="G2560" s="5"/>
      <c r="H2560" s="5"/>
      <c r="I2560" s="5"/>
      <c r="J2560" s="5"/>
      <c r="K2560" s="5"/>
      <c r="L2560" s="5"/>
      <c r="M2560" s="5"/>
      <c r="N2560" s="5"/>
      <c r="O2560" s="5"/>
    </row>
    <row r="2561" spans="2:15" x14ac:dyDescent="0.55000000000000004">
      <c r="B2561" s="5"/>
      <c r="C2561" s="5"/>
      <c r="D2561" s="5"/>
      <c r="E2561" s="5"/>
      <c r="F2561" s="5"/>
      <c r="G2561" s="5"/>
      <c r="H2561" s="5"/>
      <c r="I2561" s="5"/>
      <c r="J2561" s="5"/>
      <c r="K2561" s="5"/>
      <c r="L2561" s="5"/>
      <c r="M2561" s="5"/>
      <c r="N2561" s="5"/>
      <c r="O2561" s="5"/>
    </row>
    <row r="2562" spans="2:15" x14ac:dyDescent="0.55000000000000004">
      <c r="B2562" s="5"/>
      <c r="C2562" s="5"/>
      <c r="D2562" s="5"/>
      <c r="E2562" s="5"/>
      <c r="F2562" s="5"/>
      <c r="G2562" s="5"/>
      <c r="H2562" s="5"/>
      <c r="I2562" s="5"/>
      <c r="J2562" s="5"/>
      <c r="K2562" s="5"/>
      <c r="L2562" s="5"/>
      <c r="M2562" s="5"/>
      <c r="N2562" s="5"/>
      <c r="O2562" s="5"/>
    </row>
    <row r="2563" spans="2:15" x14ac:dyDescent="0.55000000000000004">
      <c r="B2563" s="5"/>
      <c r="C2563" s="5"/>
      <c r="D2563" s="5"/>
      <c r="E2563" s="5"/>
      <c r="F2563" s="5"/>
      <c r="G2563" s="5"/>
      <c r="H2563" s="5"/>
      <c r="I2563" s="5"/>
      <c r="J2563" s="5"/>
      <c r="K2563" s="5"/>
      <c r="L2563" s="5"/>
      <c r="M2563" s="5"/>
      <c r="N2563" s="5"/>
      <c r="O2563" s="5"/>
    </row>
    <row r="2564" spans="2:15" x14ac:dyDescent="0.55000000000000004">
      <c r="B2564" s="5"/>
      <c r="C2564" s="5"/>
      <c r="D2564" s="5"/>
      <c r="E2564" s="5"/>
      <c r="F2564" s="5"/>
      <c r="G2564" s="5"/>
      <c r="H2564" s="5"/>
      <c r="I2564" s="5"/>
      <c r="J2564" s="5"/>
      <c r="K2564" s="5"/>
      <c r="L2564" s="5"/>
      <c r="M2564" s="5"/>
      <c r="N2564" s="5"/>
      <c r="O2564" s="5"/>
    </row>
    <row r="2565" spans="2:15" x14ac:dyDescent="0.55000000000000004">
      <c r="B2565" s="5"/>
      <c r="C2565" s="5"/>
      <c r="D2565" s="5"/>
      <c r="E2565" s="5"/>
      <c r="F2565" s="5"/>
      <c r="G2565" s="5"/>
      <c r="H2565" s="5"/>
      <c r="I2565" s="5"/>
      <c r="J2565" s="5"/>
      <c r="K2565" s="5"/>
      <c r="L2565" s="5"/>
      <c r="M2565" s="5"/>
      <c r="N2565" s="5"/>
      <c r="O2565" s="5"/>
    </row>
    <row r="2566" spans="2:15" x14ac:dyDescent="0.55000000000000004">
      <c r="B2566" s="5"/>
      <c r="C2566" s="5"/>
      <c r="D2566" s="5"/>
      <c r="E2566" s="5"/>
      <c r="F2566" s="5"/>
      <c r="G2566" s="5"/>
      <c r="H2566" s="5"/>
      <c r="I2566" s="5"/>
      <c r="J2566" s="5"/>
      <c r="K2566" s="5"/>
      <c r="L2566" s="5"/>
      <c r="M2566" s="5"/>
      <c r="N2566" s="5"/>
      <c r="O2566" s="5"/>
    </row>
    <row r="2567" spans="2:15" x14ac:dyDescent="0.55000000000000004">
      <c r="B2567" s="5"/>
      <c r="C2567" s="5"/>
      <c r="D2567" s="5"/>
      <c r="E2567" s="5"/>
      <c r="F2567" s="5"/>
      <c r="G2567" s="5"/>
      <c r="H2567" s="5"/>
      <c r="I2567" s="5"/>
      <c r="J2567" s="5"/>
      <c r="K2567" s="5"/>
      <c r="L2567" s="5"/>
      <c r="M2567" s="5"/>
      <c r="N2567" s="5"/>
      <c r="O2567" s="5"/>
    </row>
    <row r="2568" spans="2:15" x14ac:dyDescent="0.55000000000000004">
      <c r="B2568" s="5"/>
      <c r="C2568" s="5"/>
      <c r="D2568" s="5"/>
      <c r="E2568" s="5"/>
      <c r="F2568" s="5"/>
      <c r="G2568" s="5"/>
      <c r="H2568" s="5"/>
      <c r="I2568" s="5"/>
      <c r="J2568" s="5"/>
      <c r="K2568" s="5"/>
      <c r="L2568" s="5"/>
      <c r="M2568" s="5"/>
      <c r="N2568" s="5"/>
      <c r="O2568" s="5"/>
    </row>
    <row r="2569" spans="2:15" x14ac:dyDescent="0.55000000000000004">
      <c r="B2569" s="5"/>
      <c r="C2569" s="5"/>
      <c r="D2569" s="5"/>
      <c r="E2569" s="5"/>
      <c r="F2569" s="5"/>
      <c r="G2569" s="5"/>
      <c r="H2569" s="5"/>
      <c r="I2569" s="5"/>
      <c r="J2569" s="5"/>
      <c r="K2569" s="5"/>
      <c r="L2569" s="5"/>
      <c r="M2569" s="5"/>
      <c r="N2569" s="5"/>
      <c r="O2569" s="5"/>
    </row>
    <row r="2570" spans="2:15" x14ac:dyDescent="0.55000000000000004">
      <c r="B2570" s="5"/>
      <c r="C2570" s="5"/>
      <c r="D2570" s="5"/>
      <c r="E2570" s="5"/>
      <c r="F2570" s="5"/>
      <c r="G2570" s="5"/>
      <c r="H2570" s="5"/>
      <c r="I2570" s="5"/>
      <c r="J2570" s="5"/>
      <c r="K2570" s="5"/>
      <c r="L2570" s="5"/>
      <c r="M2570" s="5"/>
      <c r="N2570" s="5"/>
      <c r="O2570" s="5"/>
    </row>
    <row r="2571" spans="2:15" x14ac:dyDescent="0.55000000000000004">
      <c r="B2571" s="5"/>
      <c r="C2571" s="5"/>
      <c r="D2571" s="5"/>
      <c r="E2571" s="5"/>
      <c r="F2571" s="5"/>
      <c r="G2571" s="5"/>
      <c r="H2571" s="5"/>
      <c r="I2571" s="5"/>
      <c r="J2571" s="5"/>
      <c r="K2571" s="5"/>
      <c r="L2571" s="5"/>
      <c r="M2571" s="5"/>
      <c r="N2571" s="5"/>
      <c r="O2571" s="5"/>
    </row>
    <row r="2572" spans="2:15" x14ac:dyDescent="0.55000000000000004">
      <c r="B2572" s="5"/>
      <c r="C2572" s="5"/>
      <c r="D2572" s="5"/>
      <c r="E2572" s="5"/>
      <c r="F2572" s="5"/>
      <c r="G2572" s="5"/>
      <c r="H2572" s="5"/>
      <c r="I2572" s="5"/>
      <c r="J2572" s="5"/>
      <c r="K2572" s="5"/>
      <c r="L2572" s="5"/>
      <c r="M2572" s="5"/>
      <c r="N2572" s="5"/>
      <c r="O2572" s="5"/>
    </row>
    <row r="2573" spans="2:15" x14ac:dyDescent="0.55000000000000004">
      <c r="B2573" s="5"/>
      <c r="C2573" s="5"/>
      <c r="D2573" s="5"/>
      <c r="E2573" s="5"/>
      <c r="F2573" s="5"/>
      <c r="G2573" s="5"/>
      <c r="H2573" s="5"/>
      <c r="I2573" s="5"/>
      <c r="J2573" s="5"/>
      <c r="K2573" s="5"/>
      <c r="L2573" s="5"/>
      <c r="M2573" s="5"/>
      <c r="N2573" s="5"/>
      <c r="O2573" s="5"/>
    </row>
    <row r="2574" spans="2:15" x14ac:dyDescent="0.55000000000000004">
      <c r="B2574" s="5"/>
      <c r="C2574" s="5"/>
      <c r="D2574" s="5"/>
      <c r="E2574" s="5"/>
      <c r="F2574" s="5"/>
      <c r="G2574" s="5"/>
      <c r="H2574" s="5"/>
      <c r="I2574" s="5"/>
      <c r="J2574" s="5"/>
      <c r="K2574" s="5"/>
      <c r="L2574" s="5"/>
      <c r="M2574" s="5"/>
      <c r="N2574" s="5"/>
      <c r="O2574" s="5"/>
    </row>
    <row r="2575" spans="2:15" x14ac:dyDescent="0.55000000000000004">
      <c r="B2575" s="5"/>
      <c r="C2575" s="5"/>
      <c r="D2575" s="5"/>
      <c r="E2575" s="5"/>
      <c r="F2575" s="5"/>
      <c r="G2575" s="5"/>
      <c r="H2575" s="5"/>
      <c r="I2575" s="5"/>
      <c r="J2575" s="5"/>
      <c r="K2575" s="5"/>
      <c r="L2575" s="5"/>
      <c r="M2575" s="5"/>
      <c r="N2575" s="5"/>
      <c r="O2575" s="5"/>
    </row>
    <row r="2576" spans="2:15" x14ac:dyDescent="0.55000000000000004">
      <c r="B2576" s="5"/>
      <c r="C2576" s="5"/>
      <c r="D2576" s="5"/>
      <c r="E2576" s="5"/>
      <c r="F2576" s="5"/>
      <c r="G2576" s="5"/>
      <c r="H2576" s="5"/>
      <c r="I2576" s="5"/>
      <c r="J2576" s="5"/>
      <c r="K2576" s="5"/>
      <c r="L2576" s="5"/>
      <c r="M2576" s="5"/>
      <c r="N2576" s="5"/>
      <c r="O2576" s="5"/>
    </row>
    <row r="2577" spans="2:15" x14ac:dyDescent="0.55000000000000004">
      <c r="B2577" s="5"/>
      <c r="C2577" s="5"/>
      <c r="D2577" s="5"/>
      <c r="E2577" s="5"/>
      <c r="F2577" s="5"/>
      <c r="G2577" s="5"/>
      <c r="H2577" s="5"/>
      <c r="I2577" s="5"/>
      <c r="J2577" s="5"/>
      <c r="K2577" s="5"/>
      <c r="L2577" s="5"/>
      <c r="M2577" s="5"/>
      <c r="N2577" s="5"/>
      <c r="O2577" s="5"/>
    </row>
    <row r="2578" spans="2:15" x14ac:dyDescent="0.55000000000000004">
      <c r="B2578" s="5"/>
      <c r="C2578" s="5"/>
      <c r="D2578" s="5"/>
      <c r="E2578" s="5"/>
      <c r="F2578" s="5"/>
      <c r="G2578" s="5"/>
      <c r="H2578" s="5"/>
      <c r="I2578" s="5"/>
      <c r="J2578" s="5"/>
      <c r="K2578" s="5"/>
      <c r="L2578" s="5"/>
      <c r="M2578" s="5"/>
      <c r="N2578" s="5"/>
      <c r="O2578" s="5"/>
    </row>
    <row r="2579" spans="2:15" x14ac:dyDescent="0.55000000000000004">
      <c r="B2579" s="5"/>
      <c r="C2579" s="5"/>
      <c r="D2579" s="5"/>
      <c r="E2579" s="5"/>
      <c r="F2579" s="5"/>
      <c r="G2579" s="5"/>
      <c r="H2579" s="5"/>
      <c r="I2579" s="5"/>
      <c r="J2579" s="5"/>
      <c r="K2579" s="5"/>
      <c r="L2579" s="5"/>
      <c r="M2579" s="5"/>
      <c r="N2579" s="5"/>
      <c r="O2579" s="5"/>
    </row>
    <row r="2580" spans="2:15" x14ac:dyDescent="0.55000000000000004">
      <c r="B2580" s="5"/>
      <c r="C2580" s="5"/>
      <c r="D2580" s="5"/>
      <c r="E2580" s="5"/>
      <c r="F2580" s="5"/>
      <c r="G2580" s="5"/>
      <c r="H2580" s="5"/>
      <c r="I2580" s="5"/>
      <c r="J2580" s="5"/>
      <c r="K2580" s="5"/>
      <c r="L2580" s="5"/>
      <c r="M2580" s="5"/>
      <c r="N2580" s="5"/>
      <c r="O2580" s="5"/>
    </row>
    <row r="2581" spans="2:15" x14ac:dyDescent="0.55000000000000004">
      <c r="B2581" s="5"/>
      <c r="C2581" s="5"/>
      <c r="D2581" s="5"/>
      <c r="E2581" s="5"/>
      <c r="F2581" s="5"/>
      <c r="G2581" s="5"/>
      <c r="H2581" s="5"/>
      <c r="I2581" s="5"/>
      <c r="J2581" s="5"/>
      <c r="K2581" s="5"/>
      <c r="L2581" s="5"/>
      <c r="M2581" s="5"/>
      <c r="N2581" s="5"/>
      <c r="O2581" s="5"/>
    </row>
    <row r="2582" spans="2:15" x14ac:dyDescent="0.55000000000000004">
      <c r="B2582" s="5"/>
      <c r="C2582" s="5"/>
      <c r="D2582" s="5"/>
      <c r="E2582" s="5"/>
      <c r="F2582" s="5"/>
      <c r="G2582" s="5"/>
      <c r="H2582" s="5"/>
      <c r="I2582" s="5"/>
      <c r="J2582" s="5"/>
      <c r="K2582" s="5"/>
      <c r="L2582" s="5"/>
      <c r="M2582" s="5"/>
      <c r="N2582" s="5"/>
      <c r="O2582" s="5"/>
    </row>
    <row r="2583" spans="2:15" x14ac:dyDescent="0.55000000000000004">
      <c r="B2583" s="5"/>
      <c r="C2583" s="5"/>
      <c r="D2583" s="5"/>
      <c r="E2583" s="5"/>
      <c r="F2583" s="5"/>
      <c r="G2583" s="5"/>
      <c r="H2583" s="5"/>
      <c r="I2583" s="5"/>
      <c r="J2583" s="5"/>
      <c r="K2583" s="5"/>
      <c r="L2583" s="5"/>
      <c r="M2583" s="5"/>
      <c r="N2583" s="5"/>
      <c r="O2583" s="5"/>
    </row>
    <row r="2584" spans="2:15" x14ac:dyDescent="0.55000000000000004">
      <c r="B2584" s="5"/>
      <c r="C2584" s="5"/>
      <c r="D2584" s="5"/>
      <c r="E2584" s="5"/>
      <c r="F2584" s="5"/>
      <c r="G2584" s="5"/>
      <c r="H2584" s="5"/>
      <c r="I2584" s="5"/>
      <c r="J2584" s="5"/>
      <c r="K2584" s="5"/>
      <c r="L2584" s="5"/>
      <c r="M2584" s="5"/>
      <c r="N2584" s="5"/>
      <c r="O2584" s="5"/>
    </row>
    <row r="2585" spans="2:15" x14ac:dyDescent="0.55000000000000004">
      <c r="B2585" s="5"/>
      <c r="C2585" s="5"/>
      <c r="D2585" s="5"/>
      <c r="E2585" s="5"/>
      <c r="F2585" s="5"/>
      <c r="G2585" s="5"/>
      <c r="H2585" s="5"/>
      <c r="I2585" s="5"/>
      <c r="J2585" s="5"/>
      <c r="K2585" s="5"/>
      <c r="L2585" s="5"/>
      <c r="M2585" s="5"/>
      <c r="N2585" s="5"/>
      <c r="O2585" s="5"/>
    </row>
    <row r="2586" spans="2:15" x14ac:dyDescent="0.55000000000000004">
      <c r="B2586" s="5"/>
      <c r="C2586" s="5"/>
      <c r="D2586" s="5"/>
      <c r="E2586" s="5"/>
      <c r="F2586" s="5"/>
      <c r="G2586" s="5"/>
      <c r="H2586" s="5"/>
      <c r="I2586" s="5"/>
      <c r="J2586" s="5"/>
      <c r="K2586" s="5"/>
      <c r="L2586" s="5"/>
      <c r="M2586" s="5"/>
      <c r="N2586" s="5"/>
      <c r="O2586" s="5"/>
    </row>
    <row r="2587" spans="2:15" x14ac:dyDescent="0.55000000000000004">
      <c r="B2587" s="5"/>
      <c r="C2587" s="5"/>
      <c r="D2587" s="5"/>
      <c r="E2587" s="5"/>
      <c r="F2587" s="5"/>
      <c r="G2587" s="5"/>
      <c r="H2587" s="5"/>
      <c r="I2587" s="5"/>
      <c r="J2587" s="5"/>
      <c r="K2587" s="5"/>
      <c r="L2587" s="5"/>
      <c r="M2587" s="5"/>
      <c r="N2587" s="5"/>
      <c r="O2587" s="5"/>
    </row>
    <row r="2588" spans="2:15" x14ac:dyDescent="0.55000000000000004">
      <c r="B2588" s="5"/>
      <c r="C2588" s="5"/>
      <c r="D2588" s="5"/>
      <c r="E2588" s="5"/>
      <c r="F2588" s="5"/>
      <c r="G2588" s="5"/>
      <c r="H2588" s="5"/>
      <c r="I2588" s="5"/>
      <c r="J2588" s="5"/>
      <c r="K2588" s="5"/>
      <c r="L2588" s="5"/>
      <c r="M2588" s="5"/>
      <c r="N2588" s="5"/>
      <c r="O2588" s="5"/>
    </row>
    <row r="2589" spans="2:15" x14ac:dyDescent="0.55000000000000004">
      <c r="B2589" s="5"/>
      <c r="C2589" s="5"/>
      <c r="D2589" s="5"/>
      <c r="E2589" s="5"/>
      <c r="F2589" s="5"/>
      <c r="G2589" s="5"/>
      <c r="H2589" s="5"/>
      <c r="I2589" s="5"/>
      <c r="J2589" s="5"/>
      <c r="K2589" s="5"/>
      <c r="L2589" s="5"/>
      <c r="M2589" s="5"/>
      <c r="N2589" s="5"/>
      <c r="O2589" s="5"/>
    </row>
    <row r="2590" spans="2:15" x14ac:dyDescent="0.55000000000000004">
      <c r="B2590" s="5"/>
      <c r="C2590" s="5"/>
      <c r="D2590" s="5"/>
      <c r="E2590" s="5"/>
      <c r="F2590" s="5"/>
      <c r="G2590" s="5"/>
      <c r="H2590" s="5"/>
      <c r="I2590" s="5"/>
      <c r="J2590" s="5"/>
      <c r="K2590" s="5"/>
      <c r="L2590" s="5"/>
      <c r="M2590" s="5"/>
      <c r="N2590" s="5"/>
      <c r="O2590" s="5"/>
    </row>
    <row r="2591" spans="2:15" x14ac:dyDescent="0.55000000000000004">
      <c r="B2591" s="5"/>
      <c r="C2591" s="5"/>
      <c r="D2591" s="5"/>
      <c r="E2591" s="5"/>
      <c r="F2591" s="5"/>
      <c r="G2591" s="5"/>
      <c r="H2591" s="5"/>
      <c r="I2591" s="5"/>
      <c r="J2591" s="5"/>
      <c r="K2591" s="5"/>
      <c r="L2591" s="5"/>
      <c r="M2591" s="5"/>
      <c r="N2591" s="5"/>
      <c r="O2591" s="5"/>
    </row>
    <row r="2592" spans="2:15" x14ac:dyDescent="0.55000000000000004">
      <c r="B2592" s="5"/>
      <c r="C2592" s="5"/>
      <c r="D2592" s="5"/>
      <c r="E2592" s="5"/>
      <c r="F2592" s="5"/>
      <c r="G2592" s="5"/>
      <c r="H2592" s="5"/>
      <c r="I2592" s="5"/>
      <c r="J2592" s="5"/>
      <c r="K2592" s="5"/>
      <c r="L2592" s="5"/>
      <c r="M2592" s="5"/>
      <c r="N2592" s="5"/>
      <c r="O2592" s="5"/>
    </row>
    <row r="2593" spans="2:15" x14ac:dyDescent="0.55000000000000004">
      <c r="B2593" s="5"/>
      <c r="C2593" s="5"/>
      <c r="D2593" s="5"/>
      <c r="E2593" s="5"/>
      <c r="F2593" s="5"/>
      <c r="G2593" s="5"/>
      <c r="H2593" s="5"/>
      <c r="I2593" s="5"/>
      <c r="J2593" s="5"/>
      <c r="K2593" s="5"/>
      <c r="L2593" s="5"/>
      <c r="M2593" s="5"/>
      <c r="N2593" s="5"/>
      <c r="O2593" s="5"/>
    </row>
    <row r="2594" spans="2:15" x14ac:dyDescent="0.55000000000000004">
      <c r="B2594" s="5"/>
      <c r="C2594" s="5"/>
      <c r="D2594" s="5"/>
      <c r="E2594" s="5"/>
      <c r="F2594" s="5"/>
      <c r="G2594" s="5"/>
      <c r="H2594" s="5"/>
      <c r="I2594" s="5"/>
      <c r="J2594" s="5"/>
      <c r="K2594" s="5"/>
      <c r="L2594" s="5"/>
      <c r="M2594" s="5"/>
      <c r="N2594" s="5"/>
      <c r="O2594" s="5"/>
    </row>
    <row r="2595" spans="2:15" x14ac:dyDescent="0.55000000000000004">
      <c r="B2595" s="5"/>
      <c r="C2595" s="5"/>
      <c r="D2595" s="5"/>
      <c r="E2595" s="5"/>
      <c r="F2595" s="5"/>
      <c r="G2595" s="5"/>
      <c r="H2595" s="5"/>
      <c r="I2595" s="5"/>
      <c r="J2595" s="5"/>
      <c r="K2595" s="5"/>
      <c r="L2595" s="5"/>
      <c r="M2595" s="5"/>
      <c r="N2595" s="5"/>
      <c r="O2595" s="5"/>
    </row>
    <row r="2596" spans="2:15" x14ac:dyDescent="0.55000000000000004">
      <c r="B2596" s="5"/>
      <c r="C2596" s="5"/>
      <c r="D2596" s="5"/>
      <c r="E2596" s="5"/>
      <c r="F2596" s="5"/>
      <c r="G2596" s="5"/>
      <c r="H2596" s="5"/>
      <c r="I2596" s="5"/>
      <c r="J2596" s="5"/>
      <c r="K2596" s="5"/>
      <c r="L2596" s="5"/>
      <c r="M2596" s="5"/>
      <c r="N2596" s="5"/>
      <c r="O2596" s="5"/>
    </row>
    <row r="2597" spans="2:15" x14ac:dyDescent="0.55000000000000004">
      <c r="B2597" s="5"/>
      <c r="C2597" s="5"/>
      <c r="D2597" s="5"/>
      <c r="E2597" s="5"/>
      <c r="F2597" s="5"/>
      <c r="G2597" s="5"/>
      <c r="H2597" s="5"/>
      <c r="I2597" s="5"/>
      <c r="J2597" s="5"/>
      <c r="K2597" s="5"/>
      <c r="L2597" s="5"/>
      <c r="M2597" s="5"/>
      <c r="N2597" s="5"/>
      <c r="O2597" s="5"/>
    </row>
    <row r="2598" spans="2:15" x14ac:dyDescent="0.55000000000000004">
      <c r="B2598" s="5"/>
      <c r="C2598" s="5"/>
      <c r="D2598" s="5"/>
      <c r="E2598" s="5"/>
      <c r="F2598" s="5"/>
      <c r="G2598" s="5"/>
      <c r="H2598" s="5"/>
      <c r="I2598" s="5"/>
      <c r="J2598" s="5"/>
      <c r="K2598" s="5"/>
      <c r="L2598" s="5"/>
      <c r="M2598" s="5"/>
      <c r="N2598" s="5"/>
      <c r="O2598" s="5"/>
    </row>
    <row r="2599" spans="2:15" x14ac:dyDescent="0.55000000000000004">
      <c r="B2599" s="5"/>
      <c r="C2599" s="5"/>
      <c r="D2599" s="5"/>
      <c r="E2599" s="5"/>
      <c r="F2599" s="5"/>
      <c r="G2599" s="5"/>
      <c r="H2599" s="5"/>
      <c r="I2599" s="5"/>
      <c r="J2599" s="5"/>
      <c r="K2599" s="5"/>
      <c r="L2599" s="5"/>
      <c r="M2599" s="5"/>
      <c r="N2599" s="5"/>
      <c r="O2599" s="5"/>
    </row>
    <row r="2600" spans="2:15" x14ac:dyDescent="0.55000000000000004">
      <c r="B2600" s="5"/>
      <c r="C2600" s="5"/>
      <c r="D2600" s="5"/>
      <c r="E2600" s="5"/>
      <c r="F2600" s="5"/>
      <c r="G2600" s="5"/>
      <c r="H2600" s="5"/>
      <c r="I2600" s="5"/>
      <c r="J2600" s="5"/>
      <c r="K2600" s="5"/>
      <c r="L2600" s="5"/>
      <c r="M2600" s="5"/>
      <c r="N2600" s="5"/>
      <c r="O2600" s="5"/>
    </row>
    <row r="2601" spans="2:15" x14ac:dyDescent="0.55000000000000004">
      <c r="B2601" s="5"/>
      <c r="C2601" s="5"/>
      <c r="D2601" s="5"/>
      <c r="E2601" s="5"/>
      <c r="F2601" s="5"/>
      <c r="G2601" s="5"/>
      <c r="H2601" s="5"/>
      <c r="I2601" s="5"/>
      <c r="J2601" s="5"/>
      <c r="K2601" s="5"/>
      <c r="L2601" s="5"/>
      <c r="M2601" s="5"/>
      <c r="N2601" s="5"/>
      <c r="O2601" s="5"/>
    </row>
    <row r="2602" spans="2:15" x14ac:dyDescent="0.55000000000000004">
      <c r="B2602" s="5"/>
      <c r="C2602" s="5"/>
      <c r="D2602" s="5"/>
      <c r="E2602" s="5"/>
      <c r="F2602" s="5"/>
      <c r="G2602" s="5"/>
      <c r="H2602" s="5"/>
      <c r="I2602" s="5"/>
      <c r="J2602" s="5"/>
      <c r="K2602" s="5"/>
      <c r="L2602" s="5"/>
      <c r="M2602" s="5"/>
      <c r="N2602" s="5"/>
      <c r="O2602" s="5"/>
    </row>
    <row r="2603" spans="2:15" x14ac:dyDescent="0.55000000000000004">
      <c r="B2603" s="5"/>
      <c r="C2603" s="5"/>
      <c r="D2603" s="5"/>
      <c r="E2603" s="5"/>
      <c r="F2603" s="5"/>
      <c r="G2603" s="5"/>
      <c r="H2603" s="5"/>
      <c r="I2603" s="5"/>
      <c r="J2603" s="5"/>
      <c r="K2603" s="5"/>
      <c r="L2603" s="5"/>
      <c r="M2603" s="5"/>
      <c r="N2603" s="5"/>
      <c r="O2603" s="5"/>
    </row>
    <row r="2604" spans="2:15" x14ac:dyDescent="0.55000000000000004">
      <c r="B2604" s="5"/>
      <c r="C2604" s="5"/>
      <c r="D2604" s="5"/>
      <c r="E2604" s="5"/>
      <c r="F2604" s="5"/>
      <c r="G2604" s="5"/>
      <c r="H2604" s="5"/>
      <c r="I2604" s="5"/>
      <c r="J2604" s="5"/>
      <c r="K2604" s="5"/>
      <c r="L2604" s="5"/>
      <c r="M2604" s="5"/>
      <c r="N2604" s="5"/>
      <c r="O2604" s="5"/>
    </row>
    <row r="2605" spans="2:15" x14ac:dyDescent="0.55000000000000004">
      <c r="B2605" s="5"/>
      <c r="C2605" s="5"/>
      <c r="D2605" s="5"/>
      <c r="E2605" s="5"/>
      <c r="F2605" s="5"/>
      <c r="G2605" s="5"/>
      <c r="H2605" s="5"/>
      <c r="I2605" s="5"/>
      <c r="J2605" s="5"/>
      <c r="K2605" s="5"/>
      <c r="L2605" s="5"/>
      <c r="M2605" s="5"/>
      <c r="N2605" s="5"/>
      <c r="O2605" s="5"/>
    </row>
    <row r="2606" spans="2:15" x14ac:dyDescent="0.55000000000000004">
      <c r="B2606" s="5"/>
      <c r="C2606" s="5"/>
      <c r="D2606" s="5"/>
      <c r="E2606" s="5"/>
      <c r="F2606" s="5"/>
      <c r="G2606" s="5"/>
      <c r="H2606" s="5"/>
      <c r="I2606" s="5"/>
      <c r="J2606" s="5"/>
      <c r="K2606" s="5"/>
      <c r="L2606" s="5"/>
      <c r="M2606" s="5"/>
      <c r="N2606" s="5"/>
      <c r="O2606" s="5"/>
    </row>
    <row r="2607" spans="2:15" x14ac:dyDescent="0.55000000000000004">
      <c r="B2607" s="5"/>
      <c r="C2607" s="5"/>
      <c r="D2607" s="5"/>
      <c r="E2607" s="5"/>
      <c r="F2607" s="5"/>
      <c r="G2607" s="5"/>
      <c r="H2607" s="5"/>
      <c r="I2607" s="5"/>
      <c r="J2607" s="5"/>
      <c r="K2607" s="5"/>
      <c r="L2607" s="5"/>
      <c r="M2607" s="5"/>
      <c r="N2607" s="5"/>
      <c r="O2607" s="5"/>
    </row>
    <row r="2608" spans="2:15" x14ac:dyDescent="0.55000000000000004">
      <c r="B2608" s="5"/>
      <c r="C2608" s="5"/>
      <c r="D2608" s="5"/>
      <c r="E2608" s="5"/>
      <c r="F2608" s="5"/>
      <c r="G2608" s="5"/>
      <c r="H2608" s="5"/>
      <c r="I2608" s="5"/>
      <c r="J2608" s="5"/>
      <c r="K2608" s="5"/>
      <c r="L2608" s="5"/>
      <c r="M2608" s="5"/>
      <c r="N2608" s="5"/>
      <c r="O2608" s="5"/>
    </row>
    <row r="2609" spans="2:15" x14ac:dyDescent="0.55000000000000004">
      <c r="B2609" s="5"/>
      <c r="C2609" s="5"/>
      <c r="D2609" s="5"/>
      <c r="E2609" s="5"/>
      <c r="F2609" s="5"/>
      <c r="G2609" s="5"/>
      <c r="H2609" s="5"/>
      <c r="I2609" s="5"/>
      <c r="J2609" s="5"/>
      <c r="K2609" s="5"/>
      <c r="L2609" s="5"/>
      <c r="M2609" s="5"/>
      <c r="N2609" s="5"/>
      <c r="O2609" s="5"/>
    </row>
    <row r="2610" spans="2:15" x14ac:dyDescent="0.55000000000000004">
      <c r="B2610" s="5"/>
      <c r="C2610" s="5"/>
      <c r="D2610" s="5"/>
      <c r="E2610" s="5"/>
      <c r="F2610" s="5"/>
      <c r="G2610" s="5"/>
      <c r="H2610" s="5"/>
      <c r="I2610" s="5"/>
      <c r="J2610" s="5"/>
      <c r="K2610" s="5"/>
      <c r="L2610" s="5"/>
      <c r="M2610" s="5"/>
      <c r="N2610" s="5"/>
      <c r="O2610" s="5"/>
    </row>
    <row r="2611" spans="2:15" x14ac:dyDescent="0.55000000000000004">
      <c r="B2611" s="5"/>
      <c r="C2611" s="5"/>
      <c r="D2611" s="5"/>
      <c r="E2611" s="5"/>
      <c r="F2611" s="5"/>
      <c r="G2611" s="5"/>
      <c r="H2611" s="5"/>
      <c r="I2611" s="5"/>
      <c r="J2611" s="5"/>
      <c r="K2611" s="5"/>
      <c r="L2611" s="5"/>
      <c r="M2611" s="5"/>
      <c r="N2611" s="5"/>
      <c r="O2611" s="5"/>
    </row>
    <row r="2612" spans="2:15" x14ac:dyDescent="0.55000000000000004">
      <c r="B2612" s="5"/>
      <c r="C2612" s="5"/>
      <c r="D2612" s="5"/>
      <c r="E2612" s="5"/>
      <c r="F2612" s="5"/>
      <c r="G2612" s="5"/>
      <c r="H2612" s="5"/>
      <c r="I2612" s="5"/>
      <c r="J2612" s="5"/>
      <c r="K2612" s="5"/>
      <c r="L2612" s="5"/>
      <c r="M2612" s="5"/>
      <c r="N2612" s="5"/>
      <c r="O2612" s="5"/>
    </row>
    <row r="2613" spans="2:15" x14ac:dyDescent="0.55000000000000004">
      <c r="B2613" s="5"/>
      <c r="C2613" s="5"/>
      <c r="D2613" s="5"/>
      <c r="E2613" s="5"/>
      <c r="F2613" s="5"/>
      <c r="G2613" s="5"/>
      <c r="H2613" s="5"/>
      <c r="I2613" s="5"/>
      <c r="J2613" s="5"/>
      <c r="K2613" s="5"/>
      <c r="L2613" s="5"/>
      <c r="M2613" s="5"/>
      <c r="N2613" s="5"/>
      <c r="O2613" s="5"/>
    </row>
    <row r="2614" spans="2:15" x14ac:dyDescent="0.55000000000000004">
      <c r="B2614" s="5"/>
      <c r="C2614" s="5"/>
      <c r="D2614" s="5"/>
      <c r="E2614" s="5"/>
      <c r="F2614" s="5"/>
      <c r="G2614" s="5"/>
      <c r="H2614" s="5"/>
      <c r="I2614" s="5"/>
      <c r="J2614" s="5"/>
      <c r="K2614" s="5"/>
      <c r="L2614" s="5"/>
      <c r="M2614" s="5"/>
      <c r="N2614" s="5"/>
      <c r="O2614" s="5"/>
    </row>
    <row r="2615" spans="2:15" x14ac:dyDescent="0.55000000000000004">
      <c r="B2615" s="5"/>
      <c r="C2615" s="5"/>
      <c r="D2615" s="5"/>
      <c r="E2615" s="5"/>
      <c r="F2615" s="5"/>
      <c r="G2615" s="5"/>
      <c r="H2615" s="5"/>
      <c r="I2615" s="5"/>
      <c r="J2615" s="5"/>
      <c r="K2615" s="5"/>
      <c r="L2615" s="5"/>
      <c r="M2615" s="5"/>
      <c r="N2615" s="5"/>
      <c r="O2615" s="5"/>
    </row>
    <row r="2616" spans="2:15" x14ac:dyDescent="0.55000000000000004">
      <c r="B2616" s="5"/>
      <c r="C2616" s="5"/>
      <c r="D2616" s="5"/>
      <c r="E2616" s="5"/>
      <c r="F2616" s="5"/>
      <c r="G2616" s="5"/>
      <c r="H2616" s="5"/>
      <c r="I2616" s="5"/>
      <c r="J2616" s="5"/>
      <c r="K2616" s="5"/>
      <c r="L2616" s="5"/>
      <c r="M2616" s="5"/>
      <c r="N2616" s="5"/>
      <c r="O2616" s="5"/>
    </row>
    <row r="2617" spans="2:15" x14ac:dyDescent="0.55000000000000004">
      <c r="B2617" s="5"/>
      <c r="C2617" s="5"/>
      <c r="D2617" s="5"/>
      <c r="E2617" s="5"/>
      <c r="F2617" s="5"/>
      <c r="G2617" s="5"/>
      <c r="H2617" s="5"/>
      <c r="I2617" s="5"/>
      <c r="J2617" s="5"/>
      <c r="K2617" s="5"/>
      <c r="L2617" s="5"/>
      <c r="M2617" s="5"/>
      <c r="N2617" s="5"/>
      <c r="O2617" s="5"/>
    </row>
    <row r="2618" spans="2:15" x14ac:dyDescent="0.55000000000000004">
      <c r="B2618" s="5"/>
      <c r="C2618" s="5"/>
      <c r="D2618" s="5"/>
      <c r="E2618" s="5"/>
      <c r="F2618" s="5"/>
      <c r="G2618" s="5"/>
      <c r="H2618" s="5"/>
      <c r="I2618" s="5"/>
      <c r="J2618" s="5"/>
      <c r="K2618" s="5"/>
      <c r="L2618" s="5"/>
      <c r="M2618" s="5"/>
      <c r="N2618" s="5"/>
      <c r="O2618" s="5"/>
    </row>
    <row r="2619" spans="2:15" x14ac:dyDescent="0.55000000000000004">
      <c r="B2619" s="5"/>
      <c r="C2619" s="5"/>
      <c r="D2619" s="5"/>
      <c r="E2619" s="5"/>
      <c r="F2619" s="5"/>
      <c r="G2619" s="5"/>
      <c r="H2619" s="5"/>
      <c r="I2619" s="5"/>
      <c r="J2619" s="5"/>
      <c r="K2619" s="5"/>
      <c r="L2619" s="5"/>
      <c r="M2619" s="5"/>
      <c r="N2619" s="5"/>
      <c r="O2619" s="5"/>
    </row>
    <row r="2620" spans="2:15" x14ac:dyDescent="0.55000000000000004">
      <c r="B2620" s="5"/>
      <c r="C2620" s="5"/>
      <c r="D2620" s="5"/>
      <c r="E2620" s="5"/>
      <c r="F2620" s="5"/>
      <c r="G2620" s="5"/>
      <c r="H2620" s="5"/>
      <c r="I2620" s="5"/>
      <c r="J2620" s="5"/>
      <c r="K2620" s="5"/>
      <c r="L2620" s="5"/>
      <c r="M2620" s="5"/>
      <c r="N2620" s="5"/>
      <c r="O2620" s="5"/>
    </row>
    <row r="2621" spans="2:15" x14ac:dyDescent="0.55000000000000004">
      <c r="B2621" s="5"/>
      <c r="C2621" s="5"/>
      <c r="D2621" s="5"/>
      <c r="E2621" s="5"/>
      <c r="F2621" s="5"/>
      <c r="G2621" s="5"/>
      <c r="H2621" s="5"/>
      <c r="I2621" s="5"/>
      <c r="J2621" s="5"/>
      <c r="K2621" s="5"/>
      <c r="L2621" s="5"/>
      <c r="M2621" s="5"/>
      <c r="N2621" s="5"/>
      <c r="O2621" s="5"/>
    </row>
    <row r="2622" spans="2:15" x14ac:dyDescent="0.55000000000000004">
      <c r="B2622" s="5"/>
      <c r="C2622" s="5"/>
      <c r="D2622" s="5"/>
      <c r="E2622" s="5"/>
      <c r="F2622" s="5"/>
      <c r="G2622" s="5"/>
      <c r="H2622" s="5"/>
      <c r="I2622" s="5"/>
      <c r="J2622" s="5"/>
      <c r="K2622" s="5"/>
      <c r="L2622" s="5"/>
      <c r="M2622" s="5"/>
      <c r="N2622" s="5"/>
      <c r="O2622" s="5"/>
    </row>
    <row r="2623" spans="2:15" x14ac:dyDescent="0.55000000000000004">
      <c r="B2623" s="5"/>
      <c r="C2623" s="5"/>
      <c r="D2623" s="5"/>
      <c r="E2623" s="5"/>
      <c r="F2623" s="5"/>
      <c r="G2623" s="5"/>
      <c r="H2623" s="5"/>
      <c r="I2623" s="5"/>
      <c r="J2623" s="5"/>
      <c r="K2623" s="5"/>
      <c r="L2623" s="5"/>
      <c r="M2623" s="5"/>
      <c r="N2623" s="5"/>
      <c r="O2623" s="5"/>
    </row>
    <row r="2624" spans="2:15" x14ac:dyDescent="0.55000000000000004">
      <c r="B2624" s="5"/>
      <c r="C2624" s="5"/>
      <c r="D2624" s="5"/>
      <c r="E2624" s="5"/>
      <c r="F2624" s="5"/>
      <c r="G2624" s="5"/>
      <c r="H2624" s="5"/>
      <c r="I2624" s="5"/>
      <c r="J2624" s="5"/>
      <c r="K2624" s="5"/>
      <c r="L2624" s="5"/>
      <c r="M2624" s="5"/>
      <c r="N2624" s="5"/>
      <c r="O2624" s="5"/>
    </row>
    <row r="2625" spans="2:15" x14ac:dyDescent="0.55000000000000004">
      <c r="B2625" s="5"/>
      <c r="C2625" s="5"/>
      <c r="D2625" s="5"/>
      <c r="E2625" s="5"/>
      <c r="F2625" s="5"/>
      <c r="G2625" s="5"/>
      <c r="H2625" s="5"/>
      <c r="I2625" s="5"/>
      <c r="J2625" s="5"/>
      <c r="K2625" s="5"/>
      <c r="L2625" s="5"/>
      <c r="M2625" s="5"/>
      <c r="N2625" s="5"/>
      <c r="O2625" s="5"/>
    </row>
    <row r="2626" spans="2:15" x14ac:dyDescent="0.55000000000000004">
      <c r="B2626" s="5"/>
      <c r="C2626" s="5"/>
      <c r="D2626" s="5"/>
      <c r="E2626" s="5"/>
      <c r="F2626" s="5"/>
      <c r="G2626" s="5"/>
      <c r="H2626" s="5"/>
      <c r="I2626" s="5"/>
      <c r="J2626" s="5"/>
      <c r="K2626" s="5"/>
      <c r="L2626" s="5"/>
      <c r="M2626" s="5"/>
      <c r="N2626" s="5"/>
      <c r="O2626" s="5"/>
    </row>
    <row r="2627" spans="2:15" x14ac:dyDescent="0.55000000000000004">
      <c r="B2627" s="5"/>
      <c r="C2627" s="5"/>
      <c r="D2627" s="5"/>
      <c r="E2627" s="5"/>
      <c r="F2627" s="5"/>
      <c r="G2627" s="5"/>
      <c r="H2627" s="5"/>
      <c r="I2627" s="5"/>
      <c r="J2627" s="5"/>
      <c r="K2627" s="5"/>
      <c r="L2627" s="5"/>
      <c r="M2627" s="5"/>
      <c r="N2627" s="5"/>
      <c r="O2627" s="5"/>
    </row>
    <row r="2628" spans="2:15" x14ac:dyDescent="0.55000000000000004">
      <c r="B2628" s="5"/>
      <c r="C2628" s="5"/>
      <c r="D2628" s="5"/>
      <c r="E2628" s="5"/>
      <c r="F2628" s="5"/>
      <c r="G2628" s="5"/>
      <c r="H2628" s="5"/>
      <c r="I2628" s="5"/>
      <c r="J2628" s="5"/>
      <c r="K2628" s="5"/>
      <c r="L2628" s="5"/>
      <c r="M2628" s="5"/>
      <c r="N2628" s="5"/>
      <c r="O2628" s="5"/>
    </row>
    <row r="2629" spans="2:15" x14ac:dyDescent="0.55000000000000004">
      <c r="B2629" s="5"/>
      <c r="C2629" s="5"/>
      <c r="D2629" s="5"/>
      <c r="E2629" s="5"/>
      <c r="F2629" s="5"/>
      <c r="G2629" s="5"/>
      <c r="H2629" s="5"/>
      <c r="I2629" s="5"/>
      <c r="J2629" s="5"/>
      <c r="K2629" s="5"/>
      <c r="L2629" s="5"/>
      <c r="M2629" s="5"/>
      <c r="N2629" s="5"/>
      <c r="O2629" s="5"/>
    </row>
    <row r="2630" spans="2:15" x14ac:dyDescent="0.55000000000000004">
      <c r="B2630" s="5"/>
      <c r="C2630" s="5"/>
      <c r="D2630" s="5"/>
      <c r="E2630" s="5"/>
      <c r="F2630" s="5"/>
      <c r="G2630" s="5"/>
      <c r="H2630" s="5"/>
      <c r="I2630" s="5"/>
      <c r="J2630" s="5"/>
      <c r="K2630" s="5"/>
      <c r="L2630" s="5"/>
      <c r="M2630" s="5"/>
      <c r="N2630" s="5"/>
      <c r="O2630" s="5"/>
    </row>
    <row r="2631" spans="2:15" x14ac:dyDescent="0.55000000000000004">
      <c r="B2631" s="5"/>
      <c r="C2631" s="5"/>
      <c r="D2631" s="5"/>
      <c r="E2631" s="5"/>
      <c r="F2631" s="5"/>
      <c r="G2631" s="5"/>
      <c r="H2631" s="5"/>
      <c r="I2631" s="5"/>
      <c r="J2631" s="5"/>
      <c r="K2631" s="5"/>
      <c r="L2631" s="5"/>
      <c r="M2631" s="5"/>
      <c r="N2631" s="5"/>
      <c r="O2631" s="5"/>
    </row>
    <row r="2632" spans="2:15" x14ac:dyDescent="0.55000000000000004">
      <c r="B2632" s="5"/>
      <c r="C2632" s="5"/>
      <c r="D2632" s="5"/>
      <c r="E2632" s="5"/>
      <c r="F2632" s="5"/>
      <c r="G2632" s="5"/>
      <c r="H2632" s="5"/>
      <c r="I2632" s="5"/>
      <c r="J2632" s="5"/>
      <c r="K2632" s="5"/>
      <c r="L2632" s="5"/>
      <c r="M2632" s="5"/>
      <c r="N2632" s="5"/>
      <c r="O2632" s="5"/>
    </row>
    <row r="2633" spans="2:15" x14ac:dyDescent="0.55000000000000004">
      <c r="B2633" s="5"/>
      <c r="C2633" s="5"/>
      <c r="D2633" s="5"/>
      <c r="E2633" s="5"/>
      <c r="F2633" s="5"/>
      <c r="G2633" s="5"/>
      <c r="H2633" s="5"/>
      <c r="I2633" s="5"/>
      <c r="J2633" s="5"/>
      <c r="K2633" s="5"/>
      <c r="L2633" s="5"/>
      <c r="M2633" s="5"/>
      <c r="N2633" s="5"/>
      <c r="O2633" s="5"/>
    </row>
    <row r="2634" spans="2:15" x14ac:dyDescent="0.55000000000000004">
      <c r="B2634" s="5"/>
      <c r="C2634" s="5"/>
      <c r="D2634" s="5"/>
      <c r="E2634" s="5"/>
      <c r="F2634" s="5"/>
      <c r="G2634" s="5"/>
      <c r="H2634" s="5"/>
      <c r="I2634" s="5"/>
      <c r="J2634" s="5"/>
      <c r="K2634" s="5"/>
      <c r="L2634" s="5"/>
      <c r="M2634" s="5"/>
      <c r="N2634" s="5"/>
      <c r="O2634" s="5"/>
    </row>
    <row r="2635" spans="2:15" x14ac:dyDescent="0.55000000000000004">
      <c r="B2635" s="5"/>
      <c r="C2635" s="5"/>
      <c r="D2635" s="5"/>
      <c r="E2635" s="5"/>
      <c r="F2635" s="5"/>
      <c r="G2635" s="5"/>
      <c r="H2635" s="5"/>
      <c r="I2635" s="5"/>
      <c r="J2635" s="5"/>
      <c r="K2635" s="5"/>
      <c r="L2635" s="5"/>
      <c r="M2635" s="5"/>
      <c r="N2635" s="5"/>
      <c r="O2635" s="5"/>
    </row>
    <row r="2636" spans="2:15" x14ac:dyDescent="0.55000000000000004">
      <c r="B2636" s="5"/>
      <c r="C2636" s="5"/>
      <c r="D2636" s="5"/>
      <c r="E2636" s="5"/>
      <c r="F2636" s="5"/>
      <c r="G2636" s="5"/>
      <c r="H2636" s="5"/>
      <c r="I2636" s="5"/>
      <c r="J2636" s="5"/>
      <c r="K2636" s="5"/>
      <c r="L2636" s="5"/>
      <c r="M2636" s="5"/>
      <c r="N2636" s="5"/>
      <c r="O2636" s="5"/>
    </row>
    <row r="2637" spans="2:15" x14ac:dyDescent="0.55000000000000004">
      <c r="B2637" s="5"/>
      <c r="C2637" s="5"/>
      <c r="D2637" s="5"/>
      <c r="E2637" s="5"/>
      <c r="F2637" s="5"/>
      <c r="G2637" s="5"/>
      <c r="H2637" s="5"/>
      <c r="I2637" s="5"/>
      <c r="J2637" s="5"/>
      <c r="K2637" s="5"/>
      <c r="L2637" s="5"/>
      <c r="M2637" s="5"/>
      <c r="N2637" s="5"/>
      <c r="O2637" s="5"/>
    </row>
    <row r="2638" spans="2:15" x14ac:dyDescent="0.55000000000000004">
      <c r="B2638" s="5"/>
      <c r="C2638" s="5"/>
      <c r="D2638" s="5"/>
      <c r="E2638" s="5"/>
      <c r="F2638" s="5"/>
      <c r="G2638" s="5"/>
      <c r="H2638" s="5"/>
      <c r="I2638" s="5"/>
      <c r="J2638" s="5"/>
      <c r="K2638" s="5"/>
      <c r="L2638" s="5"/>
      <c r="M2638" s="5"/>
      <c r="N2638" s="5"/>
      <c r="O2638" s="5"/>
    </row>
    <row r="2639" spans="2:15" x14ac:dyDescent="0.55000000000000004">
      <c r="B2639" s="5"/>
      <c r="C2639" s="5"/>
      <c r="D2639" s="5"/>
      <c r="E2639" s="5"/>
      <c r="F2639" s="5"/>
      <c r="G2639" s="5"/>
      <c r="H2639" s="5"/>
      <c r="I2639" s="5"/>
      <c r="J2639" s="5"/>
      <c r="K2639" s="5"/>
      <c r="L2639" s="5"/>
      <c r="M2639" s="5"/>
      <c r="N2639" s="5"/>
      <c r="O2639" s="5"/>
    </row>
    <row r="2640" spans="2:15" x14ac:dyDescent="0.55000000000000004">
      <c r="B2640" s="5"/>
      <c r="C2640" s="5"/>
      <c r="D2640" s="5"/>
      <c r="E2640" s="5"/>
      <c r="F2640" s="5"/>
      <c r="G2640" s="5"/>
      <c r="H2640" s="5"/>
      <c r="I2640" s="5"/>
      <c r="J2640" s="5"/>
      <c r="K2640" s="5"/>
      <c r="L2640" s="5"/>
      <c r="M2640" s="5"/>
      <c r="N2640" s="5"/>
      <c r="O2640" s="5"/>
    </row>
    <row r="2641" spans="2:15" x14ac:dyDescent="0.55000000000000004">
      <c r="B2641" s="5"/>
      <c r="C2641" s="5"/>
      <c r="D2641" s="5"/>
      <c r="E2641" s="5"/>
      <c r="F2641" s="5"/>
      <c r="G2641" s="5"/>
      <c r="H2641" s="5"/>
      <c r="I2641" s="5"/>
      <c r="J2641" s="5"/>
      <c r="K2641" s="5"/>
      <c r="L2641" s="5"/>
      <c r="M2641" s="5"/>
      <c r="N2641" s="5"/>
      <c r="O2641" s="5"/>
    </row>
    <row r="2642" spans="2:15" x14ac:dyDescent="0.55000000000000004">
      <c r="B2642" s="5"/>
      <c r="C2642" s="5"/>
      <c r="D2642" s="5"/>
      <c r="E2642" s="5"/>
      <c r="F2642" s="5"/>
      <c r="G2642" s="5"/>
      <c r="H2642" s="5"/>
      <c r="I2642" s="5"/>
      <c r="J2642" s="5"/>
      <c r="K2642" s="5"/>
      <c r="L2642" s="5"/>
      <c r="M2642" s="5"/>
      <c r="N2642" s="5"/>
      <c r="O2642" s="5"/>
    </row>
    <row r="2643" spans="2:15" x14ac:dyDescent="0.55000000000000004">
      <c r="B2643" s="5"/>
      <c r="C2643" s="5"/>
      <c r="D2643" s="5"/>
      <c r="E2643" s="5"/>
      <c r="F2643" s="5"/>
      <c r="G2643" s="5"/>
      <c r="H2643" s="5"/>
      <c r="I2643" s="5"/>
      <c r="J2643" s="5"/>
      <c r="K2643" s="5"/>
      <c r="L2643" s="5"/>
      <c r="M2643" s="5"/>
      <c r="N2643" s="5"/>
      <c r="O2643" s="5"/>
    </row>
    <row r="2644" spans="2:15" x14ac:dyDescent="0.55000000000000004">
      <c r="B2644" s="5"/>
      <c r="C2644" s="5"/>
      <c r="D2644" s="5"/>
      <c r="E2644" s="5"/>
      <c r="F2644" s="5"/>
      <c r="G2644" s="5"/>
      <c r="H2644" s="5"/>
      <c r="I2644" s="5"/>
      <c r="J2644" s="5"/>
      <c r="K2644" s="5"/>
      <c r="L2644" s="5"/>
      <c r="M2644" s="5"/>
      <c r="N2644" s="5"/>
      <c r="O2644" s="5"/>
    </row>
    <row r="2645" spans="2:15" x14ac:dyDescent="0.55000000000000004">
      <c r="B2645" s="5"/>
      <c r="C2645" s="5"/>
      <c r="D2645" s="5"/>
      <c r="E2645" s="5"/>
      <c r="F2645" s="5"/>
      <c r="G2645" s="5"/>
      <c r="H2645" s="5"/>
      <c r="I2645" s="5"/>
      <c r="J2645" s="5"/>
      <c r="K2645" s="5"/>
      <c r="L2645" s="5"/>
      <c r="M2645" s="5"/>
      <c r="N2645" s="5"/>
      <c r="O2645" s="5"/>
    </row>
    <row r="2646" spans="2:15" x14ac:dyDescent="0.55000000000000004">
      <c r="B2646" s="5"/>
      <c r="C2646" s="5"/>
      <c r="D2646" s="5"/>
      <c r="E2646" s="5"/>
      <c r="F2646" s="5"/>
      <c r="G2646" s="5"/>
      <c r="H2646" s="5"/>
      <c r="I2646" s="5"/>
      <c r="J2646" s="5"/>
      <c r="K2646" s="5"/>
      <c r="L2646" s="5"/>
      <c r="M2646" s="5"/>
      <c r="N2646" s="5"/>
      <c r="O2646" s="5"/>
    </row>
    <row r="2647" spans="2:15" x14ac:dyDescent="0.55000000000000004">
      <c r="B2647" s="5"/>
      <c r="C2647" s="5"/>
      <c r="D2647" s="5"/>
      <c r="E2647" s="5"/>
      <c r="F2647" s="5"/>
      <c r="G2647" s="5"/>
      <c r="H2647" s="5"/>
      <c r="I2647" s="5"/>
      <c r="J2647" s="5"/>
      <c r="K2647" s="5"/>
      <c r="L2647" s="5"/>
      <c r="M2647" s="5"/>
      <c r="N2647" s="5"/>
      <c r="O2647" s="5"/>
    </row>
    <row r="2648" spans="2:15" x14ac:dyDescent="0.55000000000000004">
      <c r="B2648" s="5"/>
      <c r="C2648" s="5"/>
      <c r="D2648" s="5"/>
      <c r="E2648" s="5"/>
      <c r="F2648" s="5"/>
      <c r="G2648" s="5"/>
      <c r="H2648" s="5"/>
      <c r="I2648" s="5"/>
      <c r="J2648" s="5"/>
      <c r="K2648" s="5"/>
      <c r="L2648" s="5"/>
      <c r="M2648" s="5"/>
      <c r="N2648" s="5"/>
      <c r="O2648" s="5"/>
    </row>
    <row r="2649" spans="2:15" x14ac:dyDescent="0.55000000000000004">
      <c r="B2649" s="5"/>
      <c r="C2649" s="5"/>
      <c r="D2649" s="5"/>
      <c r="E2649" s="5"/>
      <c r="F2649" s="5"/>
      <c r="G2649" s="5"/>
      <c r="H2649" s="5"/>
      <c r="I2649" s="5"/>
      <c r="J2649" s="5"/>
      <c r="K2649" s="5"/>
      <c r="L2649" s="5"/>
      <c r="M2649" s="5"/>
      <c r="N2649" s="5"/>
      <c r="O2649" s="5"/>
    </row>
    <row r="2650" spans="2:15" x14ac:dyDescent="0.55000000000000004">
      <c r="B2650" s="5"/>
      <c r="C2650" s="5"/>
      <c r="D2650" s="5"/>
      <c r="E2650" s="5"/>
      <c r="F2650" s="5"/>
      <c r="G2650" s="5"/>
      <c r="H2650" s="5"/>
      <c r="I2650" s="5"/>
      <c r="J2650" s="5"/>
      <c r="K2650" s="5"/>
      <c r="L2650" s="5"/>
      <c r="M2650" s="5"/>
      <c r="N2650" s="5"/>
      <c r="O2650" s="5"/>
    </row>
    <row r="2651" spans="2:15" x14ac:dyDescent="0.55000000000000004">
      <c r="B2651" s="5"/>
      <c r="C2651" s="5"/>
      <c r="D2651" s="5"/>
      <c r="E2651" s="5"/>
      <c r="F2651" s="5"/>
      <c r="G2651" s="5"/>
      <c r="H2651" s="5"/>
      <c r="I2651" s="5"/>
      <c r="J2651" s="5"/>
      <c r="K2651" s="5"/>
      <c r="L2651" s="5"/>
      <c r="M2651" s="5"/>
      <c r="N2651" s="5"/>
      <c r="O2651" s="5"/>
    </row>
    <row r="2652" spans="2:15" x14ac:dyDescent="0.55000000000000004">
      <c r="B2652" s="5"/>
      <c r="C2652" s="5"/>
      <c r="D2652" s="5"/>
      <c r="E2652" s="5"/>
      <c r="F2652" s="5"/>
      <c r="G2652" s="5"/>
      <c r="H2652" s="5"/>
      <c r="I2652" s="5"/>
      <c r="J2652" s="5"/>
      <c r="K2652" s="5"/>
      <c r="L2652" s="5"/>
      <c r="M2652" s="5"/>
      <c r="N2652" s="5"/>
      <c r="O2652" s="5"/>
    </row>
    <row r="2653" spans="2:15" x14ac:dyDescent="0.55000000000000004">
      <c r="B2653" s="5"/>
      <c r="C2653" s="5"/>
      <c r="D2653" s="5"/>
      <c r="E2653" s="5"/>
      <c r="F2653" s="5"/>
      <c r="G2653" s="5"/>
      <c r="H2653" s="5"/>
      <c r="I2653" s="5"/>
      <c r="J2653" s="5"/>
      <c r="K2653" s="5"/>
      <c r="L2653" s="5"/>
      <c r="M2653" s="5"/>
      <c r="N2653" s="5"/>
      <c r="O2653" s="5"/>
    </row>
    <row r="2654" spans="2:15" x14ac:dyDescent="0.55000000000000004">
      <c r="B2654" s="5"/>
      <c r="C2654" s="5"/>
      <c r="D2654" s="5"/>
      <c r="E2654" s="5"/>
      <c r="F2654" s="5"/>
      <c r="G2654" s="5"/>
      <c r="H2654" s="5"/>
      <c r="I2654" s="5"/>
      <c r="J2654" s="5"/>
      <c r="K2654" s="5"/>
      <c r="L2654" s="5"/>
      <c r="M2654" s="5"/>
      <c r="N2654" s="5"/>
      <c r="O2654" s="5"/>
    </row>
    <row r="2655" spans="2:15" x14ac:dyDescent="0.55000000000000004">
      <c r="B2655" s="5"/>
      <c r="C2655" s="5"/>
      <c r="D2655" s="5"/>
      <c r="E2655" s="5"/>
      <c r="F2655" s="5"/>
      <c r="G2655" s="5"/>
      <c r="H2655" s="5"/>
      <c r="I2655" s="5"/>
      <c r="J2655" s="5"/>
      <c r="K2655" s="5"/>
      <c r="L2655" s="5"/>
      <c r="M2655" s="5"/>
      <c r="N2655" s="5"/>
      <c r="O2655" s="5"/>
    </row>
    <row r="2656" spans="2:15" x14ac:dyDescent="0.55000000000000004">
      <c r="B2656" s="5"/>
      <c r="C2656" s="5"/>
      <c r="D2656" s="5"/>
      <c r="E2656" s="5"/>
      <c r="F2656" s="5"/>
      <c r="G2656" s="5"/>
      <c r="H2656" s="5"/>
      <c r="I2656" s="5"/>
      <c r="J2656" s="5"/>
      <c r="K2656" s="5"/>
      <c r="L2656" s="5"/>
      <c r="M2656" s="5"/>
      <c r="N2656" s="5"/>
      <c r="O2656" s="5"/>
    </row>
    <row r="2657" spans="2:15" x14ac:dyDescent="0.55000000000000004">
      <c r="B2657" s="5"/>
      <c r="C2657" s="5"/>
      <c r="D2657" s="5"/>
      <c r="E2657" s="5"/>
      <c r="F2657" s="5"/>
      <c r="G2657" s="5"/>
      <c r="H2657" s="5"/>
      <c r="I2657" s="5"/>
      <c r="J2657" s="5"/>
      <c r="K2657" s="5"/>
      <c r="L2657" s="5"/>
      <c r="M2657" s="5"/>
      <c r="N2657" s="5"/>
      <c r="O2657" s="5"/>
    </row>
    <row r="2658" spans="2:15" x14ac:dyDescent="0.55000000000000004">
      <c r="B2658" s="5"/>
      <c r="C2658" s="5"/>
      <c r="D2658" s="5"/>
      <c r="E2658" s="5"/>
      <c r="F2658" s="5"/>
      <c r="G2658" s="5"/>
      <c r="H2658" s="5"/>
      <c r="I2658" s="5"/>
      <c r="J2658" s="5"/>
      <c r="K2658" s="5"/>
      <c r="L2658" s="5"/>
      <c r="M2658" s="5"/>
      <c r="N2658" s="5"/>
      <c r="O2658" s="5"/>
    </row>
    <row r="2659" spans="2:15" x14ac:dyDescent="0.55000000000000004">
      <c r="B2659" s="5"/>
      <c r="C2659" s="5"/>
      <c r="D2659" s="5"/>
      <c r="E2659" s="5"/>
      <c r="F2659" s="5"/>
      <c r="G2659" s="5"/>
      <c r="H2659" s="5"/>
      <c r="I2659" s="5"/>
      <c r="J2659" s="5"/>
      <c r="K2659" s="5"/>
      <c r="L2659" s="5"/>
      <c r="M2659" s="5"/>
      <c r="N2659" s="5"/>
      <c r="O2659" s="5"/>
    </row>
    <row r="2660" spans="2:15" x14ac:dyDescent="0.55000000000000004">
      <c r="B2660" s="5"/>
      <c r="C2660" s="5"/>
      <c r="D2660" s="5"/>
      <c r="E2660" s="5"/>
      <c r="F2660" s="5"/>
      <c r="G2660" s="5"/>
      <c r="H2660" s="5"/>
      <c r="I2660" s="5"/>
      <c r="J2660" s="5"/>
      <c r="K2660" s="5"/>
      <c r="L2660" s="5"/>
      <c r="M2660" s="5"/>
      <c r="N2660" s="5"/>
      <c r="O2660" s="5"/>
    </row>
    <row r="2661" spans="2:15" x14ac:dyDescent="0.55000000000000004">
      <c r="B2661" s="5"/>
      <c r="C2661" s="5"/>
      <c r="D2661" s="5"/>
      <c r="E2661" s="5"/>
      <c r="F2661" s="5"/>
      <c r="G2661" s="5"/>
      <c r="H2661" s="5"/>
      <c r="I2661" s="5"/>
      <c r="J2661" s="5"/>
      <c r="K2661" s="5"/>
      <c r="L2661" s="5"/>
      <c r="M2661" s="5"/>
      <c r="N2661" s="5"/>
      <c r="O2661" s="5"/>
    </row>
    <row r="2662" spans="2:15" x14ac:dyDescent="0.55000000000000004">
      <c r="B2662" s="5"/>
      <c r="C2662" s="5"/>
      <c r="D2662" s="5"/>
      <c r="E2662" s="5"/>
      <c r="F2662" s="5"/>
      <c r="G2662" s="5"/>
      <c r="H2662" s="5"/>
      <c r="I2662" s="5"/>
      <c r="J2662" s="5"/>
      <c r="K2662" s="5"/>
      <c r="L2662" s="5"/>
      <c r="M2662" s="5"/>
      <c r="N2662" s="5"/>
      <c r="O2662" s="5"/>
    </row>
    <row r="2663" spans="2:15" x14ac:dyDescent="0.55000000000000004">
      <c r="B2663" s="5"/>
      <c r="C2663" s="5"/>
      <c r="D2663" s="5"/>
      <c r="E2663" s="5"/>
      <c r="F2663" s="5"/>
      <c r="G2663" s="5"/>
      <c r="H2663" s="5"/>
      <c r="I2663" s="5"/>
      <c r="J2663" s="5"/>
      <c r="K2663" s="5"/>
      <c r="L2663" s="5"/>
      <c r="M2663" s="5"/>
      <c r="N2663" s="5"/>
      <c r="O2663" s="5"/>
    </row>
    <row r="2664" spans="2:15" x14ac:dyDescent="0.55000000000000004">
      <c r="B2664" s="5"/>
      <c r="C2664" s="5"/>
      <c r="D2664" s="5"/>
      <c r="E2664" s="5"/>
      <c r="F2664" s="5"/>
      <c r="G2664" s="5"/>
      <c r="H2664" s="5"/>
      <c r="I2664" s="5"/>
      <c r="J2664" s="5"/>
      <c r="K2664" s="5"/>
      <c r="L2664" s="5"/>
      <c r="M2664" s="5"/>
      <c r="N2664" s="5"/>
      <c r="O2664" s="5"/>
    </row>
    <row r="2665" spans="2:15" x14ac:dyDescent="0.55000000000000004">
      <c r="B2665" s="5"/>
      <c r="C2665" s="5"/>
      <c r="D2665" s="5"/>
      <c r="E2665" s="5"/>
      <c r="F2665" s="5"/>
      <c r="G2665" s="5"/>
      <c r="H2665" s="5"/>
      <c r="I2665" s="5"/>
      <c r="J2665" s="5"/>
      <c r="K2665" s="5"/>
      <c r="L2665" s="5"/>
      <c r="M2665" s="5"/>
      <c r="N2665" s="5"/>
      <c r="O2665" s="5"/>
    </row>
    <row r="2666" spans="2:15" x14ac:dyDescent="0.55000000000000004">
      <c r="B2666" s="5"/>
      <c r="C2666" s="5"/>
      <c r="D2666" s="5"/>
      <c r="E2666" s="5"/>
      <c r="F2666" s="5"/>
      <c r="G2666" s="5"/>
      <c r="H2666" s="5"/>
      <c r="I2666" s="5"/>
      <c r="J2666" s="5"/>
      <c r="K2666" s="5"/>
      <c r="L2666" s="5"/>
      <c r="M2666" s="5"/>
      <c r="N2666" s="5"/>
      <c r="O2666" s="5"/>
    </row>
    <row r="2667" spans="2:15" x14ac:dyDescent="0.55000000000000004">
      <c r="B2667" s="5"/>
      <c r="C2667" s="5"/>
      <c r="D2667" s="5"/>
      <c r="E2667" s="5"/>
      <c r="F2667" s="5"/>
      <c r="G2667" s="5"/>
      <c r="H2667" s="5"/>
      <c r="I2667" s="5"/>
      <c r="J2667" s="5"/>
      <c r="K2667" s="5"/>
      <c r="L2667" s="5"/>
      <c r="M2667" s="5"/>
      <c r="N2667" s="5"/>
      <c r="O2667" s="5"/>
    </row>
    <row r="2668" spans="2:15" x14ac:dyDescent="0.55000000000000004">
      <c r="B2668" s="5"/>
      <c r="C2668" s="5"/>
      <c r="D2668" s="5"/>
      <c r="E2668" s="5"/>
      <c r="F2668" s="5"/>
      <c r="G2668" s="5"/>
      <c r="H2668" s="5"/>
      <c r="I2668" s="5"/>
      <c r="J2668" s="5"/>
      <c r="K2668" s="5"/>
      <c r="L2668" s="5"/>
      <c r="M2668" s="5"/>
      <c r="N2668" s="5"/>
      <c r="O2668" s="5"/>
    </row>
    <row r="2669" spans="2:15" x14ac:dyDescent="0.55000000000000004">
      <c r="B2669" s="5"/>
      <c r="C2669" s="5"/>
      <c r="D2669" s="5"/>
      <c r="E2669" s="5"/>
      <c r="F2669" s="5"/>
      <c r="G2669" s="5"/>
      <c r="H2669" s="5"/>
      <c r="I2669" s="5"/>
      <c r="J2669" s="5"/>
      <c r="K2669" s="5"/>
      <c r="L2669" s="5"/>
      <c r="M2669" s="5"/>
      <c r="N2669" s="5"/>
      <c r="O2669" s="5"/>
    </row>
    <row r="2670" spans="2:15" x14ac:dyDescent="0.55000000000000004">
      <c r="B2670" s="5"/>
      <c r="C2670" s="5"/>
      <c r="D2670" s="5"/>
      <c r="E2670" s="5"/>
      <c r="F2670" s="5"/>
      <c r="G2670" s="5"/>
      <c r="H2670" s="5"/>
      <c r="I2670" s="5"/>
      <c r="J2670" s="5"/>
      <c r="K2670" s="5"/>
      <c r="L2670" s="5"/>
      <c r="M2670" s="5"/>
      <c r="N2670" s="5"/>
      <c r="O2670" s="5"/>
    </row>
    <row r="2671" spans="2:15" x14ac:dyDescent="0.55000000000000004">
      <c r="B2671" s="5"/>
      <c r="C2671" s="5"/>
      <c r="D2671" s="5"/>
      <c r="E2671" s="5"/>
      <c r="F2671" s="5"/>
      <c r="G2671" s="5"/>
      <c r="H2671" s="5"/>
      <c r="I2671" s="5"/>
      <c r="J2671" s="5"/>
      <c r="K2671" s="5"/>
      <c r="L2671" s="5"/>
      <c r="M2671" s="5"/>
      <c r="N2671" s="5"/>
      <c r="O2671" s="5"/>
    </row>
    <row r="2672" spans="2:15" x14ac:dyDescent="0.55000000000000004">
      <c r="B2672" s="5"/>
      <c r="C2672" s="5"/>
      <c r="D2672" s="5"/>
      <c r="E2672" s="5"/>
      <c r="F2672" s="5"/>
      <c r="G2672" s="5"/>
      <c r="H2672" s="5"/>
      <c r="I2672" s="5"/>
      <c r="J2672" s="5"/>
      <c r="K2672" s="5"/>
      <c r="L2672" s="5"/>
      <c r="M2672" s="5"/>
      <c r="N2672" s="5"/>
      <c r="O2672" s="5"/>
    </row>
    <row r="2673" spans="2:15" x14ac:dyDescent="0.55000000000000004">
      <c r="B2673" s="5"/>
      <c r="C2673" s="5"/>
      <c r="D2673" s="5"/>
      <c r="E2673" s="5"/>
      <c r="F2673" s="5"/>
      <c r="G2673" s="5"/>
      <c r="H2673" s="5"/>
      <c r="I2673" s="5"/>
      <c r="J2673" s="5"/>
      <c r="K2673" s="5"/>
      <c r="L2673" s="5"/>
      <c r="M2673" s="5"/>
      <c r="N2673" s="5"/>
      <c r="O2673" s="5"/>
    </row>
    <row r="2674" spans="2:15" x14ac:dyDescent="0.55000000000000004">
      <c r="B2674" s="5"/>
      <c r="C2674" s="5"/>
      <c r="D2674" s="5"/>
      <c r="E2674" s="5"/>
      <c r="F2674" s="5"/>
      <c r="G2674" s="5"/>
      <c r="H2674" s="5"/>
      <c r="I2674" s="5"/>
      <c r="J2674" s="5"/>
      <c r="K2674" s="5"/>
      <c r="L2674" s="5"/>
      <c r="M2674" s="5"/>
      <c r="N2674" s="5"/>
      <c r="O2674" s="5"/>
    </row>
    <row r="2675" spans="2:15" x14ac:dyDescent="0.55000000000000004">
      <c r="B2675" s="5"/>
      <c r="C2675" s="5"/>
      <c r="D2675" s="5"/>
      <c r="E2675" s="5"/>
      <c r="F2675" s="5"/>
      <c r="G2675" s="5"/>
      <c r="H2675" s="5"/>
      <c r="I2675" s="5"/>
      <c r="J2675" s="5"/>
      <c r="K2675" s="5"/>
      <c r="L2675" s="5"/>
      <c r="M2675" s="5"/>
      <c r="N2675" s="5"/>
      <c r="O2675" s="5"/>
    </row>
    <row r="2676" spans="2:15" x14ac:dyDescent="0.55000000000000004">
      <c r="B2676" s="5"/>
      <c r="C2676" s="5"/>
      <c r="D2676" s="5"/>
      <c r="E2676" s="5"/>
      <c r="F2676" s="5"/>
      <c r="G2676" s="5"/>
      <c r="H2676" s="5"/>
      <c r="I2676" s="5"/>
      <c r="J2676" s="5"/>
      <c r="K2676" s="5"/>
      <c r="L2676" s="5"/>
      <c r="M2676" s="5"/>
      <c r="N2676" s="5"/>
      <c r="O2676" s="5"/>
    </row>
    <row r="2677" spans="2:15" x14ac:dyDescent="0.55000000000000004">
      <c r="B2677" s="5"/>
      <c r="C2677" s="5"/>
      <c r="D2677" s="5"/>
      <c r="E2677" s="5"/>
      <c r="F2677" s="5"/>
      <c r="G2677" s="5"/>
      <c r="H2677" s="5"/>
      <c r="I2677" s="5"/>
      <c r="J2677" s="5"/>
      <c r="K2677" s="5"/>
      <c r="L2677" s="5"/>
      <c r="M2677" s="5"/>
      <c r="N2677" s="5"/>
      <c r="O2677" s="5"/>
    </row>
    <row r="2678" spans="2:15" x14ac:dyDescent="0.55000000000000004">
      <c r="B2678" s="5"/>
      <c r="C2678" s="5"/>
      <c r="D2678" s="5"/>
      <c r="E2678" s="5"/>
      <c r="F2678" s="5"/>
      <c r="G2678" s="5"/>
      <c r="H2678" s="5"/>
      <c r="I2678" s="5"/>
      <c r="J2678" s="5"/>
      <c r="K2678" s="5"/>
      <c r="L2678" s="5"/>
      <c r="M2678" s="5"/>
      <c r="N2678" s="5"/>
      <c r="O2678" s="5"/>
    </row>
    <row r="2679" spans="2:15" x14ac:dyDescent="0.55000000000000004">
      <c r="B2679" s="5"/>
      <c r="C2679" s="5"/>
      <c r="D2679" s="5"/>
      <c r="E2679" s="5"/>
      <c r="F2679" s="5"/>
      <c r="G2679" s="5"/>
      <c r="H2679" s="5"/>
      <c r="I2679" s="5"/>
      <c r="J2679" s="5"/>
      <c r="K2679" s="5"/>
      <c r="L2679" s="5"/>
      <c r="M2679" s="5"/>
      <c r="N2679" s="5"/>
      <c r="O2679" s="5"/>
    </row>
    <row r="2680" spans="2:15" x14ac:dyDescent="0.55000000000000004">
      <c r="B2680" s="5"/>
      <c r="C2680" s="5"/>
      <c r="D2680" s="5"/>
      <c r="E2680" s="5"/>
      <c r="F2680" s="5"/>
      <c r="G2680" s="5"/>
      <c r="H2680" s="5"/>
      <c r="I2680" s="5"/>
      <c r="J2680" s="5"/>
      <c r="K2680" s="5"/>
      <c r="L2680" s="5"/>
      <c r="M2680" s="5"/>
      <c r="N2680" s="5"/>
      <c r="O2680" s="5"/>
    </row>
    <row r="2681" spans="2:15" x14ac:dyDescent="0.55000000000000004">
      <c r="B2681" s="5"/>
      <c r="C2681" s="5"/>
      <c r="D2681" s="5"/>
      <c r="E2681" s="5"/>
      <c r="F2681" s="5"/>
      <c r="G2681" s="5"/>
      <c r="H2681" s="5"/>
      <c r="I2681" s="5"/>
      <c r="J2681" s="5"/>
      <c r="K2681" s="5"/>
      <c r="L2681" s="5"/>
      <c r="M2681" s="5"/>
      <c r="N2681" s="5"/>
      <c r="O2681" s="5"/>
    </row>
    <row r="2682" spans="2:15" x14ac:dyDescent="0.55000000000000004">
      <c r="B2682" s="5"/>
      <c r="C2682" s="5"/>
      <c r="D2682" s="5"/>
      <c r="E2682" s="5"/>
      <c r="F2682" s="5"/>
      <c r="G2682" s="5"/>
      <c r="H2682" s="5"/>
      <c r="I2682" s="5"/>
      <c r="J2682" s="5"/>
      <c r="K2682" s="5"/>
      <c r="L2682" s="5"/>
      <c r="M2682" s="5"/>
      <c r="N2682" s="5"/>
      <c r="O2682" s="5"/>
    </row>
    <row r="2683" spans="2:15" x14ac:dyDescent="0.55000000000000004">
      <c r="B2683" s="5"/>
      <c r="C2683" s="5"/>
      <c r="D2683" s="5"/>
      <c r="E2683" s="5"/>
      <c r="F2683" s="5"/>
      <c r="G2683" s="5"/>
      <c r="H2683" s="5"/>
      <c r="I2683" s="5"/>
      <c r="J2683" s="5"/>
      <c r="K2683" s="5"/>
      <c r="L2683" s="5"/>
      <c r="M2683" s="5"/>
      <c r="N2683" s="5"/>
      <c r="O2683" s="5"/>
    </row>
    <row r="2684" spans="2:15" x14ac:dyDescent="0.55000000000000004">
      <c r="B2684" s="5"/>
      <c r="C2684" s="5"/>
      <c r="D2684" s="5"/>
      <c r="E2684" s="5"/>
      <c r="F2684" s="5"/>
      <c r="G2684" s="5"/>
      <c r="H2684" s="5"/>
      <c r="I2684" s="5"/>
      <c r="J2684" s="5"/>
      <c r="K2684" s="5"/>
      <c r="L2684" s="5"/>
      <c r="M2684" s="5"/>
      <c r="N2684" s="5"/>
      <c r="O2684" s="5"/>
    </row>
    <row r="2685" spans="2:15" x14ac:dyDescent="0.55000000000000004">
      <c r="B2685" s="5"/>
      <c r="C2685" s="5"/>
      <c r="D2685" s="5"/>
      <c r="E2685" s="5"/>
      <c r="F2685" s="5"/>
      <c r="G2685" s="5"/>
      <c r="H2685" s="5"/>
      <c r="I2685" s="5"/>
      <c r="J2685" s="5"/>
      <c r="K2685" s="5"/>
      <c r="L2685" s="5"/>
      <c r="M2685" s="5"/>
      <c r="N2685" s="5"/>
      <c r="O2685" s="5"/>
    </row>
    <row r="2686" spans="2:15" x14ac:dyDescent="0.55000000000000004">
      <c r="B2686" s="5"/>
      <c r="C2686" s="5"/>
      <c r="D2686" s="5"/>
      <c r="E2686" s="5"/>
      <c r="F2686" s="5"/>
      <c r="G2686" s="5"/>
      <c r="H2686" s="5"/>
      <c r="I2686" s="5"/>
      <c r="J2686" s="5"/>
      <c r="K2686" s="5"/>
      <c r="L2686" s="5"/>
      <c r="M2686" s="5"/>
      <c r="N2686" s="5"/>
      <c r="O2686" s="5"/>
    </row>
    <row r="2687" spans="2:15" x14ac:dyDescent="0.55000000000000004">
      <c r="B2687" s="5"/>
      <c r="C2687" s="5"/>
      <c r="D2687" s="5"/>
      <c r="E2687" s="5"/>
      <c r="F2687" s="5"/>
      <c r="G2687" s="5"/>
      <c r="H2687" s="5"/>
      <c r="I2687" s="5"/>
      <c r="J2687" s="5"/>
      <c r="K2687" s="5"/>
      <c r="L2687" s="5"/>
      <c r="M2687" s="5"/>
      <c r="N2687" s="5"/>
      <c r="O2687" s="5"/>
    </row>
    <row r="2688" spans="2:15" x14ac:dyDescent="0.55000000000000004">
      <c r="B2688" s="5"/>
      <c r="C2688" s="5"/>
      <c r="D2688" s="5"/>
      <c r="E2688" s="5"/>
      <c r="F2688" s="5"/>
      <c r="G2688" s="5"/>
      <c r="H2688" s="5"/>
      <c r="I2688" s="5"/>
      <c r="J2688" s="5"/>
      <c r="K2688" s="5"/>
      <c r="L2688" s="5"/>
      <c r="M2688" s="5"/>
      <c r="N2688" s="5"/>
      <c r="O2688" s="5"/>
    </row>
    <row r="2689" spans="2:15" x14ac:dyDescent="0.55000000000000004">
      <c r="B2689" s="5"/>
      <c r="C2689" s="5"/>
      <c r="D2689" s="5"/>
      <c r="E2689" s="5"/>
      <c r="F2689" s="5"/>
      <c r="G2689" s="5"/>
      <c r="H2689" s="5"/>
      <c r="I2689" s="5"/>
      <c r="J2689" s="5"/>
      <c r="K2689" s="5"/>
      <c r="L2689" s="5"/>
      <c r="M2689" s="5"/>
      <c r="N2689" s="5"/>
      <c r="O2689" s="5"/>
    </row>
    <row r="2690" spans="2:15" x14ac:dyDescent="0.55000000000000004">
      <c r="B2690" s="5"/>
      <c r="C2690" s="5"/>
      <c r="D2690" s="5"/>
      <c r="E2690" s="5"/>
      <c r="F2690" s="5"/>
      <c r="G2690" s="5"/>
      <c r="H2690" s="5"/>
      <c r="I2690" s="5"/>
      <c r="J2690" s="5"/>
      <c r="K2690" s="5"/>
      <c r="L2690" s="5"/>
      <c r="M2690" s="5"/>
      <c r="N2690" s="5"/>
      <c r="O2690" s="5"/>
    </row>
    <row r="2691" spans="2:15" x14ac:dyDescent="0.55000000000000004">
      <c r="B2691" s="5"/>
      <c r="C2691" s="5"/>
      <c r="D2691" s="5"/>
      <c r="E2691" s="5"/>
      <c r="F2691" s="5"/>
      <c r="G2691" s="5"/>
      <c r="H2691" s="5"/>
      <c r="I2691" s="5"/>
      <c r="J2691" s="5"/>
      <c r="K2691" s="5"/>
      <c r="L2691" s="5"/>
      <c r="M2691" s="5"/>
      <c r="N2691" s="5"/>
      <c r="O2691" s="5"/>
    </row>
    <row r="2692" spans="2:15" x14ac:dyDescent="0.55000000000000004">
      <c r="B2692" s="5"/>
      <c r="C2692" s="5"/>
      <c r="D2692" s="5"/>
      <c r="E2692" s="5"/>
      <c r="F2692" s="5"/>
      <c r="G2692" s="5"/>
      <c r="H2692" s="5"/>
      <c r="I2692" s="5"/>
      <c r="J2692" s="5"/>
      <c r="K2692" s="5"/>
      <c r="L2692" s="5"/>
      <c r="M2692" s="5"/>
      <c r="N2692" s="5"/>
      <c r="O2692" s="5"/>
    </row>
    <row r="2693" spans="2:15" x14ac:dyDescent="0.55000000000000004">
      <c r="B2693" s="5"/>
      <c r="C2693" s="5"/>
      <c r="D2693" s="5"/>
      <c r="E2693" s="5"/>
      <c r="F2693" s="5"/>
      <c r="G2693" s="5"/>
      <c r="H2693" s="5"/>
      <c r="I2693" s="5"/>
      <c r="J2693" s="5"/>
      <c r="K2693" s="5"/>
      <c r="L2693" s="5"/>
      <c r="M2693" s="5"/>
      <c r="N2693" s="5"/>
      <c r="O2693" s="5"/>
    </row>
    <row r="2694" spans="2:15" x14ac:dyDescent="0.55000000000000004">
      <c r="B2694" s="5"/>
      <c r="C2694" s="5"/>
      <c r="D2694" s="5"/>
      <c r="E2694" s="5"/>
      <c r="F2694" s="5"/>
      <c r="G2694" s="5"/>
      <c r="H2694" s="5"/>
      <c r="I2694" s="5"/>
      <c r="J2694" s="5"/>
      <c r="K2694" s="5"/>
      <c r="L2694" s="5"/>
      <c r="M2694" s="5"/>
      <c r="N2694" s="5"/>
      <c r="O2694" s="5"/>
    </row>
    <row r="2695" spans="2:15" x14ac:dyDescent="0.55000000000000004">
      <c r="B2695" s="5"/>
      <c r="C2695" s="5"/>
      <c r="D2695" s="5"/>
      <c r="E2695" s="5"/>
      <c r="F2695" s="5"/>
      <c r="G2695" s="5"/>
      <c r="H2695" s="5"/>
      <c r="I2695" s="5"/>
      <c r="J2695" s="5"/>
      <c r="K2695" s="5"/>
      <c r="L2695" s="5"/>
      <c r="M2695" s="5"/>
      <c r="N2695" s="5"/>
      <c r="O2695" s="5"/>
    </row>
    <row r="2696" spans="2:15" x14ac:dyDescent="0.55000000000000004">
      <c r="B2696" s="5"/>
      <c r="C2696" s="5"/>
      <c r="D2696" s="5"/>
      <c r="E2696" s="5"/>
      <c r="F2696" s="5"/>
      <c r="G2696" s="5"/>
      <c r="H2696" s="5"/>
      <c r="I2696" s="5"/>
      <c r="J2696" s="5"/>
      <c r="K2696" s="5"/>
      <c r="L2696" s="5"/>
      <c r="M2696" s="5"/>
      <c r="N2696" s="5"/>
      <c r="O2696" s="5"/>
    </row>
    <row r="2697" spans="2:15" x14ac:dyDescent="0.55000000000000004">
      <c r="B2697" s="5"/>
      <c r="C2697" s="5"/>
      <c r="D2697" s="5"/>
      <c r="E2697" s="5"/>
      <c r="F2697" s="5"/>
      <c r="G2697" s="5"/>
      <c r="H2697" s="5"/>
      <c r="I2697" s="5"/>
      <c r="J2697" s="5"/>
      <c r="K2697" s="5"/>
      <c r="L2697" s="5"/>
      <c r="M2697" s="5"/>
      <c r="N2697" s="5"/>
      <c r="O2697" s="5"/>
    </row>
    <row r="2698" spans="2:15" x14ac:dyDescent="0.55000000000000004">
      <c r="B2698" s="5"/>
      <c r="C2698" s="5"/>
      <c r="D2698" s="5"/>
      <c r="E2698" s="5"/>
      <c r="F2698" s="5"/>
      <c r="G2698" s="5"/>
      <c r="H2698" s="5"/>
      <c r="I2698" s="5"/>
      <c r="J2698" s="5"/>
      <c r="K2698" s="5"/>
      <c r="L2698" s="5"/>
      <c r="M2698" s="5"/>
      <c r="N2698" s="5"/>
      <c r="O2698" s="5"/>
    </row>
    <row r="2699" spans="2:15" x14ac:dyDescent="0.55000000000000004">
      <c r="B2699" s="5"/>
      <c r="C2699" s="5"/>
      <c r="D2699" s="5"/>
      <c r="E2699" s="5"/>
      <c r="F2699" s="5"/>
      <c r="G2699" s="5"/>
      <c r="H2699" s="5"/>
      <c r="I2699" s="5"/>
      <c r="J2699" s="5"/>
      <c r="K2699" s="5"/>
      <c r="L2699" s="5"/>
      <c r="M2699" s="5"/>
      <c r="N2699" s="5"/>
      <c r="O2699" s="5"/>
    </row>
    <row r="2700" spans="2:15" x14ac:dyDescent="0.55000000000000004">
      <c r="B2700" s="5"/>
      <c r="C2700" s="5"/>
      <c r="D2700" s="5"/>
      <c r="E2700" s="5"/>
      <c r="F2700" s="5"/>
      <c r="G2700" s="5"/>
      <c r="H2700" s="5"/>
      <c r="I2700" s="5"/>
      <c r="J2700" s="5"/>
      <c r="K2700" s="5"/>
      <c r="L2700" s="5"/>
      <c r="M2700" s="5"/>
      <c r="N2700" s="5"/>
      <c r="O2700" s="5"/>
    </row>
    <row r="2701" spans="2:15" x14ac:dyDescent="0.55000000000000004">
      <c r="B2701" s="5"/>
      <c r="C2701" s="5"/>
      <c r="D2701" s="5"/>
      <c r="E2701" s="5"/>
      <c r="F2701" s="5"/>
      <c r="G2701" s="5"/>
      <c r="H2701" s="5"/>
      <c r="I2701" s="5"/>
      <c r="J2701" s="5"/>
      <c r="K2701" s="5"/>
      <c r="L2701" s="5"/>
      <c r="M2701" s="5"/>
      <c r="N2701" s="5"/>
      <c r="O2701" s="5"/>
    </row>
    <row r="2702" spans="2:15" x14ac:dyDescent="0.55000000000000004">
      <c r="B2702" s="5"/>
      <c r="C2702" s="5"/>
      <c r="D2702" s="5"/>
      <c r="E2702" s="5"/>
      <c r="F2702" s="5"/>
      <c r="G2702" s="5"/>
      <c r="H2702" s="5"/>
      <c r="I2702" s="5"/>
      <c r="J2702" s="5"/>
      <c r="K2702" s="5"/>
      <c r="L2702" s="5"/>
      <c r="M2702" s="5"/>
      <c r="N2702" s="5"/>
      <c r="O2702" s="5"/>
    </row>
    <row r="2703" spans="2:15" x14ac:dyDescent="0.55000000000000004">
      <c r="B2703" s="5"/>
      <c r="C2703" s="5"/>
      <c r="D2703" s="5"/>
      <c r="E2703" s="5"/>
      <c r="F2703" s="5"/>
      <c r="G2703" s="5"/>
      <c r="H2703" s="5"/>
      <c r="I2703" s="5"/>
      <c r="J2703" s="5"/>
      <c r="K2703" s="5"/>
      <c r="L2703" s="5"/>
      <c r="M2703" s="5"/>
      <c r="N2703" s="5"/>
      <c r="O2703" s="5"/>
    </row>
    <row r="2704" spans="2:15" x14ac:dyDescent="0.55000000000000004">
      <c r="B2704" s="5"/>
      <c r="C2704" s="5"/>
      <c r="D2704" s="5"/>
      <c r="E2704" s="5"/>
      <c r="F2704" s="5"/>
      <c r="G2704" s="5"/>
      <c r="H2704" s="5"/>
      <c r="I2704" s="5"/>
      <c r="J2704" s="5"/>
      <c r="K2704" s="5"/>
      <c r="L2704" s="5"/>
      <c r="M2704" s="5"/>
      <c r="N2704" s="5"/>
      <c r="O2704" s="5"/>
    </row>
    <row r="2705" spans="2:15" x14ac:dyDescent="0.55000000000000004">
      <c r="B2705" s="5"/>
      <c r="C2705" s="5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5"/>
      <c r="O2705" s="5"/>
    </row>
    <row r="2706" spans="2:15" x14ac:dyDescent="0.55000000000000004">
      <c r="B2706" s="5"/>
      <c r="C2706" s="5"/>
      <c r="D2706" s="5"/>
      <c r="E2706" s="5"/>
      <c r="F2706" s="5"/>
      <c r="G2706" s="5"/>
      <c r="H2706" s="5"/>
      <c r="I2706" s="5"/>
      <c r="J2706" s="5"/>
      <c r="K2706" s="5"/>
      <c r="L2706" s="5"/>
      <c r="M2706" s="5"/>
      <c r="N2706" s="5"/>
      <c r="O2706" s="5"/>
    </row>
    <row r="2707" spans="2:15" x14ac:dyDescent="0.55000000000000004">
      <c r="B2707" s="5"/>
      <c r="C2707" s="5"/>
      <c r="D2707" s="5"/>
      <c r="E2707" s="5"/>
      <c r="F2707" s="5"/>
      <c r="G2707" s="5"/>
      <c r="H2707" s="5"/>
      <c r="I2707" s="5"/>
      <c r="J2707" s="5"/>
      <c r="K2707" s="5"/>
      <c r="L2707" s="5"/>
      <c r="M2707" s="5"/>
      <c r="N2707" s="5"/>
      <c r="O2707" s="5"/>
    </row>
    <row r="2708" spans="2:15" x14ac:dyDescent="0.55000000000000004">
      <c r="B2708" s="5"/>
      <c r="C2708" s="5"/>
      <c r="D2708" s="5"/>
      <c r="E2708" s="5"/>
      <c r="F2708" s="5"/>
      <c r="G2708" s="5"/>
      <c r="H2708" s="5"/>
      <c r="I2708" s="5"/>
      <c r="J2708" s="5"/>
      <c r="K2708" s="5"/>
      <c r="L2708" s="5"/>
      <c r="M2708" s="5"/>
      <c r="N2708" s="5"/>
      <c r="O2708" s="5"/>
    </row>
    <row r="2709" spans="2:15" x14ac:dyDescent="0.55000000000000004">
      <c r="B2709" s="5"/>
      <c r="C2709" s="5"/>
      <c r="D2709" s="5"/>
      <c r="E2709" s="5"/>
      <c r="F2709" s="5"/>
      <c r="G2709" s="5"/>
      <c r="H2709" s="5"/>
      <c r="I2709" s="5"/>
      <c r="J2709" s="5"/>
      <c r="K2709" s="5"/>
      <c r="L2709" s="5"/>
      <c r="M2709" s="5"/>
      <c r="N2709" s="5"/>
      <c r="O2709" s="5"/>
    </row>
    <row r="2710" spans="2:15" x14ac:dyDescent="0.55000000000000004">
      <c r="B2710" s="5"/>
      <c r="C2710" s="5"/>
      <c r="D2710" s="5"/>
      <c r="E2710" s="5"/>
      <c r="F2710" s="5"/>
      <c r="G2710" s="5"/>
      <c r="H2710" s="5"/>
      <c r="I2710" s="5"/>
      <c r="J2710" s="5"/>
      <c r="K2710" s="5"/>
      <c r="L2710" s="5"/>
      <c r="M2710" s="5"/>
      <c r="N2710" s="5"/>
      <c r="O2710" s="5"/>
    </row>
    <row r="2711" spans="2:15" x14ac:dyDescent="0.55000000000000004">
      <c r="B2711" s="5"/>
      <c r="C2711" s="5"/>
      <c r="D2711" s="5"/>
      <c r="E2711" s="5"/>
      <c r="F2711" s="5"/>
      <c r="G2711" s="5"/>
      <c r="H2711" s="5"/>
      <c r="I2711" s="5"/>
      <c r="J2711" s="5"/>
      <c r="K2711" s="5"/>
      <c r="L2711" s="5"/>
      <c r="M2711" s="5"/>
      <c r="N2711" s="5"/>
      <c r="O2711" s="5"/>
    </row>
    <row r="2712" spans="2:15" x14ac:dyDescent="0.55000000000000004">
      <c r="B2712" s="5"/>
      <c r="C2712" s="5"/>
      <c r="D2712" s="5"/>
      <c r="E2712" s="5"/>
      <c r="F2712" s="5"/>
      <c r="G2712" s="5"/>
      <c r="H2712" s="5"/>
      <c r="I2712" s="5"/>
      <c r="J2712" s="5"/>
      <c r="K2712" s="5"/>
      <c r="L2712" s="5"/>
      <c r="M2712" s="5"/>
      <c r="N2712" s="5"/>
      <c r="O2712" s="5"/>
    </row>
    <row r="2713" spans="2:15" x14ac:dyDescent="0.55000000000000004">
      <c r="B2713" s="5"/>
      <c r="C2713" s="5"/>
      <c r="D2713" s="5"/>
      <c r="E2713" s="5"/>
      <c r="F2713" s="5"/>
      <c r="G2713" s="5"/>
      <c r="H2713" s="5"/>
      <c r="I2713" s="5"/>
      <c r="J2713" s="5"/>
      <c r="K2713" s="5"/>
      <c r="L2713" s="5"/>
      <c r="M2713" s="5"/>
      <c r="N2713" s="5"/>
      <c r="O2713" s="5"/>
    </row>
    <row r="2714" spans="2:15" x14ac:dyDescent="0.55000000000000004">
      <c r="B2714" s="5"/>
      <c r="C2714" s="5"/>
      <c r="D2714" s="5"/>
      <c r="E2714" s="5"/>
      <c r="F2714" s="5"/>
      <c r="G2714" s="5"/>
      <c r="H2714" s="5"/>
      <c r="I2714" s="5"/>
      <c r="J2714" s="5"/>
      <c r="K2714" s="5"/>
      <c r="L2714" s="5"/>
      <c r="M2714" s="5"/>
      <c r="N2714" s="5"/>
      <c r="O2714" s="5"/>
    </row>
    <row r="2715" spans="2:15" x14ac:dyDescent="0.55000000000000004">
      <c r="B2715" s="5"/>
      <c r="C2715" s="5"/>
      <c r="D2715" s="5"/>
      <c r="E2715" s="5"/>
      <c r="F2715" s="5"/>
      <c r="G2715" s="5"/>
      <c r="H2715" s="5"/>
      <c r="I2715" s="5"/>
      <c r="J2715" s="5"/>
      <c r="K2715" s="5"/>
      <c r="L2715" s="5"/>
      <c r="M2715" s="5"/>
      <c r="N2715" s="5"/>
      <c r="O2715" s="5"/>
    </row>
    <row r="2716" spans="2:15" x14ac:dyDescent="0.55000000000000004">
      <c r="B2716" s="5"/>
      <c r="C2716" s="5"/>
      <c r="D2716" s="5"/>
      <c r="E2716" s="5"/>
      <c r="F2716" s="5"/>
      <c r="G2716" s="5"/>
      <c r="H2716" s="5"/>
      <c r="I2716" s="5"/>
      <c r="J2716" s="5"/>
      <c r="K2716" s="5"/>
      <c r="L2716" s="5"/>
      <c r="M2716" s="5"/>
      <c r="N2716" s="5"/>
      <c r="O2716" s="5"/>
    </row>
    <row r="2717" spans="2:15" x14ac:dyDescent="0.55000000000000004">
      <c r="B2717" s="5"/>
      <c r="C2717" s="5"/>
      <c r="D2717" s="5"/>
      <c r="E2717" s="5"/>
      <c r="F2717" s="5"/>
      <c r="G2717" s="5"/>
      <c r="H2717" s="5"/>
      <c r="I2717" s="5"/>
      <c r="J2717" s="5"/>
      <c r="K2717" s="5"/>
      <c r="L2717" s="5"/>
      <c r="M2717" s="5"/>
      <c r="N2717" s="5"/>
      <c r="O2717" s="5"/>
    </row>
    <row r="2718" spans="2:15" x14ac:dyDescent="0.55000000000000004">
      <c r="B2718" s="5"/>
      <c r="C2718" s="5"/>
      <c r="D2718" s="5"/>
      <c r="E2718" s="5"/>
      <c r="F2718" s="5"/>
      <c r="G2718" s="5"/>
      <c r="H2718" s="5"/>
      <c r="I2718" s="5"/>
      <c r="J2718" s="5"/>
      <c r="K2718" s="5"/>
      <c r="L2718" s="5"/>
      <c r="M2718" s="5"/>
      <c r="N2718" s="5"/>
      <c r="O2718" s="5"/>
    </row>
    <row r="2719" spans="2:15" x14ac:dyDescent="0.55000000000000004">
      <c r="B2719" s="5"/>
      <c r="C2719" s="5"/>
      <c r="D2719" s="5"/>
      <c r="E2719" s="5"/>
      <c r="F2719" s="5"/>
      <c r="G2719" s="5"/>
      <c r="H2719" s="5"/>
      <c r="I2719" s="5"/>
      <c r="J2719" s="5"/>
      <c r="K2719" s="5"/>
      <c r="L2719" s="5"/>
      <c r="M2719" s="5"/>
      <c r="N2719" s="5"/>
      <c r="O2719" s="5"/>
    </row>
    <row r="2720" spans="2:15" x14ac:dyDescent="0.55000000000000004">
      <c r="B2720" s="5"/>
      <c r="C2720" s="5"/>
      <c r="D2720" s="5"/>
      <c r="E2720" s="5"/>
      <c r="F2720" s="5"/>
      <c r="G2720" s="5"/>
      <c r="H2720" s="5"/>
      <c r="I2720" s="5"/>
      <c r="J2720" s="5"/>
      <c r="K2720" s="5"/>
      <c r="L2720" s="5"/>
      <c r="M2720" s="5"/>
      <c r="N2720" s="5"/>
      <c r="O2720" s="5"/>
    </row>
    <row r="2721" spans="2:15" x14ac:dyDescent="0.55000000000000004">
      <c r="B2721" s="5"/>
      <c r="C2721" s="5"/>
      <c r="D2721" s="5"/>
      <c r="E2721" s="5"/>
      <c r="F2721" s="5"/>
      <c r="G2721" s="5"/>
      <c r="H2721" s="5"/>
      <c r="I2721" s="5"/>
      <c r="J2721" s="5"/>
      <c r="K2721" s="5"/>
      <c r="L2721" s="5"/>
      <c r="M2721" s="5"/>
      <c r="N2721" s="5"/>
      <c r="O2721" s="5"/>
    </row>
    <row r="2722" spans="2:15" x14ac:dyDescent="0.55000000000000004">
      <c r="B2722" s="5"/>
      <c r="C2722" s="5"/>
      <c r="D2722" s="5"/>
      <c r="E2722" s="5"/>
      <c r="F2722" s="5"/>
      <c r="G2722" s="5"/>
      <c r="H2722" s="5"/>
      <c r="I2722" s="5"/>
      <c r="J2722" s="5"/>
      <c r="K2722" s="5"/>
      <c r="L2722" s="5"/>
      <c r="M2722" s="5"/>
      <c r="N2722" s="5"/>
      <c r="O2722" s="5"/>
    </row>
    <row r="2723" spans="2:15" x14ac:dyDescent="0.55000000000000004">
      <c r="B2723" s="5"/>
      <c r="C2723" s="5"/>
      <c r="D2723" s="5"/>
      <c r="E2723" s="5"/>
      <c r="F2723" s="5"/>
      <c r="G2723" s="5"/>
      <c r="H2723" s="5"/>
      <c r="I2723" s="5"/>
      <c r="J2723" s="5"/>
      <c r="K2723" s="5"/>
      <c r="L2723" s="5"/>
      <c r="M2723" s="5"/>
      <c r="N2723" s="5"/>
      <c r="O2723" s="5"/>
    </row>
    <row r="2724" spans="2:15" x14ac:dyDescent="0.55000000000000004">
      <c r="B2724" s="5"/>
      <c r="C2724" s="5"/>
      <c r="D2724" s="5"/>
      <c r="E2724" s="5"/>
      <c r="F2724" s="5"/>
      <c r="G2724" s="5"/>
      <c r="H2724" s="5"/>
      <c r="I2724" s="5"/>
      <c r="J2724" s="5"/>
      <c r="K2724" s="5"/>
      <c r="L2724" s="5"/>
      <c r="M2724" s="5"/>
      <c r="N2724" s="5"/>
      <c r="O2724" s="5"/>
    </row>
    <row r="2725" spans="2:15" x14ac:dyDescent="0.55000000000000004">
      <c r="B2725" s="5"/>
      <c r="C2725" s="5"/>
      <c r="D2725" s="5"/>
      <c r="E2725" s="5"/>
      <c r="F2725" s="5"/>
      <c r="G2725" s="5"/>
      <c r="H2725" s="5"/>
      <c r="I2725" s="5"/>
      <c r="J2725" s="5"/>
      <c r="K2725" s="5"/>
      <c r="L2725" s="5"/>
      <c r="M2725" s="5"/>
      <c r="N2725" s="5"/>
      <c r="O2725" s="5"/>
    </row>
    <row r="2726" spans="2:15" x14ac:dyDescent="0.55000000000000004">
      <c r="B2726" s="5"/>
      <c r="C2726" s="5"/>
      <c r="D2726" s="5"/>
      <c r="E2726" s="5"/>
      <c r="F2726" s="5"/>
      <c r="G2726" s="5"/>
      <c r="H2726" s="5"/>
      <c r="I2726" s="5"/>
      <c r="J2726" s="5"/>
      <c r="K2726" s="5"/>
      <c r="L2726" s="5"/>
      <c r="M2726" s="5"/>
      <c r="N2726" s="5"/>
      <c r="O2726" s="5"/>
    </row>
    <row r="2727" spans="2:15" x14ac:dyDescent="0.55000000000000004">
      <c r="B2727" s="5"/>
      <c r="C2727" s="5"/>
      <c r="D2727" s="5"/>
      <c r="E2727" s="5"/>
      <c r="F2727" s="5"/>
      <c r="G2727" s="5"/>
      <c r="H2727" s="5"/>
      <c r="I2727" s="5"/>
      <c r="J2727" s="5"/>
      <c r="K2727" s="5"/>
      <c r="L2727" s="5"/>
      <c r="M2727" s="5"/>
      <c r="N2727" s="5"/>
      <c r="O2727" s="5"/>
    </row>
    <row r="2728" spans="2:15" x14ac:dyDescent="0.55000000000000004">
      <c r="B2728" s="5"/>
      <c r="C2728" s="5"/>
      <c r="D2728" s="5"/>
      <c r="E2728" s="5"/>
      <c r="F2728" s="5"/>
      <c r="G2728" s="5"/>
      <c r="H2728" s="5"/>
      <c r="I2728" s="5"/>
      <c r="J2728" s="5"/>
      <c r="K2728" s="5"/>
      <c r="L2728" s="5"/>
      <c r="M2728" s="5"/>
      <c r="N2728" s="5"/>
      <c r="O2728" s="5"/>
    </row>
    <row r="2729" spans="2:15" x14ac:dyDescent="0.55000000000000004">
      <c r="B2729" s="5"/>
      <c r="C2729" s="5"/>
      <c r="D2729" s="5"/>
      <c r="E2729" s="5"/>
      <c r="F2729" s="5"/>
      <c r="G2729" s="5"/>
      <c r="H2729" s="5"/>
      <c r="I2729" s="5"/>
      <c r="J2729" s="5"/>
      <c r="K2729" s="5"/>
      <c r="L2729" s="5"/>
      <c r="M2729" s="5"/>
      <c r="N2729" s="5"/>
      <c r="O2729" s="5"/>
    </row>
    <row r="2730" spans="2:15" x14ac:dyDescent="0.55000000000000004">
      <c r="B2730" s="5"/>
      <c r="C2730" s="5"/>
      <c r="D2730" s="5"/>
      <c r="E2730" s="5"/>
      <c r="F2730" s="5"/>
      <c r="G2730" s="5"/>
      <c r="H2730" s="5"/>
      <c r="I2730" s="5"/>
      <c r="J2730" s="5"/>
      <c r="K2730" s="5"/>
      <c r="L2730" s="5"/>
      <c r="M2730" s="5"/>
      <c r="N2730" s="5"/>
      <c r="O2730" s="5"/>
    </row>
    <row r="2731" spans="2:15" x14ac:dyDescent="0.55000000000000004">
      <c r="B2731" s="5"/>
      <c r="C2731" s="5"/>
      <c r="D2731" s="5"/>
      <c r="E2731" s="5"/>
      <c r="F2731" s="5"/>
      <c r="G2731" s="5"/>
      <c r="H2731" s="5"/>
      <c r="I2731" s="5"/>
      <c r="J2731" s="5"/>
      <c r="K2731" s="5"/>
      <c r="L2731" s="5"/>
      <c r="M2731" s="5"/>
      <c r="N2731" s="5"/>
      <c r="O2731" s="5"/>
    </row>
    <row r="2732" spans="2:15" x14ac:dyDescent="0.55000000000000004">
      <c r="B2732" s="5"/>
      <c r="C2732" s="5"/>
      <c r="D2732" s="5"/>
      <c r="E2732" s="5"/>
      <c r="F2732" s="5"/>
      <c r="G2732" s="5"/>
      <c r="H2732" s="5"/>
      <c r="I2732" s="5"/>
      <c r="J2732" s="5"/>
      <c r="K2732" s="5"/>
      <c r="L2732" s="5"/>
      <c r="M2732" s="5"/>
      <c r="N2732" s="5"/>
      <c r="O2732" s="5"/>
    </row>
    <row r="2733" spans="2:15" x14ac:dyDescent="0.55000000000000004">
      <c r="B2733" s="5"/>
      <c r="C2733" s="5"/>
      <c r="D2733" s="5"/>
      <c r="E2733" s="5"/>
      <c r="F2733" s="5"/>
      <c r="G2733" s="5"/>
      <c r="H2733" s="5"/>
      <c r="I2733" s="5"/>
      <c r="J2733" s="5"/>
      <c r="K2733" s="5"/>
      <c r="L2733" s="5"/>
      <c r="M2733" s="5"/>
      <c r="N2733" s="5"/>
      <c r="O2733" s="5"/>
    </row>
    <row r="2734" spans="2:15" x14ac:dyDescent="0.55000000000000004">
      <c r="B2734" s="5"/>
      <c r="C2734" s="5"/>
      <c r="D2734" s="5"/>
      <c r="E2734" s="5"/>
      <c r="F2734" s="5"/>
      <c r="G2734" s="5"/>
      <c r="H2734" s="5"/>
      <c r="I2734" s="5"/>
      <c r="J2734" s="5"/>
      <c r="K2734" s="5"/>
      <c r="L2734" s="5"/>
      <c r="M2734" s="5"/>
      <c r="N2734" s="5"/>
      <c r="O2734" s="5"/>
    </row>
    <row r="2735" spans="2:15" x14ac:dyDescent="0.55000000000000004">
      <c r="B2735" s="5"/>
      <c r="C2735" s="5"/>
      <c r="D2735" s="5"/>
      <c r="E2735" s="5"/>
      <c r="F2735" s="5"/>
      <c r="G2735" s="5"/>
      <c r="H2735" s="5"/>
      <c r="I2735" s="5"/>
      <c r="J2735" s="5"/>
      <c r="K2735" s="5"/>
      <c r="L2735" s="5"/>
      <c r="M2735" s="5"/>
      <c r="N2735" s="5"/>
      <c r="O2735" s="5"/>
    </row>
    <row r="2736" spans="2:15" x14ac:dyDescent="0.55000000000000004">
      <c r="B2736" s="5"/>
      <c r="C2736" s="5"/>
      <c r="D2736" s="5"/>
      <c r="E2736" s="5"/>
      <c r="F2736" s="5"/>
      <c r="G2736" s="5"/>
      <c r="H2736" s="5"/>
      <c r="I2736" s="5"/>
      <c r="J2736" s="5"/>
      <c r="K2736" s="5"/>
      <c r="L2736" s="5"/>
      <c r="M2736" s="5"/>
      <c r="N2736" s="5"/>
      <c r="O2736" s="5"/>
    </row>
    <row r="2737" spans="2:15" x14ac:dyDescent="0.55000000000000004"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5"/>
      <c r="O2737" s="5"/>
    </row>
    <row r="2738" spans="2:15" x14ac:dyDescent="0.55000000000000004">
      <c r="B2738" s="5"/>
      <c r="C2738" s="5"/>
      <c r="D2738" s="5"/>
      <c r="E2738" s="5"/>
      <c r="F2738" s="5"/>
      <c r="G2738" s="5"/>
      <c r="H2738" s="5"/>
      <c r="I2738" s="5"/>
      <c r="J2738" s="5"/>
      <c r="K2738" s="5"/>
      <c r="L2738" s="5"/>
      <c r="M2738" s="5"/>
      <c r="N2738" s="5"/>
      <c r="O2738" s="5"/>
    </row>
    <row r="2739" spans="2:15" x14ac:dyDescent="0.55000000000000004">
      <c r="B2739" s="5"/>
      <c r="C2739" s="5"/>
      <c r="D2739" s="5"/>
      <c r="E2739" s="5"/>
      <c r="F2739" s="5"/>
      <c r="G2739" s="5"/>
      <c r="H2739" s="5"/>
      <c r="I2739" s="5"/>
      <c r="J2739" s="5"/>
      <c r="K2739" s="5"/>
      <c r="L2739" s="5"/>
      <c r="M2739" s="5"/>
      <c r="N2739" s="5"/>
      <c r="O2739" s="5"/>
    </row>
    <row r="2740" spans="2:15" x14ac:dyDescent="0.55000000000000004">
      <c r="B2740" s="5"/>
      <c r="C2740" s="5"/>
      <c r="D2740" s="5"/>
      <c r="E2740" s="5"/>
      <c r="F2740" s="5"/>
      <c r="G2740" s="5"/>
      <c r="H2740" s="5"/>
      <c r="I2740" s="5"/>
      <c r="J2740" s="5"/>
      <c r="K2740" s="5"/>
      <c r="L2740" s="5"/>
      <c r="M2740" s="5"/>
      <c r="N2740" s="5"/>
      <c r="O2740" s="5"/>
    </row>
    <row r="2741" spans="2:15" x14ac:dyDescent="0.55000000000000004">
      <c r="B2741" s="5"/>
      <c r="C2741" s="5"/>
      <c r="D2741" s="5"/>
      <c r="E2741" s="5"/>
      <c r="F2741" s="5"/>
      <c r="G2741" s="5"/>
      <c r="H2741" s="5"/>
      <c r="I2741" s="5"/>
      <c r="J2741" s="5"/>
      <c r="K2741" s="5"/>
      <c r="L2741" s="5"/>
      <c r="M2741" s="5"/>
      <c r="N2741" s="5"/>
      <c r="O2741" s="5"/>
    </row>
    <row r="2742" spans="2:15" x14ac:dyDescent="0.55000000000000004">
      <c r="B2742" s="5"/>
      <c r="C2742" s="5"/>
      <c r="D2742" s="5"/>
      <c r="E2742" s="5"/>
      <c r="F2742" s="5"/>
      <c r="G2742" s="5"/>
      <c r="H2742" s="5"/>
      <c r="I2742" s="5"/>
      <c r="J2742" s="5"/>
      <c r="K2742" s="5"/>
      <c r="L2742" s="5"/>
      <c r="M2742" s="5"/>
      <c r="N2742" s="5"/>
      <c r="O2742" s="5"/>
    </row>
    <row r="2743" spans="2:15" x14ac:dyDescent="0.55000000000000004">
      <c r="B2743" s="5"/>
      <c r="C2743" s="5"/>
      <c r="D2743" s="5"/>
      <c r="E2743" s="5"/>
      <c r="F2743" s="5"/>
      <c r="G2743" s="5"/>
      <c r="H2743" s="5"/>
      <c r="I2743" s="5"/>
      <c r="J2743" s="5"/>
      <c r="K2743" s="5"/>
      <c r="L2743" s="5"/>
      <c r="M2743" s="5"/>
      <c r="N2743" s="5"/>
      <c r="O2743" s="5"/>
    </row>
    <row r="2744" spans="2:15" x14ac:dyDescent="0.55000000000000004">
      <c r="B2744" s="5"/>
      <c r="C2744" s="5"/>
      <c r="D2744" s="5"/>
      <c r="E2744" s="5"/>
      <c r="F2744" s="5"/>
      <c r="G2744" s="5"/>
      <c r="H2744" s="5"/>
      <c r="I2744" s="5"/>
      <c r="J2744" s="5"/>
      <c r="K2744" s="5"/>
      <c r="L2744" s="5"/>
      <c r="M2744" s="5"/>
      <c r="N2744" s="5"/>
      <c r="O2744" s="5"/>
    </row>
    <row r="2745" spans="2:15" x14ac:dyDescent="0.55000000000000004">
      <c r="B2745" s="5"/>
      <c r="C2745" s="5"/>
      <c r="D2745" s="5"/>
      <c r="E2745" s="5"/>
      <c r="F2745" s="5"/>
      <c r="G2745" s="5"/>
      <c r="H2745" s="5"/>
      <c r="I2745" s="5"/>
      <c r="J2745" s="5"/>
      <c r="K2745" s="5"/>
      <c r="L2745" s="5"/>
      <c r="M2745" s="5"/>
      <c r="N2745" s="5"/>
      <c r="O2745" s="5"/>
    </row>
    <row r="2746" spans="2:15" x14ac:dyDescent="0.55000000000000004">
      <c r="B2746" s="5"/>
      <c r="C2746" s="5"/>
      <c r="D2746" s="5"/>
      <c r="E2746" s="5"/>
      <c r="F2746" s="5"/>
      <c r="G2746" s="5"/>
      <c r="H2746" s="5"/>
      <c r="I2746" s="5"/>
      <c r="J2746" s="5"/>
      <c r="K2746" s="5"/>
      <c r="L2746" s="5"/>
      <c r="M2746" s="5"/>
      <c r="N2746" s="5"/>
      <c r="O2746" s="5"/>
    </row>
    <row r="2747" spans="2:15" x14ac:dyDescent="0.55000000000000004">
      <c r="B2747" s="5"/>
      <c r="C2747" s="5"/>
      <c r="D2747" s="5"/>
      <c r="E2747" s="5"/>
      <c r="F2747" s="5"/>
      <c r="G2747" s="5"/>
      <c r="H2747" s="5"/>
      <c r="I2747" s="5"/>
      <c r="J2747" s="5"/>
      <c r="K2747" s="5"/>
      <c r="L2747" s="5"/>
      <c r="M2747" s="5"/>
      <c r="N2747" s="5"/>
      <c r="O2747" s="5"/>
    </row>
    <row r="2748" spans="2:15" x14ac:dyDescent="0.55000000000000004">
      <c r="B2748" s="5"/>
      <c r="C2748" s="5"/>
      <c r="D2748" s="5"/>
      <c r="E2748" s="5"/>
      <c r="F2748" s="5"/>
      <c r="G2748" s="5"/>
      <c r="H2748" s="5"/>
      <c r="I2748" s="5"/>
      <c r="J2748" s="5"/>
      <c r="K2748" s="5"/>
      <c r="L2748" s="5"/>
      <c r="M2748" s="5"/>
      <c r="N2748" s="5"/>
      <c r="O2748" s="5"/>
    </row>
    <row r="2749" spans="2:15" x14ac:dyDescent="0.55000000000000004">
      <c r="B2749" s="5"/>
      <c r="C2749" s="5"/>
      <c r="D2749" s="5"/>
      <c r="E2749" s="5"/>
      <c r="F2749" s="5"/>
      <c r="G2749" s="5"/>
      <c r="H2749" s="5"/>
      <c r="I2749" s="5"/>
      <c r="J2749" s="5"/>
      <c r="K2749" s="5"/>
      <c r="L2749" s="5"/>
      <c r="M2749" s="5"/>
      <c r="N2749" s="5"/>
      <c r="O2749" s="5"/>
    </row>
    <row r="2750" spans="2:15" x14ac:dyDescent="0.55000000000000004">
      <c r="B2750" s="5"/>
      <c r="C2750" s="5"/>
      <c r="D2750" s="5"/>
      <c r="E2750" s="5"/>
      <c r="F2750" s="5"/>
      <c r="G2750" s="5"/>
      <c r="H2750" s="5"/>
      <c r="I2750" s="5"/>
      <c r="J2750" s="5"/>
      <c r="K2750" s="5"/>
      <c r="L2750" s="5"/>
      <c r="M2750" s="5"/>
      <c r="N2750" s="5"/>
      <c r="O2750" s="5"/>
    </row>
    <row r="2751" spans="2:15" x14ac:dyDescent="0.55000000000000004">
      <c r="B2751" s="5"/>
      <c r="C2751" s="5"/>
      <c r="D2751" s="5"/>
      <c r="E2751" s="5"/>
      <c r="F2751" s="5"/>
      <c r="G2751" s="5"/>
      <c r="H2751" s="5"/>
      <c r="I2751" s="5"/>
      <c r="J2751" s="5"/>
      <c r="K2751" s="5"/>
      <c r="L2751" s="5"/>
      <c r="M2751" s="5"/>
      <c r="N2751" s="5"/>
      <c r="O2751" s="5"/>
    </row>
    <row r="2752" spans="2:15" x14ac:dyDescent="0.55000000000000004">
      <c r="B2752" s="5"/>
      <c r="C2752" s="5"/>
      <c r="D2752" s="5"/>
      <c r="E2752" s="5"/>
      <c r="F2752" s="5"/>
      <c r="G2752" s="5"/>
      <c r="H2752" s="5"/>
      <c r="I2752" s="5"/>
      <c r="J2752" s="5"/>
      <c r="K2752" s="5"/>
      <c r="L2752" s="5"/>
      <c r="M2752" s="5"/>
      <c r="N2752" s="5"/>
      <c r="O2752" s="5"/>
    </row>
    <row r="2753" spans="2:15" x14ac:dyDescent="0.55000000000000004">
      <c r="B2753" s="5"/>
      <c r="C2753" s="5"/>
      <c r="D2753" s="5"/>
      <c r="E2753" s="5"/>
      <c r="F2753" s="5"/>
      <c r="G2753" s="5"/>
      <c r="H2753" s="5"/>
      <c r="I2753" s="5"/>
      <c r="J2753" s="5"/>
      <c r="K2753" s="5"/>
      <c r="L2753" s="5"/>
      <c r="M2753" s="5"/>
      <c r="N2753" s="5"/>
      <c r="O2753" s="5"/>
    </row>
    <row r="2754" spans="2:15" x14ac:dyDescent="0.55000000000000004">
      <c r="B2754" s="5"/>
      <c r="C2754" s="5"/>
      <c r="D2754" s="5"/>
      <c r="E2754" s="5"/>
      <c r="F2754" s="5"/>
      <c r="G2754" s="5"/>
      <c r="H2754" s="5"/>
      <c r="I2754" s="5"/>
      <c r="J2754" s="5"/>
      <c r="K2754" s="5"/>
      <c r="L2754" s="5"/>
      <c r="M2754" s="5"/>
      <c r="N2754" s="5"/>
      <c r="O2754" s="5"/>
    </row>
    <row r="2755" spans="2:15" x14ac:dyDescent="0.55000000000000004">
      <c r="B2755" s="5"/>
      <c r="C2755" s="5"/>
      <c r="D2755" s="5"/>
      <c r="E2755" s="5"/>
      <c r="F2755" s="5"/>
      <c r="G2755" s="5"/>
      <c r="H2755" s="5"/>
      <c r="I2755" s="5"/>
      <c r="J2755" s="5"/>
      <c r="K2755" s="5"/>
      <c r="L2755" s="5"/>
      <c r="M2755" s="5"/>
      <c r="N2755" s="5"/>
      <c r="O2755" s="5"/>
    </row>
    <row r="2756" spans="2:15" x14ac:dyDescent="0.55000000000000004">
      <c r="B2756" s="5"/>
      <c r="C2756" s="5"/>
      <c r="D2756" s="5"/>
      <c r="E2756" s="5"/>
      <c r="F2756" s="5"/>
      <c r="G2756" s="5"/>
      <c r="H2756" s="5"/>
      <c r="I2756" s="5"/>
      <c r="J2756" s="5"/>
      <c r="K2756" s="5"/>
      <c r="L2756" s="5"/>
      <c r="M2756" s="5"/>
      <c r="N2756" s="5"/>
      <c r="O2756" s="5"/>
    </row>
    <row r="2757" spans="2:15" x14ac:dyDescent="0.55000000000000004">
      <c r="B2757" s="5"/>
      <c r="C2757" s="5"/>
      <c r="D2757" s="5"/>
      <c r="E2757" s="5"/>
      <c r="F2757" s="5"/>
      <c r="G2757" s="5"/>
      <c r="H2757" s="5"/>
      <c r="I2757" s="5"/>
      <c r="J2757" s="5"/>
      <c r="K2757" s="5"/>
      <c r="L2757" s="5"/>
      <c r="M2757" s="5"/>
      <c r="N2757" s="5"/>
      <c r="O2757" s="5"/>
    </row>
    <row r="2758" spans="2:15" x14ac:dyDescent="0.55000000000000004">
      <c r="B2758" s="5"/>
      <c r="C2758" s="5"/>
      <c r="D2758" s="5"/>
      <c r="E2758" s="5"/>
      <c r="F2758" s="5"/>
      <c r="G2758" s="5"/>
      <c r="H2758" s="5"/>
      <c r="I2758" s="5"/>
      <c r="J2758" s="5"/>
      <c r="K2758" s="5"/>
      <c r="L2758" s="5"/>
      <c r="M2758" s="5"/>
      <c r="N2758" s="5"/>
      <c r="O2758" s="5"/>
    </row>
    <row r="2759" spans="2:15" x14ac:dyDescent="0.55000000000000004">
      <c r="B2759" s="5"/>
      <c r="C2759" s="5"/>
      <c r="D2759" s="5"/>
      <c r="E2759" s="5"/>
      <c r="F2759" s="5"/>
      <c r="G2759" s="5"/>
      <c r="H2759" s="5"/>
      <c r="I2759" s="5"/>
      <c r="J2759" s="5"/>
      <c r="K2759" s="5"/>
      <c r="L2759" s="5"/>
      <c r="M2759" s="5"/>
      <c r="N2759" s="5"/>
      <c r="O2759" s="5"/>
    </row>
    <row r="2760" spans="2:15" x14ac:dyDescent="0.55000000000000004">
      <c r="B2760" s="5"/>
      <c r="C2760" s="5"/>
      <c r="D2760" s="5"/>
      <c r="E2760" s="5"/>
      <c r="F2760" s="5"/>
      <c r="G2760" s="5"/>
      <c r="H2760" s="5"/>
      <c r="I2760" s="5"/>
      <c r="J2760" s="5"/>
      <c r="K2760" s="5"/>
      <c r="L2760" s="5"/>
      <c r="M2760" s="5"/>
      <c r="N2760" s="5"/>
      <c r="O2760" s="5"/>
    </row>
    <row r="2761" spans="2:15" x14ac:dyDescent="0.55000000000000004">
      <c r="B2761" s="5"/>
      <c r="C2761" s="5"/>
      <c r="D2761" s="5"/>
      <c r="E2761" s="5"/>
      <c r="F2761" s="5"/>
      <c r="G2761" s="5"/>
      <c r="H2761" s="5"/>
      <c r="I2761" s="5"/>
      <c r="J2761" s="5"/>
      <c r="K2761" s="5"/>
      <c r="L2761" s="5"/>
      <c r="M2761" s="5"/>
      <c r="N2761" s="5"/>
      <c r="O2761" s="5"/>
    </row>
    <row r="2762" spans="2:15" x14ac:dyDescent="0.55000000000000004">
      <c r="B2762" s="5"/>
      <c r="C2762" s="5"/>
      <c r="D2762" s="5"/>
      <c r="E2762" s="5"/>
      <c r="F2762" s="5"/>
      <c r="G2762" s="5"/>
      <c r="H2762" s="5"/>
      <c r="I2762" s="5"/>
      <c r="J2762" s="5"/>
      <c r="K2762" s="5"/>
      <c r="L2762" s="5"/>
      <c r="M2762" s="5"/>
      <c r="N2762" s="5"/>
      <c r="O2762" s="5"/>
    </row>
    <row r="2763" spans="2:15" x14ac:dyDescent="0.55000000000000004">
      <c r="B2763" s="5"/>
      <c r="C2763" s="5"/>
      <c r="D2763" s="5"/>
      <c r="E2763" s="5"/>
      <c r="F2763" s="5"/>
      <c r="G2763" s="5"/>
      <c r="H2763" s="5"/>
      <c r="I2763" s="5"/>
      <c r="J2763" s="5"/>
      <c r="K2763" s="5"/>
      <c r="L2763" s="5"/>
      <c r="M2763" s="5"/>
      <c r="N2763" s="5"/>
      <c r="O2763" s="5"/>
    </row>
    <row r="2764" spans="2:15" x14ac:dyDescent="0.55000000000000004">
      <c r="B2764" s="5"/>
      <c r="C2764" s="5"/>
      <c r="D2764" s="5"/>
      <c r="E2764" s="5"/>
      <c r="F2764" s="5"/>
      <c r="G2764" s="5"/>
      <c r="H2764" s="5"/>
      <c r="I2764" s="5"/>
      <c r="J2764" s="5"/>
      <c r="K2764" s="5"/>
      <c r="L2764" s="5"/>
      <c r="M2764" s="5"/>
      <c r="N2764" s="5"/>
      <c r="O2764" s="5"/>
    </row>
    <row r="2765" spans="2:15" x14ac:dyDescent="0.55000000000000004">
      <c r="B2765" s="5"/>
      <c r="C2765" s="5"/>
      <c r="D2765" s="5"/>
      <c r="E2765" s="5"/>
      <c r="F2765" s="5"/>
      <c r="G2765" s="5"/>
      <c r="H2765" s="5"/>
      <c r="I2765" s="5"/>
      <c r="J2765" s="5"/>
      <c r="K2765" s="5"/>
      <c r="L2765" s="5"/>
      <c r="M2765" s="5"/>
      <c r="N2765" s="5"/>
      <c r="O2765" s="5"/>
    </row>
    <row r="2766" spans="2:15" x14ac:dyDescent="0.55000000000000004">
      <c r="B2766" s="5"/>
      <c r="C2766" s="5"/>
      <c r="D2766" s="5"/>
      <c r="E2766" s="5"/>
      <c r="F2766" s="5"/>
      <c r="G2766" s="5"/>
      <c r="H2766" s="5"/>
      <c r="I2766" s="5"/>
      <c r="J2766" s="5"/>
      <c r="K2766" s="5"/>
      <c r="L2766" s="5"/>
      <c r="M2766" s="5"/>
      <c r="N2766" s="5"/>
      <c r="O2766" s="5"/>
    </row>
    <row r="2767" spans="2:15" x14ac:dyDescent="0.55000000000000004">
      <c r="B2767" s="5"/>
      <c r="C2767" s="5"/>
      <c r="D2767" s="5"/>
      <c r="E2767" s="5"/>
      <c r="F2767" s="5"/>
      <c r="G2767" s="5"/>
      <c r="H2767" s="5"/>
      <c r="I2767" s="5"/>
      <c r="J2767" s="5"/>
      <c r="K2767" s="5"/>
      <c r="L2767" s="5"/>
      <c r="M2767" s="5"/>
      <c r="N2767" s="5"/>
      <c r="O2767" s="5"/>
    </row>
    <row r="2768" spans="2:15" x14ac:dyDescent="0.55000000000000004">
      <c r="B2768" s="5"/>
      <c r="C2768" s="5"/>
      <c r="D2768" s="5"/>
      <c r="E2768" s="5"/>
      <c r="F2768" s="5"/>
      <c r="G2768" s="5"/>
      <c r="H2768" s="5"/>
      <c r="I2768" s="5"/>
      <c r="J2768" s="5"/>
      <c r="K2768" s="5"/>
      <c r="L2768" s="5"/>
      <c r="M2768" s="5"/>
      <c r="N2768" s="5"/>
      <c r="O2768" s="5"/>
    </row>
    <row r="2769" spans="2:15" x14ac:dyDescent="0.55000000000000004">
      <c r="B2769" s="5"/>
      <c r="C2769" s="5"/>
      <c r="D2769" s="5"/>
      <c r="E2769" s="5"/>
      <c r="F2769" s="5"/>
      <c r="G2769" s="5"/>
      <c r="H2769" s="5"/>
      <c r="I2769" s="5"/>
      <c r="J2769" s="5"/>
      <c r="K2769" s="5"/>
      <c r="L2769" s="5"/>
      <c r="M2769" s="5"/>
      <c r="N2769" s="5"/>
      <c r="O2769" s="5"/>
    </row>
    <row r="2770" spans="2:15" x14ac:dyDescent="0.55000000000000004">
      <c r="B2770" s="5"/>
      <c r="C2770" s="5"/>
      <c r="D2770" s="5"/>
      <c r="E2770" s="5"/>
      <c r="F2770" s="5"/>
      <c r="G2770" s="5"/>
      <c r="H2770" s="5"/>
      <c r="I2770" s="5"/>
      <c r="J2770" s="5"/>
      <c r="K2770" s="5"/>
      <c r="L2770" s="5"/>
      <c r="M2770" s="5"/>
      <c r="N2770" s="5"/>
      <c r="O2770" s="5"/>
    </row>
    <row r="2771" spans="2:15" x14ac:dyDescent="0.55000000000000004">
      <c r="B2771" s="5"/>
      <c r="C2771" s="5"/>
      <c r="D2771" s="5"/>
      <c r="E2771" s="5"/>
      <c r="F2771" s="5"/>
      <c r="G2771" s="5"/>
      <c r="H2771" s="5"/>
      <c r="I2771" s="5"/>
      <c r="J2771" s="5"/>
      <c r="K2771" s="5"/>
      <c r="L2771" s="5"/>
      <c r="M2771" s="5"/>
      <c r="N2771" s="5"/>
      <c r="O2771" s="5"/>
    </row>
    <row r="2772" spans="2:15" x14ac:dyDescent="0.55000000000000004">
      <c r="B2772" s="5"/>
      <c r="C2772" s="5"/>
      <c r="D2772" s="5"/>
      <c r="E2772" s="5"/>
      <c r="F2772" s="5"/>
      <c r="G2772" s="5"/>
      <c r="H2772" s="5"/>
      <c r="I2772" s="5"/>
      <c r="J2772" s="5"/>
      <c r="K2772" s="5"/>
      <c r="L2772" s="5"/>
      <c r="M2772" s="5"/>
      <c r="N2772" s="5"/>
      <c r="O2772" s="5"/>
    </row>
    <row r="2773" spans="2:15" x14ac:dyDescent="0.55000000000000004">
      <c r="B2773" s="5"/>
      <c r="C2773" s="5"/>
      <c r="D2773" s="5"/>
      <c r="E2773" s="5"/>
      <c r="F2773" s="5"/>
      <c r="G2773" s="5"/>
      <c r="H2773" s="5"/>
      <c r="I2773" s="5"/>
      <c r="J2773" s="5"/>
      <c r="K2773" s="5"/>
      <c r="L2773" s="5"/>
      <c r="M2773" s="5"/>
      <c r="N2773" s="5"/>
      <c r="O2773" s="5"/>
    </row>
    <row r="2774" spans="2:15" x14ac:dyDescent="0.55000000000000004">
      <c r="B2774" s="5"/>
      <c r="C2774" s="5"/>
      <c r="D2774" s="5"/>
      <c r="E2774" s="5"/>
      <c r="F2774" s="5"/>
      <c r="G2774" s="5"/>
      <c r="H2774" s="5"/>
      <c r="I2774" s="5"/>
      <c r="J2774" s="5"/>
      <c r="K2774" s="5"/>
      <c r="L2774" s="5"/>
      <c r="M2774" s="5"/>
      <c r="N2774" s="5"/>
      <c r="O2774" s="5"/>
    </row>
    <row r="2775" spans="2:15" x14ac:dyDescent="0.55000000000000004">
      <c r="B2775" s="5"/>
      <c r="C2775" s="5"/>
      <c r="D2775" s="5"/>
      <c r="E2775" s="5"/>
      <c r="F2775" s="5"/>
      <c r="G2775" s="5"/>
      <c r="H2775" s="5"/>
      <c r="I2775" s="5"/>
      <c r="J2775" s="5"/>
      <c r="K2775" s="5"/>
      <c r="L2775" s="5"/>
      <c r="M2775" s="5"/>
      <c r="N2775" s="5"/>
      <c r="O2775" s="5"/>
    </row>
    <row r="2776" spans="2:15" x14ac:dyDescent="0.55000000000000004">
      <c r="B2776" s="5"/>
      <c r="C2776" s="5"/>
      <c r="D2776" s="5"/>
      <c r="E2776" s="5"/>
      <c r="F2776" s="5"/>
      <c r="G2776" s="5"/>
      <c r="H2776" s="5"/>
      <c r="I2776" s="5"/>
      <c r="J2776" s="5"/>
      <c r="K2776" s="5"/>
      <c r="L2776" s="5"/>
      <c r="M2776" s="5"/>
      <c r="N2776" s="5"/>
      <c r="O2776" s="5"/>
    </row>
    <row r="2777" spans="2:15" x14ac:dyDescent="0.55000000000000004">
      <c r="B2777" s="5"/>
      <c r="C2777" s="5"/>
      <c r="D2777" s="5"/>
      <c r="E2777" s="5"/>
      <c r="F2777" s="5"/>
      <c r="G2777" s="5"/>
      <c r="H2777" s="5"/>
      <c r="I2777" s="5"/>
      <c r="J2777" s="5"/>
      <c r="K2777" s="5"/>
      <c r="L2777" s="5"/>
      <c r="M2777" s="5"/>
      <c r="N2777" s="5"/>
      <c r="O2777" s="5"/>
    </row>
    <row r="2778" spans="2:15" x14ac:dyDescent="0.55000000000000004">
      <c r="B2778" s="5"/>
      <c r="C2778" s="5"/>
      <c r="D2778" s="5"/>
      <c r="E2778" s="5"/>
      <c r="F2778" s="5"/>
      <c r="G2778" s="5"/>
      <c r="H2778" s="5"/>
      <c r="I2778" s="5"/>
      <c r="J2778" s="5"/>
      <c r="K2778" s="5"/>
      <c r="L2778" s="5"/>
      <c r="M2778" s="5"/>
      <c r="N2778" s="5"/>
      <c r="O2778" s="5"/>
    </row>
    <row r="2779" spans="2:15" x14ac:dyDescent="0.55000000000000004">
      <c r="B2779" s="5"/>
      <c r="C2779" s="5"/>
      <c r="D2779" s="5"/>
      <c r="E2779" s="5"/>
      <c r="F2779" s="5"/>
      <c r="G2779" s="5"/>
      <c r="H2779" s="5"/>
      <c r="I2779" s="5"/>
      <c r="J2779" s="5"/>
      <c r="K2779" s="5"/>
      <c r="L2779" s="5"/>
      <c r="M2779" s="5"/>
      <c r="N2779" s="5"/>
      <c r="O2779" s="5"/>
    </row>
    <row r="2780" spans="2:15" x14ac:dyDescent="0.55000000000000004">
      <c r="B2780" s="5"/>
      <c r="C2780" s="5"/>
      <c r="D2780" s="5"/>
      <c r="E2780" s="5"/>
      <c r="F2780" s="5"/>
      <c r="G2780" s="5"/>
      <c r="H2780" s="5"/>
      <c r="I2780" s="5"/>
      <c r="J2780" s="5"/>
      <c r="K2780" s="5"/>
      <c r="L2780" s="5"/>
      <c r="M2780" s="5"/>
      <c r="N2780" s="5"/>
      <c r="O2780" s="5"/>
    </row>
    <row r="2781" spans="2:15" x14ac:dyDescent="0.55000000000000004">
      <c r="B2781" s="5"/>
      <c r="C2781" s="5"/>
      <c r="D2781" s="5"/>
      <c r="E2781" s="5"/>
      <c r="F2781" s="5"/>
      <c r="G2781" s="5"/>
      <c r="H2781" s="5"/>
      <c r="I2781" s="5"/>
      <c r="J2781" s="5"/>
      <c r="K2781" s="5"/>
      <c r="L2781" s="5"/>
      <c r="M2781" s="5"/>
      <c r="N2781" s="5"/>
      <c r="O2781" s="5"/>
    </row>
    <row r="2782" spans="2:15" x14ac:dyDescent="0.55000000000000004">
      <c r="B2782" s="5"/>
      <c r="C2782" s="5"/>
      <c r="D2782" s="5"/>
      <c r="E2782" s="5"/>
      <c r="F2782" s="5"/>
      <c r="G2782" s="5"/>
      <c r="H2782" s="5"/>
      <c r="I2782" s="5"/>
      <c r="J2782" s="5"/>
      <c r="K2782" s="5"/>
      <c r="L2782" s="5"/>
      <c r="M2782" s="5"/>
      <c r="N2782" s="5"/>
      <c r="O2782" s="5"/>
    </row>
    <row r="2783" spans="2:15" x14ac:dyDescent="0.55000000000000004">
      <c r="B2783" s="5"/>
      <c r="C2783" s="5"/>
      <c r="D2783" s="5"/>
      <c r="E2783" s="5"/>
      <c r="F2783" s="5"/>
      <c r="G2783" s="5"/>
      <c r="H2783" s="5"/>
      <c r="I2783" s="5"/>
      <c r="J2783" s="5"/>
      <c r="K2783" s="5"/>
      <c r="L2783" s="5"/>
      <c r="M2783" s="5"/>
      <c r="N2783" s="5"/>
      <c r="O2783" s="5"/>
    </row>
    <row r="2784" spans="2:15" x14ac:dyDescent="0.55000000000000004">
      <c r="B2784" s="5"/>
      <c r="C2784" s="5"/>
      <c r="D2784" s="5"/>
      <c r="E2784" s="5"/>
      <c r="F2784" s="5"/>
      <c r="G2784" s="5"/>
      <c r="H2784" s="5"/>
      <c r="I2784" s="5"/>
      <c r="J2784" s="5"/>
      <c r="K2784" s="5"/>
      <c r="L2784" s="5"/>
      <c r="M2784" s="5"/>
      <c r="N2784" s="5"/>
      <c r="O2784" s="5"/>
    </row>
    <row r="2785" spans="2:15" x14ac:dyDescent="0.55000000000000004">
      <c r="B2785" s="5"/>
      <c r="C2785" s="5"/>
      <c r="D2785" s="5"/>
      <c r="E2785" s="5"/>
      <c r="F2785" s="5"/>
      <c r="G2785" s="5"/>
      <c r="H2785" s="5"/>
      <c r="I2785" s="5"/>
      <c r="J2785" s="5"/>
      <c r="K2785" s="5"/>
      <c r="L2785" s="5"/>
      <c r="M2785" s="5"/>
      <c r="N2785" s="5"/>
      <c r="O2785" s="5"/>
    </row>
    <row r="2786" spans="2:15" x14ac:dyDescent="0.55000000000000004">
      <c r="B2786" s="5"/>
      <c r="C2786" s="5"/>
      <c r="D2786" s="5"/>
      <c r="E2786" s="5"/>
      <c r="F2786" s="5"/>
      <c r="G2786" s="5"/>
      <c r="H2786" s="5"/>
      <c r="I2786" s="5"/>
      <c r="J2786" s="5"/>
      <c r="K2786" s="5"/>
      <c r="L2786" s="5"/>
      <c r="M2786" s="5"/>
      <c r="N2786" s="5"/>
      <c r="O2786" s="5"/>
    </row>
    <row r="2787" spans="2:15" x14ac:dyDescent="0.55000000000000004">
      <c r="B2787" s="5"/>
      <c r="C2787" s="5"/>
      <c r="D2787" s="5"/>
      <c r="E2787" s="5"/>
      <c r="F2787" s="5"/>
      <c r="G2787" s="5"/>
      <c r="H2787" s="5"/>
      <c r="I2787" s="5"/>
      <c r="J2787" s="5"/>
      <c r="K2787" s="5"/>
      <c r="L2787" s="5"/>
      <c r="M2787" s="5"/>
      <c r="N2787" s="5"/>
      <c r="O2787" s="5"/>
    </row>
    <row r="2788" spans="2:15" x14ac:dyDescent="0.55000000000000004">
      <c r="B2788" s="5"/>
      <c r="C2788" s="5"/>
      <c r="D2788" s="5"/>
      <c r="E2788" s="5"/>
      <c r="F2788" s="5"/>
      <c r="G2788" s="5"/>
      <c r="H2788" s="5"/>
      <c r="I2788" s="5"/>
      <c r="J2788" s="5"/>
      <c r="K2788" s="5"/>
      <c r="L2788" s="5"/>
      <c r="M2788" s="5"/>
      <c r="N2788" s="5"/>
      <c r="O2788" s="5"/>
    </row>
    <row r="2789" spans="2:15" x14ac:dyDescent="0.55000000000000004">
      <c r="B2789" s="5"/>
      <c r="C2789" s="5"/>
      <c r="D2789" s="5"/>
      <c r="E2789" s="5"/>
      <c r="F2789" s="5"/>
      <c r="G2789" s="5"/>
      <c r="H2789" s="5"/>
      <c r="I2789" s="5"/>
      <c r="J2789" s="5"/>
      <c r="K2789" s="5"/>
      <c r="L2789" s="5"/>
      <c r="M2789" s="5"/>
      <c r="N2789" s="5"/>
      <c r="O2789" s="5"/>
    </row>
    <row r="2790" spans="2:15" x14ac:dyDescent="0.55000000000000004">
      <c r="B2790" s="5"/>
      <c r="C2790" s="5"/>
      <c r="D2790" s="5"/>
      <c r="E2790" s="5"/>
      <c r="F2790" s="5"/>
      <c r="G2790" s="5"/>
      <c r="H2790" s="5"/>
      <c r="I2790" s="5"/>
      <c r="J2790" s="5"/>
      <c r="K2790" s="5"/>
      <c r="L2790" s="5"/>
      <c r="M2790" s="5"/>
      <c r="N2790" s="5"/>
      <c r="O2790" s="5"/>
    </row>
    <row r="2791" spans="2:15" x14ac:dyDescent="0.55000000000000004">
      <c r="B2791" s="5"/>
      <c r="C2791" s="5"/>
      <c r="D2791" s="5"/>
      <c r="E2791" s="5"/>
      <c r="F2791" s="5"/>
      <c r="G2791" s="5"/>
      <c r="H2791" s="5"/>
      <c r="I2791" s="5"/>
      <c r="J2791" s="5"/>
      <c r="K2791" s="5"/>
      <c r="L2791" s="5"/>
      <c r="M2791" s="5"/>
      <c r="N2791" s="5"/>
      <c r="O2791" s="5"/>
    </row>
    <row r="2792" spans="2:15" x14ac:dyDescent="0.55000000000000004">
      <c r="B2792" s="5"/>
      <c r="C2792" s="5"/>
      <c r="D2792" s="5"/>
      <c r="E2792" s="5"/>
      <c r="F2792" s="5"/>
      <c r="G2792" s="5"/>
      <c r="H2792" s="5"/>
      <c r="I2792" s="5"/>
      <c r="J2792" s="5"/>
      <c r="K2792" s="5"/>
      <c r="L2792" s="5"/>
      <c r="M2792" s="5"/>
      <c r="N2792" s="5"/>
      <c r="O2792" s="5"/>
    </row>
    <row r="2793" spans="2:15" x14ac:dyDescent="0.55000000000000004">
      <c r="B2793" s="5"/>
      <c r="C2793" s="5"/>
      <c r="D2793" s="5"/>
      <c r="E2793" s="5"/>
      <c r="F2793" s="5"/>
      <c r="G2793" s="5"/>
      <c r="H2793" s="5"/>
      <c r="I2793" s="5"/>
      <c r="J2793" s="5"/>
      <c r="K2793" s="5"/>
      <c r="L2793" s="5"/>
      <c r="M2793" s="5"/>
      <c r="N2793" s="5"/>
      <c r="O2793" s="5"/>
    </row>
    <row r="2794" spans="2:15" x14ac:dyDescent="0.55000000000000004">
      <c r="B2794" s="5"/>
      <c r="C2794" s="5"/>
      <c r="D2794" s="5"/>
      <c r="E2794" s="5"/>
      <c r="F2794" s="5"/>
      <c r="G2794" s="5"/>
      <c r="H2794" s="5"/>
      <c r="I2794" s="5"/>
      <c r="J2794" s="5"/>
      <c r="K2794" s="5"/>
      <c r="L2794" s="5"/>
      <c r="M2794" s="5"/>
      <c r="N2794" s="5"/>
      <c r="O2794" s="5"/>
    </row>
    <row r="2795" spans="2:15" x14ac:dyDescent="0.55000000000000004">
      <c r="B2795" s="5"/>
      <c r="C2795" s="5"/>
      <c r="D2795" s="5"/>
      <c r="E2795" s="5"/>
      <c r="F2795" s="5"/>
      <c r="G2795" s="5"/>
      <c r="H2795" s="5"/>
      <c r="I2795" s="5"/>
      <c r="J2795" s="5"/>
      <c r="K2795" s="5"/>
      <c r="L2795" s="5"/>
      <c r="M2795" s="5"/>
      <c r="N2795" s="5"/>
      <c r="O2795" s="5"/>
    </row>
    <row r="2796" spans="2:15" x14ac:dyDescent="0.55000000000000004">
      <c r="B2796" s="5"/>
      <c r="C2796" s="5"/>
      <c r="D2796" s="5"/>
      <c r="E2796" s="5"/>
      <c r="F2796" s="5"/>
      <c r="G2796" s="5"/>
      <c r="H2796" s="5"/>
      <c r="I2796" s="5"/>
      <c r="J2796" s="5"/>
      <c r="K2796" s="5"/>
      <c r="L2796" s="5"/>
      <c r="M2796" s="5"/>
      <c r="N2796" s="5"/>
      <c r="O2796" s="5"/>
    </row>
    <row r="2797" spans="2:15" x14ac:dyDescent="0.55000000000000004">
      <c r="B2797" s="5"/>
      <c r="C2797" s="5"/>
      <c r="D2797" s="5"/>
      <c r="E2797" s="5"/>
      <c r="F2797" s="5"/>
      <c r="G2797" s="5"/>
      <c r="H2797" s="5"/>
      <c r="I2797" s="5"/>
      <c r="J2797" s="5"/>
      <c r="K2797" s="5"/>
      <c r="L2797" s="5"/>
      <c r="M2797" s="5"/>
      <c r="N2797" s="5"/>
      <c r="O2797" s="5"/>
    </row>
    <row r="2798" spans="2:15" x14ac:dyDescent="0.55000000000000004">
      <c r="B2798" s="5"/>
      <c r="C2798" s="5"/>
      <c r="D2798" s="5"/>
      <c r="E2798" s="5"/>
      <c r="F2798" s="5"/>
      <c r="G2798" s="5"/>
      <c r="H2798" s="5"/>
      <c r="I2798" s="5"/>
      <c r="J2798" s="5"/>
      <c r="K2798" s="5"/>
      <c r="L2798" s="5"/>
      <c r="M2798" s="5"/>
      <c r="N2798" s="5"/>
      <c r="O2798" s="5"/>
    </row>
    <row r="2799" spans="2:15" x14ac:dyDescent="0.55000000000000004">
      <c r="B2799" s="5"/>
      <c r="C2799" s="5"/>
      <c r="D2799" s="5"/>
      <c r="E2799" s="5"/>
      <c r="F2799" s="5"/>
      <c r="G2799" s="5"/>
      <c r="H2799" s="5"/>
      <c r="I2799" s="5"/>
      <c r="J2799" s="5"/>
      <c r="K2799" s="5"/>
      <c r="L2799" s="5"/>
      <c r="M2799" s="5"/>
      <c r="N2799" s="5"/>
      <c r="O2799" s="5"/>
    </row>
    <row r="2800" spans="2:15" x14ac:dyDescent="0.55000000000000004">
      <c r="B2800" s="5"/>
      <c r="C2800" s="5"/>
      <c r="D2800" s="5"/>
      <c r="E2800" s="5"/>
      <c r="F2800" s="5"/>
      <c r="G2800" s="5"/>
      <c r="H2800" s="5"/>
      <c r="I2800" s="5"/>
      <c r="J2800" s="5"/>
      <c r="K2800" s="5"/>
      <c r="L2800" s="5"/>
      <c r="M2800" s="5"/>
      <c r="N2800" s="5"/>
      <c r="O2800" s="5"/>
    </row>
    <row r="2801" spans="2:15" x14ac:dyDescent="0.55000000000000004">
      <c r="B2801" s="5"/>
      <c r="C2801" s="5"/>
      <c r="D2801" s="5"/>
      <c r="E2801" s="5"/>
      <c r="F2801" s="5"/>
      <c r="G2801" s="5"/>
      <c r="H2801" s="5"/>
      <c r="I2801" s="5"/>
      <c r="J2801" s="5"/>
      <c r="K2801" s="5"/>
      <c r="L2801" s="5"/>
      <c r="M2801" s="5"/>
      <c r="N2801" s="5"/>
      <c r="O2801" s="5"/>
    </row>
    <row r="2802" spans="2:15" x14ac:dyDescent="0.55000000000000004">
      <c r="B2802" s="5"/>
      <c r="C2802" s="5"/>
      <c r="D2802" s="5"/>
      <c r="E2802" s="5"/>
      <c r="F2802" s="5"/>
      <c r="G2802" s="5"/>
      <c r="H2802" s="5"/>
      <c r="I2802" s="5"/>
      <c r="J2802" s="5"/>
      <c r="K2802" s="5"/>
      <c r="L2802" s="5"/>
      <c r="M2802" s="5"/>
      <c r="N2802" s="5"/>
      <c r="O2802" s="5"/>
    </row>
    <row r="2803" spans="2:15" x14ac:dyDescent="0.55000000000000004">
      <c r="B2803" s="5"/>
      <c r="C2803" s="5"/>
      <c r="D2803" s="5"/>
      <c r="E2803" s="5"/>
      <c r="F2803" s="5"/>
      <c r="G2803" s="5"/>
      <c r="H2803" s="5"/>
      <c r="I2803" s="5"/>
      <c r="J2803" s="5"/>
      <c r="K2803" s="5"/>
      <c r="L2803" s="5"/>
      <c r="M2803" s="5"/>
      <c r="N2803" s="5"/>
      <c r="O2803" s="5"/>
    </row>
    <row r="2804" spans="2:15" x14ac:dyDescent="0.55000000000000004">
      <c r="B2804" s="5"/>
      <c r="C2804" s="5"/>
      <c r="D2804" s="5"/>
      <c r="E2804" s="5"/>
      <c r="F2804" s="5"/>
      <c r="G2804" s="5"/>
      <c r="H2804" s="5"/>
      <c r="I2804" s="5"/>
      <c r="J2804" s="5"/>
      <c r="K2804" s="5"/>
      <c r="L2804" s="5"/>
      <c r="M2804" s="5"/>
      <c r="N2804" s="5"/>
      <c r="O2804" s="5"/>
    </row>
    <row r="2805" spans="2:15" x14ac:dyDescent="0.55000000000000004">
      <c r="B2805" s="5"/>
      <c r="C2805" s="5"/>
      <c r="D2805" s="5"/>
      <c r="E2805" s="5"/>
      <c r="F2805" s="5"/>
      <c r="G2805" s="5"/>
      <c r="H2805" s="5"/>
      <c r="I2805" s="5"/>
      <c r="J2805" s="5"/>
      <c r="K2805" s="5"/>
      <c r="L2805" s="5"/>
      <c r="M2805" s="5"/>
      <c r="N2805" s="5"/>
      <c r="O2805" s="5"/>
    </row>
    <row r="2806" spans="2:15" x14ac:dyDescent="0.55000000000000004">
      <c r="B2806" s="5"/>
      <c r="C2806" s="5"/>
      <c r="D2806" s="5"/>
      <c r="E2806" s="5"/>
      <c r="F2806" s="5"/>
      <c r="G2806" s="5"/>
      <c r="H2806" s="5"/>
      <c r="I2806" s="5"/>
      <c r="J2806" s="5"/>
      <c r="K2806" s="5"/>
      <c r="L2806" s="5"/>
      <c r="M2806" s="5"/>
      <c r="N2806" s="5"/>
      <c r="O2806" s="5"/>
    </row>
    <row r="2807" spans="2:15" x14ac:dyDescent="0.55000000000000004">
      <c r="B2807" s="5"/>
      <c r="C2807" s="5"/>
      <c r="D2807" s="5"/>
      <c r="E2807" s="5"/>
      <c r="F2807" s="5"/>
      <c r="G2807" s="5"/>
      <c r="H2807" s="5"/>
      <c r="I2807" s="5"/>
      <c r="J2807" s="5"/>
      <c r="K2807" s="5"/>
      <c r="L2807" s="5"/>
      <c r="M2807" s="5"/>
      <c r="N2807" s="5"/>
      <c r="O2807" s="5"/>
    </row>
    <row r="2808" spans="2:15" x14ac:dyDescent="0.55000000000000004">
      <c r="B2808" s="5"/>
      <c r="C2808" s="5"/>
      <c r="D2808" s="5"/>
      <c r="E2808" s="5"/>
      <c r="F2808" s="5"/>
      <c r="G2808" s="5"/>
      <c r="H2808" s="5"/>
      <c r="I2808" s="5"/>
      <c r="J2808" s="5"/>
      <c r="K2808" s="5"/>
      <c r="L2808" s="5"/>
      <c r="M2808" s="5"/>
      <c r="N2808" s="5"/>
      <c r="O2808" s="5"/>
    </row>
    <row r="2809" spans="2:15" x14ac:dyDescent="0.55000000000000004">
      <c r="B2809" s="5"/>
      <c r="C2809" s="5"/>
      <c r="D2809" s="5"/>
      <c r="E2809" s="5"/>
      <c r="F2809" s="5"/>
      <c r="G2809" s="5"/>
      <c r="H2809" s="5"/>
      <c r="I2809" s="5"/>
      <c r="J2809" s="5"/>
      <c r="K2809" s="5"/>
      <c r="L2809" s="5"/>
      <c r="M2809" s="5"/>
      <c r="N2809" s="5"/>
      <c r="O2809" s="5"/>
    </row>
    <row r="2810" spans="2:15" x14ac:dyDescent="0.55000000000000004">
      <c r="B2810" s="5"/>
      <c r="C2810" s="5"/>
      <c r="D2810" s="5"/>
      <c r="E2810" s="5"/>
      <c r="F2810" s="5"/>
      <c r="G2810" s="5"/>
      <c r="H2810" s="5"/>
      <c r="I2810" s="5"/>
      <c r="J2810" s="5"/>
      <c r="K2810" s="5"/>
      <c r="L2810" s="5"/>
      <c r="M2810" s="5"/>
      <c r="N2810" s="5"/>
      <c r="O2810" s="5"/>
    </row>
    <row r="2811" spans="2:15" x14ac:dyDescent="0.55000000000000004">
      <c r="B2811" s="5"/>
      <c r="C2811" s="5"/>
      <c r="D2811" s="5"/>
      <c r="E2811" s="5"/>
      <c r="F2811" s="5"/>
      <c r="G2811" s="5"/>
      <c r="H2811" s="5"/>
      <c r="I2811" s="5"/>
      <c r="J2811" s="5"/>
      <c r="K2811" s="5"/>
      <c r="L2811" s="5"/>
      <c r="M2811" s="5"/>
      <c r="N2811" s="5"/>
      <c r="O2811" s="5"/>
    </row>
    <row r="2812" spans="2:15" x14ac:dyDescent="0.55000000000000004">
      <c r="B2812" s="5"/>
      <c r="C2812" s="5"/>
      <c r="D2812" s="5"/>
      <c r="E2812" s="5"/>
      <c r="F2812" s="5"/>
      <c r="G2812" s="5"/>
      <c r="H2812" s="5"/>
      <c r="I2812" s="5"/>
      <c r="J2812" s="5"/>
      <c r="K2812" s="5"/>
      <c r="L2812" s="5"/>
      <c r="M2812" s="5"/>
      <c r="N2812" s="5"/>
      <c r="O2812" s="5"/>
    </row>
    <row r="2813" spans="2:15" x14ac:dyDescent="0.55000000000000004">
      <c r="B2813" s="5"/>
      <c r="C2813" s="5"/>
      <c r="D2813" s="5"/>
      <c r="E2813" s="5"/>
      <c r="F2813" s="5"/>
      <c r="G2813" s="5"/>
      <c r="H2813" s="5"/>
      <c r="I2813" s="5"/>
      <c r="J2813" s="5"/>
      <c r="K2813" s="5"/>
      <c r="L2813" s="5"/>
      <c r="M2813" s="5"/>
      <c r="N2813" s="5"/>
      <c r="O2813" s="5"/>
    </row>
    <row r="2814" spans="2:15" x14ac:dyDescent="0.55000000000000004">
      <c r="B2814" s="5"/>
      <c r="C2814" s="5"/>
      <c r="D2814" s="5"/>
      <c r="E2814" s="5"/>
      <c r="F2814" s="5"/>
      <c r="G2814" s="5"/>
      <c r="H2814" s="5"/>
      <c r="I2814" s="5"/>
      <c r="J2814" s="5"/>
      <c r="K2814" s="5"/>
      <c r="L2814" s="5"/>
      <c r="M2814" s="5"/>
      <c r="N2814" s="5"/>
      <c r="O2814" s="5"/>
    </row>
    <row r="2815" spans="2:15" x14ac:dyDescent="0.55000000000000004">
      <c r="B2815" s="5"/>
      <c r="C2815" s="5"/>
      <c r="D2815" s="5"/>
      <c r="E2815" s="5"/>
      <c r="F2815" s="5"/>
      <c r="G2815" s="5"/>
      <c r="H2815" s="5"/>
      <c r="I2815" s="5"/>
      <c r="J2815" s="5"/>
      <c r="K2815" s="5"/>
      <c r="L2815" s="5"/>
      <c r="M2815" s="5"/>
      <c r="N2815" s="5"/>
      <c r="O2815" s="5"/>
    </row>
    <row r="2816" spans="2:15" x14ac:dyDescent="0.55000000000000004">
      <c r="B2816" s="5"/>
      <c r="C2816" s="5"/>
      <c r="D2816" s="5"/>
      <c r="E2816" s="5"/>
      <c r="F2816" s="5"/>
      <c r="G2816" s="5"/>
      <c r="H2816" s="5"/>
      <c r="I2816" s="5"/>
      <c r="J2816" s="5"/>
      <c r="K2816" s="5"/>
      <c r="L2816" s="5"/>
      <c r="M2816" s="5"/>
      <c r="N2816" s="5"/>
      <c r="O2816" s="5"/>
    </row>
    <row r="2817" spans="2:15" x14ac:dyDescent="0.55000000000000004">
      <c r="B2817" s="5"/>
      <c r="C2817" s="5"/>
      <c r="D2817" s="5"/>
      <c r="E2817" s="5"/>
      <c r="F2817" s="5"/>
      <c r="G2817" s="5"/>
      <c r="H2817" s="5"/>
      <c r="I2817" s="5"/>
      <c r="J2817" s="5"/>
      <c r="K2817" s="5"/>
      <c r="L2817" s="5"/>
      <c r="M2817" s="5"/>
      <c r="N2817" s="5"/>
      <c r="O2817" s="5"/>
    </row>
    <row r="2818" spans="2:15" x14ac:dyDescent="0.55000000000000004">
      <c r="B2818" s="5"/>
      <c r="C2818" s="5"/>
      <c r="D2818" s="5"/>
      <c r="E2818" s="5"/>
      <c r="F2818" s="5"/>
      <c r="G2818" s="5"/>
      <c r="H2818" s="5"/>
      <c r="I2818" s="5"/>
      <c r="J2818" s="5"/>
      <c r="K2818" s="5"/>
      <c r="L2818" s="5"/>
      <c r="M2818" s="5"/>
      <c r="N2818" s="5"/>
      <c r="O2818" s="5"/>
    </row>
    <row r="2819" spans="2:15" x14ac:dyDescent="0.55000000000000004">
      <c r="B2819" s="5"/>
      <c r="C2819" s="5"/>
      <c r="D2819" s="5"/>
      <c r="E2819" s="5"/>
      <c r="F2819" s="5"/>
      <c r="G2819" s="5"/>
      <c r="H2819" s="5"/>
      <c r="I2819" s="5"/>
      <c r="J2819" s="5"/>
      <c r="K2819" s="5"/>
      <c r="L2819" s="5"/>
      <c r="M2819" s="5"/>
      <c r="N2819" s="5"/>
      <c r="O2819" s="5"/>
    </row>
    <row r="2820" spans="2:15" x14ac:dyDescent="0.55000000000000004">
      <c r="B2820" s="5"/>
      <c r="C2820" s="5"/>
      <c r="D2820" s="5"/>
      <c r="E2820" s="5"/>
      <c r="F2820" s="5"/>
      <c r="G2820" s="5"/>
      <c r="H2820" s="5"/>
      <c r="I2820" s="5"/>
      <c r="J2820" s="5"/>
      <c r="K2820" s="5"/>
      <c r="L2820" s="5"/>
      <c r="M2820" s="5"/>
      <c r="N2820" s="5"/>
      <c r="O2820" s="5"/>
    </row>
    <row r="2821" spans="2:15" x14ac:dyDescent="0.55000000000000004">
      <c r="B2821" s="5"/>
      <c r="C2821" s="5"/>
      <c r="D2821" s="5"/>
      <c r="E2821" s="5"/>
      <c r="F2821" s="5"/>
      <c r="G2821" s="5"/>
      <c r="H2821" s="5"/>
      <c r="I2821" s="5"/>
      <c r="J2821" s="5"/>
      <c r="K2821" s="5"/>
      <c r="L2821" s="5"/>
      <c r="M2821" s="5"/>
      <c r="N2821" s="5"/>
      <c r="O2821" s="5"/>
    </row>
    <row r="2822" spans="2:15" x14ac:dyDescent="0.55000000000000004">
      <c r="B2822" s="5"/>
      <c r="C2822" s="5"/>
      <c r="D2822" s="5"/>
      <c r="E2822" s="5"/>
      <c r="F2822" s="5"/>
      <c r="G2822" s="5"/>
      <c r="H2822" s="5"/>
      <c r="I2822" s="5"/>
      <c r="J2822" s="5"/>
      <c r="K2822" s="5"/>
      <c r="L2822" s="5"/>
      <c r="M2822" s="5"/>
      <c r="N2822" s="5"/>
      <c r="O2822" s="5"/>
    </row>
    <row r="2823" spans="2:15" x14ac:dyDescent="0.55000000000000004">
      <c r="B2823" s="5"/>
      <c r="C2823" s="5"/>
      <c r="D2823" s="5"/>
      <c r="E2823" s="5"/>
      <c r="F2823" s="5"/>
      <c r="G2823" s="5"/>
      <c r="H2823" s="5"/>
      <c r="I2823" s="5"/>
      <c r="J2823" s="5"/>
      <c r="K2823" s="5"/>
      <c r="L2823" s="5"/>
      <c r="M2823" s="5"/>
      <c r="N2823" s="5"/>
      <c r="O2823" s="5"/>
    </row>
    <row r="2824" spans="2:15" x14ac:dyDescent="0.55000000000000004">
      <c r="B2824" s="5"/>
      <c r="C2824" s="5"/>
      <c r="D2824" s="5"/>
      <c r="E2824" s="5"/>
      <c r="F2824" s="5"/>
      <c r="G2824" s="5"/>
      <c r="H2824" s="5"/>
      <c r="I2824" s="5"/>
      <c r="J2824" s="5"/>
      <c r="K2824" s="5"/>
      <c r="L2824" s="5"/>
      <c r="M2824" s="5"/>
      <c r="N2824" s="5"/>
      <c r="O2824" s="5"/>
    </row>
    <row r="2825" spans="2:15" x14ac:dyDescent="0.55000000000000004">
      <c r="B2825" s="5"/>
      <c r="C2825" s="5"/>
      <c r="D2825" s="5"/>
      <c r="E2825" s="5"/>
      <c r="F2825" s="5"/>
      <c r="G2825" s="5"/>
      <c r="H2825" s="5"/>
      <c r="I2825" s="5"/>
      <c r="J2825" s="5"/>
      <c r="K2825" s="5"/>
      <c r="L2825" s="5"/>
      <c r="M2825" s="5"/>
      <c r="N2825" s="5"/>
      <c r="O2825" s="5"/>
    </row>
    <row r="2826" spans="2:15" x14ac:dyDescent="0.55000000000000004">
      <c r="B2826" s="5"/>
      <c r="C2826" s="5"/>
      <c r="D2826" s="5"/>
      <c r="E2826" s="5"/>
      <c r="F2826" s="5"/>
      <c r="G2826" s="5"/>
      <c r="H2826" s="5"/>
      <c r="I2826" s="5"/>
      <c r="J2826" s="5"/>
      <c r="K2826" s="5"/>
      <c r="L2826" s="5"/>
      <c r="M2826" s="5"/>
      <c r="N2826" s="5"/>
      <c r="O2826" s="5"/>
    </row>
    <row r="2827" spans="2:15" x14ac:dyDescent="0.55000000000000004">
      <c r="B2827" s="5"/>
      <c r="C2827" s="5"/>
      <c r="D2827" s="5"/>
      <c r="E2827" s="5"/>
      <c r="F2827" s="5"/>
      <c r="G2827" s="5"/>
      <c r="H2827" s="5"/>
      <c r="I2827" s="5"/>
      <c r="J2827" s="5"/>
      <c r="K2827" s="5"/>
      <c r="L2827" s="5"/>
      <c r="M2827" s="5"/>
      <c r="N2827" s="5"/>
      <c r="O2827" s="5"/>
    </row>
    <row r="2828" spans="2:15" x14ac:dyDescent="0.55000000000000004">
      <c r="B2828" s="5"/>
      <c r="C2828" s="5"/>
      <c r="D2828" s="5"/>
      <c r="E2828" s="5"/>
      <c r="F2828" s="5"/>
      <c r="G2828" s="5"/>
      <c r="H2828" s="5"/>
      <c r="I2828" s="5"/>
      <c r="J2828" s="5"/>
      <c r="K2828" s="5"/>
      <c r="L2828" s="5"/>
      <c r="M2828" s="5"/>
      <c r="N2828" s="5"/>
      <c r="O2828" s="5"/>
    </row>
    <row r="2829" spans="2:15" x14ac:dyDescent="0.55000000000000004">
      <c r="B2829" s="5"/>
      <c r="C2829" s="5"/>
      <c r="D2829" s="5"/>
      <c r="E2829" s="5"/>
      <c r="F2829" s="5"/>
      <c r="G2829" s="5"/>
      <c r="H2829" s="5"/>
      <c r="I2829" s="5"/>
      <c r="J2829" s="5"/>
      <c r="K2829" s="5"/>
      <c r="L2829" s="5"/>
      <c r="M2829" s="5"/>
      <c r="N2829" s="5"/>
      <c r="O2829" s="5"/>
    </row>
    <row r="2830" spans="2:15" x14ac:dyDescent="0.55000000000000004">
      <c r="B2830" s="5"/>
      <c r="C2830" s="5"/>
      <c r="D2830" s="5"/>
      <c r="E2830" s="5"/>
      <c r="F2830" s="5"/>
      <c r="G2830" s="5"/>
      <c r="H2830" s="5"/>
      <c r="I2830" s="5"/>
      <c r="J2830" s="5"/>
      <c r="K2830" s="5"/>
      <c r="L2830" s="5"/>
      <c r="M2830" s="5"/>
      <c r="N2830" s="5"/>
      <c r="O2830" s="5"/>
    </row>
    <row r="2831" spans="2:15" x14ac:dyDescent="0.55000000000000004">
      <c r="B2831" s="5"/>
      <c r="C2831" s="5"/>
      <c r="D2831" s="5"/>
      <c r="E2831" s="5"/>
      <c r="F2831" s="5"/>
      <c r="G2831" s="5"/>
      <c r="H2831" s="5"/>
      <c r="I2831" s="5"/>
      <c r="J2831" s="5"/>
      <c r="K2831" s="5"/>
      <c r="L2831" s="5"/>
      <c r="M2831" s="5"/>
      <c r="N2831" s="5"/>
      <c r="O2831" s="5"/>
    </row>
    <row r="2832" spans="2:15" x14ac:dyDescent="0.55000000000000004">
      <c r="B2832" s="5"/>
      <c r="C2832" s="5"/>
      <c r="D2832" s="5"/>
      <c r="E2832" s="5"/>
      <c r="F2832" s="5"/>
      <c r="G2832" s="5"/>
      <c r="H2832" s="5"/>
      <c r="I2832" s="5"/>
      <c r="J2832" s="5"/>
      <c r="K2832" s="5"/>
      <c r="L2832" s="5"/>
      <c r="M2832" s="5"/>
      <c r="N2832" s="5"/>
      <c r="O2832" s="5"/>
    </row>
    <row r="2833" spans="2:15" x14ac:dyDescent="0.55000000000000004">
      <c r="B2833" s="5"/>
      <c r="C2833" s="5"/>
      <c r="D2833" s="5"/>
      <c r="E2833" s="5"/>
      <c r="F2833" s="5"/>
      <c r="G2833" s="5"/>
      <c r="H2833" s="5"/>
      <c r="I2833" s="5"/>
      <c r="J2833" s="5"/>
      <c r="K2833" s="5"/>
      <c r="L2833" s="5"/>
      <c r="M2833" s="5"/>
      <c r="N2833" s="5"/>
      <c r="O2833" s="5"/>
    </row>
    <row r="2834" spans="2:15" x14ac:dyDescent="0.55000000000000004">
      <c r="B2834" s="5"/>
      <c r="C2834" s="5"/>
      <c r="D2834" s="5"/>
      <c r="E2834" s="5"/>
      <c r="F2834" s="5"/>
      <c r="G2834" s="5"/>
      <c r="H2834" s="5"/>
      <c r="I2834" s="5"/>
      <c r="J2834" s="5"/>
      <c r="K2834" s="5"/>
      <c r="L2834" s="5"/>
      <c r="M2834" s="5"/>
      <c r="N2834" s="5"/>
      <c r="O2834" s="5"/>
    </row>
    <row r="2835" spans="2:15" x14ac:dyDescent="0.55000000000000004">
      <c r="B2835" s="5"/>
      <c r="C2835" s="5"/>
      <c r="D2835" s="5"/>
      <c r="E2835" s="5"/>
      <c r="F2835" s="5"/>
      <c r="G2835" s="5"/>
      <c r="H2835" s="5"/>
      <c r="I2835" s="5"/>
      <c r="J2835" s="5"/>
      <c r="K2835" s="5"/>
      <c r="L2835" s="5"/>
      <c r="M2835" s="5"/>
      <c r="N2835" s="5"/>
      <c r="O2835" s="5"/>
    </row>
    <row r="2836" spans="2:15" x14ac:dyDescent="0.55000000000000004">
      <c r="B2836" s="5"/>
      <c r="C2836" s="5"/>
      <c r="D2836" s="5"/>
      <c r="E2836" s="5"/>
      <c r="F2836" s="5"/>
      <c r="G2836" s="5"/>
      <c r="H2836" s="5"/>
      <c r="I2836" s="5"/>
      <c r="J2836" s="5"/>
      <c r="K2836" s="5"/>
      <c r="L2836" s="5"/>
      <c r="M2836" s="5"/>
      <c r="N2836" s="5"/>
      <c r="O2836" s="5"/>
    </row>
    <row r="2837" spans="2:15" x14ac:dyDescent="0.55000000000000004">
      <c r="B2837" s="5"/>
      <c r="C2837" s="5"/>
      <c r="D2837" s="5"/>
      <c r="E2837" s="5"/>
      <c r="F2837" s="5"/>
      <c r="G2837" s="5"/>
      <c r="H2837" s="5"/>
      <c r="I2837" s="5"/>
      <c r="J2837" s="5"/>
      <c r="K2837" s="5"/>
      <c r="L2837" s="5"/>
      <c r="M2837" s="5"/>
      <c r="N2837" s="5"/>
      <c r="O2837" s="5"/>
    </row>
    <row r="2838" spans="2:15" x14ac:dyDescent="0.55000000000000004">
      <c r="B2838" s="5"/>
      <c r="C2838" s="5"/>
      <c r="D2838" s="5"/>
      <c r="E2838" s="5"/>
      <c r="F2838" s="5"/>
      <c r="G2838" s="5"/>
      <c r="H2838" s="5"/>
      <c r="I2838" s="5"/>
      <c r="J2838" s="5"/>
      <c r="K2838" s="5"/>
      <c r="L2838" s="5"/>
      <c r="M2838" s="5"/>
      <c r="N2838" s="5"/>
      <c r="O2838" s="5"/>
    </row>
    <row r="2839" spans="2:15" x14ac:dyDescent="0.55000000000000004">
      <c r="B2839" s="5"/>
      <c r="C2839" s="5"/>
      <c r="D2839" s="5"/>
      <c r="E2839" s="5"/>
      <c r="F2839" s="5"/>
      <c r="G2839" s="5"/>
      <c r="H2839" s="5"/>
      <c r="I2839" s="5"/>
      <c r="J2839" s="5"/>
      <c r="K2839" s="5"/>
      <c r="L2839" s="5"/>
      <c r="M2839" s="5"/>
      <c r="N2839" s="5"/>
      <c r="O2839" s="5"/>
    </row>
    <row r="2840" spans="2:15" x14ac:dyDescent="0.55000000000000004">
      <c r="B2840" s="5"/>
      <c r="C2840" s="5"/>
      <c r="D2840" s="5"/>
      <c r="E2840" s="5"/>
      <c r="F2840" s="5"/>
      <c r="G2840" s="5"/>
      <c r="H2840" s="5"/>
      <c r="I2840" s="5"/>
      <c r="J2840" s="5"/>
      <c r="K2840" s="5"/>
      <c r="L2840" s="5"/>
      <c r="M2840" s="5"/>
      <c r="N2840" s="5"/>
      <c r="O2840" s="5"/>
    </row>
    <row r="2841" spans="2:15" x14ac:dyDescent="0.55000000000000004">
      <c r="B2841" s="5"/>
      <c r="C2841" s="5"/>
      <c r="D2841" s="5"/>
      <c r="E2841" s="5"/>
      <c r="F2841" s="5"/>
      <c r="G2841" s="5"/>
      <c r="H2841" s="5"/>
      <c r="I2841" s="5"/>
      <c r="J2841" s="5"/>
      <c r="K2841" s="5"/>
      <c r="L2841" s="5"/>
      <c r="M2841" s="5"/>
      <c r="N2841" s="5"/>
      <c r="O2841" s="5"/>
    </row>
    <row r="2842" spans="2:15" x14ac:dyDescent="0.55000000000000004">
      <c r="B2842" s="5"/>
      <c r="C2842" s="5"/>
      <c r="D2842" s="5"/>
      <c r="E2842" s="5"/>
      <c r="F2842" s="5"/>
      <c r="G2842" s="5"/>
      <c r="H2842" s="5"/>
      <c r="I2842" s="5"/>
      <c r="J2842" s="5"/>
      <c r="K2842" s="5"/>
      <c r="L2842" s="5"/>
      <c r="M2842" s="5"/>
      <c r="N2842" s="5"/>
      <c r="O2842" s="5"/>
    </row>
    <row r="2843" spans="2:15" x14ac:dyDescent="0.55000000000000004">
      <c r="B2843" s="5"/>
      <c r="C2843" s="5"/>
      <c r="D2843" s="5"/>
      <c r="E2843" s="5"/>
      <c r="F2843" s="5"/>
      <c r="G2843" s="5"/>
      <c r="H2843" s="5"/>
      <c r="I2843" s="5"/>
      <c r="J2843" s="5"/>
      <c r="K2843" s="5"/>
      <c r="L2843" s="5"/>
      <c r="M2843" s="5"/>
      <c r="N2843" s="5"/>
      <c r="O2843" s="5"/>
    </row>
    <row r="2844" spans="2:15" x14ac:dyDescent="0.55000000000000004">
      <c r="B2844" s="5"/>
      <c r="C2844" s="5"/>
      <c r="D2844" s="5"/>
      <c r="E2844" s="5"/>
      <c r="F2844" s="5"/>
      <c r="G2844" s="5"/>
      <c r="H2844" s="5"/>
      <c r="I2844" s="5"/>
      <c r="J2844" s="5"/>
      <c r="K2844" s="5"/>
      <c r="L2844" s="5"/>
      <c r="M2844" s="5"/>
      <c r="N2844" s="5"/>
      <c r="O2844" s="5"/>
    </row>
    <row r="2845" spans="2:15" x14ac:dyDescent="0.55000000000000004">
      <c r="B2845" s="5"/>
      <c r="C2845" s="5"/>
      <c r="D2845" s="5"/>
      <c r="E2845" s="5"/>
      <c r="F2845" s="5"/>
      <c r="G2845" s="5"/>
      <c r="H2845" s="5"/>
      <c r="I2845" s="5"/>
      <c r="J2845" s="5"/>
      <c r="K2845" s="5"/>
      <c r="L2845" s="5"/>
      <c r="M2845" s="5"/>
      <c r="N2845" s="5"/>
      <c r="O2845" s="5"/>
    </row>
    <row r="2846" spans="2:15" x14ac:dyDescent="0.55000000000000004">
      <c r="B2846" s="5"/>
      <c r="C2846" s="5"/>
      <c r="D2846" s="5"/>
      <c r="E2846" s="5"/>
      <c r="F2846" s="5"/>
      <c r="G2846" s="5"/>
      <c r="H2846" s="5"/>
      <c r="I2846" s="5"/>
      <c r="J2846" s="5"/>
      <c r="K2846" s="5"/>
      <c r="L2846" s="5"/>
      <c r="M2846" s="5"/>
      <c r="N2846" s="5"/>
      <c r="O2846" s="5"/>
    </row>
    <row r="2847" spans="2:15" x14ac:dyDescent="0.55000000000000004">
      <c r="B2847" s="5"/>
      <c r="C2847" s="5"/>
      <c r="D2847" s="5"/>
      <c r="E2847" s="5"/>
      <c r="F2847" s="5"/>
      <c r="G2847" s="5"/>
      <c r="H2847" s="5"/>
      <c r="I2847" s="5"/>
      <c r="J2847" s="5"/>
      <c r="K2847" s="5"/>
      <c r="L2847" s="5"/>
      <c r="M2847" s="5"/>
      <c r="N2847" s="5"/>
      <c r="O2847" s="5"/>
    </row>
    <row r="2848" spans="2:15" x14ac:dyDescent="0.55000000000000004">
      <c r="B2848" s="5"/>
      <c r="C2848" s="5"/>
      <c r="D2848" s="5"/>
      <c r="E2848" s="5"/>
      <c r="F2848" s="5"/>
      <c r="G2848" s="5"/>
      <c r="H2848" s="5"/>
      <c r="I2848" s="5"/>
      <c r="J2848" s="5"/>
      <c r="K2848" s="5"/>
      <c r="L2848" s="5"/>
      <c r="M2848" s="5"/>
      <c r="N2848" s="5"/>
      <c r="O2848" s="5"/>
    </row>
    <row r="2849" spans="2:15" x14ac:dyDescent="0.55000000000000004">
      <c r="B2849" s="5"/>
      <c r="C2849" s="5"/>
      <c r="D2849" s="5"/>
      <c r="E2849" s="5"/>
      <c r="F2849" s="5"/>
      <c r="G2849" s="5"/>
      <c r="H2849" s="5"/>
      <c r="I2849" s="5"/>
      <c r="J2849" s="5"/>
      <c r="K2849" s="5"/>
      <c r="L2849" s="5"/>
      <c r="M2849" s="5"/>
      <c r="N2849" s="5"/>
      <c r="O2849" s="5"/>
    </row>
    <row r="2850" spans="2:15" x14ac:dyDescent="0.55000000000000004">
      <c r="B2850" s="5"/>
      <c r="C2850" s="5"/>
      <c r="D2850" s="5"/>
      <c r="E2850" s="5"/>
      <c r="F2850" s="5"/>
      <c r="G2850" s="5"/>
      <c r="H2850" s="5"/>
      <c r="I2850" s="5"/>
      <c r="J2850" s="5"/>
      <c r="K2850" s="5"/>
      <c r="L2850" s="5"/>
      <c r="M2850" s="5"/>
      <c r="N2850" s="5"/>
      <c r="O2850" s="5"/>
    </row>
    <row r="2851" spans="2:15" x14ac:dyDescent="0.55000000000000004">
      <c r="B2851" s="5"/>
      <c r="C2851" s="5"/>
      <c r="D2851" s="5"/>
      <c r="E2851" s="5"/>
      <c r="F2851" s="5"/>
      <c r="G2851" s="5"/>
      <c r="H2851" s="5"/>
      <c r="I2851" s="5"/>
      <c r="J2851" s="5"/>
      <c r="K2851" s="5"/>
      <c r="L2851" s="5"/>
      <c r="M2851" s="5"/>
      <c r="N2851" s="5"/>
      <c r="O2851" s="5"/>
    </row>
    <row r="2852" spans="2:15" x14ac:dyDescent="0.55000000000000004">
      <c r="B2852" s="5"/>
      <c r="C2852" s="5"/>
      <c r="D2852" s="5"/>
      <c r="E2852" s="5"/>
      <c r="F2852" s="5"/>
      <c r="G2852" s="5"/>
      <c r="H2852" s="5"/>
      <c r="I2852" s="5"/>
      <c r="J2852" s="5"/>
      <c r="K2852" s="5"/>
      <c r="L2852" s="5"/>
      <c r="M2852" s="5"/>
      <c r="N2852" s="5"/>
      <c r="O2852" s="5"/>
    </row>
    <row r="2853" spans="2:15" x14ac:dyDescent="0.55000000000000004">
      <c r="B2853" s="5"/>
      <c r="C2853" s="5"/>
      <c r="D2853" s="5"/>
      <c r="E2853" s="5"/>
      <c r="F2853" s="5"/>
      <c r="G2853" s="5"/>
      <c r="H2853" s="5"/>
      <c r="I2853" s="5"/>
      <c r="J2853" s="5"/>
      <c r="K2853" s="5"/>
      <c r="L2853" s="5"/>
      <c r="M2853" s="5"/>
      <c r="N2853" s="5"/>
      <c r="O2853" s="5"/>
    </row>
    <row r="2854" spans="2:15" x14ac:dyDescent="0.55000000000000004">
      <c r="B2854" s="5"/>
      <c r="C2854" s="5"/>
      <c r="D2854" s="5"/>
      <c r="E2854" s="5"/>
      <c r="F2854" s="5"/>
      <c r="G2854" s="5"/>
      <c r="H2854" s="5"/>
      <c r="I2854" s="5"/>
      <c r="J2854" s="5"/>
      <c r="K2854" s="5"/>
      <c r="L2854" s="5"/>
      <c r="M2854" s="5"/>
      <c r="N2854" s="5"/>
      <c r="O2854" s="5"/>
    </row>
    <row r="2855" spans="2:15" x14ac:dyDescent="0.55000000000000004">
      <c r="B2855" s="5"/>
      <c r="C2855" s="5"/>
      <c r="D2855" s="5"/>
      <c r="E2855" s="5"/>
      <c r="F2855" s="5"/>
      <c r="G2855" s="5"/>
      <c r="H2855" s="5"/>
      <c r="I2855" s="5"/>
      <c r="J2855" s="5"/>
      <c r="K2855" s="5"/>
      <c r="L2855" s="5"/>
      <c r="M2855" s="5"/>
      <c r="N2855" s="5"/>
      <c r="O2855" s="5"/>
    </row>
    <row r="2856" spans="2:15" x14ac:dyDescent="0.55000000000000004">
      <c r="B2856" s="5"/>
      <c r="C2856" s="5"/>
      <c r="D2856" s="5"/>
      <c r="E2856" s="5"/>
      <c r="F2856" s="5"/>
      <c r="G2856" s="5"/>
      <c r="H2856" s="5"/>
      <c r="I2856" s="5"/>
      <c r="J2856" s="5"/>
      <c r="K2856" s="5"/>
      <c r="L2856" s="5"/>
      <c r="M2856" s="5"/>
      <c r="N2856" s="5"/>
      <c r="O2856" s="5"/>
    </row>
    <row r="2857" spans="2:15" x14ac:dyDescent="0.55000000000000004">
      <c r="B2857" s="5"/>
      <c r="C2857" s="5"/>
      <c r="D2857" s="5"/>
      <c r="E2857" s="5"/>
      <c r="F2857" s="5"/>
      <c r="G2857" s="5"/>
      <c r="H2857" s="5"/>
      <c r="I2857" s="5"/>
      <c r="J2857" s="5"/>
      <c r="K2857" s="5"/>
      <c r="L2857" s="5"/>
      <c r="M2857" s="5"/>
      <c r="N2857" s="5"/>
      <c r="O2857" s="5"/>
    </row>
    <row r="2858" spans="2:15" x14ac:dyDescent="0.55000000000000004">
      <c r="B2858" s="5"/>
      <c r="C2858" s="5"/>
      <c r="D2858" s="5"/>
      <c r="E2858" s="5"/>
      <c r="F2858" s="5"/>
      <c r="G2858" s="5"/>
      <c r="H2858" s="5"/>
      <c r="I2858" s="5"/>
      <c r="J2858" s="5"/>
      <c r="K2858" s="5"/>
      <c r="L2858" s="5"/>
      <c r="M2858" s="5"/>
      <c r="N2858" s="5"/>
      <c r="O2858" s="5"/>
    </row>
    <row r="2859" spans="2:15" x14ac:dyDescent="0.55000000000000004">
      <c r="B2859" s="5"/>
      <c r="C2859" s="5"/>
      <c r="D2859" s="5"/>
      <c r="E2859" s="5"/>
      <c r="F2859" s="5"/>
      <c r="G2859" s="5"/>
      <c r="H2859" s="5"/>
      <c r="I2859" s="5"/>
      <c r="J2859" s="5"/>
      <c r="K2859" s="5"/>
      <c r="L2859" s="5"/>
      <c r="M2859" s="5"/>
      <c r="N2859" s="5"/>
      <c r="O2859" s="5"/>
    </row>
    <row r="2860" spans="2:15" x14ac:dyDescent="0.55000000000000004">
      <c r="B2860" s="5"/>
      <c r="C2860" s="5"/>
      <c r="D2860" s="5"/>
      <c r="E2860" s="5"/>
      <c r="F2860" s="5"/>
      <c r="G2860" s="5"/>
      <c r="H2860" s="5"/>
      <c r="I2860" s="5"/>
      <c r="J2860" s="5"/>
      <c r="K2860" s="5"/>
      <c r="L2860" s="5"/>
      <c r="M2860" s="5"/>
      <c r="N2860" s="5"/>
      <c r="O2860" s="5"/>
    </row>
    <row r="2861" spans="2:15" x14ac:dyDescent="0.55000000000000004">
      <c r="B2861" s="5"/>
      <c r="C2861" s="5"/>
      <c r="D2861" s="5"/>
      <c r="E2861" s="5"/>
      <c r="F2861" s="5"/>
      <c r="G2861" s="5"/>
      <c r="H2861" s="5"/>
      <c r="I2861" s="5"/>
      <c r="J2861" s="5"/>
      <c r="K2861" s="5"/>
      <c r="L2861" s="5"/>
      <c r="M2861" s="5"/>
      <c r="N2861" s="5"/>
      <c r="O2861" s="5"/>
    </row>
    <row r="2862" spans="2:15" x14ac:dyDescent="0.55000000000000004">
      <c r="B2862" s="5"/>
      <c r="C2862" s="5"/>
      <c r="D2862" s="5"/>
      <c r="E2862" s="5"/>
      <c r="F2862" s="5"/>
      <c r="G2862" s="5"/>
      <c r="H2862" s="5"/>
      <c r="I2862" s="5"/>
      <c r="J2862" s="5"/>
      <c r="K2862" s="5"/>
      <c r="L2862" s="5"/>
      <c r="M2862" s="5"/>
      <c r="N2862" s="5"/>
      <c r="O2862" s="5"/>
    </row>
    <row r="2863" spans="2:15" x14ac:dyDescent="0.55000000000000004">
      <c r="B2863" s="5"/>
      <c r="C2863" s="5"/>
      <c r="D2863" s="5"/>
      <c r="E2863" s="5"/>
      <c r="F2863" s="5"/>
      <c r="G2863" s="5"/>
      <c r="H2863" s="5"/>
      <c r="I2863" s="5"/>
      <c r="J2863" s="5"/>
      <c r="K2863" s="5"/>
      <c r="L2863" s="5"/>
      <c r="M2863" s="5"/>
      <c r="N2863" s="5"/>
      <c r="O2863" s="5"/>
    </row>
    <row r="2864" spans="2:15" x14ac:dyDescent="0.55000000000000004">
      <c r="B2864" s="5"/>
      <c r="C2864" s="5"/>
      <c r="D2864" s="5"/>
      <c r="E2864" s="5"/>
      <c r="F2864" s="5"/>
      <c r="G2864" s="5"/>
      <c r="H2864" s="5"/>
      <c r="I2864" s="5"/>
      <c r="J2864" s="5"/>
      <c r="K2864" s="5"/>
      <c r="L2864" s="5"/>
      <c r="M2864" s="5"/>
      <c r="N2864" s="5"/>
      <c r="O2864" s="5"/>
    </row>
    <row r="2865" spans="2:15" x14ac:dyDescent="0.55000000000000004">
      <c r="B2865" s="5"/>
      <c r="C2865" s="5"/>
      <c r="D2865" s="5"/>
      <c r="E2865" s="5"/>
      <c r="F2865" s="5"/>
      <c r="G2865" s="5"/>
      <c r="H2865" s="5"/>
      <c r="I2865" s="5"/>
      <c r="J2865" s="5"/>
      <c r="K2865" s="5"/>
      <c r="L2865" s="5"/>
      <c r="M2865" s="5"/>
      <c r="N2865" s="5"/>
      <c r="O2865" s="5"/>
    </row>
    <row r="2866" spans="2:15" x14ac:dyDescent="0.55000000000000004">
      <c r="B2866" s="5"/>
      <c r="C2866" s="5"/>
      <c r="D2866" s="5"/>
      <c r="E2866" s="5"/>
      <c r="F2866" s="5"/>
      <c r="G2866" s="5"/>
      <c r="H2866" s="5"/>
      <c r="I2866" s="5"/>
      <c r="J2866" s="5"/>
      <c r="K2866" s="5"/>
      <c r="L2866" s="5"/>
      <c r="M2866" s="5"/>
      <c r="N2866" s="5"/>
      <c r="O2866" s="5"/>
    </row>
    <row r="2867" spans="2:15" x14ac:dyDescent="0.55000000000000004">
      <c r="B2867" s="5"/>
      <c r="C2867" s="5"/>
      <c r="D2867" s="5"/>
      <c r="E2867" s="5"/>
      <c r="F2867" s="5"/>
      <c r="G2867" s="5"/>
      <c r="H2867" s="5"/>
      <c r="I2867" s="5"/>
      <c r="J2867" s="5"/>
      <c r="K2867" s="5"/>
      <c r="L2867" s="5"/>
      <c r="M2867" s="5"/>
      <c r="N2867" s="5"/>
      <c r="O2867" s="5"/>
    </row>
    <row r="2868" spans="2:15" x14ac:dyDescent="0.55000000000000004">
      <c r="B2868" s="5"/>
      <c r="C2868" s="5"/>
      <c r="D2868" s="5"/>
      <c r="E2868" s="5"/>
      <c r="F2868" s="5"/>
      <c r="G2868" s="5"/>
      <c r="H2868" s="5"/>
      <c r="I2868" s="5"/>
      <c r="J2868" s="5"/>
      <c r="K2868" s="5"/>
      <c r="L2868" s="5"/>
      <c r="M2868" s="5"/>
      <c r="N2868" s="5"/>
      <c r="O2868" s="5"/>
    </row>
    <row r="2869" spans="2:15" x14ac:dyDescent="0.55000000000000004">
      <c r="B2869" s="5"/>
      <c r="C2869" s="5"/>
      <c r="D2869" s="5"/>
      <c r="E2869" s="5"/>
      <c r="F2869" s="5"/>
      <c r="G2869" s="5"/>
      <c r="H2869" s="5"/>
      <c r="I2869" s="5"/>
      <c r="J2869" s="5"/>
      <c r="K2869" s="5"/>
      <c r="L2869" s="5"/>
      <c r="M2869" s="5"/>
      <c r="N2869" s="5"/>
      <c r="O2869" s="5"/>
    </row>
    <row r="2870" spans="2:15" x14ac:dyDescent="0.55000000000000004">
      <c r="B2870" s="5"/>
      <c r="C2870" s="5"/>
      <c r="D2870" s="5"/>
      <c r="E2870" s="5"/>
      <c r="F2870" s="5"/>
      <c r="G2870" s="5"/>
      <c r="H2870" s="5"/>
      <c r="I2870" s="5"/>
      <c r="J2870" s="5"/>
      <c r="K2870" s="5"/>
      <c r="L2870" s="5"/>
      <c r="M2870" s="5"/>
      <c r="N2870" s="5"/>
      <c r="O2870" s="5"/>
    </row>
    <row r="2871" spans="2:15" x14ac:dyDescent="0.55000000000000004">
      <c r="B2871" s="5"/>
      <c r="C2871" s="5"/>
      <c r="D2871" s="5"/>
      <c r="E2871" s="5"/>
      <c r="F2871" s="5"/>
      <c r="G2871" s="5"/>
      <c r="H2871" s="5"/>
      <c r="I2871" s="5"/>
      <c r="J2871" s="5"/>
      <c r="K2871" s="5"/>
      <c r="L2871" s="5"/>
      <c r="M2871" s="5"/>
      <c r="N2871" s="5"/>
      <c r="O2871" s="5"/>
    </row>
    <row r="2872" spans="2:15" x14ac:dyDescent="0.55000000000000004">
      <c r="B2872" s="5"/>
      <c r="C2872" s="5"/>
      <c r="D2872" s="5"/>
      <c r="E2872" s="5"/>
      <c r="F2872" s="5"/>
      <c r="G2872" s="5"/>
      <c r="H2872" s="5"/>
      <c r="I2872" s="5"/>
      <c r="J2872" s="5"/>
      <c r="K2872" s="5"/>
      <c r="L2872" s="5"/>
      <c r="M2872" s="5"/>
      <c r="N2872" s="5"/>
      <c r="O2872" s="5"/>
    </row>
    <row r="2873" spans="2:15" x14ac:dyDescent="0.55000000000000004">
      <c r="B2873" s="5"/>
      <c r="C2873" s="5"/>
      <c r="D2873" s="5"/>
      <c r="E2873" s="5"/>
      <c r="F2873" s="5"/>
      <c r="G2873" s="5"/>
      <c r="H2873" s="5"/>
      <c r="I2873" s="5"/>
      <c r="J2873" s="5"/>
      <c r="K2873" s="5"/>
      <c r="L2873" s="5"/>
      <c r="M2873" s="5"/>
      <c r="N2873" s="5"/>
      <c r="O2873" s="5"/>
    </row>
    <row r="2874" spans="2:15" x14ac:dyDescent="0.55000000000000004">
      <c r="B2874" s="5"/>
      <c r="C2874" s="5"/>
      <c r="D2874" s="5"/>
      <c r="E2874" s="5"/>
      <c r="F2874" s="5"/>
      <c r="G2874" s="5"/>
      <c r="H2874" s="5"/>
      <c r="I2874" s="5"/>
      <c r="J2874" s="5"/>
      <c r="K2874" s="5"/>
      <c r="L2874" s="5"/>
      <c r="M2874" s="5"/>
      <c r="N2874" s="5"/>
      <c r="O2874" s="5"/>
    </row>
    <row r="2875" spans="2:15" x14ac:dyDescent="0.55000000000000004">
      <c r="B2875" s="5"/>
      <c r="C2875" s="5"/>
      <c r="D2875" s="5"/>
      <c r="E2875" s="5"/>
      <c r="F2875" s="5"/>
      <c r="G2875" s="5"/>
      <c r="H2875" s="5"/>
      <c r="I2875" s="5"/>
      <c r="J2875" s="5"/>
      <c r="K2875" s="5"/>
      <c r="L2875" s="5"/>
      <c r="M2875" s="5"/>
      <c r="N2875" s="5"/>
      <c r="O2875" s="5"/>
    </row>
    <row r="2876" spans="2:15" x14ac:dyDescent="0.55000000000000004">
      <c r="B2876" s="5"/>
      <c r="C2876" s="5"/>
      <c r="D2876" s="5"/>
      <c r="E2876" s="5"/>
      <c r="F2876" s="5"/>
      <c r="G2876" s="5"/>
      <c r="H2876" s="5"/>
      <c r="I2876" s="5"/>
      <c r="J2876" s="5"/>
      <c r="K2876" s="5"/>
      <c r="L2876" s="5"/>
      <c r="M2876" s="5"/>
      <c r="N2876" s="5"/>
      <c r="O2876" s="5"/>
    </row>
    <row r="2877" spans="2:15" x14ac:dyDescent="0.55000000000000004">
      <c r="B2877" s="5"/>
      <c r="C2877" s="5"/>
      <c r="D2877" s="5"/>
      <c r="E2877" s="5"/>
      <c r="F2877" s="5"/>
      <c r="G2877" s="5"/>
      <c r="H2877" s="5"/>
      <c r="I2877" s="5"/>
      <c r="J2877" s="5"/>
      <c r="K2877" s="5"/>
      <c r="L2877" s="5"/>
      <c r="M2877" s="5"/>
      <c r="N2877" s="5"/>
      <c r="O2877" s="5"/>
    </row>
    <row r="2878" spans="2:15" x14ac:dyDescent="0.55000000000000004">
      <c r="B2878" s="5"/>
      <c r="C2878" s="5"/>
      <c r="D2878" s="5"/>
      <c r="E2878" s="5"/>
      <c r="F2878" s="5"/>
      <c r="G2878" s="5"/>
      <c r="H2878" s="5"/>
      <c r="I2878" s="5"/>
      <c r="J2878" s="5"/>
      <c r="K2878" s="5"/>
      <c r="L2878" s="5"/>
      <c r="M2878" s="5"/>
      <c r="N2878" s="5"/>
      <c r="O2878" s="5"/>
    </row>
    <row r="2879" spans="2:15" x14ac:dyDescent="0.55000000000000004">
      <c r="B2879" s="5"/>
      <c r="C2879" s="5"/>
      <c r="D2879" s="5"/>
      <c r="E2879" s="5"/>
      <c r="F2879" s="5"/>
      <c r="G2879" s="5"/>
      <c r="H2879" s="5"/>
      <c r="I2879" s="5"/>
      <c r="J2879" s="5"/>
      <c r="K2879" s="5"/>
      <c r="L2879" s="5"/>
      <c r="M2879" s="5"/>
      <c r="N2879" s="5"/>
      <c r="O2879" s="5"/>
    </row>
    <row r="2880" spans="2:15" x14ac:dyDescent="0.55000000000000004">
      <c r="B2880" s="5"/>
      <c r="C2880" s="5"/>
      <c r="D2880" s="5"/>
      <c r="E2880" s="5"/>
      <c r="F2880" s="5"/>
      <c r="G2880" s="5"/>
      <c r="H2880" s="5"/>
      <c r="I2880" s="5"/>
      <c r="J2880" s="5"/>
      <c r="K2880" s="5"/>
      <c r="L2880" s="5"/>
      <c r="M2880" s="5"/>
      <c r="N2880" s="5"/>
      <c r="O2880" s="5"/>
    </row>
    <row r="2881" spans="2:15" x14ac:dyDescent="0.55000000000000004">
      <c r="B2881" s="5"/>
      <c r="C2881" s="5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5"/>
      <c r="O2881" s="5"/>
    </row>
    <row r="2882" spans="2:15" x14ac:dyDescent="0.55000000000000004">
      <c r="B2882" s="5"/>
      <c r="C2882" s="5"/>
      <c r="D2882" s="5"/>
      <c r="E2882" s="5"/>
      <c r="F2882" s="5"/>
      <c r="G2882" s="5"/>
      <c r="H2882" s="5"/>
      <c r="I2882" s="5"/>
      <c r="J2882" s="5"/>
      <c r="K2882" s="5"/>
      <c r="L2882" s="5"/>
      <c r="M2882" s="5"/>
      <c r="N2882" s="5"/>
      <c r="O2882" s="5"/>
    </row>
    <row r="2883" spans="2:15" x14ac:dyDescent="0.55000000000000004">
      <c r="B2883" s="5"/>
      <c r="C2883" s="5"/>
      <c r="D2883" s="5"/>
      <c r="E2883" s="5"/>
      <c r="F2883" s="5"/>
      <c r="G2883" s="5"/>
      <c r="H2883" s="5"/>
      <c r="I2883" s="5"/>
      <c r="J2883" s="5"/>
      <c r="K2883" s="5"/>
      <c r="L2883" s="5"/>
      <c r="M2883" s="5"/>
      <c r="N2883" s="5"/>
      <c r="O2883" s="5"/>
    </row>
    <row r="2884" spans="2:15" x14ac:dyDescent="0.55000000000000004">
      <c r="B2884" s="5"/>
      <c r="C2884" s="5"/>
      <c r="D2884" s="5"/>
      <c r="E2884" s="5"/>
      <c r="F2884" s="5"/>
      <c r="G2884" s="5"/>
      <c r="H2884" s="5"/>
      <c r="I2884" s="5"/>
      <c r="J2884" s="5"/>
      <c r="K2884" s="5"/>
      <c r="L2884" s="5"/>
      <c r="M2884" s="5"/>
      <c r="N2884" s="5"/>
      <c r="O2884" s="5"/>
    </row>
    <row r="2885" spans="2:15" x14ac:dyDescent="0.55000000000000004">
      <c r="B2885" s="5"/>
      <c r="C2885" s="5"/>
      <c r="D2885" s="5"/>
      <c r="E2885" s="5"/>
      <c r="F2885" s="5"/>
      <c r="G2885" s="5"/>
      <c r="H2885" s="5"/>
      <c r="I2885" s="5"/>
      <c r="J2885" s="5"/>
      <c r="K2885" s="5"/>
      <c r="L2885" s="5"/>
      <c r="M2885" s="5"/>
      <c r="N2885" s="5"/>
      <c r="O2885" s="5"/>
    </row>
    <row r="2886" spans="2:15" x14ac:dyDescent="0.55000000000000004">
      <c r="B2886" s="5"/>
      <c r="C2886" s="5"/>
      <c r="D2886" s="5"/>
      <c r="E2886" s="5"/>
      <c r="F2886" s="5"/>
      <c r="G2886" s="5"/>
      <c r="H2886" s="5"/>
      <c r="I2886" s="5"/>
      <c r="J2886" s="5"/>
      <c r="K2886" s="5"/>
      <c r="L2886" s="5"/>
      <c r="M2886" s="5"/>
      <c r="N2886" s="5"/>
      <c r="O2886" s="5"/>
    </row>
    <row r="2887" spans="2:15" x14ac:dyDescent="0.55000000000000004">
      <c r="B2887" s="5"/>
      <c r="C2887" s="5"/>
      <c r="D2887" s="5"/>
      <c r="E2887" s="5"/>
      <c r="F2887" s="5"/>
      <c r="G2887" s="5"/>
      <c r="H2887" s="5"/>
      <c r="I2887" s="5"/>
      <c r="J2887" s="5"/>
      <c r="K2887" s="5"/>
      <c r="L2887" s="5"/>
      <c r="M2887" s="5"/>
      <c r="N2887" s="5"/>
      <c r="O2887" s="5"/>
    </row>
    <row r="2888" spans="2:15" x14ac:dyDescent="0.55000000000000004">
      <c r="B2888" s="5"/>
      <c r="C2888" s="5"/>
      <c r="D2888" s="5"/>
      <c r="E2888" s="5"/>
      <c r="F2888" s="5"/>
      <c r="G2888" s="5"/>
      <c r="H2888" s="5"/>
      <c r="I2888" s="5"/>
      <c r="J2888" s="5"/>
      <c r="K2888" s="5"/>
      <c r="L2888" s="5"/>
      <c r="M2888" s="5"/>
      <c r="N2888" s="5"/>
      <c r="O2888" s="5"/>
    </row>
    <row r="2889" spans="2:15" x14ac:dyDescent="0.55000000000000004">
      <c r="B2889" s="5"/>
      <c r="C2889" s="5"/>
      <c r="D2889" s="5"/>
      <c r="E2889" s="5"/>
      <c r="F2889" s="5"/>
      <c r="G2889" s="5"/>
      <c r="H2889" s="5"/>
      <c r="I2889" s="5"/>
      <c r="J2889" s="5"/>
      <c r="K2889" s="5"/>
      <c r="L2889" s="5"/>
      <c r="M2889" s="5"/>
      <c r="N2889" s="5"/>
      <c r="O2889" s="5"/>
    </row>
    <row r="2890" spans="2:15" x14ac:dyDescent="0.55000000000000004">
      <c r="B2890" s="5"/>
      <c r="C2890" s="5"/>
      <c r="D2890" s="5"/>
      <c r="E2890" s="5"/>
      <c r="F2890" s="5"/>
      <c r="G2890" s="5"/>
      <c r="H2890" s="5"/>
      <c r="I2890" s="5"/>
      <c r="J2890" s="5"/>
      <c r="K2890" s="5"/>
      <c r="L2890" s="5"/>
      <c r="M2890" s="5"/>
      <c r="N2890" s="5"/>
      <c r="O2890" s="5"/>
    </row>
    <row r="2891" spans="2:15" x14ac:dyDescent="0.55000000000000004">
      <c r="B2891" s="5"/>
      <c r="C2891" s="5"/>
      <c r="D2891" s="5"/>
      <c r="E2891" s="5"/>
      <c r="F2891" s="5"/>
      <c r="G2891" s="5"/>
      <c r="H2891" s="5"/>
      <c r="I2891" s="5"/>
      <c r="J2891" s="5"/>
      <c r="K2891" s="5"/>
      <c r="L2891" s="5"/>
      <c r="M2891" s="5"/>
      <c r="N2891" s="5"/>
      <c r="O2891" s="5"/>
    </row>
    <row r="2892" spans="2:15" x14ac:dyDescent="0.55000000000000004">
      <c r="B2892" s="5"/>
      <c r="C2892" s="5"/>
      <c r="D2892" s="5"/>
      <c r="E2892" s="5"/>
      <c r="F2892" s="5"/>
      <c r="G2892" s="5"/>
      <c r="H2892" s="5"/>
      <c r="I2892" s="5"/>
      <c r="J2892" s="5"/>
      <c r="K2892" s="5"/>
      <c r="L2892" s="5"/>
      <c r="M2892" s="5"/>
      <c r="N2892" s="5"/>
      <c r="O2892" s="5"/>
    </row>
    <row r="2893" spans="2:15" x14ac:dyDescent="0.55000000000000004">
      <c r="B2893" s="5"/>
      <c r="C2893" s="5"/>
      <c r="D2893" s="5"/>
      <c r="E2893" s="5"/>
      <c r="F2893" s="5"/>
      <c r="G2893" s="5"/>
      <c r="H2893" s="5"/>
      <c r="I2893" s="5"/>
      <c r="J2893" s="5"/>
      <c r="K2893" s="5"/>
      <c r="L2893" s="5"/>
      <c r="M2893" s="5"/>
      <c r="N2893" s="5"/>
      <c r="O2893" s="5"/>
    </row>
    <row r="2894" spans="2:15" x14ac:dyDescent="0.55000000000000004">
      <c r="B2894" s="5"/>
      <c r="C2894" s="5"/>
      <c r="D2894" s="5"/>
      <c r="E2894" s="5"/>
      <c r="F2894" s="5"/>
      <c r="G2894" s="5"/>
      <c r="H2894" s="5"/>
      <c r="I2894" s="5"/>
      <c r="J2894" s="5"/>
      <c r="K2894" s="5"/>
      <c r="L2894" s="5"/>
      <c r="M2894" s="5"/>
      <c r="N2894" s="5"/>
      <c r="O2894" s="5"/>
    </row>
    <row r="2895" spans="2:15" x14ac:dyDescent="0.55000000000000004">
      <c r="B2895" s="5"/>
      <c r="C2895" s="5"/>
      <c r="D2895" s="5"/>
      <c r="E2895" s="5"/>
      <c r="F2895" s="5"/>
      <c r="G2895" s="5"/>
      <c r="H2895" s="5"/>
      <c r="I2895" s="5"/>
      <c r="J2895" s="5"/>
      <c r="K2895" s="5"/>
      <c r="L2895" s="5"/>
      <c r="M2895" s="5"/>
      <c r="N2895" s="5"/>
      <c r="O2895" s="5"/>
    </row>
    <row r="2896" spans="2:15" x14ac:dyDescent="0.55000000000000004">
      <c r="B2896" s="5"/>
      <c r="C2896" s="5"/>
      <c r="D2896" s="5"/>
      <c r="E2896" s="5"/>
      <c r="F2896" s="5"/>
      <c r="G2896" s="5"/>
      <c r="H2896" s="5"/>
      <c r="I2896" s="5"/>
      <c r="J2896" s="5"/>
      <c r="K2896" s="5"/>
      <c r="L2896" s="5"/>
      <c r="M2896" s="5"/>
      <c r="N2896" s="5"/>
      <c r="O2896" s="5"/>
    </row>
    <row r="2897" spans="2:15" x14ac:dyDescent="0.55000000000000004">
      <c r="B2897" s="5"/>
      <c r="C2897" s="5"/>
      <c r="D2897" s="5"/>
      <c r="E2897" s="5"/>
      <c r="F2897" s="5"/>
      <c r="G2897" s="5"/>
      <c r="H2897" s="5"/>
      <c r="I2897" s="5"/>
      <c r="J2897" s="5"/>
      <c r="K2897" s="5"/>
      <c r="L2897" s="5"/>
      <c r="M2897" s="5"/>
      <c r="N2897" s="5"/>
      <c r="O2897" s="5"/>
    </row>
    <row r="2898" spans="2:15" x14ac:dyDescent="0.55000000000000004">
      <c r="B2898" s="5"/>
      <c r="C2898" s="5"/>
      <c r="D2898" s="5"/>
      <c r="E2898" s="5"/>
      <c r="F2898" s="5"/>
      <c r="G2898" s="5"/>
      <c r="H2898" s="5"/>
      <c r="I2898" s="5"/>
      <c r="J2898" s="5"/>
      <c r="K2898" s="5"/>
      <c r="L2898" s="5"/>
      <c r="M2898" s="5"/>
      <c r="N2898" s="5"/>
      <c r="O2898" s="5"/>
    </row>
    <row r="2899" spans="2:15" x14ac:dyDescent="0.55000000000000004">
      <c r="B2899" s="5"/>
      <c r="C2899" s="5"/>
      <c r="D2899" s="5"/>
      <c r="E2899" s="5"/>
      <c r="F2899" s="5"/>
      <c r="G2899" s="5"/>
      <c r="H2899" s="5"/>
      <c r="I2899" s="5"/>
      <c r="J2899" s="5"/>
      <c r="K2899" s="5"/>
      <c r="L2899" s="5"/>
      <c r="M2899" s="5"/>
      <c r="N2899" s="5"/>
      <c r="O2899" s="5"/>
    </row>
    <row r="2900" spans="2:15" x14ac:dyDescent="0.55000000000000004">
      <c r="B2900" s="5"/>
      <c r="C2900" s="5"/>
      <c r="D2900" s="5"/>
      <c r="E2900" s="5"/>
      <c r="F2900" s="5"/>
      <c r="G2900" s="5"/>
      <c r="H2900" s="5"/>
      <c r="I2900" s="5"/>
      <c r="J2900" s="5"/>
      <c r="K2900" s="5"/>
      <c r="L2900" s="5"/>
      <c r="M2900" s="5"/>
      <c r="N2900" s="5"/>
      <c r="O2900" s="5"/>
    </row>
    <row r="2901" spans="2:15" x14ac:dyDescent="0.55000000000000004">
      <c r="B2901" s="5"/>
      <c r="C2901" s="5"/>
      <c r="D2901" s="5"/>
      <c r="E2901" s="5"/>
      <c r="F2901" s="5"/>
      <c r="G2901" s="5"/>
      <c r="H2901" s="5"/>
      <c r="I2901" s="5"/>
      <c r="J2901" s="5"/>
      <c r="K2901" s="5"/>
      <c r="L2901" s="5"/>
      <c r="M2901" s="5"/>
      <c r="N2901" s="5"/>
      <c r="O2901" s="5"/>
    </row>
    <row r="2902" spans="2:15" x14ac:dyDescent="0.55000000000000004">
      <c r="B2902" s="5"/>
      <c r="C2902" s="5"/>
      <c r="D2902" s="5"/>
      <c r="E2902" s="5"/>
      <c r="F2902" s="5"/>
      <c r="G2902" s="5"/>
      <c r="H2902" s="5"/>
      <c r="I2902" s="5"/>
      <c r="J2902" s="5"/>
      <c r="K2902" s="5"/>
      <c r="L2902" s="5"/>
      <c r="M2902" s="5"/>
      <c r="N2902" s="5"/>
      <c r="O2902" s="5"/>
    </row>
    <row r="2903" spans="2:15" x14ac:dyDescent="0.55000000000000004">
      <c r="B2903" s="5"/>
      <c r="C2903" s="5"/>
      <c r="D2903" s="5"/>
      <c r="E2903" s="5"/>
      <c r="F2903" s="5"/>
      <c r="G2903" s="5"/>
      <c r="H2903" s="5"/>
      <c r="I2903" s="5"/>
      <c r="J2903" s="5"/>
      <c r="K2903" s="5"/>
      <c r="L2903" s="5"/>
      <c r="M2903" s="5"/>
      <c r="N2903" s="5"/>
      <c r="O2903" s="5"/>
    </row>
    <row r="2904" spans="2:15" x14ac:dyDescent="0.55000000000000004">
      <c r="B2904" s="5"/>
      <c r="C2904" s="5"/>
      <c r="D2904" s="5"/>
      <c r="E2904" s="5"/>
      <c r="F2904" s="5"/>
      <c r="G2904" s="5"/>
      <c r="H2904" s="5"/>
      <c r="I2904" s="5"/>
      <c r="J2904" s="5"/>
      <c r="K2904" s="5"/>
      <c r="L2904" s="5"/>
      <c r="M2904" s="5"/>
      <c r="N2904" s="5"/>
      <c r="O2904" s="5"/>
    </row>
    <row r="2905" spans="2:15" x14ac:dyDescent="0.55000000000000004">
      <c r="B2905" s="5"/>
      <c r="C2905" s="5"/>
      <c r="D2905" s="5"/>
      <c r="E2905" s="5"/>
      <c r="F2905" s="5"/>
      <c r="G2905" s="5"/>
      <c r="H2905" s="5"/>
      <c r="I2905" s="5"/>
      <c r="J2905" s="5"/>
      <c r="K2905" s="5"/>
      <c r="L2905" s="5"/>
      <c r="M2905" s="5"/>
      <c r="N2905" s="5"/>
      <c r="O2905" s="5"/>
    </row>
    <row r="2906" spans="2:15" x14ac:dyDescent="0.55000000000000004">
      <c r="B2906" s="5"/>
      <c r="C2906" s="5"/>
      <c r="D2906" s="5"/>
      <c r="E2906" s="5"/>
      <c r="F2906" s="5"/>
      <c r="G2906" s="5"/>
      <c r="H2906" s="5"/>
      <c r="I2906" s="5"/>
      <c r="J2906" s="5"/>
      <c r="K2906" s="5"/>
      <c r="L2906" s="5"/>
      <c r="M2906" s="5"/>
      <c r="N2906" s="5"/>
      <c r="O2906" s="5"/>
    </row>
    <row r="2907" spans="2:15" x14ac:dyDescent="0.55000000000000004">
      <c r="B2907" s="5"/>
      <c r="C2907" s="5"/>
      <c r="D2907" s="5"/>
      <c r="E2907" s="5"/>
      <c r="F2907" s="5"/>
      <c r="G2907" s="5"/>
      <c r="H2907" s="5"/>
      <c r="I2907" s="5"/>
      <c r="J2907" s="5"/>
      <c r="K2907" s="5"/>
      <c r="L2907" s="5"/>
      <c r="M2907" s="5"/>
      <c r="N2907" s="5"/>
      <c r="O2907" s="5"/>
    </row>
    <row r="2908" spans="2:15" x14ac:dyDescent="0.55000000000000004">
      <c r="B2908" s="5"/>
      <c r="C2908" s="5"/>
      <c r="D2908" s="5"/>
      <c r="E2908" s="5"/>
      <c r="F2908" s="5"/>
      <c r="G2908" s="5"/>
      <c r="H2908" s="5"/>
      <c r="I2908" s="5"/>
      <c r="J2908" s="5"/>
      <c r="K2908" s="5"/>
      <c r="L2908" s="5"/>
      <c r="M2908" s="5"/>
      <c r="N2908" s="5"/>
      <c r="O2908" s="5"/>
    </row>
    <row r="2909" spans="2:15" x14ac:dyDescent="0.55000000000000004">
      <c r="B2909" s="5"/>
      <c r="C2909" s="5"/>
      <c r="D2909" s="5"/>
      <c r="E2909" s="5"/>
      <c r="F2909" s="5"/>
      <c r="G2909" s="5"/>
      <c r="H2909" s="5"/>
      <c r="I2909" s="5"/>
      <c r="J2909" s="5"/>
      <c r="K2909" s="5"/>
      <c r="L2909" s="5"/>
      <c r="M2909" s="5"/>
      <c r="N2909" s="5"/>
      <c r="O2909" s="5"/>
    </row>
    <row r="2910" spans="2:15" x14ac:dyDescent="0.55000000000000004">
      <c r="B2910" s="5"/>
      <c r="C2910" s="5"/>
      <c r="D2910" s="5"/>
      <c r="E2910" s="5"/>
      <c r="F2910" s="5"/>
      <c r="G2910" s="5"/>
      <c r="H2910" s="5"/>
      <c r="I2910" s="5"/>
      <c r="J2910" s="5"/>
      <c r="K2910" s="5"/>
      <c r="L2910" s="5"/>
      <c r="M2910" s="5"/>
      <c r="N2910" s="5"/>
      <c r="O2910" s="5"/>
    </row>
    <row r="2911" spans="2:15" x14ac:dyDescent="0.55000000000000004">
      <c r="B2911" s="5"/>
      <c r="C2911" s="5"/>
      <c r="D2911" s="5"/>
      <c r="E2911" s="5"/>
      <c r="F2911" s="5"/>
      <c r="G2911" s="5"/>
      <c r="H2911" s="5"/>
      <c r="I2911" s="5"/>
      <c r="J2911" s="5"/>
      <c r="K2911" s="5"/>
      <c r="L2911" s="5"/>
      <c r="M2911" s="5"/>
      <c r="N2911" s="5"/>
      <c r="O2911" s="5"/>
    </row>
    <row r="2912" spans="2:15" x14ac:dyDescent="0.55000000000000004">
      <c r="B2912" s="5"/>
      <c r="C2912" s="5"/>
      <c r="D2912" s="5"/>
      <c r="E2912" s="5"/>
      <c r="F2912" s="5"/>
      <c r="G2912" s="5"/>
      <c r="H2912" s="5"/>
      <c r="I2912" s="5"/>
      <c r="J2912" s="5"/>
      <c r="K2912" s="5"/>
      <c r="L2912" s="5"/>
      <c r="M2912" s="5"/>
      <c r="N2912" s="5"/>
      <c r="O2912" s="5"/>
    </row>
    <row r="2913" spans="2:15" x14ac:dyDescent="0.55000000000000004">
      <c r="B2913" s="5"/>
      <c r="C2913" s="5"/>
      <c r="D2913" s="5"/>
      <c r="E2913" s="5"/>
      <c r="F2913" s="5"/>
      <c r="G2913" s="5"/>
      <c r="H2913" s="5"/>
      <c r="I2913" s="5"/>
      <c r="J2913" s="5"/>
      <c r="K2913" s="5"/>
      <c r="L2913" s="5"/>
      <c r="M2913" s="5"/>
      <c r="N2913" s="5"/>
      <c r="O2913" s="5"/>
    </row>
    <row r="2914" spans="2:15" x14ac:dyDescent="0.55000000000000004">
      <c r="B2914" s="5"/>
      <c r="C2914" s="5"/>
      <c r="D2914" s="5"/>
      <c r="E2914" s="5"/>
      <c r="F2914" s="5"/>
      <c r="G2914" s="5"/>
      <c r="H2914" s="5"/>
      <c r="I2914" s="5"/>
      <c r="J2914" s="5"/>
      <c r="K2914" s="5"/>
      <c r="L2914" s="5"/>
      <c r="M2914" s="5"/>
      <c r="N2914" s="5"/>
      <c r="O2914" s="5"/>
    </row>
    <row r="2915" spans="2:15" x14ac:dyDescent="0.55000000000000004">
      <c r="B2915" s="5"/>
      <c r="C2915" s="5"/>
      <c r="D2915" s="5"/>
      <c r="E2915" s="5"/>
      <c r="F2915" s="5"/>
      <c r="G2915" s="5"/>
      <c r="H2915" s="5"/>
      <c r="I2915" s="5"/>
      <c r="J2915" s="5"/>
      <c r="K2915" s="5"/>
      <c r="L2915" s="5"/>
      <c r="M2915" s="5"/>
      <c r="N2915" s="5"/>
      <c r="O2915" s="5"/>
    </row>
    <row r="2916" spans="2:15" x14ac:dyDescent="0.55000000000000004">
      <c r="B2916" s="5"/>
      <c r="C2916" s="5"/>
      <c r="D2916" s="5"/>
      <c r="E2916" s="5"/>
      <c r="F2916" s="5"/>
      <c r="G2916" s="5"/>
      <c r="H2916" s="5"/>
      <c r="I2916" s="5"/>
      <c r="J2916" s="5"/>
      <c r="K2916" s="5"/>
      <c r="L2916" s="5"/>
      <c r="M2916" s="5"/>
      <c r="N2916" s="5"/>
      <c r="O2916" s="5"/>
    </row>
    <row r="2917" spans="2:15" x14ac:dyDescent="0.55000000000000004">
      <c r="B2917" s="5"/>
      <c r="C2917" s="5"/>
      <c r="D2917" s="5"/>
      <c r="E2917" s="5"/>
      <c r="F2917" s="5"/>
      <c r="G2917" s="5"/>
      <c r="H2917" s="5"/>
      <c r="I2917" s="5"/>
      <c r="J2917" s="5"/>
      <c r="K2917" s="5"/>
      <c r="L2917" s="5"/>
      <c r="M2917" s="5"/>
      <c r="N2917" s="5"/>
      <c r="O2917" s="5"/>
    </row>
    <row r="2918" spans="2:15" x14ac:dyDescent="0.55000000000000004">
      <c r="B2918" s="5"/>
      <c r="C2918" s="5"/>
      <c r="D2918" s="5"/>
      <c r="E2918" s="5"/>
      <c r="F2918" s="5"/>
      <c r="G2918" s="5"/>
      <c r="H2918" s="5"/>
      <c r="I2918" s="5"/>
      <c r="J2918" s="5"/>
      <c r="K2918" s="5"/>
      <c r="L2918" s="5"/>
      <c r="M2918" s="5"/>
      <c r="N2918" s="5"/>
      <c r="O2918" s="5"/>
    </row>
    <row r="2919" spans="2:15" x14ac:dyDescent="0.55000000000000004">
      <c r="B2919" s="5"/>
      <c r="C2919" s="5"/>
      <c r="D2919" s="5"/>
      <c r="E2919" s="5"/>
      <c r="F2919" s="5"/>
      <c r="G2919" s="5"/>
      <c r="H2919" s="5"/>
      <c r="I2919" s="5"/>
      <c r="J2919" s="5"/>
      <c r="K2919" s="5"/>
      <c r="L2919" s="5"/>
      <c r="M2919" s="5"/>
      <c r="N2919" s="5"/>
      <c r="O2919" s="5"/>
    </row>
    <row r="2920" spans="2:15" x14ac:dyDescent="0.55000000000000004">
      <c r="B2920" s="5"/>
      <c r="C2920" s="5"/>
      <c r="D2920" s="5"/>
      <c r="E2920" s="5"/>
      <c r="F2920" s="5"/>
      <c r="G2920" s="5"/>
      <c r="H2920" s="5"/>
      <c r="I2920" s="5"/>
      <c r="J2920" s="5"/>
      <c r="K2920" s="5"/>
      <c r="L2920" s="5"/>
      <c r="M2920" s="5"/>
      <c r="N2920" s="5"/>
      <c r="O2920" s="5"/>
    </row>
    <row r="2921" spans="2:15" x14ac:dyDescent="0.55000000000000004">
      <c r="B2921" s="5"/>
      <c r="C2921" s="5"/>
      <c r="D2921" s="5"/>
      <c r="E2921" s="5"/>
      <c r="F2921" s="5"/>
      <c r="G2921" s="5"/>
      <c r="H2921" s="5"/>
      <c r="I2921" s="5"/>
      <c r="J2921" s="5"/>
      <c r="K2921" s="5"/>
      <c r="L2921" s="5"/>
      <c r="M2921" s="5"/>
      <c r="N2921" s="5"/>
      <c r="O2921" s="5"/>
    </row>
    <row r="2922" spans="2:15" x14ac:dyDescent="0.55000000000000004">
      <c r="B2922" s="5"/>
      <c r="C2922" s="5"/>
      <c r="D2922" s="5"/>
      <c r="E2922" s="5"/>
      <c r="F2922" s="5"/>
      <c r="G2922" s="5"/>
      <c r="H2922" s="5"/>
      <c r="I2922" s="5"/>
      <c r="J2922" s="5"/>
      <c r="K2922" s="5"/>
      <c r="L2922" s="5"/>
      <c r="M2922" s="5"/>
      <c r="N2922" s="5"/>
      <c r="O2922" s="5"/>
    </row>
    <row r="2923" spans="2:15" x14ac:dyDescent="0.55000000000000004">
      <c r="B2923" s="5"/>
      <c r="C2923" s="5"/>
      <c r="D2923" s="5"/>
      <c r="E2923" s="5"/>
      <c r="F2923" s="5"/>
      <c r="G2923" s="5"/>
      <c r="H2923" s="5"/>
      <c r="I2923" s="5"/>
      <c r="J2923" s="5"/>
      <c r="K2923" s="5"/>
      <c r="L2923" s="5"/>
      <c r="M2923" s="5"/>
      <c r="N2923" s="5"/>
      <c r="O2923" s="5"/>
    </row>
    <row r="2924" spans="2:15" x14ac:dyDescent="0.55000000000000004">
      <c r="B2924" s="5"/>
      <c r="C2924" s="5"/>
      <c r="D2924" s="5"/>
      <c r="E2924" s="5"/>
      <c r="F2924" s="5"/>
      <c r="G2924" s="5"/>
      <c r="H2924" s="5"/>
      <c r="I2924" s="5"/>
      <c r="J2924" s="5"/>
      <c r="K2924" s="5"/>
      <c r="L2924" s="5"/>
      <c r="M2924" s="5"/>
      <c r="N2924" s="5"/>
      <c r="O2924" s="5"/>
    </row>
    <row r="2925" spans="2:15" x14ac:dyDescent="0.55000000000000004">
      <c r="B2925" s="5"/>
      <c r="C2925" s="5"/>
      <c r="D2925" s="5"/>
      <c r="E2925" s="5"/>
      <c r="F2925" s="5"/>
      <c r="G2925" s="5"/>
      <c r="H2925" s="5"/>
      <c r="I2925" s="5"/>
      <c r="J2925" s="5"/>
      <c r="K2925" s="5"/>
      <c r="L2925" s="5"/>
      <c r="M2925" s="5"/>
      <c r="N2925" s="5"/>
      <c r="O2925" s="5"/>
    </row>
    <row r="2926" spans="2:15" x14ac:dyDescent="0.55000000000000004">
      <c r="B2926" s="5"/>
      <c r="C2926" s="5"/>
      <c r="D2926" s="5"/>
      <c r="E2926" s="5"/>
      <c r="F2926" s="5"/>
      <c r="G2926" s="5"/>
      <c r="H2926" s="5"/>
      <c r="I2926" s="5"/>
      <c r="J2926" s="5"/>
      <c r="K2926" s="5"/>
      <c r="L2926" s="5"/>
      <c r="M2926" s="5"/>
      <c r="N2926" s="5"/>
      <c r="O2926" s="5"/>
    </row>
    <row r="2927" spans="2:15" x14ac:dyDescent="0.55000000000000004">
      <c r="B2927" s="5"/>
      <c r="C2927" s="5"/>
      <c r="D2927" s="5"/>
      <c r="E2927" s="5"/>
      <c r="F2927" s="5"/>
      <c r="G2927" s="5"/>
      <c r="H2927" s="5"/>
      <c r="I2927" s="5"/>
      <c r="J2927" s="5"/>
      <c r="K2927" s="5"/>
      <c r="L2927" s="5"/>
      <c r="M2927" s="5"/>
      <c r="N2927" s="5"/>
      <c r="O2927" s="5"/>
    </row>
    <row r="2928" spans="2:15" x14ac:dyDescent="0.55000000000000004">
      <c r="B2928" s="5"/>
      <c r="C2928" s="5"/>
      <c r="D2928" s="5"/>
      <c r="E2928" s="5"/>
      <c r="F2928" s="5"/>
      <c r="G2928" s="5"/>
      <c r="H2928" s="5"/>
      <c r="I2928" s="5"/>
      <c r="J2928" s="5"/>
      <c r="K2928" s="5"/>
      <c r="L2928" s="5"/>
      <c r="M2928" s="5"/>
      <c r="N2928" s="5"/>
      <c r="O2928" s="5"/>
    </row>
    <row r="2929" spans="2:15" x14ac:dyDescent="0.55000000000000004">
      <c r="B2929" s="5"/>
      <c r="C2929" s="5"/>
      <c r="D2929" s="5"/>
      <c r="E2929" s="5"/>
      <c r="F2929" s="5"/>
      <c r="G2929" s="5"/>
      <c r="H2929" s="5"/>
      <c r="I2929" s="5"/>
      <c r="J2929" s="5"/>
      <c r="K2929" s="5"/>
      <c r="L2929" s="5"/>
      <c r="M2929" s="5"/>
      <c r="N2929" s="5"/>
      <c r="O2929" s="5"/>
    </row>
    <row r="2930" spans="2:15" x14ac:dyDescent="0.55000000000000004">
      <c r="B2930" s="5"/>
      <c r="C2930" s="5"/>
      <c r="D2930" s="5"/>
      <c r="E2930" s="5"/>
      <c r="F2930" s="5"/>
      <c r="G2930" s="5"/>
      <c r="H2930" s="5"/>
      <c r="I2930" s="5"/>
      <c r="J2930" s="5"/>
      <c r="K2930" s="5"/>
      <c r="L2930" s="5"/>
      <c r="M2930" s="5"/>
      <c r="N2930" s="5"/>
      <c r="O2930" s="5"/>
    </row>
    <row r="2931" spans="2:15" x14ac:dyDescent="0.55000000000000004">
      <c r="B2931" s="5"/>
      <c r="C2931" s="5"/>
      <c r="D2931" s="5"/>
      <c r="E2931" s="5"/>
      <c r="F2931" s="5"/>
      <c r="G2931" s="5"/>
      <c r="H2931" s="5"/>
      <c r="I2931" s="5"/>
      <c r="J2931" s="5"/>
      <c r="K2931" s="5"/>
      <c r="L2931" s="5"/>
      <c r="M2931" s="5"/>
      <c r="N2931" s="5"/>
      <c r="O2931" s="5"/>
    </row>
    <row r="2932" spans="2:15" x14ac:dyDescent="0.55000000000000004">
      <c r="B2932" s="5"/>
      <c r="C2932" s="5"/>
      <c r="D2932" s="5"/>
      <c r="E2932" s="5"/>
      <c r="F2932" s="5"/>
      <c r="G2932" s="5"/>
      <c r="H2932" s="5"/>
      <c r="I2932" s="5"/>
      <c r="J2932" s="5"/>
      <c r="K2932" s="5"/>
      <c r="L2932" s="5"/>
      <c r="M2932" s="5"/>
      <c r="N2932" s="5"/>
      <c r="O2932" s="5"/>
    </row>
    <row r="2933" spans="2:15" x14ac:dyDescent="0.55000000000000004">
      <c r="B2933" s="5"/>
      <c r="C2933" s="5"/>
      <c r="D2933" s="5"/>
      <c r="E2933" s="5"/>
      <c r="F2933" s="5"/>
      <c r="G2933" s="5"/>
      <c r="H2933" s="5"/>
      <c r="I2933" s="5"/>
      <c r="J2933" s="5"/>
      <c r="K2933" s="5"/>
      <c r="L2933" s="5"/>
      <c r="M2933" s="5"/>
      <c r="N2933" s="5"/>
      <c r="O2933" s="5"/>
    </row>
    <row r="2934" spans="2:15" x14ac:dyDescent="0.55000000000000004">
      <c r="B2934" s="5"/>
      <c r="C2934" s="5"/>
      <c r="D2934" s="5"/>
      <c r="E2934" s="5"/>
      <c r="F2934" s="5"/>
      <c r="G2934" s="5"/>
      <c r="H2934" s="5"/>
      <c r="I2934" s="5"/>
      <c r="J2934" s="5"/>
      <c r="K2934" s="5"/>
      <c r="L2934" s="5"/>
      <c r="M2934" s="5"/>
      <c r="N2934" s="5"/>
      <c r="O2934" s="5"/>
    </row>
    <row r="2935" spans="2:15" x14ac:dyDescent="0.55000000000000004">
      <c r="B2935" s="5"/>
      <c r="C2935" s="5"/>
      <c r="D2935" s="5"/>
      <c r="E2935" s="5"/>
      <c r="F2935" s="5"/>
      <c r="G2935" s="5"/>
      <c r="H2935" s="5"/>
      <c r="I2935" s="5"/>
      <c r="J2935" s="5"/>
      <c r="K2935" s="5"/>
      <c r="L2935" s="5"/>
      <c r="M2935" s="5"/>
      <c r="N2935" s="5"/>
      <c r="O2935" s="5"/>
    </row>
    <row r="2936" spans="2:15" x14ac:dyDescent="0.55000000000000004">
      <c r="B2936" s="5"/>
      <c r="C2936" s="5"/>
      <c r="D2936" s="5"/>
      <c r="E2936" s="5"/>
      <c r="F2936" s="5"/>
      <c r="G2936" s="5"/>
      <c r="H2936" s="5"/>
      <c r="I2936" s="5"/>
      <c r="J2936" s="5"/>
      <c r="K2936" s="5"/>
      <c r="L2936" s="5"/>
      <c r="M2936" s="5"/>
      <c r="N2936" s="5"/>
      <c r="O2936" s="5"/>
    </row>
    <row r="2937" spans="2:15" x14ac:dyDescent="0.55000000000000004"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5"/>
      <c r="M2937" s="5"/>
      <c r="N2937" s="5"/>
      <c r="O2937" s="5"/>
    </row>
    <row r="2938" spans="2:15" x14ac:dyDescent="0.55000000000000004">
      <c r="B2938" s="5"/>
      <c r="C2938" s="5"/>
      <c r="D2938" s="5"/>
      <c r="E2938" s="5"/>
      <c r="F2938" s="5"/>
      <c r="G2938" s="5"/>
      <c r="H2938" s="5"/>
      <c r="I2938" s="5"/>
      <c r="J2938" s="5"/>
      <c r="K2938" s="5"/>
      <c r="L2938" s="5"/>
      <c r="M2938" s="5"/>
      <c r="N2938" s="5"/>
      <c r="O2938" s="5"/>
    </row>
    <row r="2939" spans="2:15" x14ac:dyDescent="0.55000000000000004">
      <c r="B2939" s="5"/>
      <c r="C2939" s="5"/>
      <c r="D2939" s="5"/>
      <c r="E2939" s="5"/>
      <c r="F2939" s="5"/>
      <c r="G2939" s="5"/>
      <c r="H2939" s="5"/>
      <c r="I2939" s="5"/>
      <c r="J2939" s="5"/>
      <c r="K2939" s="5"/>
      <c r="L2939" s="5"/>
      <c r="M2939" s="5"/>
      <c r="N2939" s="5"/>
      <c r="O2939" s="5"/>
    </row>
    <row r="2940" spans="2:15" x14ac:dyDescent="0.55000000000000004">
      <c r="B2940" s="5"/>
      <c r="C2940" s="5"/>
      <c r="D2940" s="5"/>
      <c r="E2940" s="5"/>
      <c r="F2940" s="5"/>
      <c r="G2940" s="5"/>
      <c r="H2940" s="5"/>
      <c r="I2940" s="5"/>
      <c r="J2940" s="5"/>
      <c r="K2940" s="5"/>
      <c r="L2940" s="5"/>
      <c r="M2940" s="5"/>
      <c r="N2940" s="5"/>
      <c r="O2940" s="5"/>
    </row>
    <row r="2941" spans="2:15" x14ac:dyDescent="0.55000000000000004">
      <c r="B2941" s="5"/>
      <c r="C2941" s="5"/>
      <c r="D2941" s="5"/>
      <c r="E2941" s="5"/>
      <c r="F2941" s="5"/>
      <c r="G2941" s="5"/>
      <c r="H2941" s="5"/>
      <c r="I2941" s="5"/>
      <c r="J2941" s="5"/>
      <c r="K2941" s="5"/>
      <c r="L2941" s="5"/>
      <c r="M2941" s="5"/>
      <c r="N2941" s="5"/>
      <c r="O2941" s="5"/>
    </row>
    <row r="2942" spans="2:15" x14ac:dyDescent="0.55000000000000004">
      <c r="B2942" s="5"/>
      <c r="C2942" s="5"/>
      <c r="D2942" s="5"/>
      <c r="E2942" s="5"/>
      <c r="F2942" s="5"/>
      <c r="G2942" s="5"/>
      <c r="H2942" s="5"/>
      <c r="I2942" s="5"/>
      <c r="J2942" s="5"/>
      <c r="K2942" s="5"/>
      <c r="L2942" s="5"/>
      <c r="M2942" s="5"/>
      <c r="N2942" s="5"/>
      <c r="O2942" s="5"/>
    </row>
    <row r="2943" spans="2:15" x14ac:dyDescent="0.55000000000000004">
      <c r="B2943" s="5"/>
      <c r="C2943" s="5"/>
      <c r="D2943" s="5"/>
      <c r="E2943" s="5"/>
      <c r="F2943" s="5"/>
      <c r="G2943" s="5"/>
      <c r="H2943" s="5"/>
      <c r="I2943" s="5"/>
      <c r="J2943" s="5"/>
      <c r="K2943" s="5"/>
      <c r="L2943" s="5"/>
      <c r="M2943" s="5"/>
      <c r="N2943" s="5"/>
      <c r="O2943" s="5"/>
    </row>
    <row r="2944" spans="2:15" x14ac:dyDescent="0.55000000000000004">
      <c r="B2944" s="5"/>
      <c r="C2944" s="5"/>
      <c r="D2944" s="5"/>
      <c r="E2944" s="5"/>
      <c r="F2944" s="5"/>
      <c r="G2944" s="5"/>
      <c r="H2944" s="5"/>
      <c r="I2944" s="5"/>
      <c r="J2944" s="5"/>
      <c r="K2944" s="5"/>
      <c r="L2944" s="5"/>
      <c r="M2944" s="5"/>
      <c r="N2944" s="5"/>
      <c r="O2944" s="5"/>
    </row>
    <row r="2945" spans="2:15" x14ac:dyDescent="0.55000000000000004">
      <c r="B2945" s="5"/>
      <c r="C2945" s="5"/>
      <c r="D2945" s="5"/>
      <c r="E2945" s="5"/>
      <c r="F2945" s="5"/>
      <c r="G2945" s="5"/>
      <c r="H2945" s="5"/>
      <c r="I2945" s="5"/>
      <c r="J2945" s="5"/>
      <c r="K2945" s="5"/>
      <c r="L2945" s="5"/>
      <c r="M2945" s="5"/>
      <c r="N2945" s="5"/>
      <c r="O2945" s="5"/>
    </row>
    <row r="2946" spans="2:15" x14ac:dyDescent="0.55000000000000004">
      <c r="B2946" s="5"/>
      <c r="C2946" s="5"/>
      <c r="D2946" s="5"/>
      <c r="E2946" s="5"/>
      <c r="F2946" s="5"/>
      <c r="G2946" s="5"/>
      <c r="H2946" s="5"/>
      <c r="I2946" s="5"/>
      <c r="J2946" s="5"/>
      <c r="K2946" s="5"/>
      <c r="L2946" s="5"/>
      <c r="M2946" s="5"/>
      <c r="N2946" s="5"/>
      <c r="O2946" s="5"/>
    </row>
    <row r="2947" spans="2:15" x14ac:dyDescent="0.55000000000000004">
      <c r="B2947" s="5"/>
      <c r="C2947" s="5"/>
      <c r="D2947" s="5"/>
      <c r="E2947" s="5"/>
      <c r="F2947" s="5"/>
      <c r="G2947" s="5"/>
      <c r="H2947" s="5"/>
      <c r="I2947" s="5"/>
      <c r="J2947" s="5"/>
      <c r="K2947" s="5"/>
      <c r="L2947" s="5"/>
      <c r="M2947" s="5"/>
      <c r="N2947" s="5"/>
      <c r="O2947" s="5"/>
    </row>
    <row r="2948" spans="2:15" x14ac:dyDescent="0.55000000000000004">
      <c r="B2948" s="5"/>
      <c r="C2948" s="5"/>
      <c r="D2948" s="5"/>
      <c r="E2948" s="5"/>
      <c r="F2948" s="5"/>
      <c r="G2948" s="5"/>
      <c r="H2948" s="5"/>
      <c r="I2948" s="5"/>
      <c r="J2948" s="5"/>
      <c r="K2948" s="5"/>
      <c r="L2948" s="5"/>
      <c r="M2948" s="5"/>
      <c r="N2948" s="5"/>
      <c r="O2948" s="5"/>
    </row>
    <row r="2949" spans="2:15" x14ac:dyDescent="0.55000000000000004">
      <c r="B2949" s="5"/>
      <c r="C2949" s="5"/>
      <c r="D2949" s="5"/>
      <c r="E2949" s="5"/>
      <c r="F2949" s="5"/>
      <c r="G2949" s="5"/>
      <c r="H2949" s="5"/>
      <c r="I2949" s="5"/>
      <c r="J2949" s="5"/>
      <c r="K2949" s="5"/>
      <c r="L2949" s="5"/>
      <c r="M2949" s="5"/>
      <c r="N2949" s="5"/>
      <c r="O2949" s="5"/>
    </row>
    <row r="2950" spans="2:15" x14ac:dyDescent="0.55000000000000004">
      <c r="B2950" s="5"/>
      <c r="C2950" s="5"/>
      <c r="D2950" s="5"/>
      <c r="E2950" s="5"/>
      <c r="F2950" s="5"/>
      <c r="G2950" s="5"/>
      <c r="H2950" s="5"/>
      <c r="I2950" s="5"/>
      <c r="J2950" s="5"/>
      <c r="K2950" s="5"/>
      <c r="L2950" s="5"/>
      <c r="M2950" s="5"/>
      <c r="N2950" s="5"/>
      <c r="O2950" s="5"/>
    </row>
    <row r="2951" spans="2:15" x14ac:dyDescent="0.55000000000000004">
      <c r="B2951" s="5"/>
      <c r="C2951" s="5"/>
      <c r="D2951" s="5"/>
      <c r="E2951" s="5"/>
      <c r="F2951" s="5"/>
      <c r="G2951" s="5"/>
      <c r="H2951" s="5"/>
      <c r="I2951" s="5"/>
      <c r="J2951" s="5"/>
      <c r="K2951" s="5"/>
      <c r="L2951" s="5"/>
      <c r="M2951" s="5"/>
      <c r="N2951" s="5"/>
      <c r="O2951" s="5"/>
    </row>
    <row r="2952" spans="2:15" x14ac:dyDescent="0.55000000000000004">
      <c r="B2952" s="5"/>
      <c r="C2952" s="5"/>
      <c r="D2952" s="5"/>
      <c r="E2952" s="5"/>
      <c r="F2952" s="5"/>
      <c r="G2952" s="5"/>
      <c r="H2952" s="5"/>
      <c r="I2952" s="5"/>
      <c r="J2952" s="5"/>
      <c r="K2952" s="5"/>
      <c r="L2952" s="5"/>
      <c r="M2952" s="5"/>
      <c r="N2952" s="5"/>
      <c r="O2952" s="5"/>
    </row>
    <row r="2953" spans="2:15" x14ac:dyDescent="0.55000000000000004">
      <c r="B2953" s="5"/>
      <c r="C2953" s="5"/>
      <c r="D2953" s="5"/>
      <c r="E2953" s="5"/>
      <c r="F2953" s="5"/>
      <c r="G2953" s="5"/>
      <c r="H2953" s="5"/>
      <c r="I2953" s="5"/>
      <c r="J2953" s="5"/>
      <c r="K2953" s="5"/>
      <c r="L2953" s="5"/>
      <c r="M2953" s="5"/>
      <c r="N2953" s="5"/>
      <c r="O2953" s="5"/>
    </row>
    <row r="2954" spans="2:15" x14ac:dyDescent="0.55000000000000004">
      <c r="B2954" s="5"/>
      <c r="C2954" s="5"/>
      <c r="D2954" s="5"/>
      <c r="E2954" s="5"/>
      <c r="F2954" s="5"/>
      <c r="G2954" s="5"/>
      <c r="H2954" s="5"/>
      <c r="I2954" s="5"/>
      <c r="J2954" s="5"/>
      <c r="K2954" s="5"/>
      <c r="L2954" s="5"/>
      <c r="M2954" s="5"/>
      <c r="N2954" s="5"/>
      <c r="O2954" s="5"/>
    </row>
    <row r="2955" spans="2:15" x14ac:dyDescent="0.55000000000000004">
      <c r="B2955" s="5"/>
      <c r="C2955" s="5"/>
      <c r="D2955" s="5"/>
      <c r="E2955" s="5"/>
      <c r="F2955" s="5"/>
      <c r="G2955" s="5"/>
      <c r="H2955" s="5"/>
      <c r="I2955" s="5"/>
      <c r="J2955" s="5"/>
      <c r="K2955" s="5"/>
      <c r="L2955" s="5"/>
      <c r="M2955" s="5"/>
      <c r="N2955" s="5"/>
      <c r="O2955" s="5"/>
    </row>
    <row r="2956" spans="2:15" x14ac:dyDescent="0.55000000000000004">
      <c r="B2956" s="5"/>
      <c r="C2956" s="5"/>
      <c r="D2956" s="5"/>
      <c r="E2956" s="5"/>
      <c r="F2956" s="5"/>
      <c r="G2956" s="5"/>
      <c r="H2956" s="5"/>
      <c r="I2956" s="5"/>
      <c r="J2956" s="5"/>
      <c r="K2956" s="5"/>
      <c r="L2956" s="5"/>
      <c r="M2956" s="5"/>
      <c r="N2956" s="5"/>
      <c r="O2956" s="5"/>
    </row>
    <row r="2957" spans="2:15" x14ac:dyDescent="0.55000000000000004">
      <c r="B2957" s="5"/>
      <c r="C2957" s="5"/>
      <c r="D2957" s="5"/>
      <c r="E2957" s="5"/>
      <c r="F2957" s="5"/>
      <c r="G2957" s="5"/>
      <c r="H2957" s="5"/>
      <c r="I2957" s="5"/>
      <c r="J2957" s="5"/>
      <c r="K2957" s="5"/>
      <c r="L2957" s="5"/>
      <c r="M2957" s="5"/>
      <c r="N2957" s="5"/>
      <c r="O2957" s="5"/>
    </row>
    <row r="2958" spans="2:15" x14ac:dyDescent="0.55000000000000004">
      <c r="B2958" s="5"/>
      <c r="C2958" s="5"/>
      <c r="D2958" s="5"/>
      <c r="E2958" s="5"/>
      <c r="F2958" s="5"/>
      <c r="G2958" s="5"/>
      <c r="H2958" s="5"/>
      <c r="I2958" s="5"/>
      <c r="J2958" s="5"/>
      <c r="K2958" s="5"/>
      <c r="L2958" s="5"/>
      <c r="M2958" s="5"/>
      <c r="N2958" s="5"/>
      <c r="O2958" s="5"/>
    </row>
    <row r="2959" spans="2:15" x14ac:dyDescent="0.55000000000000004">
      <c r="B2959" s="5"/>
      <c r="C2959" s="5"/>
      <c r="D2959" s="5"/>
      <c r="E2959" s="5"/>
      <c r="F2959" s="5"/>
      <c r="G2959" s="5"/>
      <c r="H2959" s="5"/>
      <c r="I2959" s="5"/>
      <c r="J2959" s="5"/>
      <c r="K2959" s="5"/>
      <c r="L2959" s="5"/>
      <c r="M2959" s="5"/>
      <c r="N2959" s="5"/>
      <c r="O2959" s="5"/>
    </row>
    <row r="2960" spans="2:15" x14ac:dyDescent="0.55000000000000004">
      <c r="B2960" s="5"/>
      <c r="C2960" s="5"/>
      <c r="D2960" s="5"/>
      <c r="E2960" s="5"/>
      <c r="F2960" s="5"/>
      <c r="G2960" s="5"/>
      <c r="H2960" s="5"/>
      <c r="I2960" s="5"/>
      <c r="J2960" s="5"/>
      <c r="K2960" s="5"/>
      <c r="L2960" s="5"/>
      <c r="M2960" s="5"/>
      <c r="N2960" s="5"/>
      <c r="O2960" s="5"/>
    </row>
    <row r="2961" spans="2:15" x14ac:dyDescent="0.55000000000000004"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5"/>
      <c r="M2961" s="5"/>
      <c r="N2961" s="5"/>
      <c r="O2961" s="5"/>
    </row>
    <row r="2962" spans="2:15" x14ac:dyDescent="0.55000000000000004">
      <c r="B2962" s="5"/>
      <c r="C2962" s="5"/>
      <c r="D2962" s="5"/>
      <c r="E2962" s="5"/>
      <c r="F2962" s="5"/>
      <c r="G2962" s="5"/>
      <c r="H2962" s="5"/>
      <c r="I2962" s="5"/>
      <c r="J2962" s="5"/>
      <c r="K2962" s="5"/>
      <c r="L2962" s="5"/>
      <c r="M2962" s="5"/>
      <c r="N2962" s="5"/>
      <c r="O2962" s="5"/>
    </row>
    <row r="2963" spans="2:15" x14ac:dyDescent="0.55000000000000004">
      <c r="B2963" s="5"/>
      <c r="C2963" s="5"/>
      <c r="D2963" s="5"/>
      <c r="E2963" s="5"/>
      <c r="F2963" s="5"/>
      <c r="G2963" s="5"/>
      <c r="H2963" s="5"/>
      <c r="I2963" s="5"/>
      <c r="J2963" s="5"/>
      <c r="K2963" s="5"/>
      <c r="L2963" s="5"/>
      <c r="M2963" s="5"/>
      <c r="N2963" s="5"/>
      <c r="O2963" s="5"/>
    </row>
    <row r="2964" spans="2:15" x14ac:dyDescent="0.55000000000000004">
      <c r="B2964" s="5"/>
      <c r="C2964" s="5"/>
      <c r="D2964" s="5"/>
      <c r="E2964" s="5"/>
      <c r="F2964" s="5"/>
      <c r="G2964" s="5"/>
      <c r="H2964" s="5"/>
      <c r="I2964" s="5"/>
      <c r="J2964" s="5"/>
      <c r="K2964" s="5"/>
      <c r="L2964" s="5"/>
      <c r="M2964" s="5"/>
      <c r="N2964" s="5"/>
      <c r="O2964" s="5"/>
    </row>
    <row r="2965" spans="2:15" x14ac:dyDescent="0.55000000000000004">
      <c r="B2965" s="5"/>
      <c r="C2965" s="5"/>
      <c r="D2965" s="5"/>
      <c r="E2965" s="5"/>
      <c r="F2965" s="5"/>
      <c r="G2965" s="5"/>
      <c r="H2965" s="5"/>
      <c r="I2965" s="5"/>
      <c r="J2965" s="5"/>
      <c r="K2965" s="5"/>
      <c r="L2965" s="5"/>
      <c r="M2965" s="5"/>
      <c r="N2965" s="5"/>
      <c r="O2965" s="5"/>
    </row>
    <row r="2966" spans="2:15" x14ac:dyDescent="0.55000000000000004">
      <c r="B2966" s="5"/>
      <c r="C2966" s="5"/>
      <c r="D2966" s="5"/>
      <c r="E2966" s="5"/>
      <c r="F2966" s="5"/>
      <c r="G2966" s="5"/>
      <c r="H2966" s="5"/>
      <c r="I2966" s="5"/>
      <c r="J2966" s="5"/>
      <c r="K2966" s="5"/>
      <c r="L2966" s="5"/>
      <c r="M2966" s="5"/>
      <c r="N2966" s="5"/>
      <c r="O2966" s="5"/>
    </row>
    <row r="2967" spans="2:15" x14ac:dyDescent="0.55000000000000004">
      <c r="B2967" s="5"/>
      <c r="C2967" s="5"/>
      <c r="D2967" s="5"/>
      <c r="E2967" s="5"/>
      <c r="F2967" s="5"/>
      <c r="G2967" s="5"/>
      <c r="H2967" s="5"/>
      <c r="I2967" s="5"/>
      <c r="J2967" s="5"/>
      <c r="K2967" s="5"/>
      <c r="L2967" s="5"/>
      <c r="M2967" s="5"/>
      <c r="N2967" s="5"/>
      <c r="O2967" s="5"/>
    </row>
    <row r="2968" spans="2:15" x14ac:dyDescent="0.55000000000000004">
      <c r="B2968" s="5"/>
      <c r="C2968" s="5"/>
      <c r="D2968" s="5"/>
      <c r="E2968" s="5"/>
      <c r="F2968" s="5"/>
      <c r="G2968" s="5"/>
      <c r="H2968" s="5"/>
      <c r="I2968" s="5"/>
      <c r="J2968" s="5"/>
      <c r="K2968" s="5"/>
      <c r="L2968" s="5"/>
      <c r="M2968" s="5"/>
      <c r="N2968" s="5"/>
      <c r="O2968" s="5"/>
    </row>
    <row r="2969" spans="2:15" x14ac:dyDescent="0.55000000000000004">
      <c r="B2969" s="5"/>
      <c r="C2969" s="5"/>
      <c r="D2969" s="5"/>
      <c r="E2969" s="5"/>
      <c r="F2969" s="5"/>
      <c r="G2969" s="5"/>
      <c r="H2969" s="5"/>
      <c r="I2969" s="5"/>
      <c r="J2969" s="5"/>
      <c r="K2969" s="5"/>
      <c r="L2969" s="5"/>
      <c r="M2969" s="5"/>
      <c r="N2969" s="5"/>
      <c r="O2969" s="5"/>
    </row>
    <row r="2970" spans="2:15" x14ac:dyDescent="0.55000000000000004">
      <c r="B2970" s="5"/>
      <c r="C2970" s="5"/>
      <c r="D2970" s="5"/>
      <c r="E2970" s="5"/>
      <c r="F2970" s="5"/>
      <c r="G2970" s="5"/>
      <c r="H2970" s="5"/>
      <c r="I2970" s="5"/>
      <c r="J2970" s="5"/>
      <c r="K2970" s="5"/>
      <c r="L2970" s="5"/>
      <c r="M2970" s="5"/>
      <c r="N2970" s="5"/>
      <c r="O2970" s="5"/>
    </row>
    <row r="2971" spans="2:15" x14ac:dyDescent="0.55000000000000004">
      <c r="B2971" s="5"/>
      <c r="C2971" s="5"/>
      <c r="D2971" s="5"/>
      <c r="E2971" s="5"/>
      <c r="F2971" s="5"/>
      <c r="G2971" s="5"/>
      <c r="H2971" s="5"/>
      <c r="I2971" s="5"/>
      <c r="J2971" s="5"/>
      <c r="K2971" s="5"/>
      <c r="L2971" s="5"/>
      <c r="M2971" s="5"/>
      <c r="N2971" s="5"/>
      <c r="O2971" s="5"/>
    </row>
    <row r="2972" spans="2:15" x14ac:dyDescent="0.55000000000000004">
      <c r="B2972" s="5"/>
      <c r="C2972" s="5"/>
      <c r="D2972" s="5"/>
      <c r="E2972" s="5"/>
      <c r="F2972" s="5"/>
      <c r="G2972" s="5"/>
      <c r="H2972" s="5"/>
      <c r="I2972" s="5"/>
      <c r="J2972" s="5"/>
      <c r="K2972" s="5"/>
      <c r="L2972" s="5"/>
      <c r="M2972" s="5"/>
      <c r="N2972" s="5"/>
      <c r="O2972" s="5"/>
    </row>
    <row r="2973" spans="2:15" x14ac:dyDescent="0.55000000000000004">
      <c r="B2973" s="5"/>
      <c r="C2973" s="5"/>
      <c r="D2973" s="5"/>
      <c r="E2973" s="5"/>
      <c r="F2973" s="5"/>
      <c r="G2973" s="5"/>
      <c r="H2973" s="5"/>
      <c r="I2973" s="5"/>
      <c r="J2973" s="5"/>
      <c r="K2973" s="5"/>
      <c r="L2973" s="5"/>
      <c r="M2973" s="5"/>
      <c r="N2973" s="5"/>
      <c r="O2973" s="5"/>
    </row>
    <row r="2974" spans="2:15" x14ac:dyDescent="0.55000000000000004">
      <c r="B2974" s="5"/>
      <c r="C2974" s="5"/>
      <c r="D2974" s="5"/>
      <c r="E2974" s="5"/>
      <c r="F2974" s="5"/>
      <c r="G2974" s="5"/>
      <c r="H2974" s="5"/>
      <c r="I2974" s="5"/>
      <c r="J2974" s="5"/>
      <c r="K2974" s="5"/>
      <c r="L2974" s="5"/>
      <c r="M2974" s="5"/>
      <c r="N2974" s="5"/>
      <c r="O2974" s="5"/>
    </row>
    <row r="2975" spans="2:15" x14ac:dyDescent="0.55000000000000004">
      <c r="B2975" s="5"/>
      <c r="C2975" s="5"/>
      <c r="D2975" s="5"/>
      <c r="E2975" s="5"/>
      <c r="F2975" s="5"/>
      <c r="G2975" s="5"/>
      <c r="H2975" s="5"/>
      <c r="I2975" s="5"/>
      <c r="J2975" s="5"/>
      <c r="K2975" s="5"/>
      <c r="L2975" s="5"/>
      <c r="M2975" s="5"/>
      <c r="N2975" s="5"/>
      <c r="O2975" s="5"/>
    </row>
    <row r="2976" spans="2:15" x14ac:dyDescent="0.55000000000000004">
      <c r="B2976" s="5"/>
      <c r="C2976" s="5"/>
      <c r="D2976" s="5"/>
      <c r="E2976" s="5"/>
      <c r="F2976" s="5"/>
      <c r="G2976" s="5"/>
      <c r="H2976" s="5"/>
      <c r="I2976" s="5"/>
      <c r="J2976" s="5"/>
      <c r="K2976" s="5"/>
      <c r="L2976" s="5"/>
      <c r="M2976" s="5"/>
      <c r="N2976" s="5"/>
      <c r="O2976" s="5"/>
    </row>
    <row r="2977" spans="2:15" x14ac:dyDescent="0.55000000000000004">
      <c r="B2977" s="5"/>
      <c r="C2977" s="5"/>
      <c r="D2977" s="5"/>
      <c r="E2977" s="5"/>
      <c r="F2977" s="5"/>
      <c r="G2977" s="5"/>
      <c r="H2977" s="5"/>
      <c r="I2977" s="5"/>
      <c r="J2977" s="5"/>
      <c r="K2977" s="5"/>
      <c r="L2977" s="5"/>
      <c r="M2977" s="5"/>
      <c r="N2977" s="5"/>
      <c r="O2977" s="5"/>
    </row>
    <row r="2978" spans="2:15" x14ac:dyDescent="0.55000000000000004">
      <c r="B2978" s="5"/>
      <c r="C2978" s="5"/>
      <c r="D2978" s="5"/>
      <c r="E2978" s="5"/>
      <c r="F2978" s="5"/>
      <c r="G2978" s="5"/>
      <c r="H2978" s="5"/>
      <c r="I2978" s="5"/>
      <c r="J2978" s="5"/>
      <c r="K2978" s="5"/>
      <c r="L2978" s="5"/>
      <c r="M2978" s="5"/>
      <c r="N2978" s="5"/>
      <c r="O2978" s="5"/>
    </row>
    <row r="2979" spans="2:15" x14ac:dyDescent="0.55000000000000004">
      <c r="B2979" s="5"/>
      <c r="C2979" s="5"/>
      <c r="D2979" s="5"/>
      <c r="E2979" s="5"/>
      <c r="F2979" s="5"/>
      <c r="G2979" s="5"/>
      <c r="H2979" s="5"/>
      <c r="I2979" s="5"/>
      <c r="J2979" s="5"/>
      <c r="K2979" s="5"/>
      <c r="L2979" s="5"/>
      <c r="M2979" s="5"/>
      <c r="N2979" s="5"/>
      <c r="O2979" s="5"/>
    </row>
    <row r="2980" spans="2:15" x14ac:dyDescent="0.55000000000000004">
      <c r="B2980" s="5"/>
      <c r="C2980" s="5"/>
      <c r="D2980" s="5"/>
      <c r="E2980" s="5"/>
      <c r="F2980" s="5"/>
      <c r="G2980" s="5"/>
      <c r="H2980" s="5"/>
      <c r="I2980" s="5"/>
      <c r="J2980" s="5"/>
      <c r="K2980" s="5"/>
      <c r="L2980" s="5"/>
      <c r="M2980" s="5"/>
      <c r="N2980" s="5"/>
      <c r="O2980" s="5"/>
    </row>
    <row r="2981" spans="2:15" x14ac:dyDescent="0.55000000000000004">
      <c r="B2981" s="5"/>
      <c r="C2981" s="5"/>
      <c r="D2981" s="5"/>
      <c r="E2981" s="5"/>
      <c r="F2981" s="5"/>
      <c r="G2981" s="5"/>
      <c r="H2981" s="5"/>
      <c r="I2981" s="5"/>
      <c r="J2981" s="5"/>
      <c r="K2981" s="5"/>
      <c r="L2981" s="5"/>
      <c r="M2981" s="5"/>
      <c r="N2981" s="5"/>
      <c r="O2981" s="5"/>
    </row>
    <row r="2982" spans="2:15" x14ac:dyDescent="0.55000000000000004">
      <c r="B2982" s="5"/>
      <c r="C2982" s="5"/>
      <c r="D2982" s="5"/>
      <c r="E2982" s="5"/>
      <c r="F2982" s="5"/>
      <c r="G2982" s="5"/>
      <c r="H2982" s="5"/>
      <c r="I2982" s="5"/>
      <c r="J2982" s="5"/>
      <c r="K2982" s="5"/>
      <c r="L2982" s="5"/>
      <c r="M2982" s="5"/>
      <c r="N2982" s="5"/>
      <c r="O2982" s="5"/>
    </row>
    <row r="2983" spans="2:15" x14ac:dyDescent="0.55000000000000004">
      <c r="B2983" s="5"/>
      <c r="C2983" s="5"/>
      <c r="D2983" s="5"/>
      <c r="E2983" s="5"/>
      <c r="F2983" s="5"/>
      <c r="G2983" s="5"/>
      <c r="H2983" s="5"/>
      <c r="I2983" s="5"/>
      <c r="J2983" s="5"/>
      <c r="K2983" s="5"/>
      <c r="L2983" s="5"/>
      <c r="M2983" s="5"/>
      <c r="N2983" s="5"/>
      <c r="O2983" s="5"/>
    </row>
    <row r="2984" spans="2:15" x14ac:dyDescent="0.55000000000000004">
      <c r="B2984" s="5"/>
      <c r="C2984" s="5"/>
      <c r="D2984" s="5"/>
      <c r="E2984" s="5"/>
      <c r="F2984" s="5"/>
      <c r="G2984" s="5"/>
      <c r="H2984" s="5"/>
      <c r="I2984" s="5"/>
      <c r="J2984" s="5"/>
      <c r="K2984" s="5"/>
      <c r="L2984" s="5"/>
      <c r="M2984" s="5"/>
      <c r="N2984" s="5"/>
      <c r="O2984" s="5"/>
    </row>
    <row r="2985" spans="2:15" x14ac:dyDescent="0.55000000000000004">
      <c r="B2985" s="5"/>
      <c r="C2985" s="5"/>
      <c r="D2985" s="5"/>
      <c r="E2985" s="5"/>
      <c r="F2985" s="5"/>
      <c r="G2985" s="5"/>
      <c r="H2985" s="5"/>
      <c r="I2985" s="5"/>
      <c r="J2985" s="5"/>
      <c r="K2985" s="5"/>
      <c r="L2985" s="5"/>
      <c r="M2985" s="5"/>
      <c r="N2985" s="5"/>
      <c r="O2985" s="5"/>
    </row>
    <row r="2986" spans="2:15" x14ac:dyDescent="0.55000000000000004">
      <c r="B2986" s="5"/>
      <c r="C2986" s="5"/>
      <c r="D2986" s="5"/>
      <c r="E2986" s="5"/>
      <c r="F2986" s="5"/>
      <c r="G2986" s="5"/>
      <c r="H2986" s="5"/>
      <c r="I2986" s="5"/>
      <c r="J2986" s="5"/>
      <c r="K2986" s="5"/>
      <c r="L2986" s="5"/>
      <c r="M2986" s="5"/>
      <c r="N2986" s="5"/>
      <c r="O2986" s="5"/>
    </row>
    <row r="2987" spans="2:15" x14ac:dyDescent="0.55000000000000004">
      <c r="B2987" s="5"/>
      <c r="C2987" s="5"/>
      <c r="D2987" s="5"/>
      <c r="E2987" s="5"/>
      <c r="F2987" s="5"/>
      <c r="G2987" s="5"/>
      <c r="H2987" s="5"/>
      <c r="I2987" s="5"/>
      <c r="J2987" s="5"/>
      <c r="K2987" s="5"/>
      <c r="L2987" s="5"/>
      <c r="M2987" s="5"/>
      <c r="N2987" s="5"/>
      <c r="O2987" s="5"/>
    </row>
    <row r="2988" spans="2:15" x14ac:dyDescent="0.55000000000000004">
      <c r="B2988" s="5"/>
      <c r="C2988" s="5"/>
      <c r="D2988" s="5"/>
      <c r="E2988" s="5"/>
      <c r="F2988" s="5"/>
      <c r="G2988" s="5"/>
      <c r="H2988" s="5"/>
      <c r="I2988" s="5"/>
      <c r="J2988" s="5"/>
      <c r="K2988" s="5"/>
      <c r="L2988" s="5"/>
      <c r="M2988" s="5"/>
      <c r="N2988" s="5"/>
      <c r="O2988" s="5"/>
    </row>
    <row r="2989" spans="2:15" x14ac:dyDescent="0.55000000000000004">
      <c r="B2989" s="5"/>
      <c r="C2989" s="5"/>
      <c r="D2989" s="5"/>
      <c r="E2989" s="5"/>
      <c r="F2989" s="5"/>
      <c r="G2989" s="5"/>
      <c r="H2989" s="5"/>
      <c r="I2989" s="5"/>
      <c r="J2989" s="5"/>
      <c r="K2989" s="5"/>
      <c r="L2989" s="5"/>
      <c r="M2989" s="5"/>
      <c r="N2989" s="5"/>
      <c r="O2989" s="5"/>
    </row>
    <row r="2990" spans="2:15" x14ac:dyDescent="0.55000000000000004">
      <c r="B2990" s="5"/>
      <c r="C2990" s="5"/>
      <c r="D2990" s="5"/>
      <c r="E2990" s="5"/>
      <c r="F2990" s="5"/>
      <c r="G2990" s="5"/>
      <c r="H2990" s="5"/>
      <c r="I2990" s="5"/>
      <c r="J2990" s="5"/>
      <c r="K2990" s="5"/>
      <c r="L2990" s="5"/>
      <c r="M2990" s="5"/>
      <c r="N2990" s="5"/>
      <c r="O2990" s="5"/>
    </row>
    <row r="2991" spans="2:15" x14ac:dyDescent="0.55000000000000004">
      <c r="B2991" s="5"/>
      <c r="C2991" s="5"/>
      <c r="D2991" s="5"/>
      <c r="E2991" s="5"/>
      <c r="F2991" s="5"/>
      <c r="G2991" s="5"/>
      <c r="H2991" s="5"/>
      <c r="I2991" s="5"/>
      <c r="J2991" s="5"/>
      <c r="K2991" s="5"/>
      <c r="L2991" s="5"/>
      <c r="M2991" s="5"/>
      <c r="N2991" s="5"/>
      <c r="O2991" s="5"/>
    </row>
    <row r="2992" spans="2:15" x14ac:dyDescent="0.55000000000000004">
      <c r="B2992" s="5"/>
      <c r="C2992" s="5"/>
      <c r="D2992" s="5"/>
      <c r="E2992" s="5"/>
      <c r="F2992" s="5"/>
      <c r="G2992" s="5"/>
      <c r="H2992" s="5"/>
      <c r="I2992" s="5"/>
      <c r="J2992" s="5"/>
      <c r="K2992" s="5"/>
      <c r="L2992" s="5"/>
      <c r="M2992" s="5"/>
      <c r="N2992" s="5"/>
      <c r="O2992" s="5"/>
    </row>
    <row r="2993" spans="2:15" x14ac:dyDescent="0.55000000000000004">
      <c r="B2993" s="5"/>
      <c r="C2993" s="5"/>
      <c r="D2993" s="5"/>
      <c r="E2993" s="5"/>
      <c r="F2993" s="5"/>
      <c r="G2993" s="5"/>
      <c r="H2993" s="5"/>
      <c r="I2993" s="5"/>
      <c r="J2993" s="5"/>
      <c r="K2993" s="5"/>
      <c r="L2993" s="5"/>
      <c r="M2993" s="5"/>
      <c r="N2993" s="5"/>
      <c r="O2993" s="5"/>
    </row>
    <row r="2994" spans="2:15" x14ac:dyDescent="0.55000000000000004">
      <c r="B2994" s="5"/>
      <c r="C2994" s="5"/>
      <c r="D2994" s="5"/>
      <c r="E2994" s="5"/>
      <c r="F2994" s="5"/>
      <c r="G2994" s="5"/>
      <c r="H2994" s="5"/>
      <c r="I2994" s="5"/>
      <c r="J2994" s="5"/>
      <c r="K2994" s="5"/>
      <c r="L2994" s="5"/>
      <c r="M2994" s="5"/>
      <c r="N2994" s="5"/>
      <c r="O2994" s="5"/>
    </row>
    <row r="2995" spans="2:15" x14ac:dyDescent="0.55000000000000004">
      <c r="B2995" s="5"/>
      <c r="C2995" s="5"/>
      <c r="D2995" s="5"/>
      <c r="E2995" s="5"/>
      <c r="F2995" s="5"/>
      <c r="G2995" s="5"/>
      <c r="H2995" s="5"/>
      <c r="I2995" s="5"/>
      <c r="J2995" s="5"/>
      <c r="K2995" s="5"/>
      <c r="L2995" s="5"/>
      <c r="M2995" s="5"/>
      <c r="N2995" s="5"/>
      <c r="O2995" s="5"/>
    </row>
    <row r="2996" spans="2:15" x14ac:dyDescent="0.55000000000000004">
      <c r="B2996" s="5"/>
      <c r="C2996" s="5"/>
      <c r="D2996" s="5"/>
      <c r="E2996" s="5"/>
      <c r="F2996" s="5"/>
      <c r="G2996" s="5"/>
      <c r="H2996" s="5"/>
      <c r="I2996" s="5"/>
      <c r="J2996" s="5"/>
      <c r="K2996" s="5"/>
      <c r="L2996" s="5"/>
      <c r="M2996" s="5"/>
      <c r="N2996" s="5"/>
      <c r="O2996" s="5"/>
    </row>
    <row r="2997" spans="2:15" x14ac:dyDescent="0.55000000000000004">
      <c r="B2997" s="5"/>
      <c r="C2997" s="5"/>
      <c r="D2997" s="5"/>
      <c r="E2997" s="5"/>
      <c r="F2997" s="5"/>
      <c r="G2997" s="5"/>
      <c r="H2997" s="5"/>
      <c r="I2997" s="5"/>
      <c r="J2997" s="5"/>
      <c r="K2997" s="5"/>
      <c r="L2997" s="5"/>
      <c r="M2997" s="5"/>
      <c r="N2997" s="5"/>
      <c r="O2997" s="5"/>
    </row>
    <row r="2998" spans="2:15" x14ac:dyDescent="0.55000000000000004">
      <c r="B2998" s="5"/>
      <c r="C2998" s="5"/>
      <c r="D2998" s="5"/>
      <c r="E2998" s="5"/>
      <c r="F2998" s="5"/>
      <c r="G2998" s="5"/>
      <c r="H2998" s="5"/>
      <c r="I2998" s="5"/>
      <c r="J2998" s="5"/>
      <c r="K2998" s="5"/>
      <c r="L2998" s="5"/>
      <c r="M2998" s="5"/>
      <c r="N2998" s="5"/>
      <c r="O2998" s="5"/>
    </row>
    <row r="2999" spans="2:15" x14ac:dyDescent="0.55000000000000004">
      <c r="B2999" s="5"/>
      <c r="C2999" s="5"/>
      <c r="D2999" s="5"/>
      <c r="E2999" s="5"/>
      <c r="F2999" s="5"/>
      <c r="G2999" s="5"/>
      <c r="H2999" s="5"/>
      <c r="I2999" s="5"/>
      <c r="J2999" s="5"/>
      <c r="K2999" s="5"/>
      <c r="L2999" s="5"/>
      <c r="M2999" s="5"/>
      <c r="N2999" s="5"/>
      <c r="O2999" s="5"/>
    </row>
    <row r="3000" spans="2:15" x14ac:dyDescent="0.55000000000000004">
      <c r="B3000" s="5"/>
      <c r="C3000" s="5"/>
      <c r="D3000" s="5"/>
      <c r="E3000" s="5"/>
      <c r="F3000" s="5"/>
      <c r="G3000" s="5"/>
      <c r="H3000" s="5"/>
      <c r="I3000" s="5"/>
      <c r="J3000" s="5"/>
      <c r="K3000" s="5"/>
      <c r="L3000" s="5"/>
      <c r="M3000" s="5"/>
      <c r="N3000" s="5"/>
      <c r="O3000" s="5"/>
    </row>
    <row r="3001" spans="2:15" x14ac:dyDescent="0.55000000000000004">
      <c r="B3001" s="5"/>
      <c r="C3001" s="5"/>
      <c r="D3001" s="5"/>
      <c r="E3001" s="5"/>
      <c r="F3001" s="5"/>
      <c r="G3001" s="5"/>
      <c r="H3001" s="5"/>
      <c r="I3001" s="5"/>
      <c r="J3001" s="5"/>
      <c r="K3001" s="5"/>
      <c r="L3001" s="5"/>
      <c r="M3001" s="5"/>
      <c r="N3001" s="5"/>
      <c r="O3001" s="5"/>
    </row>
    <row r="3002" spans="2:15" x14ac:dyDescent="0.55000000000000004">
      <c r="B3002" s="5"/>
      <c r="C3002" s="5"/>
      <c r="D3002" s="5"/>
      <c r="E3002" s="5"/>
      <c r="F3002" s="5"/>
      <c r="G3002" s="5"/>
      <c r="H3002" s="5"/>
      <c r="I3002" s="5"/>
      <c r="J3002" s="5"/>
      <c r="K3002" s="5"/>
      <c r="L3002" s="5"/>
      <c r="M3002" s="5"/>
      <c r="N3002" s="5"/>
      <c r="O3002" s="5"/>
    </row>
    <row r="3003" spans="2:15" x14ac:dyDescent="0.55000000000000004">
      <c r="B3003" s="5"/>
      <c r="C3003" s="5"/>
      <c r="D3003" s="5"/>
      <c r="E3003" s="5"/>
      <c r="F3003" s="5"/>
      <c r="G3003" s="5"/>
      <c r="H3003" s="5"/>
      <c r="I3003" s="5"/>
      <c r="J3003" s="5"/>
      <c r="K3003" s="5"/>
      <c r="L3003" s="5"/>
      <c r="M3003" s="5"/>
      <c r="N3003" s="5"/>
      <c r="O3003" s="5"/>
    </row>
    <row r="3004" spans="2:15" x14ac:dyDescent="0.55000000000000004">
      <c r="B3004" s="5"/>
      <c r="C3004" s="5"/>
      <c r="D3004" s="5"/>
      <c r="E3004" s="5"/>
      <c r="F3004" s="5"/>
      <c r="G3004" s="5"/>
      <c r="H3004" s="5"/>
      <c r="I3004" s="5"/>
      <c r="J3004" s="5"/>
      <c r="K3004" s="5"/>
      <c r="L3004" s="5"/>
      <c r="M3004" s="5"/>
      <c r="N3004" s="5"/>
      <c r="O3004" s="5"/>
    </row>
    <row r="3005" spans="2:15" x14ac:dyDescent="0.55000000000000004">
      <c r="B3005" s="5"/>
      <c r="C3005" s="5"/>
      <c r="D3005" s="5"/>
      <c r="E3005" s="5"/>
      <c r="F3005" s="5"/>
      <c r="G3005" s="5"/>
      <c r="H3005" s="5"/>
      <c r="I3005" s="5"/>
      <c r="J3005" s="5"/>
      <c r="K3005" s="5"/>
      <c r="L3005" s="5"/>
      <c r="M3005" s="5"/>
      <c r="N3005" s="5"/>
      <c r="O3005" s="5"/>
    </row>
    <row r="3006" spans="2:15" x14ac:dyDescent="0.55000000000000004">
      <c r="B3006" s="5"/>
      <c r="C3006" s="5"/>
      <c r="D3006" s="5"/>
      <c r="E3006" s="5"/>
      <c r="F3006" s="5"/>
      <c r="G3006" s="5"/>
      <c r="H3006" s="5"/>
      <c r="I3006" s="5"/>
      <c r="J3006" s="5"/>
      <c r="K3006" s="5"/>
      <c r="L3006" s="5"/>
      <c r="M3006" s="5"/>
      <c r="N3006" s="5"/>
      <c r="O3006" s="5"/>
    </row>
    <row r="3007" spans="2:15" x14ac:dyDescent="0.55000000000000004">
      <c r="B3007" s="5"/>
      <c r="C3007" s="5"/>
      <c r="D3007" s="5"/>
      <c r="E3007" s="5"/>
      <c r="F3007" s="5"/>
      <c r="G3007" s="5"/>
      <c r="H3007" s="5"/>
      <c r="I3007" s="5"/>
      <c r="J3007" s="5"/>
      <c r="K3007" s="5"/>
      <c r="L3007" s="5"/>
      <c r="M3007" s="5"/>
      <c r="N3007" s="5"/>
      <c r="O3007" s="5"/>
    </row>
    <row r="3008" spans="2:15" x14ac:dyDescent="0.55000000000000004">
      <c r="B3008" s="5"/>
      <c r="C3008" s="5"/>
      <c r="D3008" s="5"/>
      <c r="E3008" s="5"/>
      <c r="F3008" s="5"/>
      <c r="G3008" s="5"/>
      <c r="H3008" s="5"/>
      <c r="I3008" s="5"/>
      <c r="J3008" s="5"/>
      <c r="K3008" s="5"/>
      <c r="L3008" s="5"/>
      <c r="M3008" s="5"/>
      <c r="N3008" s="5"/>
      <c r="O3008" s="5"/>
    </row>
    <row r="3009" spans="2:15" x14ac:dyDescent="0.55000000000000004">
      <c r="B3009" s="5"/>
      <c r="C3009" s="5"/>
      <c r="D3009" s="5"/>
      <c r="E3009" s="5"/>
      <c r="F3009" s="5"/>
      <c r="G3009" s="5"/>
      <c r="H3009" s="5"/>
      <c r="I3009" s="5"/>
      <c r="J3009" s="5"/>
      <c r="K3009" s="5"/>
      <c r="L3009" s="5"/>
      <c r="M3009" s="5"/>
      <c r="N3009" s="5"/>
      <c r="O3009" s="5"/>
    </row>
    <row r="3010" spans="2:15" x14ac:dyDescent="0.55000000000000004">
      <c r="B3010" s="5"/>
      <c r="C3010" s="5"/>
      <c r="D3010" s="5"/>
      <c r="E3010" s="5"/>
      <c r="F3010" s="5"/>
      <c r="G3010" s="5"/>
      <c r="H3010" s="5"/>
      <c r="I3010" s="5"/>
      <c r="J3010" s="5"/>
      <c r="K3010" s="5"/>
      <c r="L3010" s="5"/>
      <c r="M3010" s="5"/>
      <c r="N3010" s="5"/>
      <c r="O3010" s="5"/>
    </row>
    <row r="3011" spans="2:15" x14ac:dyDescent="0.55000000000000004">
      <c r="B3011" s="5"/>
      <c r="C3011" s="5"/>
      <c r="D3011" s="5"/>
      <c r="E3011" s="5"/>
      <c r="F3011" s="5"/>
      <c r="G3011" s="5"/>
      <c r="H3011" s="5"/>
      <c r="I3011" s="5"/>
      <c r="J3011" s="5"/>
      <c r="K3011" s="5"/>
      <c r="L3011" s="5"/>
      <c r="M3011" s="5"/>
      <c r="N3011" s="5"/>
      <c r="O3011" s="5"/>
    </row>
    <row r="3012" spans="2:15" x14ac:dyDescent="0.55000000000000004">
      <c r="B3012" s="5"/>
      <c r="C3012" s="5"/>
      <c r="D3012" s="5"/>
      <c r="E3012" s="5"/>
      <c r="F3012" s="5"/>
      <c r="G3012" s="5"/>
      <c r="H3012" s="5"/>
      <c r="I3012" s="5"/>
      <c r="J3012" s="5"/>
      <c r="K3012" s="5"/>
      <c r="L3012" s="5"/>
      <c r="M3012" s="5"/>
      <c r="N3012" s="5"/>
      <c r="O3012" s="5"/>
    </row>
    <row r="3013" spans="2:15" x14ac:dyDescent="0.55000000000000004">
      <c r="B3013" s="5"/>
      <c r="C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5"/>
      <c r="O3013" s="5"/>
    </row>
    <row r="3014" spans="2:15" x14ac:dyDescent="0.55000000000000004">
      <c r="B3014" s="5"/>
      <c r="C3014" s="5"/>
      <c r="D3014" s="5"/>
      <c r="E3014" s="5"/>
      <c r="F3014" s="5"/>
      <c r="G3014" s="5"/>
      <c r="H3014" s="5"/>
      <c r="I3014" s="5"/>
      <c r="J3014" s="5"/>
      <c r="K3014" s="5"/>
      <c r="L3014" s="5"/>
      <c r="M3014" s="5"/>
      <c r="N3014" s="5"/>
      <c r="O3014" s="5"/>
    </row>
    <row r="3015" spans="2:15" x14ac:dyDescent="0.55000000000000004">
      <c r="B3015" s="5"/>
      <c r="C3015" s="5"/>
      <c r="D3015" s="5"/>
      <c r="E3015" s="5"/>
      <c r="F3015" s="5"/>
      <c r="G3015" s="5"/>
      <c r="H3015" s="5"/>
      <c r="I3015" s="5"/>
      <c r="J3015" s="5"/>
      <c r="K3015" s="5"/>
      <c r="L3015" s="5"/>
      <c r="M3015" s="5"/>
      <c r="N3015" s="5"/>
      <c r="O3015" s="5"/>
    </row>
    <row r="3016" spans="2:15" x14ac:dyDescent="0.55000000000000004">
      <c r="B3016" s="5"/>
      <c r="C3016" s="5"/>
      <c r="D3016" s="5"/>
      <c r="E3016" s="5"/>
      <c r="F3016" s="5"/>
      <c r="G3016" s="5"/>
      <c r="H3016" s="5"/>
      <c r="I3016" s="5"/>
      <c r="J3016" s="5"/>
      <c r="K3016" s="5"/>
      <c r="L3016" s="5"/>
      <c r="M3016" s="5"/>
      <c r="N3016" s="5"/>
      <c r="O3016" s="5"/>
    </row>
    <row r="3017" spans="2:15" x14ac:dyDescent="0.55000000000000004">
      <c r="B3017" s="5"/>
      <c r="C3017" s="5"/>
      <c r="D3017" s="5"/>
      <c r="E3017" s="5"/>
      <c r="F3017" s="5"/>
      <c r="G3017" s="5"/>
      <c r="H3017" s="5"/>
      <c r="I3017" s="5"/>
      <c r="J3017" s="5"/>
      <c r="K3017" s="5"/>
      <c r="L3017" s="5"/>
      <c r="M3017" s="5"/>
      <c r="N3017" s="5"/>
      <c r="O3017" s="5"/>
    </row>
    <row r="3018" spans="2:15" x14ac:dyDescent="0.55000000000000004">
      <c r="B3018" s="5"/>
      <c r="C3018" s="5"/>
      <c r="D3018" s="5"/>
      <c r="E3018" s="5"/>
      <c r="F3018" s="5"/>
      <c r="G3018" s="5"/>
      <c r="H3018" s="5"/>
      <c r="I3018" s="5"/>
      <c r="J3018" s="5"/>
      <c r="K3018" s="5"/>
      <c r="L3018" s="5"/>
      <c r="M3018" s="5"/>
      <c r="N3018" s="5"/>
      <c r="O3018" s="5"/>
    </row>
    <row r="3019" spans="2:15" x14ac:dyDescent="0.55000000000000004">
      <c r="B3019" s="5"/>
      <c r="C3019" s="5"/>
      <c r="D3019" s="5"/>
      <c r="E3019" s="5"/>
      <c r="F3019" s="5"/>
      <c r="G3019" s="5"/>
      <c r="H3019" s="5"/>
      <c r="I3019" s="5"/>
      <c r="J3019" s="5"/>
      <c r="K3019" s="5"/>
      <c r="L3019" s="5"/>
      <c r="M3019" s="5"/>
      <c r="N3019" s="5"/>
      <c r="O3019" s="5"/>
    </row>
    <row r="3020" spans="2:15" x14ac:dyDescent="0.55000000000000004">
      <c r="B3020" s="5"/>
      <c r="C3020" s="5"/>
      <c r="D3020" s="5"/>
      <c r="E3020" s="5"/>
      <c r="F3020" s="5"/>
      <c r="G3020" s="5"/>
      <c r="H3020" s="5"/>
      <c r="I3020" s="5"/>
      <c r="J3020" s="5"/>
      <c r="K3020" s="5"/>
      <c r="L3020" s="5"/>
      <c r="M3020" s="5"/>
      <c r="N3020" s="5"/>
      <c r="O3020" s="5"/>
    </row>
    <row r="3021" spans="2:15" x14ac:dyDescent="0.55000000000000004">
      <c r="B3021" s="5"/>
      <c r="C3021" s="5"/>
      <c r="D3021" s="5"/>
      <c r="E3021" s="5"/>
      <c r="F3021" s="5"/>
      <c r="G3021" s="5"/>
      <c r="H3021" s="5"/>
      <c r="I3021" s="5"/>
      <c r="J3021" s="5"/>
      <c r="K3021" s="5"/>
      <c r="L3021" s="5"/>
      <c r="M3021" s="5"/>
      <c r="N3021" s="5"/>
      <c r="O3021" s="5"/>
    </row>
    <row r="3022" spans="2:15" x14ac:dyDescent="0.55000000000000004">
      <c r="B3022" s="5"/>
      <c r="C3022" s="5"/>
      <c r="D3022" s="5"/>
      <c r="E3022" s="5"/>
      <c r="F3022" s="5"/>
      <c r="G3022" s="5"/>
      <c r="H3022" s="5"/>
      <c r="I3022" s="5"/>
      <c r="J3022" s="5"/>
      <c r="K3022" s="5"/>
      <c r="L3022" s="5"/>
      <c r="M3022" s="5"/>
      <c r="N3022" s="5"/>
      <c r="O3022" s="5"/>
    </row>
    <row r="3023" spans="2:15" x14ac:dyDescent="0.55000000000000004">
      <c r="B3023" s="5"/>
      <c r="C3023" s="5"/>
      <c r="D3023" s="5"/>
      <c r="E3023" s="5"/>
      <c r="F3023" s="5"/>
      <c r="G3023" s="5"/>
      <c r="H3023" s="5"/>
      <c r="I3023" s="5"/>
      <c r="J3023" s="5"/>
      <c r="K3023" s="5"/>
      <c r="L3023" s="5"/>
      <c r="M3023" s="5"/>
      <c r="N3023" s="5"/>
      <c r="O3023" s="5"/>
    </row>
    <row r="3024" spans="2:15" x14ac:dyDescent="0.55000000000000004">
      <c r="B3024" s="5"/>
      <c r="C3024" s="5"/>
      <c r="D3024" s="5"/>
      <c r="E3024" s="5"/>
      <c r="F3024" s="5"/>
      <c r="G3024" s="5"/>
      <c r="H3024" s="5"/>
      <c r="I3024" s="5"/>
      <c r="J3024" s="5"/>
      <c r="K3024" s="5"/>
      <c r="L3024" s="5"/>
      <c r="M3024" s="5"/>
      <c r="N3024" s="5"/>
      <c r="O3024" s="5"/>
    </row>
    <row r="3025" spans="2:15" x14ac:dyDescent="0.55000000000000004">
      <c r="B3025" s="5"/>
      <c r="C3025" s="5"/>
      <c r="D3025" s="5"/>
      <c r="E3025" s="5"/>
      <c r="F3025" s="5"/>
      <c r="G3025" s="5"/>
      <c r="H3025" s="5"/>
      <c r="I3025" s="5"/>
      <c r="J3025" s="5"/>
      <c r="K3025" s="5"/>
      <c r="L3025" s="5"/>
      <c r="M3025" s="5"/>
      <c r="N3025" s="5"/>
      <c r="O3025" s="5"/>
    </row>
    <row r="3026" spans="2:15" x14ac:dyDescent="0.55000000000000004">
      <c r="B3026" s="5"/>
      <c r="C3026" s="5"/>
      <c r="D3026" s="5"/>
      <c r="E3026" s="5"/>
      <c r="F3026" s="5"/>
      <c r="G3026" s="5"/>
      <c r="H3026" s="5"/>
      <c r="I3026" s="5"/>
      <c r="J3026" s="5"/>
      <c r="K3026" s="5"/>
      <c r="L3026" s="5"/>
      <c r="M3026" s="5"/>
      <c r="N3026" s="5"/>
      <c r="O3026" s="5"/>
    </row>
    <row r="3027" spans="2:15" x14ac:dyDescent="0.55000000000000004">
      <c r="B3027" s="5"/>
      <c r="C3027" s="5"/>
      <c r="D3027" s="5"/>
      <c r="E3027" s="5"/>
      <c r="F3027" s="5"/>
      <c r="G3027" s="5"/>
      <c r="H3027" s="5"/>
      <c r="I3027" s="5"/>
      <c r="J3027" s="5"/>
      <c r="K3027" s="5"/>
      <c r="L3027" s="5"/>
      <c r="M3027" s="5"/>
      <c r="N3027" s="5"/>
      <c r="O3027" s="5"/>
    </row>
    <row r="3028" spans="2:15" x14ac:dyDescent="0.55000000000000004">
      <c r="B3028" s="5"/>
      <c r="C3028" s="5"/>
      <c r="D3028" s="5"/>
      <c r="E3028" s="5"/>
      <c r="F3028" s="5"/>
      <c r="G3028" s="5"/>
      <c r="H3028" s="5"/>
      <c r="I3028" s="5"/>
      <c r="J3028" s="5"/>
      <c r="K3028" s="5"/>
      <c r="L3028" s="5"/>
      <c r="M3028" s="5"/>
      <c r="N3028" s="5"/>
      <c r="O3028" s="5"/>
    </row>
    <row r="3029" spans="2:15" x14ac:dyDescent="0.55000000000000004">
      <c r="B3029" s="5"/>
      <c r="C3029" s="5"/>
      <c r="D3029" s="5"/>
      <c r="E3029" s="5"/>
      <c r="F3029" s="5"/>
      <c r="G3029" s="5"/>
      <c r="H3029" s="5"/>
      <c r="I3029" s="5"/>
      <c r="J3029" s="5"/>
      <c r="K3029" s="5"/>
      <c r="L3029" s="5"/>
      <c r="M3029" s="5"/>
      <c r="N3029" s="5"/>
      <c r="O3029" s="5"/>
    </row>
    <row r="3030" spans="2:15" x14ac:dyDescent="0.55000000000000004">
      <c r="B3030" s="5"/>
      <c r="C3030" s="5"/>
      <c r="D3030" s="5"/>
      <c r="E3030" s="5"/>
      <c r="F3030" s="5"/>
      <c r="G3030" s="5"/>
      <c r="H3030" s="5"/>
      <c r="I3030" s="5"/>
      <c r="J3030" s="5"/>
      <c r="K3030" s="5"/>
      <c r="L3030" s="5"/>
      <c r="M3030" s="5"/>
      <c r="N3030" s="5"/>
      <c r="O3030" s="5"/>
    </row>
    <row r="3031" spans="2:15" x14ac:dyDescent="0.55000000000000004">
      <c r="B3031" s="5"/>
      <c r="C3031" s="5"/>
      <c r="D3031" s="5"/>
      <c r="E3031" s="5"/>
      <c r="F3031" s="5"/>
      <c r="G3031" s="5"/>
      <c r="H3031" s="5"/>
      <c r="I3031" s="5"/>
      <c r="J3031" s="5"/>
      <c r="K3031" s="5"/>
      <c r="L3031" s="5"/>
      <c r="M3031" s="5"/>
      <c r="N3031" s="5"/>
      <c r="O3031" s="5"/>
    </row>
    <row r="3032" spans="2:15" x14ac:dyDescent="0.55000000000000004">
      <c r="B3032" s="5"/>
      <c r="C3032" s="5"/>
      <c r="D3032" s="5"/>
      <c r="E3032" s="5"/>
      <c r="F3032" s="5"/>
      <c r="G3032" s="5"/>
      <c r="H3032" s="5"/>
      <c r="I3032" s="5"/>
      <c r="J3032" s="5"/>
      <c r="K3032" s="5"/>
      <c r="L3032" s="5"/>
      <c r="M3032" s="5"/>
      <c r="N3032" s="5"/>
      <c r="O3032" s="5"/>
    </row>
    <row r="3033" spans="2:15" x14ac:dyDescent="0.55000000000000004">
      <c r="B3033" s="5"/>
      <c r="C3033" s="5"/>
      <c r="D3033" s="5"/>
      <c r="E3033" s="5"/>
      <c r="F3033" s="5"/>
      <c r="G3033" s="5"/>
      <c r="H3033" s="5"/>
      <c r="I3033" s="5"/>
      <c r="J3033" s="5"/>
      <c r="K3033" s="5"/>
      <c r="L3033" s="5"/>
      <c r="M3033" s="5"/>
      <c r="N3033" s="5"/>
      <c r="O3033" s="5"/>
    </row>
    <row r="3034" spans="2:15" x14ac:dyDescent="0.55000000000000004">
      <c r="B3034" s="5"/>
      <c r="C3034" s="5"/>
      <c r="D3034" s="5"/>
      <c r="E3034" s="5"/>
      <c r="F3034" s="5"/>
      <c r="G3034" s="5"/>
      <c r="H3034" s="5"/>
      <c r="I3034" s="5"/>
      <c r="J3034" s="5"/>
      <c r="K3034" s="5"/>
      <c r="L3034" s="5"/>
      <c r="M3034" s="5"/>
      <c r="N3034" s="5"/>
      <c r="O3034" s="5"/>
    </row>
    <row r="3035" spans="2:15" x14ac:dyDescent="0.55000000000000004">
      <c r="B3035" s="5"/>
      <c r="C3035" s="5"/>
      <c r="D3035" s="5"/>
      <c r="E3035" s="5"/>
      <c r="F3035" s="5"/>
      <c r="G3035" s="5"/>
      <c r="H3035" s="5"/>
      <c r="I3035" s="5"/>
      <c r="J3035" s="5"/>
      <c r="K3035" s="5"/>
      <c r="L3035" s="5"/>
      <c r="M3035" s="5"/>
      <c r="N3035" s="5"/>
      <c r="O3035" s="5"/>
    </row>
    <row r="3036" spans="2:15" x14ac:dyDescent="0.55000000000000004">
      <c r="B3036" s="5"/>
      <c r="C3036" s="5"/>
      <c r="D3036" s="5"/>
      <c r="E3036" s="5"/>
      <c r="F3036" s="5"/>
      <c r="G3036" s="5"/>
      <c r="H3036" s="5"/>
      <c r="I3036" s="5"/>
      <c r="J3036" s="5"/>
      <c r="K3036" s="5"/>
      <c r="L3036" s="5"/>
      <c r="M3036" s="5"/>
      <c r="N3036" s="5"/>
      <c r="O3036" s="5"/>
    </row>
    <row r="3037" spans="2:15" x14ac:dyDescent="0.55000000000000004">
      <c r="B3037" s="5"/>
      <c r="C3037" s="5"/>
      <c r="D3037" s="5"/>
      <c r="E3037" s="5"/>
      <c r="F3037" s="5"/>
      <c r="G3037" s="5"/>
      <c r="H3037" s="5"/>
      <c r="I3037" s="5"/>
      <c r="J3037" s="5"/>
      <c r="K3037" s="5"/>
      <c r="L3037" s="5"/>
      <c r="M3037" s="5"/>
      <c r="N3037" s="5"/>
      <c r="O3037" s="5"/>
    </row>
    <row r="3038" spans="2:15" x14ac:dyDescent="0.55000000000000004">
      <c r="B3038" s="5"/>
      <c r="C3038" s="5"/>
      <c r="D3038" s="5"/>
      <c r="E3038" s="5"/>
      <c r="F3038" s="5"/>
      <c r="G3038" s="5"/>
      <c r="H3038" s="5"/>
      <c r="I3038" s="5"/>
      <c r="J3038" s="5"/>
      <c r="K3038" s="5"/>
      <c r="L3038" s="5"/>
      <c r="M3038" s="5"/>
      <c r="N3038" s="5"/>
      <c r="O3038" s="5"/>
    </row>
    <row r="3039" spans="2:15" x14ac:dyDescent="0.55000000000000004">
      <c r="B3039" s="5"/>
      <c r="C3039" s="5"/>
      <c r="D3039" s="5"/>
      <c r="E3039" s="5"/>
      <c r="F3039" s="5"/>
      <c r="G3039" s="5"/>
      <c r="H3039" s="5"/>
      <c r="I3039" s="5"/>
      <c r="J3039" s="5"/>
      <c r="K3039" s="5"/>
      <c r="L3039" s="5"/>
      <c r="M3039" s="5"/>
      <c r="N3039" s="5"/>
      <c r="O3039" s="5"/>
    </row>
    <row r="3040" spans="2:15" x14ac:dyDescent="0.55000000000000004">
      <c r="B3040" s="5"/>
      <c r="C3040" s="5"/>
      <c r="D3040" s="5"/>
      <c r="E3040" s="5"/>
      <c r="F3040" s="5"/>
      <c r="G3040" s="5"/>
      <c r="H3040" s="5"/>
      <c r="I3040" s="5"/>
      <c r="J3040" s="5"/>
      <c r="K3040" s="5"/>
      <c r="L3040" s="5"/>
      <c r="M3040" s="5"/>
      <c r="N3040" s="5"/>
      <c r="O3040" s="5"/>
    </row>
    <row r="3041" spans="2:15" x14ac:dyDescent="0.55000000000000004">
      <c r="B3041" s="5"/>
      <c r="C3041" s="5"/>
      <c r="D3041" s="5"/>
      <c r="E3041" s="5"/>
      <c r="F3041" s="5"/>
      <c r="G3041" s="5"/>
      <c r="H3041" s="5"/>
      <c r="I3041" s="5"/>
      <c r="J3041" s="5"/>
      <c r="K3041" s="5"/>
      <c r="L3041" s="5"/>
      <c r="M3041" s="5"/>
      <c r="N3041" s="5"/>
      <c r="O3041" s="5"/>
    </row>
    <row r="3042" spans="2:15" x14ac:dyDescent="0.55000000000000004">
      <c r="B3042" s="5"/>
      <c r="C3042" s="5"/>
      <c r="D3042" s="5"/>
      <c r="E3042" s="5"/>
      <c r="F3042" s="5"/>
      <c r="G3042" s="5"/>
      <c r="H3042" s="5"/>
      <c r="I3042" s="5"/>
      <c r="J3042" s="5"/>
      <c r="K3042" s="5"/>
      <c r="L3042" s="5"/>
      <c r="M3042" s="5"/>
      <c r="N3042" s="5"/>
      <c r="O3042" s="5"/>
    </row>
    <row r="3043" spans="2:15" x14ac:dyDescent="0.55000000000000004">
      <c r="B3043" s="5"/>
      <c r="C3043" s="5"/>
      <c r="D3043" s="5"/>
      <c r="E3043" s="5"/>
      <c r="F3043" s="5"/>
      <c r="G3043" s="5"/>
      <c r="H3043" s="5"/>
      <c r="I3043" s="5"/>
      <c r="J3043" s="5"/>
      <c r="K3043" s="5"/>
      <c r="L3043" s="5"/>
      <c r="M3043" s="5"/>
      <c r="N3043" s="5"/>
      <c r="O3043" s="5"/>
    </row>
    <row r="3044" spans="2:15" x14ac:dyDescent="0.55000000000000004">
      <c r="B3044" s="5"/>
      <c r="C3044" s="5"/>
      <c r="D3044" s="5"/>
      <c r="E3044" s="5"/>
      <c r="F3044" s="5"/>
      <c r="G3044" s="5"/>
      <c r="H3044" s="5"/>
      <c r="I3044" s="5"/>
      <c r="J3044" s="5"/>
      <c r="K3044" s="5"/>
      <c r="L3044" s="5"/>
      <c r="M3044" s="5"/>
      <c r="N3044" s="5"/>
      <c r="O3044" s="5"/>
    </row>
    <row r="3045" spans="2:15" x14ac:dyDescent="0.55000000000000004">
      <c r="B3045" s="5"/>
      <c r="C3045" s="5"/>
      <c r="D3045" s="5"/>
      <c r="E3045" s="5"/>
      <c r="F3045" s="5"/>
      <c r="G3045" s="5"/>
      <c r="H3045" s="5"/>
      <c r="I3045" s="5"/>
      <c r="J3045" s="5"/>
      <c r="K3045" s="5"/>
      <c r="L3045" s="5"/>
      <c r="M3045" s="5"/>
      <c r="N3045" s="5"/>
      <c r="O3045" s="5"/>
    </row>
    <row r="3046" spans="2:15" x14ac:dyDescent="0.55000000000000004">
      <c r="B3046" s="5"/>
      <c r="C3046" s="5"/>
      <c r="D3046" s="5"/>
      <c r="E3046" s="5"/>
      <c r="F3046" s="5"/>
      <c r="G3046" s="5"/>
      <c r="H3046" s="5"/>
      <c r="I3046" s="5"/>
      <c r="J3046" s="5"/>
      <c r="K3046" s="5"/>
      <c r="L3046" s="5"/>
      <c r="M3046" s="5"/>
      <c r="N3046" s="5"/>
      <c r="O3046" s="5"/>
    </row>
    <row r="3047" spans="2:15" x14ac:dyDescent="0.55000000000000004">
      <c r="B3047" s="5"/>
      <c r="C3047" s="5"/>
      <c r="D3047" s="5"/>
      <c r="E3047" s="5"/>
      <c r="F3047" s="5"/>
      <c r="G3047" s="5"/>
      <c r="H3047" s="5"/>
      <c r="I3047" s="5"/>
      <c r="J3047" s="5"/>
      <c r="K3047" s="5"/>
      <c r="L3047" s="5"/>
      <c r="M3047" s="5"/>
      <c r="N3047" s="5"/>
      <c r="O3047" s="5"/>
    </row>
    <row r="3048" spans="2:15" x14ac:dyDescent="0.55000000000000004">
      <c r="B3048" s="5"/>
      <c r="C3048" s="5"/>
      <c r="D3048" s="5"/>
      <c r="E3048" s="5"/>
      <c r="F3048" s="5"/>
      <c r="G3048" s="5"/>
      <c r="H3048" s="5"/>
      <c r="I3048" s="5"/>
      <c r="J3048" s="5"/>
      <c r="K3048" s="5"/>
      <c r="L3048" s="5"/>
      <c r="M3048" s="5"/>
      <c r="N3048" s="5"/>
      <c r="O3048" s="5"/>
    </row>
    <row r="3049" spans="2:15" x14ac:dyDescent="0.55000000000000004">
      <c r="B3049" s="5"/>
      <c r="C3049" s="5"/>
      <c r="D3049" s="5"/>
      <c r="E3049" s="5"/>
      <c r="F3049" s="5"/>
      <c r="G3049" s="5"/>
      <c r="H3049" s="5"/>
      <c r="I3049" s="5"/>
      <c r="J3049" s="5"/>
      <c r="K3049" s="5"/>
      <c r="L3049" s="5"/>
      <c r="M3049" s="5"/>
      <c r="N3049" s="5"/>
      <c r="O3049" s="5"/>
    </row>
    <row r="3050" spans="2:15" x14ac:dyDescent="0.55000000000000004">
      <c r="B3050" s="5"/>
      <c r="C3050" s="5"/>
      <c r="D3050" s="5"/>
      <c r="E3050" s="5"/>
      <c r="F3050" s="5"/>
      <c r="G3050" s="5"/>
      <c r="H3050" s="5"/>
      <c r="I3050" s="5"/>
      <c r="J3050" s="5"/>
      <c r="K3050" s="5"/>
      <c r="L3050" s="5"/>
      <c r="M3050" s="5"/>
      <c r="N3050" s="5"/>
      <c r="O3050" s="5"/>
    </row>
    <row r="3051" spans="2:15" x14ac:dyDescent="0.55000000000000004">
      <c r="B3051" s="5"/>
      <c r="C3051" s="5"/>
      <c r="D3051" s="5"/>
      <c r="E3051" s="5"/>
      <c r="F3051" s="5"/>
      <c r="G3051" s="5"/>
      <c r="H3051" s="5"/>
      <c r="I3051" s="5"/>
      <c r="J3051" s="5"/>
      <c r="K3051" s="5"/>
      <c r="L3051" s="5"/>
      <c r="M3051" s="5"/>
      <c r="N3051" s="5"/>
      <c r="O3051" s="5"/>
    </row>
    <row r="3052" spans="2:15" x14ac:dyDescent="0.55000000000000004">
      <c r="B3052" s="5"/>
      <c r="C3052" s="5"/>
      <c r="D3052" s="5"/>
      <c r="E3052" s="5"/>
      <c r="F3052" s="5"/>
      <c r="G3052" s="5"/>
      <c r="H3052" s="5"/>
      <c r="I3052" s="5"/>
      <c r="J3052" s="5"/>
      <c r="K3052" s="5"/>
      <c r="L3052" s="5"/>
      <c r="M3052" s="5"/>
      <c r="N3052" s="5"/>
      <c r="O3052" s="5"/>
    </row>
    <row r="3053" spans="2:15" x14ac:dyDescent="0.55000000000000004">
      <c r="B3053" s="5"/>
      <c r="C3053" s="5"/>
      <c r="D3053" s="5"/>
      <c r="E3053" s="5"/>
      <c r="F3053" s="5"/>
      <c r="G3053" s="5"/>
      <c r="H3053" s="5"/>
      <c r="I3053" s="5"/>
      <c r="J3053" s="5"/>
      <c r="K3053" s="5"/>
      <c r="L3053" s="5"/>
      <c r="M3053" s="5"/>
      <c r="N3053" s="5"/>
      <c r="O3053" s="5"/>
    </row>
    <row r="3054" spans="2:15" x14ac:dyDescent="0.55000000000000004">
      <c r="B3054" s="5"/>
      <c r="C3054" s="5"/>
      <c r="D3054" s="5"/>
      <c r="E3054" s="5"/>
      <c r="F3054" s="5"/>
      <c r="G3054" s="5"/>
      <c r="H3054" s="5"/>
      <c r="I3054" s="5"/>
      <c r="J3054" s="5"/>
      <c r="K3054" s="5"/>
      <c r="L3054" s="5"/>
      <c r="M3054" s="5"/>
      <c r="N3054" s="5"/>
      <c r="O3054" s="5"/>
    </row>
    <row r="3055" spans="2:15" x14ac:dyDescent="0.55000000000000004">
      <c r="B3055" s="5"/>
      <c r="C3055" s="5"/>
      <c r="D3055" s="5"/>
      <c r="E3055" s="5"/>
      <c r="F3055" s="5"/>
      <c r="G3055" s="5"/>
      <c r="H3055" s="5"/>
      <c r="I3055" s="5"/>
      <c r="J3055" s="5"/>
      <c r="K3055" s="5"/>
      <c r="L3055" s="5"/>
      <c r="M3055" s="5"/>
      <c r="N3055" s="5"/>
      <c r="O3055" s="5"/>
    </row>
    <row r="3056" spans="2:15" x14ac:dyDescent="0.55000000000000004">
      <c r="B3056" s="5"/>
      <c r="C3056" s="5"/>
      <c r="D3056" s="5"/>
      <c r="E3056" s="5"/>
      <c r="F3056" s="5"/>
      <c r="G3056" s="5"/>
      <c r="H3056" s="5"/>
      <c r="I3056" s="5"/>
      <c r="J3056" s="5"/>
      <c r="K3056" s="5"/>
      <c r="L3056" s="5"/>
      <c r="M3056" s="5"/>
      <c r="N3056" s="5"/>
      <c r="O3056" s="5"/>
    </row>
    <row r="3057" spans="2:15" x14ac:dyDescent="0.55000000000000004">
      <c r="B3057" s="5"/>
      <c r="C3057" s="5"/>
      <c r="D3057" s="5"/>
      <c r="E3057" s="5"/>
      <c r="F3057" s="5"/>
      <c r="G3057" s="5"/>
      <c r="H3057" s="5"/>
      <c r="I3057" s="5"/>
      <c r="J3057" s="5"/>
      <c r="K3057" s="5"/>
      <c r="L3057" s="5"/>
      <c r="M3057" s="5"/>
      <c r="N3057" s="5"/>
      <c r="O3057" s="5"/>
    </row>
    <row r="3058" spans="2:15" x14ac:dyDescent="0.55000000000000004">
      <c r="B3058" s="5"/>
      <c r="C3058" s="5"/>
      <c r="D3058" s="5"/>
      <c r="E3058" s="5"/>
      <c r="F3058" s="5"/>
      <c r="G3058" s="5"/>
      <c r="H3058" s="5"/>
      <c r="I3058" s="5"/>
      <c r="J3058" s="5"/>
      <c r="K3058" s="5"/>
      <c r="L3058" s="5"/>
      <c r="M3058" s="5"/>
      <c r="N3058" s="5"/>
      <c r="O3058" s="5"/>
    </row>
    <row r="3059" spans="2:15" x14ac:dyDescent="0.55000000000000004">
      <c r="B3059" s="5"/>
      <c r="C3059" s="5"/>
      <c r="D3059" s="5"/>
      <c r="E3059" s="5"/>
      <c r="F3059" s="5"/>
      <c r="G3059" s="5"/>
      <c r="H3059" s="5"/>
      <c r="I3059" s="5"/>
      <c r="J3059" s="5"/>
      <c r="K3059" s="5"/>
      <c r="L3059" s="5"/>
      <c r="M3059" s="5"/>
      <c r="N3059" s="5"/>
      <c r="O3059" s="5"/>
    </row>
    <row r="3060" spans="2:15" x14ac:dyDescent="0.55000000000000004">
      <c r="B3060" s="5"/>
      <c r="C3060" s="5"/>
      <c r="D3060" s="5"/>
      <c r="E3060" s="5"/>
      <c r="F3060" s="5"/>
      <c r="G3060" s="5"/>
      <c r="H3060" s="5"/>
      <c r="I3060" s="5"/>
      <c r="J3060" s="5"/>
      <c r="K3060" s="5"/>
      <c r="L3060" s="5"/>
      <c r="M3060" s="5"/>
      <c r="N3060" s="5"/>
      <c r="O3060" s="5"/>
    </row>
    <row r="3061" spans="2:15" x14ac:dyDescent="0.55000000000000004">
      <c r="B3061" s="5"/>
      <c r="C3061" s="5"/>
      <c r="D3061" s="5"/>
      <c r="E3061" s="5"/>
      <c r="F3061" s="5"/>
      <c r="G3061" s="5"/>
      <c r="H3061" s="5"/>
      <c r="I3061" s="5"/>
      <c r="J3061" s="5"/>
      <c r="K3061" s="5"/>
      <c r="L3061" s="5"/>
      <c r="M3061" s="5"/>
      <c r="N3061" s="5"/>
      <c r="O3061" s="5"/>
    </row>
    <row r="3062" spans="2:15" x14ac:dyDescent="0.55000000000000004">
      <c r="B3062" s="5"/>
      <c r="C3062" s="5"/>
      <c r="D3062" s="5"/>
      <c r="E3062" s="5"/>
      <c r="F3062" s="5"/>
      <c r="G3062" s="5"/>
      <c r="H3062" s="5"/>
      <c r="I3062" s="5"/>
      <c r="J3062" s="5"/>
      <c r="K3062" s="5"/>
      <c r="L3062" s="5"/>
      <c r="M3062" s="5"/>
      <c r="N3062" s="5"/>
      <c r="O3062" s="5"/>
    </row>
    <row r="3063" spans="2:15" x14ac:dyDescent="0.55000000000000004">
      <c r="B3063" s="5"/>
      <c r="C3063" s="5"/>
      <c r="D3063" s="5"/>
      <c r="E3063" s="5"/>
      <c r="F3063" s="5"/>
      <c r="G3063" s="5"/>
      <c r="H3063" s="5"/>
      <c r="I3063" s="5"/>
      <c r="J3063" s="5"/>
      <c r="K3063" s="5"/>
      <c r="L3063" s="5"/>
      <c r="M3063" s="5"/>
      <c r="N3063" s="5"/>
      <c r="O3063" s="5"/>
    </row>
    <row r="3064" spans="2:15" x14ac:dyDescent="0.55000000000000004">
      <c r="B3064" s="5"/>
      <c r="C3064" s="5"/>
      <c r="D3064" s="5"/>
      <c r="E3064" s="5"/>
      <c r="F3064" s="5"/>
      <c r="G3064" s="5"/>
      <c r="H3064" s="5"/>
      <c r="I3064" s="5"/>
      <c r="J3064" s="5"/>
      <c r="K3064" s="5"/>
      <c r="L3064" s="5"/>
      <c r="M3064" s="5"/>
      <c r="N3064" s="5"/>
      <c r="O3064" s="5"/>
    </row>
    <row r="3065" spans="2:15" x14ac:dyDescent="0.55000000000000004">
      <c r="B3065" s="5"/>
      <c r="C3065" s="5"/>
      <c r="D3065" s="5"/>
      <c r="E3065" s="5"/>
      <c r="F3065" s="5"/>
      <c r="G3065" s="5"/>
      <c r="H3065" s="5"/>
      <c r="I3065" s="5"/>
      <c r="J3065" s="5"/>
      <c r="K3065" s="5"/>
      <c r="L3065" s="5"/>
      <c r="M3065" s="5"/>
      <c r="N3065" s="5"/>
      <c r="O3065" s="5"/>
    </row>
    <row r="3066" spans="2:15" x14ac:dyDescent="0.55000000000000004">
      <c r="B3066" s="5"/>
      <c r="C3066" s="5"/>
      <c r="D3066" s="5"/>
      <c r="E3066" s="5"/>
      <c r="F3066" s="5"/>
      <c r="G3066" s="5"/>
      <c r="H3066" s="5"/>
      <c r="I3066" s="5"/>
      <c r="J3066" s="5"/>
      <c r="K3066" s="5"/>
      <c r="L3066" s="5"/>
      <c r="M3066" s="5"/>
      <c r="N3066" s="5"/>
      <c r="O3066" s="5"/>
    </row>
    <row r="3067" spans="2:15" x14ac:dyDescent="0.55000000000000004">
      <c r="B3067" s="5"/>
      <c r="C3067" s="5"/>
      <c r="D3067" s="5"/>
      <c r="E3067" s="5"/>
      <c r="F3067" s="5"/>
      <c r="G3067" s="5"/>
      <c r="H3067" s="5"/>
      <c r="I3067" s="5"/>
      <c r="J3067" s="5"/>
      <c r="K3067" s="5"/>
      <c r="L3067" s="5"/>
      <c r="M3067" s="5"/>
      <c r="N3067" s="5"/>
      <c r="O3067" s="5"/>
    </row>
    <row r="3068" spans="2:15" x14ac:dyDescent="0.55000000000000004">
      <c r="B3068" s="5"/>
      <c r="C3068" s="5"/>
      <c r="D3068" s="5"/>
      <c r="E3068" s="5"/>
      <c r="F3068" s="5"/>
      <c r="G3068" s="5"/>
      <c r="H3068" s="5"/>
      <c r="I3068" s="5"/>
      <c r="J3068" s="5"/>
      <c r="K3068" s="5"/>
      <c r="L3068" s="5"/>
      <c r="M3068" s="5"/>
      <c r="N3068" s="5"/>
      <c r="O3068" s="5"/>
    </row>
    <row r="3069" spans="2:15" x14ac:dyDescent="0.55000000000000004">
      <c r="B3069" s="5"/>
      <c r="C3069" s="5"/>
      <c r="D3069" s="5"/>
      <c r="E3069" s="5"/>
      <c r="F3069" s="5"/>
      <c r="G3069" s="5"/>
      <c r="H3069" s="5"/>
      <c r="I3069" s="5"/>
      <c r="J3069" s="5"/>
      <c r="K3069" s="5"/>
      <c r="L3069" s="5"/>
      <c r="M3069" s="5"/>
      <c r="N3069" s="5"/>
      <c r="O3069" s="5"/>
    </row>
    <row r="3070" spans="2:15" x14ac:dyDescent="0.55000000000000004">
      <c r="B3070" s="5"/>
      <c r="C3070" s="5"/>
      <c r="D3070" s="5"/>
      <c r="E3070" s="5"/>
      <c r="F3070" s="5"/>
      <c r="G3070" s="5"/>
      <c r="H3070" s="5"/>
      <c r="I3070" s="5"/>
      <c r="J3070" s="5"/>
      <c r="K3070" s="5"/>
      <c r="L3070" s="5"/>
      <c r="M3070" s="5"/>
      <c r="N3070" s="5"/>
      <c r="O3070" s="5"/>
    </row>
    <row r="3071" spans="2:15" x14ac:dyDescent="0.55000000000000004">
      <c r="B3071" s="5"/>
      <c r="C3071" s="5"/>
      <c r="D3071" s="5"/>
      <c r="E3071" s="5"/>
      <c r="F3071" s="5"/>
      <c r="G3071" s="5"/>
      <c r="H3071" s="5"/>
      <c r="I3071" s="5"/>
      <c r="J3071" s="5"/>
      <c r="K3071" s="5"/>
      <c r="L3071" s="5"/>
      <c r="M3071" s="5"/>
      <c r="N3071" s="5"/>
      <c r="O3071" s="5"/>
    </row>
    <row r="3072" spans="2:15" x14ac:dyDescent="0.55000000000000004">
      <c r="B3072" s="5"/>
      <c r="C3072" s="5"/>
      <c r="D3072" s="5"/>
      <c r="E3072" s="5"/>
      <c r="F3072" s="5"/>
      <c r="G3072" s="5"/>
      <c r="H3072" s="5"/>
      <c r="I3072" s="5"/>
      <c r="J3072" s="5"/>
      <c r="K3072" s="5"/>
      <c r="L3072" s="5"/>
      <c r="M3072" s="5"/>
      <c r="N3072" s="5"/>
      <c r="O3072" s="5"/>
    </row>
    <row r="3073" spans="2:15" x14ac:dyDescent="0.55000000000000004">
      <c r="B3073" s="5"/>
      <c r="C3073" s="5"/>
      <c r="D3073" s="5"/>
      <c r="E3073" s="5"/>
      <c r="F3073" s="5"/>
      <c r="G3073" s="5"/>
      <c r="H3073" s="5"/>
      <c r="I3073" s="5"/>
      <c r="J3073" s="5"/>
      <c r="K3073" s="5"/>
      <c r="L3073" s="5"/>
      <c r="M3073" s="5"/>
      <c r="N3073" s="5"/>
      <c r="O3073" s="5"/>
    </row>
    <row r="3074" spans="2:15" x14ac:dyDescent="0.55000000000000004">
      <c r="B3074" s="5"/>
      <c r="C3074" s="5"/>
      <c r="D3074" s="5"/>
      <c r="E3074" s="5"/>
      <c r="F3074" s="5"/>
      <c r="G3074" s="5"/>
      <c r="H3074" s="5"/>
      <c r="I3074" s="5"/>
      <c r="J3074" s="5"/>
      <c r="K3074" s="5"/>
      <c r="L3074" s="5"/>
      <c r="M3074" s="5"/>
      <c r="N3074" s="5"/>
      <c r="O3074" s="5"/>
    </row>
    <row r="3075" spans="2:15" x14ac:dyDescent="0.55000000000000004">
      <c r="B3075" s="5"/>
      <c r="C3075" s="5"/>
      <c r="D3075" s="5"/>
      <c r="E3075" s="5"/>
      <c r="F3075" s="5"/>
      <c r="G3075" s="5"/>
      <c r="H3075" s="5"/>
      <c r="I3075" s="5"/>
      <c r="J3075" s="5"/>
      <c r="K3075" s="5"/>
      <c r="L3075" s="5"/>
      <c r="M3075" s="5"/>
      <c r="N3075" s="5"/>
      <c r="O3075" s="5"/>
    </row>
    <row r="3076" spans="2:15" x14ac:dyDescent="0.55000000000000004">
      <c r="B3076" s="5"/>
      <c r="C3076" s="5"/>
      <c r="D3076" s="5"/>
      <c r="E3076" s="5"/>
      <c r="F3076" s="5"/>
      <c r="G3076" s="5"/>
      <c r="H3076" s="5"/>
      <c r="I3076" s="5"/>
      <c r="J3076" s="5"/>
      <c r="K3076" s="5"/>
      <c r="L3076" s="5"/>
      <c r="M3076" s="5"/>
      <c r="N3076" s="5"/>
      <c r="O3076" s="5"/>
    </row>
    <row r="3077" spans="2:15" x14ac:dyDescent="0.55000000000000004">
      <c r="B3077" s="5"/>
      <c r="C3077" s="5"/>
      <c r="D3077" s="5"/>
      <c r="E3077" s="5"/>
      <c r="F3077" s="5"/>
      <c r="G3077" s="5"/>
      <c r="H3077" s="5"/>
      <c r="I3077" s="5"/>
      <c r="J3077" s="5"/>
      <c r="K3077" s="5"/>
      <c r="L3077" s="5"/>
      <c r="M3077" s="5"/>
      <c r="N3077" s="5"/>
      <c r="O3077" s="5"/>
    </row>
    <row r="3078" spans="2:15" x14ac:dyDescent="0.55000000000000004">
      <c r="B3078" s="5"/>
      <c r="C3078" s="5"/>
      <c r="D3078" s="5"/>
      <c r="E3078" s="5"/>
      <c r="F3078" s="5"/>
      <c r="G3078" s="5"/>
      <c r="H3078" s="5"/>
      <c r="I3078" s="5"/>
      <c r="J3078" s="5"/>
      <c r="K3078" s="5"/>
      <c r="L3078" s="5"/>
      <c r="M3078" s="5"/>
      <c r="N3078" s="5"/>
      <c r="O3078" s="5"/>
    </row>
    <row r="3079" spans="2:15" x14ac:dyDescent="0.55000000000000004">
      <c r="B3079" s="5"/>
      <c r="C3079" s="5"/>
      <c r="D3079" s="5"/>
      <c r="E3079" s="5"/>
      <c r="F3079" s="5"/>
      <c r="G3079" s="5"/>
      <c r="H3079" s="5"/>
      <c r="I3079" s="5"/>
      <c r="J3079" s="5"/>
      <c r="K3079" s="5"/>
      <c r="L3079" s="5"/>
      <c r="M3079" s="5"/>
      <c r="N3079" s="5"/>
      <c r="O3079" s="5"/>
    </row>
    <row r="3080" spans="2:15" x14ac:dyDescent="0.55000000000000004">
      <c r="B3080" s="5"/>
      <c r="C3080" s="5"/>
      <c r="D3080" s="5"/>
      <c r="E3080" s="5"/>
      <c r="F3080" s="5"/>
      <c r="G3080" s="5"/>
      <c r="H3080" s="5"/>
      <c r="I3080" s="5"/>
      <c r="J3080" s="5"/>
      <c r="K3080" s="5"/>
      <c r="L3080" s="5"/>
      <c r="M3080" s="5"/>
      <c r="N3080" s="5"/>
      <c r="O3080" s="5"/>
    </row>
    <row r="3081" spans="2:15" x14ac:dyDescent="0.55000000000000004">
      <c r="B3081" s="5"/>
      <c r="C3081" s="5"/>
      <c r="D3081" s="5"/>
      <c r="E3081" s="5"/>
      <c r="F3081" s="5"/>
      <c r="G3081" s="5"/>
      <c r="H3081" s="5"/>
      <c r="I3081" s="5"/>
      <c r="J3081" s="5"/>
      <c r="K3081" s="5"/>
      <c r="L3081" s="5"/>
      <c r="M3081" s="5"/>
      <c r="N3081" s="5"/>
      <c r="O3081" s="5"/>
    </row>
    <row r="3082" spans="2:15" x14ac:dyDescent="0.55000000000000004">
      <c r="B3082" s="5"/>
      <c r="C3082" s="5"/>
      <c r="D3082" s="5"/>
      <c r="E3082" s="5"/>
      <c r="F3082" s="5"/>
      <c r="G3082" s="5"/>
      <c r="H3082" s="5"/>
      <c r="I3082" s="5"/>
      <c r="J3082" s="5"/>
      <c r="K3082" s="5"/>
      <c r="L3082" s="5"/>
      <c r="M3082" s="5"/>
      <c r="N3082" s="5"/>
      <c r="O3082" s="5"/>
    </row>
    <row r="3083" spans="2:15" x14ac:dyDescent="0.55000000000000004">
      <c r="B3083" s="5"/>
      <c r="C3083" s="5"/>
      <c r="D3083" s="5"/>
      <c r="E3083" s="5"/>
      <c r="F3083" s="5"/>
      <c r="G3083" s="5"/>
      <c r="H3083" s="5"/>
      <c r="I3083" s="5"/>
      <c r="J3083" s="5"/>
      <c r="K3083" s="5"/>
      <c r="L3083" s="5"/>
      <c r="M3083" s="5"/>
      <c r="N3083" s="5"/>
      <c r="O3083" s="5"/>
    </row>
    <row r="3084" spans="2:15" x14ac:dyDescent="0.55000000000000004">
      <c r="B3084" s="5"/>
      <c r="C3084" s="5"/>
      <c r="D3084" s="5"/>
      <c r="E3084" s="5"/>
      <c r="F3084" s="5"/>
      <c r="G3084" s="5"/>
      <c r="H3084" s="5"/>
      <c r="I3084" s="5"/>
      <c r="J3084" s="5"/>
      <c r="K3084" s="5"/>
      <c r="L3084" s="5"/>
      <c r="M3084" s="5"/>
      <c r="N3084" s="5"/>
      <c r="O3084" s="5"/>
    </row>
    <row r="3085" spans="2:15" x14ac:dyDescent="0.55000000000000004">
      <c r="B3085" s="5"/>
      <c r="C3085" s="5"/>
      <c r="D3085" s="5"/>
      <c r="E3085" s="5"/>
      <c r="F3085" s="5"/>
      <c r="G3085" s="5"/>
      <c r="H3085" s="5"/>
      <c r="I3085" s="5"/>
      <c r="J3085" s="5"/>
      <c r="K3085" s="5"/>
      <c r="L3085" s="5"/>
      <c r="M3085" s="5"/>
      <c r="N3085" s="5"/>
      <c r="O3085" s="5"/>
    </row>
    <row r="3086" spans="2:15" x14ac:dyDescent="0.55000000000000004">
      <c r="B3086" s="5"/>
      <c r="C3086" s="5"/>
      <c r="D3086" s="5"/>
      <c r="E3086" s="5"/>
      <c r="F3086" s="5"/>
      <c r="G3086" s="5"/>
      <c r="H3086" s="5"/>
      <c r="I3086" s="5"/>
      <c r="J3086" s="5"/>
      <c r="K3086" s="5"/>
      <c r="L3086" s="5"/>
      <c r="M3086" s="5"/>
      <c r="N3086" s="5"/>
      <c r="O3086" s="5"/>
    </row>
    <row r="3087" spans="2:15" x14ac:dyDescent="0.55000000000000004">
      <c r="B3087" s="5"/>
      <c r="C3087" s="5"/>
      <c r="D3087" s="5"/>
      <c r="E3087" s="5"/>
      <c r="F3087" s="5"/>
      <c r="G3087" s="5"/>
      <c r="H3087" s="5"/>
      <c r="I3087" s="5"/>
      <c r="J3087" s="5"/>
      <c r="K3087" s="5"/>
      <c r="L3087" s="5"/>
      <c r="M3087" s="5"/>
      <c r="N3087" s="5"/>
      <c r="O3087" s="5"/>
    </row>
    <row r="3088" spans="2:15" x14ac:dyDescent="0.55000000000000004">
      <c r="B3088" s="5"/>
      <c r="C3088" s="5"/>
      <c r="D3088" s="5"/>
      <c r="E3088" s="5"/>
      <c r="F3088" s="5"/>
      <c r="G3088" s="5"/>
      <c r="H3088" s="5"/>
      <c r="I3088" s="5"/>
      <c r="J3088" s="5"/>
      <c r="K3088" s="5"/>
      <c r="L3088" s="5"/>
      <c r="M3088" s="5"/>
      <c r="N3088" s="5"/>
      <c r="O3088" s="5"/>
    </row>
    <row r="3089" spans="2:15" x14ac:dyDescent="0.55000000000000004">
      <c r="B3089" s="5"/>
      <c r="C3089" s="5"/>
      <c r="D3089" s="5"/>
      <c r="E3089" s="5"/>
      <c r="F3089" s="5"/>
      <c r="G3089" s="5"/>
      <c r="H3089" s="5"/>
      <c r="I3089" s="5"/>
      <c r="J3089" s="5"/>
      <c r="K3089" s="5"/>
      <c r="L3089" s="5"/>
      <c r="M3089" s="5"/>
      <c r="N3089" s="5"/>
      <c r="O3089" s="5"/>
    </row>
    <row r="3090" spans="2:15" x14ac:dyDescent="0.55000000000000004">
      <c r="B3090" s="5"/>
      <c r="C3090" s="5"/>
      <c r="D3090" s="5"/>
      <c r="E3090" s="5"/>
      <c r="F3090" s="5"/>
      <c r="G3090" s="5"/>
      <c r="H3090" s="5"/>
      <c r="I3090" s="5"/>
      <c r="J3090" s="5"/>
      <c r="K3090" s="5"/>
      <c r="L3090" s="5"/>
      <c r="M3090" s="5"/>
      <c r="N3090" s="5"/>
      <c r="O3090" s="5"/>
    </row>
    <row r="3091" spans="2:15" x14ac:dyDescent="0.55000000000000004">
      <c r="B3091" s="5"/>
      <c r="C3091" s="5"/>
      <c r="D3091" s="5"/>
      <c r="E3091" s="5"/>
      <c r="F3091" s="5"/>
      <c r="G3091" s="5"/>
      <c r="H3091" s="5"/>
      <c r="I3091" s="5"/>
      <c r="J3091" s="5"/>
      <c r="K3091" s="5"/>
      <c r="L3091" s="5"/>
      <c r="M3091" s="5"/>
      <c r="N3091" s="5"/>
      <c r="O3091" s="5"/>
    </row>
    <row r="3092" spans="2:15" x14ac:dyDescent="0.55000000000000004">
      <c r="B3092" s="5"/>
      <c r="C3092" s="5"/>
      <c r="D3092" s="5"/>
      <c r="E3092" s="5"/>
      <c r="F3092" s="5"/>
      <c r="G3092" s="5"/>
      <c r="H3092" s="5"/>
      <c r="I3092" s="5"/>
      <c r="J3092" s="5"/>
      <c r="K3092" s="5"/>
      <c r="L3092" s="5"/>
      <c r="M3092" s="5"/>
      <c r="N3092" s="5"/>
      <c r="O3092" s="5"/>
    </row>
    <row r="3093" spans="2:15" x14ac:dyDescent="0.55000000000000004">
      <c r="B3093" s="5"/>
      <c r="C3093" s="5"/>
      <c r="D3093" s="5"/>
      <c r="E3093" s="5"/>
      <c r="F3093" s="5"/>
      <c r="G3093" s="5"/>
      <c r="H3093" s="5"/>
      <c r="I3093" s="5"/>
      <c r="J3093" s="5"/>
      <c r="K3093" s="5"/>
      <c r="L3093" s="5"/>
      <c r="M3093" s="5"/>
      <c r="N3093" s="5"/>
      <c r="O3093" s="5"/>
    </row>
    <row r="3094" spans="2:15" x14ac:dyDescent="0.55000000000000004">
      <c r="B3094" s="5"/>
      <c r="C3094" s="5"/>
      <c r="D3094" s="5"/>
      <c r="E3094" s="5"/>
      <c r="F3094" s="5"/>
      <c r="G3094" s="5"/>
      <c r="H3094" s="5"/>
      <c r="I3094" s="5"/>
      <c r="J3094" s="5"/>
      <c r="K3094" s="5"/>
      <c r="L3094" s="5"/>
      <c r="M3094" s="5"/>
      <c r="N3094" s="5"/>
      <c r="O3094" s="5"/>
    </row>
    <row r="3095" spans="2:15" x14ac:dyDescent="0.55000000000000004">
      <c r="B3095" s="5"/>
      <c r="C3095" s="5"/>
      <c r="D3095" s="5"/>
      <c r="E3095" s="5"/>
      <c r="F3095" s="5"/>
      <c r="G3095" s="5"/>
      <c r="H3095" s="5"/>
      <c r="I3095" s="5"/>
      <c r="J3095" s="5"/>
      <c r="K3095" s="5"/>
      <c r="L3095" s="5"/>
      <c r="M3095" s="5"/>
      <c r="N3095" s="5"/>
      <c r="O3095" s="5"/>
    </row>
    <row r="3096" spans="2:15" x14ac:dyDescent="0.55000000000000004">
      <c r="B3096" s="5"/>
      <c r="C3096" s="5"/>
      <c r="D3096" s="5"/>
      <c r="E3096" s="5"/>
      <c r="F3096" s="5"/>
      <c r="G3096" s="5"/>
      <c r="H3096" s="5"/>
      <c r="I3096" s="5"/>
      <c r="J3096" s="5"/>
      <c r="K3096" s="5"/>
      <c r="L3096" s="5"/>
      <c r="M3096" s="5"/>
      <c r="N3096" s="5"/>
      <c r="O3096" s="5"/>
    </row>
    <row r="3097" spans="2:15" x14ac:dyDescent="0.55000000000000004">
      <c r="B3097" s="5"/>
      <c r="C3097" s="5"/>
      <c r="D3097" s="5"/>
      <c r="E3097" s="5"/>
      <c r="F3097" s="5"/>
      <c r="G3097" s="5"/>
      <c r="H3097" s="5"/>
      <c r="I3097" s="5"/>
      <c r="J3097" s="5"/>
      <c r="K3097" s="5"/>
      <c r="L3097" s="5"/>
      <c r="M3097" s="5"/>
      <c r="N3097" s="5"/>
      <c r="O3097" s="5"/>
    </row>
    <row r="3098" spans="2:15" x14ac:dyDescent="0.55000000000000004">
      <c r="B3098" s="5"/>
      <c r="C3098" s="5"/>
      <c r="D3098" s="5"/>
      <c r="E3098" s="5"/>
      <c r="F3098" s="5"/>
      <c r="G3098" s="5"/>
      <c r="H3098" s="5"/>
      <c r="I3098" s="5"/>
      <c r="J3098" s="5"/>
      <c r="K3098" s="5"/>
      <c r="L3098" s="5"/>
      <c r="M3098" s="5"/>
      <c r="N3098" s="5"/>
      <c r="O3098" s="5"/>
    </row>
    <row r="3099" spans="2:15" x14ac:dyDescent="0.55000000000000004">
      <c r="B3099" s="5"/>
      <c r="C3099" s="5"/>
      <c r="D3099" s="5"/>
      <c r="E3099" s="5"/>
      <c r="F3099" s="5"/>
      <c r="G3099" s="5"/>
      <c r="H3099" s="5"/>
      <c r="I3099" s="5"/>
      <c r="J3099" s="5"/>
      <c r="K3099" s="5"/>
      <c r="L3099" s="5"/>
      <c r="M3099" s="5"/>
      <c r="N3099" s="5"/>
      <c r="O3099" s="5"/>
    </row>
    <row r="3100" spans="2:15" x14ac:dyDescent="0.55000000000000004">
      <c r="B3100" s="5"/>
      <c r="C3100" s="5"/>
      <c r="D3100" s="5"/>
      <c r="E3100" s="5"/>
      <c r="F3100" s="5"/>
      <c r="G3100" s="5"/>
      <c r="H3100" s="5"/>
      <c r="I3100" s="5"/>
      <c r="J3100" s="5"/>
      <c r="K3100" s="5"/>
      <c r="L3100" s="5"/>
      <c r="M3100" s="5"/>
      <c r="N3100" s="5"/>
      <c r="O3100" s="5"/>
    </row>
    <row r="3101" spans="2:15" x14ac:dyDescent="0.55000000000000004">
      <c r="B3101" s="5"/>
      <c r="C3101" s="5"/>
      <c r="D3101" s="5"/>
      <c r="E3101" s="5"/>
      <c r="F3101" s="5"/>
      <c r="G3101" s="5"/>
      <c r="H3101" s="5"/>
      <c r="I3101" s="5"/>
      <c r="J3101" s="5"/>
      <c r="K3101" s="5"/>
      <c r="L3101" s="5"/>
      <c r="M3101" s="5"/>
      <c r="N3101" s="5"/>
      <c r="O3101" s="5"/>
    </row>
    <row r="3102" spans="2:15" x14ac:dyDescent="0.55000000000000004">
      <c r="B3102" s="5"/>
      <c r="C3102" s="5"/>
      <c r="D3102" s="5"/>
      <c r="E3102" s="5"/>
      <c r="F3102" s="5"/>
      <c r="G3102" s="5"/>
      <c r="H3102" s="5"/>
      <c r="I3102" s="5"/>
      <c r="J3102" s="5"/>
      <c r="K3102" s="5"/>
      <c r="L3102" s="5"/>
      <c r="M3102" s="5"/>
      <c r="N3102" s="5"/>
      <c r="O3102" s="5"/>
    </row>
    <row r="3103" spans="2:15" x14ac:dyDescent="0.55000000000000004">
      <c r="B3103" s="5"/>
      <c r="C3103" s="5"/>
      <c r="D3103" s="5"/>
      <c r="E3103" s="5"/>
      <c r="F3103" s="5"/>
      <c r="G3103" s="5"/>
      <c r="H3103" s="5"/>
      <c r="I3103" s="5"/>
      <c r="J3103" s="5"/>
      <c r="K3103" s="5"/>
      <c r="L3103" s="5"/>
      <c r="M3103" s="5"/>
      <c r="N3103" s="5"/>
      <c r="O3103" s="5"/>
    </row>
    <row r="3104" spans="2:15" x14ac:dyDescent="0.55000000000000004">
      <c r="B3104" s="5"/>
      <c r="C3104" s="5"/>
      <c r="D3104" s="5"/>
      <c r="E3104" s="5"/>
      <c r="F3104" s="5"/>
      <c r="G3104" s="5"/>
      <c r="H3104" s="5"/>
      <c r="I3104" s="5"/>
      <c r="J3104" s="5"/>
      <c r="K3104" s="5"/>
      <c r="L3104" s="5"/>
      <c r="M3104" s="5"/>
      <c r="N3104" s="5"/>
      <c r="O3104" s="5"/>
    </row>
    <row r="3105" spans="2:15" x14ac:dyDescent="0.55000000000000004">
      <c r="B3105" s="5"/>
      <c r="C3105" s="5"/>
      <c r="D3105" s="5"/>
      <c r="E3105" s="5"/>
      <c r="F3105" s="5"/>
      <c r="G3105" s="5"/>
      <c r="H3105" s="5"/>
      <c r="I3105" s="5"/>
      <c r="J3105" s="5"/>
      <c r="K3105" s="5"/>
      <c r="L3105" s="5"/>
      <c r="M3105" s="5"/>
      <c r="N3105" s="5"/>
      <c r="O3105" s="5"/>
    </row>
    <row r="3106" spans="2:15" x14ac:dyDescent="0.55000000000000004">
      <c r="B3106" s="5"/>
      <c r="C3106" s="5"/>
      <c r="D3106" s="5"/>
      <c r="E3106" s="5"/>
      <c r="F3106" s="5"/>
      <c r="G3106" s="5"/>
      <c r="H3106" s="5"/>
      <c r="I3106" s="5"/>
      <c r="J3106" s="5"/>
      <c r="K3106" s="5"/>
      <c r="L3106" s="5"/>
      <c r="M3106" s="5"/>
      <c r="N3106" s="5"/>
      <c r="O3106" s="5"/>
    </row>
    <row r="3107" spans="2:15" x14ac:dyDescent="0.55000000000000004">
      <c r="B3107" s="5"/>
      <c r="C3107" s="5"/>
      <c r="D3107" s="5"/>
      <c r="E3107" s="5"/>
      <c r="F3107" s="5"/>
      <c r="G3107" s="5"/>
      <c r="H3107" s="5"/>
      <c r="I3107" s="5"/>
      <c r="J3107" s="5"/>
      <c r="K3107" s="5"/>
      <c r="L3107" s="5"/>
      <c r="M3107" s="5"/>
      <c r="N3107" s="5"/>
      <c r="O3107" s="5"/>
    </row>
    <row r="3108" spans="2:15" x14ac:dyDescent="0.55000000000000004">
      <c r="B3108" s="5"/>
      <c r="C3108" s="5"/>
      <c r="D3108" s="5"/>
      <c r="E3108" s="5"/>
      <c r="F3108" s="5"/>
      <c r="G3108" s="5"/>
      <c r="H3108" s="5"/>
      <c r="I3108" s="5"/>
      <c r="J3108" s="5"/>
      <c r="K3108" s="5"/>
      <c r="L3108" s="5"/>
      <c r="M3108" s="5"/>
      <c r="N3108" s="5"/>
      <c r="O3108" s="5"/>
    </row>
    <row r="3109" spans="2:15" x14ac:dyDescent="0.55000000000000004">
      <c r="B3109" s="5"/>
      <c r="C3109" s="5"/>
      <c r="D3109" s="5"/>
      <c r="E3109" s="5"/>
      <c r="F3109" s="5"/>
      <c r="G3109" s="5"/>
      <c r="H3109" s="5"/>
      <c r="I3109" s="5"/>
      <c r="J3109" s="5"/>
      <c r="K3109" s="5"/>
      <c r="L3109" s="5"/>
      <c r="M3109" s="5"/>
      <c r="N3109" s="5"/>
      <c r="O3109" s="5"/>
    </row>
    <row r="3110" spans="2:15" x14ac:dyDescent="0.55000000000000004">
      <c r="B3110" s="5"/>
      <c r="C3110" s="5"/>
      <c r="D3110" s="5"/>
      <c r="E3110" s="5"/>
      <c r="F3110" s="5"/>
      <c r="G3110" s="5"/>
      <c r="H3110" s="5"/>
      <c r="I3110" s="5"/>
      <c r="J3110" s="5"/>
      <c r="K3110" s="5"/>
      <c r="L3110" s="5"/>
      <c r="M3110" s="5"/>
      <c r="N3110" s="5"/>
      <c r="O3110" s="5"/>
    </row>
    <row r="3111" spans="2:15" x14ac:dyDescent="0.55000000000000004">
      <c r="B3111" s="5"/>
      <c r="C3111" s="5"/>
      <c r="D3111" s="5"/>
      <c r="E3111" s="5"/>
      <c r="F3111" s="5"/>
      <c r="G3111" s="5"/>
      <c r="H3111" s="5"/>
      <c r="I3111" s="5"/>
      <c r="J3111" s="5"/>
      <c r="K3111" s="5"/>
      <c r="L3111" s="5"/>
      <c r="M3111" s="5"/>
      <c r="N3111" s="5"/>
      <c r="O3111" s="5"/>
    </row>
    <row r="3112" spans="2:15" x14ac:dyDescent="0.55000000000000004">
      <c r="B3112" s="5"/>
      <c r="C3112" s="5"/>
      <c r="D3112" s="5"/>
      <c r="E3112" s="5"/>
      <c r="F3112" s="5"/>
      <c r="G3112" s="5"/>
      <c r="H3112" s="5"/>
      <c r="I3112" s="5"/>
      <c r="J3112" s="5"/>
      <c r="K3112" s="5"/>
      <c r="L3112" s="5"/>
      <c r="M3112" s="5"/>
      <c r="N3112" s="5"/>
      <c r="O3112" s="5"/>
    </row>
    <row r="3113" spans="2:15" x14ac:dyDescent="0.55000000000000004">
      <c r="B3113" s="5"/>
      <c r="C3113" s="5"/>
      <c r="D3113" s="5"/>
      <c r="E3113" s="5"/>
      <c r="F3113" s="5"/>
      <c r="G3113" s="5"/>
      <c r="H3113" s="5"/>
      <c r="I3113" s="5"/>
      <c r="J3113" s="5"/>
      <c r="K3113" s="5"/>
      <c r="L3113" s="5"/>
      <c r="M3113" s="5"/>
      <c r="N3113" s="5"/>
      <c r="O3113" s="5"/>
    </row>
    <row r="3114" spans="2:15" x14ac:dyDescent="0.55000000000000004">
      <c r="B3114" s="5"/>
      <c r="C3114" s="5"/>
      <c r="D3114" s="5"/>
      <c r="E3114" s="5"/>
      <c r="F3114" s="5"/>
      <c r="G3114" s="5"/>
      <c r="H3114" s="5"/>
      <c r="I3114" s="5"/>
      <c r="J3114" s="5"/>
      <c r="K3114" s="5"/>
      <c r="L3114" s="5"/>
      <c r="M3114" s="5"/>
      <c r="N3114" s="5"/>
      <c r="O3114" s="5"/>
    </row>
    <row r="3115" spans="2:15" x14ac:dyDescent="0.55000000000000004">
      <c r="B3115" s="5"/>
      <c r="C3115" s="5"/>
      <c r="D3115" s="5"/>
      <c r="E3115" s="5"/>
      <c r="F3115" s="5"/>
      <c r="G3115" s="5"/>
      <c r="H3115" s="5"/>
      <c r="I3115" s="5"/>
      <c r="J3115" s="5"/>
      <c r="K3115" s="5"/>
      <c r="L3115" s="5"/>
      <c r="M3115" s="5"/>
      <c r="N3115" s="5"/>
      <c r="O3115" s="5"/>
    </row>
    <row r="3116" spans="2:15" x14ac:dyDescent="0.55000000000000004">
      <c r="B3116" s="5"/>
      <c r="C3116" s="5"/>
      <c r="D3116" s="5"/>
      <c r="E3116" s="5"/>
      <c r="F3116" s="5"/>
      <c r="G3116" s="5"/>
      <c r="H3116" s="5"/>
      <c r="I3116" s="5"/>
      <c r="J3116" s="5"/>
      <c r="K3116" s="5"/>
      <c r="L3116" s="5"/>
      <c r="M3116" s="5"/>
      <c r="N3116" s="5"/>
      <c r="O3116" s="5"/>
    </row>
    <row r="3117" spans="2:15" x14ac:dyDescent="0.55000000000000004">
      <c r="B3117" s="5"/>
      <c r="C3117" s="5"/>
      <c r="D3117" s="5"/>
      <c r="E3117" s="5"/>
      <c r="F3117" s="5"/>
      <c r="G3117" s="5"/>
      <c r="H3117" s="5"/>
      <c r="I3117" s="5"/>
      <c r="J3117" s="5"/>
      <c r="K3117" s="5"/>
      <c r="L3117" s="5"/>
      <c r="M3117" s="5"/>
      <c r="N3117" s="5"/>
      <c r="O3117" s="5"/>
    </row>
    <row r="3118" spans="2:15" x14ac:dyDescent="0.55000000000000004">
      <c r="B3118" s="5"/>
      <c r="C3118" s="5"/>
      <c r="D3118" s="5"/>
      <c r="E3118" s="5"/>
      <c r="F3118" s="5"/>
      <c r="G3118" s="5"/>
      <c r="H3118" s="5"/>
      <c r="I3118" s="5"/>
      <c r="J3118" s="5"/>
      <c r="K3118" s="5"/>
      <c r="L3118" s="5"/>
      <c r="M3118" s="5"/>
      <c r="N3118" s="5"/>
      <c r="O3118" s="5"/>
    </row>
    <row r="3119" spans="2:15" x14ac:dyDescent="0.55000000000000004">
      <c r="B3119" s="5"/>
      <c r="C3119" s="5"/>
      <c r="D3119" s="5"/>
      <c r="E3119" s="5"/>
      <c r="F3119" s="5"/>
      <c r="G3119" s="5"/>
      <c r="H3119" s="5"/>
      <c r="I3119" s="5"/>
      <c r="J3119" s="5"/>
      <c r="K3119" s="5"/>
      <c r="L3119" s="5"/>
      <c r="M3119" s="5"/>
      <c r="N3119" s="5"/>
      <c r="O3119" s="5"/>
    </row>
    <row r="3120" spans="2:15" x14ac:dyDescent="0.55000000000000004">
      <c r="B3120" s="5"/>
      <c r="C3120" s="5"/>
      <c r="D3120" s="5"/>
      <c r="E3120" s="5"/>
      <c r="F3120" s="5"/>
      <c r="G3120" s="5"/>
      <c r="H3120" s="5"/>
      <c r="I3120" s="5"/>
      <c r="J3120" s="5"/>
      <c r="K3120" s="5"/>
      <c r="L3120" s="5"/>
      <c r="M3120" s="5"/>
      <c r="N3120" s="5"/>
      <c r="O3120" s="5"/>
    </row>
    <row r="3121" spans="2:15" x14ac:dyDescent="0.55000000000000004">
      <c r="B3121" s="5"/>
      <c r="C3121" s="5"/>
      <c r="D3121" s="5"/>
      <c r="E3121" s="5"/>
      <c r="F3121" s="5"/>
      <c r="G3121" s="5"/>
      <c r="H3121" s="5"/>
      <c r="I3121" s="5"/>
      <c r="J3121" s="5"/>
      <c r="K3121" s="5"/>
      <c r="L3121" s="5"/>
      <c r="M3121" s="5"/>
      <c r="N3121" s="5"/>
      <c r="O3121" s="5"/>
    </row>
    <row r="3122" spans="2:15" x14ac:dyDescent="0.55000000000000004">
      <c r="B3122" s="5"/>
      <c r="C3122" s="5"/>
      <c r="D3122" s="5"/>
      <c r="E3122" s="5"/>
      <c r="F3122" s="5"/>
      <c r="G3122" s="5"/>
      <c r="H3122" s="5"/>
      <c r="I3122" s="5"/>
      <c r="J3122" s="5"/>
      <c r="K3122" s="5"/>
      <c r="L3122" s="5"/>
      <c r="M3122" s="5"/>
      <c r="N3122" s="5"/>
      <c r="O3122" s="5"/>
    </row>
    <row r="3123" spans="2:15" x14ac:dyDescent="0.55000000000000004">
      <c r="B3123" s="5"/>
      <c r="C3123" s="5"/>
      <c r="D3123" s="5"/>
      <c r="E3123" s="5"/>
      <c r="F3123" s="5"/>
      <c r="G3123" s="5"/>
      <c r="H3123" s="5"/>
      <c r="I3123" s="5"/>
      <c r="J3123" s="5"/>
      <c r="K3123" s="5"/>
      <c r="L3123" s="5"/>
      <c r="M3123" s="5"/>
      <c r="N3123" s="5"/>
      <c r="O3123" s="5"/>
    </row>
    <row r="3124" spans="2:15" x14ac:dyDescent="0.55000000000000004">
      <c r="B3124" s="5"/>
      <c r="C3124" s="5"/>
      <c r="D3124" s="5"/>
      <c r="E3124" s="5"/>
      <c r="F3124" s="5"/>
      <c r="G3124" s="5"/>
      <c r="H3124" s="5"/>
      <c r="I3124" s="5"/>
      <c r="J3124" s="5"/>
      <c r="K3124" s="5"/>
      <c r="L3124" s="5"/>
      <c r="M3124" s="5"/>
      <c r="N3124" s="5"/>
      <c r="O3124" s="5"/>
    </row>
    <row r="3125" spans="2:15" x14ac:dyDescent="0.55000000000000004">
      <c r="B3125" s="5"/>
      <c r="C3125" s="5"/>
      <c r="D3125" s="5"/>
      <c r="E3125" s="5"/>
      <c r="F3125" s="5"/>
      <c r="G3125" s="5"/>
      <c r="H3125" s="5"/>
      <c r="I3125" s="5"/>
      <c r="J3125" s="5"/>
      <c r="K3125" s="5"/>
      <c r="L3125" s="5"/>
      <c r="M3125" s="5"/>
      <c r="N3125" s="5"/>
      <c r="O3125" s="5"/>
    </row>
    <row r="3126" spans="2:15" x14ac:dyDescent="0.55000000000000004">
      <c r="B3126" s="5"/>
      <c r="C3126" s="5"/>
      <c r="D3126" s="5"/>
      <c r="E3126" s="5"/>
      <c r="F3126" s="5"/>
      <c r="G3126" s="5"/>
      <c r="H3126" s="5"/>
      <c r="I3126" s="5"/>
      <c r="J3126" s="5"/>
      <c r="K3126" s="5"/>
      <c r="L3126" s="5"/>
      <c r="M3126" s="5"/>
      <c r="N3126" s="5"/>
      <c r="O3126" s="5"/>
    </row>
    <row r="3127" spans="2:15" x14ac:dyDescent="0.55000000000000004">
      <c r="B3127" s="5"/>
      <c r="C3127" s="5"/>
      <c r="D3127" s="5"/>
      <c r="E3127" s="5"/>
      <c r="F3127" s="5"/>
      <c r="G3127" s="5"/>
      <c r="H3127" s="5"/>
      <c r="I3127" s="5"/>
      <c r="J3127" s="5"/>
      <c r="K3127" s="5"/>
      <c r="L3127" s="5"/>
      <c r="M3127" s="5"/>
      <c r="N3127" s="5"/>
      <c r="O3127" s="5"/>
    </row>
    <row r="3128" spans="2:15" x14ac:dyDescent="0.55000000000000004">
      <c r="B3128" s="5"/>
      <c r="C3128" s="5"/>
      <c r="D3128" s="5"/>
      <c r="E3128" s="5"/>
      <c r="F3128" s="5"/>
      <c r="G3128" s="5"/>
      <c r="H3128" s="5"/>
      <c r="I3128" s="5"/>
      <c r="J3128" s="5"/>
      <c r="K3128" s="5"/>
      <c r="L3128" s="5"/>
      <c r="M3128" s="5"/>
      <c r="N3128" s="5"/>
      <c r="O3128" s="5"/>
    </row>
    <row r="3129" spans="2:15" x14ac:dyDescent="0.55000000000000004">
      <c r="B3129" s="5"/>
      <c r="C3129" s="5"/>
      <c r="D3129" s="5"/>
      <c r="E3129" s="5"/>
      <c r="F3129" s="5"/>
      <c r="G3129" s="5"/>
      <c r="H3129" s="5"/>
      <c r="I3129" s="5"/>
      <c r="J3129" s="5"/>
      <c r="K3129" s="5"/>
      <c r="L3129" s="5"/>
      <c r="M3129" s="5"/>
      <c r="N3129" s="5"/>
      <c r="O3129" s="5"/>
    </row>
    <row r="3130" spans="2:15" x14ac:dyDescent="0.55000000000000004">
      <c r="B3130" s="5"/>
      <c r="C3130" s="5"/>
      <c r="D3130" s="5"/>
      <c r="E3130" s="5"/>
      <c r="F3130" s="5"/>
      <c r="G3130" s="5"/>
      <c r="H3130" s="5"/>
      <c r="I3130" s="5"/>
      <c r="J3130" s="5"/>
      <c r="K3130" s="5"/>
      <c r="L3130" s="5"/>
      <c r="M3130" s="5"/>
      <c r="N3130" s="5"/>
      <c r="O3130" s="5"/>
    </row>
    <row r="3131" spans="2:15" x14ac:dyDescent="0.55000000000000004">
      <c r="B3131" s="5"/>
      <c r="C3131" s="5"/>
      <c r="D3131" s="5"/>
      <c r="E3131" s="5"/>
      <c r="F3131" s="5"/>
      <c r="G3131" s="5"/>
      <c r="H3131" s="5"/>
      <c r="I3131" s="5"/>
      <c r="J3131" s="5"/>
      <c r="K3131" s="5"/>
      <c r="L3131" s="5"/>
      <c r="M3131" s="5"/>
      <c r="N3131" s="5"/>
      <c r="O3131" s="5"/>
    </row>
    <row r="3132" spans="2:15" x14ac:dyDescent="0.55000000000000004">
      <c r="B3132" s="5"/>
      <c r="C3132" s="5"/>
      <c r="D3132" s="5"/>
      <c r="E3132" s="5"/>
      <c r="F3132" s="5"/>
      <c r="G3132" s="5"/>
      <c r="H3132" s="5"/>
      <c r="I3132" s="5"/>
      <c r="J3132" s="5"/>
      <c r="K3132" s="5"/>
      <c r="L3132" s="5"/>
      <c r="M3132" s="5"/>
      <c r="N3132" s="5"/>
      <c r="O3132" s="5"/>
    </row>
    <row r="3133" spans="2:15" x14ac:dyDescent="0.55000000000000004">
      <c r="B3133" s="5"/>
      <c r="C3133" s="5"/>
      <c r="D3133" s="5"/>
      <c r="E3133" s="5"/>
      <c r="F3133" s="5"/>
      <c r="G3133" s="5"/>
      <c r="H3133" s="5"/>
      <c r="I3133" s="5"/>
      <c r="J3133" s="5"/>
      <c r="K3133" s="5"/>
      <c r="L3133" s="5"/>
      <c r="M3133" s="5"/>
      <c r="N3133" s="5"/>
      <c r="O3133" s="5"/>
    </row>
    <row r="3134" spans="2:15" x14ac:dyDescent="0.55000000000000004">
      <c r="B3134" s="5"/>
      <c r="C3134" s="5"/>
      <c r="D3134" s="5"/>
      <c r="E3134" s="5"/>
      <c r="F3134" s="5"/>
      <c r="G3134" s="5"/>
      <c r="H3134" s="5"/>
      <c r="I3134" s="5"/>
      <c r="J3134" s="5"/>
      <c r="K3134" s="5"/>
      <c r="L3134" s="5"/>
      <c r="M3134" s="5"/>
      <c r="N3134" s="5"/>
      <c r="O3134" s="5"/>
    </row>
    <row r="3135" spans="2:15" x14ac:dyDescent="0.55000000000000004">
      <c r="B3135" s="5"/>
      <c r="C3135" s="5"/>
      <c r="D3135" s="5"/>
      <c r="E3135" s="5"/>
      <c r="F3135" s="5"/>
      <c r="G3135" s="5"/>
      <c r="H3135" s="5"/>
      <c r="I3135" s="5"/>
      <c r="J3135" s="5"/>
      <c r="K3135" s="5"/>
      <c r="L3135" s="5"/>
      <c r="M3135" s="5"/>
      <c r="N3135" s="5"/>
      <c r="O3135" s="5"/>
    </row>
    <row r="3136" spans="2:15" x14ac:dyDescent="0.55000000000000004">
      <c r="B3136" s="5"/>
      <c r="C3136" s="5"/>
      <c r="D3136" s="5"/>
      <c r="E3136" s="5"/>
      <c r="F3136" s="5"/>
      <c r="G3136" s="5"/>
      <c r="H3136" s="5"/>
      <c r="I3136" s="5"/>
      <c r="J3136" s="5"/>
      <c r="K3136" s="5"/>
      <c r="L3136" s="5"/>
      <c r="M3136" s="5"/>
      <c r="N3136" s="5"/>
      <c r="O3136" s="5"/>
    </row>
    <row r="3137" spans="2:15" x14ac:dyDescent="0.55000000000000004">
      <c r="B3137" s="5"/>
      <c r="C3137" s="5"/>
      <c r="D3137" s="5"/>
      <c r="E3137" s="5"/>
      <c r="F3137" s="5"/>
      <c r="G3137" s="5"/>
      <c r="H3137" s="5"/>
      <c r="I3137" s="5"/>
      <c r="J3137" s="5"/>
      <c r="K3137" s="5"/>
      <c r="L3137" s="5"/>
      <c r="M3137" s="5"/>
      <c r="N3137" s="5"/>
      <c r="O3137" s="5"/>
    </row>
    <row r="3138" spans="2:15" x14ac:dyDescent="0.55000000000000004">
      <c r="B3138" s="5"/>
      <c r="C3138" s="5"/>
      <c r="D3138" s="5"/>
      <c r="E3138" s="5"/>
      <c r="F3138" s="5"/>
      <c r="G3138" s="5"/>
      <c r="H3138" s="5"/>
      <c r="I3138" s="5"/>
      <c r="J3138" s="5"/>
      <c r="K3138" s="5"/>
      <c r="L3138" s="5"/>
      <c r="M3138" s="5"/>
      <c r="N3138" s="5"/>
      <c r="O3138" s="5"/>
    </row>
    <row r="3139" spans="2:15" x14ac:dyDescent="0.55000000000000004">
      <c r="B3139" s="5"/>
      <c r="C3139" s="5"/>
      <c r="D3139" s="5"/>
      <c r="E3139" s="5"/>
      <c r="F3139" s="5"/>
      <c r="G3139" s="5"/>
      <c r="H3139" s="5"/>
      <c r="I3139" s="5"/>
      <c r="J3139" s="5"/>
      <c r="K3139" s="5"/>
      <c r="L3139" s="5"/>
      <c r="M3139" s="5"/>
      <c r="N3139" s="5"/>
      <c r="O3139" s="5"/>
    </row>
    <row r="3140" spans="2:15" x14ac:dyDescent="0.55000000000000004">
      <c r="B3140" s="5"/>
      <c r="C3140" s="5"/>
      <c r="D3140" s="5"/>
      <c r="E3140" s="5"/>
      <c r="F3140" s="5"/>
      <c r="G3140" s="5"/>
      <c r="H3140" s="5"/>
      <c r="I3140" s="5"/>
      <c r="J3140" s="5"/>
      <c r="K3140" s="5"/>
      <c r="L3140" s="5"/>
      <c r="M3140" s="5"/>
      <c r="N3140" s="5"/>
      <c r="O3140" s="5"/>
    </row>
    <row r="3141" spans="2:15" x14ac:dyDescent="0.55000000000000004">
      <c r="B3141" s="5"/>
      <c r="C3141" s="5"/>
      <c r="D3141" s="5"/>
      <c r="E3141" s="5"/>
      <c r="F3141" s="5"/>
      <c r="G3141" s="5"/>
      <c r="H3141" s="5"/>
      <c r="I3141" s="5"/>
      <c r="J3141" s="5"/>
      <c r="K3141" s="5"/>
      <c r="L3141" s="5"/>
      <c r="M3141" s="5"/>
      <c r="N3141" s="5"/>
      <c r="O3141" s="5"/>
    </row>
    <row r="3142" spans="2:15" x14ac:dyDescent="0.55000000000000004">
      <c r="B3142" s="5"/>
      <c r="C3142" s="5"/>
      <c r="D3142" s="5"/>
      <c r="E3142" s="5"/>
      <c r="F3142" s="5"/>
      <c r="G3142" s="5"/>
      <c r="H3142" s="5"/>
      <c r="I3142" s="5"/>
      <c r="J3142" s="5"/>
      <c r="K3142" s="5"/>
      <c r="L3142" s="5"/>
      <c r="M3142" s="5"/>
      <c r="N3142" s="5"/>
      <c r="O3142" s="5"/>
    </row>
    <row r="3143" spans="2:15" x14ac:dyDescent="0.55000000000000004">
      <c r="B3143" s="5"/>
      <c r="C3143" s="5"/>
      <c r="D3143" s="5"/>
      <c r="E3143" s="5"/>
      <c r="F3143" s="5"/>
      <c r="G3143" s="5"/>
      <c r="H3143" s="5"/>
      <c r="I3143" s="5"/>
      <c r="J3143" s="5"/>
      <c r="K3143" s="5"/>
      <c r="L3143" s="5"/>
      <c r="M3143" s="5"/>
      <c r="N3143" s="5"/>
      <c r="O3143" s="5"/>
    </row>
    <row r="3144" spans="2:15" x14ac:dyDescent="0.55000000000000004">
      <c r="B3144" s="5"/>
      <c r="C3144" s="5"/>
      <c r="D3144" s="5"/>
      <c r="E3144" s="5"/>
      <c r="F3144" s="5"/>
      <c r="G3144" s="5"/>
      <c r="H3144" s="5"/>
      <c r="I3144" s="5"/>
      <c r="J3144" s="5"/>
      <c r="K3144" s="5"/>
      <c r="L3144" s="5"/>
      <c r="M3144" s="5"/>
      <c r="N3144" s="5"/>
      <c r="O3144" s="5"/>
    </row>
    <row r="3145" spans="2:15" x14ac:dyDescent="0.55000000000000004">
      <c r="B3145" s="5"/>
      <c r="C3145" s="5"/>
      <c r="D3145" s="5"/>
      <c r="E3145" s="5"/>
      <c r="F3145" s="5"/>
      <c r="G3145" s="5"/>
      <c r="H3145" s="5"/>
      <c r="I3145" s="5"/>
      <c r="J3145" s="5"/>
      <c r="K3145" s="5"/>
      <c r="L3145" s="5"/>
      <c r="M3145" s="5"/>
      <c r="N3145" s="5"/>
      <c r="O3145" s="5"/>
    </row>
    <row r="3146" spans="2:15" x14ac:dyDescent="0.55000000000000004">
      <c r="B3146" s="5"/>
      <c r="C3146" s="5"/>
      <c r="D3146" s="5"/>
      <c r="E3146" s="5"/>
      <c r="F3146" s="5"/>
      <c r="G3146" s="5"/>
      <c r="H3146" s="5"/>
      <c r="I3146" s="5"/>
      <c r="J3146" s="5"/>
      <c r="K3146" s="5"/>
      <c r="L3146" s="5"/>
      <c r="M3146" s="5"/>
      <c r="N3146" s="5"/>
      <c r="O3146" s="5"/>
    </row>
    <row r="3147" spans="2:15" x14ac:dyDescent="0.55000000000000004">
      <c r="B3147" s="5"/>
      <c r="C3147" s="5"/>
      <c r="D3147" s="5"/>
      <c r="E3147" s="5"/>
      <c r="F3147" s="5"/>
      <c r="G3147" s="5"/>
      <c r="H3147" s="5"/>
      <c r="I3147" s="5"/>
      <c r="J3147" s="5"/>
      <c r="K3147" s="5"/>
      <c r="L3147" s="5"/>
      <c r="M3147" s="5"/>
      <c r="N3147" s="5"/>
      <c r="O3147" s="5"/>
    </row>
    <row r="3148" spans="2:15" x14ac:dyDescent="0.55000000000000004">
      <c r="B3148" s="5"/>
      <c r="C3148" s="5"/>
      <c r="D3148" s="5"/>
      <c r="E3148" s="5"/>
      <c r="F3148" s="5"/>
      <c r="G3148" s="5"/>
      <c r="H3148" s="5"/>
      <c r="I3148" s="5"/>
      <c r="J3148" s="5"/>
      <c r="K3148" s="5"/>
      <c r="L3148" s="5"/>
      <c r="M3148" s="5"/>
      <c r="N3148" s="5"/>
      <c r="O3148" s="5"/>
    </row>
    <row r="3149" spans="2:15" x14ac:dyDescent="0.55000000000000004">
      <c r="B3149" s="5"/>
      <c r="C3149" s="5"/>
      <c r="D3149" s="5"/>
      <c r="E3149" s="5"/>
      <c r="F3149" s="5"/>
      <c r="G3149" s="5"/>
      <c r="H3149" s="5"/>
      <c r="I3149" s="5"/>
      <c r="J3149" s="5"/>
      <c r="K3149" s="5"/>
      <c r="L3149" s="5"/>
      <c r="M3149" s="5"/>
      <c r="N3149" s="5"/>
      <c r="O3149" s="5"/>
    </row>
    <row r="3150" spans="2:15" x14ac:dyDescent="0.55000000000000004">
      <c r="B3150" s="5"/>
      <c r="C3150" s="5"/>
      <c r="D3150" s="5"/>
      <c r="E3150" s="5"/>
      <c r="F3150" s="5"/>
      <c r="G3150" s="5"/>
      <c r="H3150" s="5"/>
      <c r="I3150" s="5"/>
      <c r="J3150" s="5"/>
      <c r="K3150" s="5"/>
      <c r="L3150" s="5"/>
      <c r="M3150" s="5"/>
      <c r="N3150" s="5"/>
      <c r="O3150" s="5"/>
    </row>
    <row r="3151" spans="2:15" x14ac:dyDescent="0.55000000000000004">
      <c r="B3151" s="5"/>
      <c r="C3151" s="5"/>
      <c r="D3151" s="5"/>
      <c r="E3151" s="5"/>
      <c r="F3151" s="5"/>
      <c r="G3151" s="5"/>
      <c r="H3151" s="5"/>
      <c r="I3151" s="5"/>
      <c r="J3151" s="5"/>
      <c r="K3151" s="5"/>
      <c r="L3151" s="5"/>
      <c r="M3151" s="5"/>
      <c r="N3151" s="5"/>
      <c r="O3151" s="5"/>
    </row>
    <row r="3152" spans="2:15" x14ac:dyDescent="0.55000000000000004">
      <c r="B3152" s="5"/>
      <c r="C3152" s="5"/>
      <c r="D3152" s="5"/>
      <c r="E3152" s="5"/>
      <c r="F3152" s="5"/>
      <c r="G3152" s="5"/>
      <c r="H3152" s="5"/>
      <c r="I3152" s="5"/>
      <c r="J3152" s="5"/>
      <c r="K3152" s="5"/>
      <c r="L3152" s="5"/>
      <c r="M3152" s="5"/>
      <c r="N3152" s="5"/>
      <c r="O3152" s="5"/>
    </row>
    <row r="3153" spans="2:15" x14ac:dyDescent="0.55000000000000004">
      <c r="B3153" s="5"/>
      <c r="C3153" s="5"/>
      <c r="D3153" s="5"/>
      <c r="E3153" s="5"/>
      <c r="F3153" s="5"/>
      <c r="G3153" s="5"/>
      <c r="H3153" s="5"/>
      <c r="I3153" s="5"/>
      <c r="J3153" s="5"/>
      <c r="K3153" s="5"/>
      <c r="L3153" s="5"/>
      <c r="M3153" s="5"/>
      <c r="N3153" s="5"/>
      <c r="O3153" s="5"/>
    </row>
    <row r="3154" spans="2:15" x14ac:dyDescent="0.55000000000000004">
      <c r="B3154" s="5"/>
      <c r="C3154" s="5"/>
      <c r="D3154" s="5"/>
      <c r="E3154" s="5"/>
      <c r="F3154" s="5"/>
      <c r="G3154" s="5"/>
      <c r="H3154" s="5"/>
      <c r="I3154" s="5"/>
      <c r="J3154" s="5"/>
      <c r="K3154" s="5"/>
      <c r="L3154" s="5"/>
      <c r="M3154" s="5"/>
      <c r="N3154" s="5"/>
      <c r="O3154" s="5"/>
    </row>
    <row r="3155" spans="2:15" x14ac:dyDescent="0.55000000000000004">
      <c r="B3155" s="5"/>
      <c r="C3155" s="5"/>
      <c r="D3155" s="5"/>
      <c r="E3155" s="5"/>
      <c r="F3155" s="5"/>
      <c r="G3155" s="5"/>
      <c r="H3155" s="5"/>
      <c r="I3155" s="5"/>
      <c r="J3155" s="5"/>
      <c r="K3155" s="5"/>
      <c r="L3155" s="5"/>
      <c r="M3155" s="5"/>
      <c r="N3155" s="5"/>
      <c r="O3155" s="5"/>
    </row>
    <row r="3156" spans="2:15" x14ac:dyDescent="0.55000000000000004">
      <c r="B3156" s="5"/>
      <c r="C3156" s="5"/>
      <c r="D3156" s="5"/>
      <c r="E3156" s="5"/>
      <c r="F3156" s="5"/>
      <c r="G3156" s="5"/>
      <c r="H3156" s="5"/>
      <c r="I3156" s="5"/>
      <c r="J3156" s="5"/>
      <c r="K3156" s="5"/>
      <c r="L3156" s="5"/>
      <c r="M3156" s="5"/>
      <c r="N3156" s="5"/>
      <c r="O3156" s="5"/>
    </row>
    <row r="3157" spans="2:15" x14ac:dyDescent="0.55000000000000004">
      <c r="B3157" s="5"/>
      <c r="C3157" s="5"/>
      <c r="D3157" s="5"/>
      <c r="E3157" s="5"/>
      <c r="F3157" s="5"/>
      <c r="G3157" s="5"/>
      <c r="H3157" s="5"/>
      <c r="I3157" s="5"/>
      <c r="J3157" s="5"/>
      <c r="K3157" s="5"/>
      <c r="L3157" s="5"/>
      <c r="M3157" s="5"/>
      <c r="N3157" s="5"/>
      <c r="O3157" s="5"/>
    </row>
    <row r="3158" spans="2:15" x14ac:dyDescent="0.55000000000000004">
      <c r="B3158" s="5"/>
      <c r="C3158" s="5"/>
      <c r="D3158" s="5"/>
      <c r="E3158" s="5"/>
      <c r="F3158" s="5"/>
      <c r="G3158" s="5"/>
      <c r="H3158" s="5"/>
      <c r="I3158" s="5"/>
      <c r="J3158" s="5"/>
      <c r="K3158" s="5"/>
      <c r="L3158" s="5"/>
      <c r="M3158" s="5"/>
      <c r="N3158" s="5"/>
      <c r="O3158" s="5"/>
    </row>
    <row r="3159" spans="2:15" x14ac:dyDescent="0.55000000000000004">
      <c r="B3159" s="5"/>
      <c r="C3159" s="5"/>
      <c r="D3159" s="5"/>
      <c r="E3159" s="5"/>
      <c r="F3159" s="5"/>
      <c r="G3159" s="5"/>
      <c r="H3159" s="5"/>
      <c r="I3159" s="5"/>
      <c r="J3159" s="5"/>
      <c r="K3159" s="5"/>
      <c r="L3159" s="5"/>
      <c r="M3159" s="5"/>
      <c r="N3159" s="5"/>
      <c r="O3159" s="5"/>
    </row>
    <row r="3160" spans="2:15" x14ac:dyDescent="0.55000000000000004">
      <c r="B3160" s="5"/>
      <c r="C3160" s="5"/>
      <c r="D3160" s="5"/>
      <c r="E3160" s="5"/>
      <c r="F3160" s="5"/>
      <c r="G3160" s="5"/>
      <c r="H3160" s="5"/>
      <c r="I3160" s="5"/>
      <c r="J3160" s="5"/>
      <c r="K3160" s="5"/>
      <c r="L3160" s="5"/>
      <c r="M3160" s="5"/>
      <c r="N3160" s="5"/>
      <c r="O3160" s="5"/>
    </row>
    <row r="3161" spans="2:15" x14ac:dyDescent="0.55000000000000004">
      <c r="B3161" s="5"/>
      <c r="C3161" s="5"/>
      <c r="D3161" s="5"/>
      <c r="E3161" s="5"/>
      <c r="F3161" s="5"/>
      <c r="G3161" s="5"/>
      <c r="H3161" s="5"/>
      <c r="I3161" s="5"/>
      <c r="J3161" s="5"/>
      <c r="K3161" s="5"/>
      <c r="L3161" s="5"/>
      <c r="M3161" s="5"/>
      <c r="N3161" s="5"/>
      <c r="O3161" s="5"/>
    </row>
    <row r="3162" spans="2:15" x14ac:dyDescent="0.55000000000000004">
      <c r="B3162" s="5"/>
      <c r="C3162" s="5"/>
      <c r="D3162" s="5"/>
      <c r="E3162" s="5"/>
      <c r="F3162" s="5"/>
      <c r="G3162" s="5"/>
      <c r="H3162" s="5"/>
      <c r="I3162" s="5"/>
      <c r="J3162" s="5"/>
      <c r="K3162" s="5"/>
      <c r="L3162" s="5"/>
      <c r="M3162" s="5"/>
      <c r="N3162" s="5"/>
      <c r="O3162" s="5"/>
    </row>
    <row r="3163" spans="2:15" x14ac:dyDescent="0.55000000000000004">
      <c r="B3163" s="5"/>
      <c r="C3163" s="5"/>
      <c r="D3163" s="5"/>
      <c r="E3163" s="5"/>
      <c r="F3163" s="5"/>
      <c r="G3163" s="5"/>
      <c r="H3163" s="5"/>
      <c r="I3163" s="5"/>
      <c r="J3163" s="5"/>
      <c r="K3163" s="5"/>
      <c r="L3163" s="5"/>
      <c r="M3163" s="5"/>
      <c r="N3163" s="5"/>
      <c r="O3163" s="5"/>
    </row>
    <row r="3164" spans="2:15" x14ac:dyDescent="0.55000000000000004">
      <c r="B3164" s="5"/>
      <c r="C3164" s="5"/>
      <c r="D3164" s="5"/>
      <c r="E3164" s="5"/>
      <c r="F3164" s="5"/>
      <c r="G3164" s="5"/>
      <c r="H3164" s="5"/>
      <c r="I3164" s="5"/>
      <c r="J3164" s="5"/>
      <c r="K3164" s="5"/>
      <c r="L3164" s="5"/>
      <c r="M3164" s="5"/>
      <c r="N3164" s="5"/>
      <c r="O3164" s="5"/>
    </row>
    <row r="3165" spans="2:15" x14ac:dyDescent="0.55000000000000004">
      <c r="B3165" s="5"/>
      <c r="C3165" s="5"/>
      <c r="D3165" s="5"/>
      <c r="E3165" s="5"/>
      <c r="F3165" s="5"/>
      <c r="G3165" s="5"/>
      <c r="H3165" s="5"/>
      <c r="I3165" s="5"/>
      <c r="J3165" s="5"/>
      <c r="K3165" s="5"/>
      <c r="L3165" s="5"/>
      <c r="M3165" s="5"/>
      <c r="N3165" s="5"/>
      <c r="O3165" s="5"/>
    </row>
    <row r="3166" spans="2:15" x14ac:dyDescent="0.55000000000000004">
      <c r="B3166" s="5"/>
      <c r="C3166" s="5"/>
      <c r="D3166" s="5"/>
      <c r="E3166" s="5"/>
      <c r="F3166" s="5"/>
      <c r="G3166" s="5"/>
      <c r="H3166" s="5"/>
      <c r="I3166" s="5"/>
      <c r="J3166" s="5"/>
      <c r="K3166" s="5"/>
      <c r="L3166" s="5"/>
      <c r="M3166" s="5"/>
      <c r="N3166" s="5"/>
      <c r="O3166" s="5"/>
    </row>
    <row r="3167" spans="2:15" x14ac:dyDescent="0.55000000000000004">
      <c r="B3167" s="5"/>
      <c r="C3167" s="5"/>
      <c r="D3167" s="5"/>
      <c r="E3167" s="5"/>
      <c r="F3167" s="5"/>
      <c r="G3167" s="5"/>
      <c r="H3167" s="5"/>
      <c r="I3167" s="5"/>
      <c r="J3167" s="5"/>
      <c r="K3167" s="5"/>
      <c r="L3167" s="5"/>
      <c r="M3167" s="5"/>
      <c r="N3167" s="5"/>
      <c r="O3167" s="5"/>
    </row>
    <row r="3168" spans="2:15" x14ac:dyDescent="0.55000000000000004">
      <c r="B3168" s="5"/>
      <c r="C3168" s="5"/>
      <c r="D3168" s="5"/>
      <c r="E3168" s="5"/>
      <c r="F3168" s="5"/>
      <c r="G3168" s="5"/>
      <c r="H3168" s="5"/>
      <c r="I3168" s="5"/>
      <c r="J3168" s="5"/>
      <c r="K3168" s="5"/>
      <c r="L3168" s="5"/>
      <c r="M3168" s="5"/>
      <c r="N3168" s="5"/>
      <c r="O3168" s="5"/>
    </row>
    <row r="3169" spans="2:15" x14ac:dyDescent="0.55000000000000004">
      <c r="B3169" s="5"/>
      <c r="C3169" s="5"/>
      <c r="D3169" s="5"/>
      <c r="E3169" s="5"/>
      <c r="F3169" s="5"/>
      <c r="G3169" s="5"/>
      <c r="H3169" s="5"/>
      <c r="I3169" s="5"/>
      <c r="J3169" s="5"/>
      <c r="K3169" s="5"/>
      <c r="L3169" s="5"/>
      <c r="M3169" s="5"/>
      <c r="N3169" s="5"/>
      <c r="O3169" s="5"/>
    </row>
    <row r="3170" spans="2:15" x14ac:dyDescent="0.55000000000000004">
      <c r="B3170" s="5"/>
      <c r="C3170" s="5"/>
      <c r="D3170" s="5"/>
      <c r="E3170" s="5"/>
      <c r="F3170" s="5"/>
      <c r="G3170" s="5"/>
      <c r="H3170" s="5"/>
      <c r="I3170" s="5"/>
      <c r="J3170" s="5"/>
      <c r="K3170" s="5"/>
      <c r="L3170" s="5"/>
      <c r="M3170" s="5"/>
      <c r="N3170" s="5"/>
      <c r="O3170" s="5"/>
    </row>
    <row r="3171" spans="2:15" x14ac:dyDescent="0.55000000000000004">
      <c r="B3171" s="5"/>
      <c r="C3171" s="5"/>
      <c r="D3171" s="5"/>
      <c r="E3171" s="5"/>
      <c r="F3171" s="5"/>
      <c r="G3171" s="5"/>
      <c r="H3171" s="5"/>
      <c r="I3171" s="5"/>
      <c r="J3171" s="5"/>
      <c r="K3171" s="5"/>
      <c r="L3171" s="5"/>
      <c r="M3171" s="5"/>
      <c r="N3171" s="5"/>
      <c r="O3171" s="5"/>
    </row>
    <row r="3172" spans="2:15" x14ac:dyDescent="0.55000000000000004">
      <c r="B3172" s="5"/>
      <c r="C3172" s="5"/>
      <c r="D3172" s="5"/>
      <c r="E3172" s="5"/>
      <c r="F3172" s="5"/>
      <c r="G3172" s="5"/>
      <c r="H3172" s="5"/>
      <c r="I3172" s="5"/>
      <c r="J3172" s="5"/>
      <c r="K3172" s="5"/>
      <c r="L3172" s="5"/>
      <c r="M3172" s="5"/>
      <c r="N3172" s="5"/>
      <c r="O3172" s="5"/>
    </row>
    <row r="3173" spans="2:15" x14ac:dyDescent="0.55000000000000004">
      <c r="B3173" s="5"/>
      <c r="C3173" s="5"/>
      <c r="D3173" s="5"/>
      <c r="E3173" s="5"/>
      <c r="F3173" s="5"/>
      <c r="G3173" s="5"/>
      <c r="H3173" s="5"/>
      <c r="I3173" s="5"/>
      <c r="J3173" s="5"/>
      <c r="K3173" s="5"/>
      <c r="L3173" s="5"/>
      <c r="M3173" s="5"/>
      <c r="N3173" s="5"/>
      <c r="O3173" s="5"/>
    </row>
    <row r="3174" spans="2:15" x14ac:dyDescent="0.55000000000000004">
      <c r="B3174" s="5"/>
      <c r="C3174" s="5"/>
      <c r="D3174" s="5"/>
      <c r="E3174" s="5"/>
      <c r="F3174" s="5"/>
      <c r="G3174" s="5"/>
      <c r="H3174" s="5"/>
      <c r="I3174" s="5"/>
      <c r="J3174" s="5"/>
      <c r="K3174" s="5"/>
      <c r="L3174" s="5"/>
      <c r="M3174" s="5"/>
      <c r="N3174" s="5"/>
      <c r="O3174" s="5"/>
    </row>
    <row r="3175" spans="2:15" x14ac:dyDescent="0.55000000000000004">
      <c r="B3175" s="5"/>
      <c r="C3175" s="5"/>
      <c r="D3175" s="5"/>
      <c r="E3175" s="5"/>
      <c r="F3175" s="5"/>
      <c r="G3175" s="5"/>
      <c r="H3175" s="5"/>
      <c r="I3175" s="5"/>
      <c r="J3175" s="5"/>
      <c r="K3175" s="5"/>
      <c r="L3175" s="5"/>
      <c r="M3175" s="5"/>
      <c r="N3175" s="5"/>
      <c r="O3175" s="5"/>
    </row>
    <row r="3176" spans="2:15" x14ac:dyDescent="0.55000000000000004">
      <c r="B3176" s="5"/>
      <c r="C3176" s="5"/>
      <c r="D3176" s="5"/>
      <c r="E3176" s="5"/>
      <c r="F3176" s="5"/>
      <c r="G3176" s="5"/>
      <c r="H3176" s="5"/>
      <c r="I3176" s="5"/>
      <c r="J3176" s="5"/>
      <c r="K3176" s="5"/>
      <c r="L3176" s="5"/>
      <c r="M3176" s="5"/>
      <c r="N3176" s="5"/>
      <c r="O3176" s="5"/>
    </row>
    <row r="3177" spans="2:15" x14ac:dyDescent="0.55000000000000004">
      <c r="B3177" s="5"/>
      <c r="C3177" s="5"/>
      <c r="D3177" s="5"/>
      <c r="E3177" s="5"/>
      <c r="F3177" s="5"/>
      <c r="G3177" s="5"/>
      <c r="H3177" s="5"/>
      <c r="I3177" s="5"/>
      <c r="J3177" s="5"/>
      <c r="K3177" s="5"/>
      <c r="L3177" s="5"/>
      <c r="M3177" s="5"/>
      <c r="N3177" s="5"/>
      <c r="O3177" s="5"/>
    </row>
    <row r="3178" spans="2:15" x14ac:dyDescent="0.55000000000000004">
      <c r="B3178" s="5"/>
      <c r="C3178" s="5"/>
      <c r="D3178" s="5"/>
      <c r="E3178" s="5"/>
      <c r="F3178" s="5"/>
      <c r="G3178" s="5"/>
      <c r="H3178" s="5"/>
      <c r="I3178" s="5"/>
      <c r="J3178" s="5"/>
      <c r="K3178" s="5"/>
      <c r="L3178" s="5"/>
      <c r="M3178" s="5"/>
      <c r="N3178" s="5"/>
      <c r="O3178" s="5"/>
    </row>
    <row r="3179" spans="2:15" x14ac:dyDescent="0.55000000000000004">
      <c r="B3179" s="5"/>
      <c r="C3179" s="5"/>
      <c r="D3179" s="5"/>
      <c r="E3179" s="5"/>
      <c r="F3179" s="5"/>
      <c r="G3179" s="5"/>
      <c r="H3179" s="5"/>
      <c r="I3179" s="5"/>
      <c r="J3179" s="5"/>
      <c r="K3179" s="5"/>
      <c r="L3179" s="5"/>
      <c r="M3179" s="5"/>
      <c r="N3179" s="5"/>
      <c r="O3179" s="5"/>
    </row>
    <row r="3180" spans="2:15" x14ac:dyDescent="0.55000000000000004">
      <c r="B3180" s="5"/>
      <c r="C3180" s="5"/>
      <c r="D3180" s="5"/>
      <c r="E3180" s="5"/>
      <c r="F3180" s="5"/>
      <c r="G3180" s="5"/>
      <c r="H3180" s="5"/>
      <c r="I3180" s="5"/>
      <c r="J3180" s="5"/>
      <c r="K3180" s="5"/>
      <c r="L3180" s="5"/>
      <c r="M3180" s="5"/>
      <c r="N3180" s="5"/>
      <c r="O3180" s="5"/>
    </row>
    <row r="3181" spans="2:15" x14ac:dyDescent="0.55000000000000004">
      <c r="B3181" s="5"/>
      <c r="C3181" s="5"/>
      <c r="D3181" s="5"/>
      <c r="E3181" s="5"/>
      <c r="F3181" s="5"/>
      <c r="G3181" s="5"/>
      <c r="H3181" s="5"/>
      <c r="I3181" s="5"/>
      <c r="J3181" s="5"/>
      <c r="K3181" s="5"/>
      <c r="L3181" s="5"/>
      <c r="M3181" s="5"/>
      <c r="N3181" s="5"/>
      <c r="O3181" s="5"/>
    </row>
    <row r="3182" spans="2:15" x14ac:dyDescent="0.55000000000000004">
      <c r="B3182" s="5"/>
      <c r="C3182" s="5"/>
      <c r="D3182" s="5"/>
      <c r="E3182" s="5"/>
      <c r="F3182" s="5"/>
      <c r="G3182" s="5"/>
      <c r="H3182" s="5"/>
      <c r="I3182" s="5"/>
      <c r="J3182" s="5"/>
      <c r="K3182" s="5"/>
      <c r="L3182" s="5"/>
      <c r="M3182" s="5"/>
      <c r="N3182" s="5"/>
      <c r="O3182" s="5"/>
    </row>
    <row r="3183" spans="2:15" x14ac:dyDescent="0.55000000000000004">
      <c r="B3183" s="5"/>
      <c r="C3183" s="5"/>
      <c r="D3183" s="5"/>
      <c r="E3183" s="5"/>
      <c r="F3183" s="5"/>
      <c r="G3183" s="5"/>
      <c r="H3183" s="5"/>
      <c r="I3183" s="5"/>
      <c r="J3183" s="5"/>
      <c r="K3183" s="5"/>
      <c r="L3183" s="5"/>
      <c r="M3183" s="5"/>
      <c r="N3183" s="5"/>
      <c r="O3183" s="5"/>
    </row>
    <row r="3184" spans="2:15" x14ac:dyDescent="0.55000000000000004">
      <c r="B3184" s="5"/>
      <c r="C3184" s="5"/>
      <c r="D3184" s="5"/>
      <c r="E3184" s="5"/>
      <c r="F3184" s="5"/>
      <c r="G3184" s="5"/>
      <c r="H3184" s="5"/>
      <c r="I3184" s="5"/>
      <c r="J3184" s="5"/>
      <c r="K3184" s="5"/>
      <c r="L3184" s="5"/>
      <c r="M3184" s="5"/>
      <c r="N3184" s="5"/>
      <c r="O3184" s="5"/>
    </row>
    <row r="3185" spans="2:15" x14ac:dyDescent="0.55000000000000004">
      <c r="B3185" s="5"/>
      <c r="C3185" s="5"/>
      <c r="D3185" s="5"/>
      <c r="E3185" s="5"/>
      <c r="F3185" s="5"/>
      <c r="G3185" s="5"/>
      <c r="H3185" s="5"/>
      <c r="I3185" s="5"/>
      <c r="J3185" s="5"/>
      <c r="K3185" s="5"/>
      <c r="L3185" s="5"/>
      <c r="M3185" s="5"/>
      <c r="N3185" s="5"/>
      <c r="O3185" s="5"/>
    </row>
    <row r="3186" spans="2:15" x14ac:dyDescent="0.55000000000000004">
      <c r="B3186" s="5"/>
      <c r="C3186" s="5"/>
      <c r="D3186" s="5"/>
      <c r="E3186" s="5"/>
      <c r="F3186" s="5"/>
      <c r="G3186" s="5"/>
      <c r="H3186" s="5"/>
      <c r="I3186" s="5"/>
      <c r="J3186" s="5"/>
      <c r="K3186" s="5"/>
      <c r="L3186" s="5"/>
      <c r="M3186" s="5"/>
      <c r="N3186" s="5"/>
      <c r="O3186" s="5"/>
    </row>
    <row r="3187" spans="2:15" x14ac:dyDescent="0.55000000000000004">
      <c r="B3187" s="5"/>
      <c r="C3187" s="5"/>
      <c r="D3187" s="5"/>
      <c r="E3187" s="5"/>
      <c r="F3187" s="5"/>
      <c r="G3187" s="5"/>
      <c r="H3187" s="5"/>
      <c r="I3187" s="5"/>
      <c r="J3187" s="5"/>
      <c r="K3187" s="5"/>
      <c r="L3187" s="5"/>
      <c r="M3187" s="5"/>
      <c r="N3187" s="5"/>
      <c r="O3187" s="5"/>
    </row>
    <row r="3188" spans="2:15" x14ac:dyDescent="0.55000000000000004">
      <c r="B3188" s="5"/>
      <c r="C3188" s="5"/>
      <c r="D3188" s="5"/>
      <c r="E3188" s="5"/>
      <c r="F3188" s="5"/>
      <c r="G3188" s="5"/>
      <c r="H3188" s="5"/>
      <c r="I3188" s="5"/>
      <c r="J3188" s="5"/>
      <c r="K3188" s="5"/>
      <c r="L3188" s="5"/>
      <c r="M3188" s="5"/>
      <c r="N3188" s="5"/>
      <c r="O3188" s="5"/>
    </row>
    <row r="3189" spans="2:15" x14ac:dyDescent="0.55000000000000004">
      <c r="B3189" s="5"/>
      <c r="C3189" s="5"/>
      <c r="D3189" s="5"/>
      <c r="E3189" s="5"/>
      <c r="F3189" s="5"/>
      <c r="G3189" s="5"/>
      <c r="H3189" s="5"/>
      <c r="I3189" s="5"/>
      <c r="J3189" s="5"/>
      <c r="K3189" s="5"/>
      <c r="L3189" s="5"/>
      <c r="M3189" s="5"/>
      <c r="N3189" s="5"/>
      <c r="O3189" s="5"/>
    </row>
    <row r="3190" spans="2:15" x14ac:dyDescent="0.55000000000000004">
      <c r="B3190" s="5"/>
      <c r="C3190" s="5"/>
      <c r="D3190" s="5"/>
      <c r="E3190" s="5"/>
      <c r="F3190" s="5"/>
      <c r="G3190" s="5"/>
      <c r="H3190" s="5"/>
      <c r="I3190" s="5"/>
      <c r="J3190" s="5"/>
      <c r="K3190" s="5"/>
      <c r="L3190" s="5"/>
      <c r="M3190" s="5"/>
      <c r="N3190" s="5"/>
      <c r="O3190" s="5"/>
    </row>
    <row r="3191" spans="2:15" x14ac:dyDescent="0.55000000000000004">
      <c r="B3191" s="5"/>
      <c r="C3191" s="5"/>
      <c r="D3191" s="5"/>
      <c r="E3191" s="5"/>
      <c r="F3191" s="5"/>
      <c r="G3191" s="5"/>
      <c r="H3191" s="5"/>
      <c r="I3191" s="5"/>
      <c r="J3191" s="5"/>
      <c r="K3191" s="5"/>
      <c r="L3191" s="5"/>
      <c r="M3191" s="5"/>
      <c r="N3191" s="5"/>
      <c r="O3191" s="5"/>
    </row>
    <row r="3192" spans="2:15" x14ac:dyDescent="0.55000000000000004">
      <c r="B3192" s="5"/>
      <c r="C3192" s="5"/>
      <c r="D3192" s="5"/>
      <c r="E3192" s="5"/>
      <c r="F3192" s="5"/>
      <c r="G3192" s="5"/>
      <c r="H3192" s="5"/>
      <c r="I3192" s="5"/>
      <c r="J3192" s="5"/>
      <c r="K3192" s="5"/>
      <c r="L3192" s="5"/>
      <c r="M3192" s="5"/>
      <c r="N3192" s="5"/>
      <c r="O3192" s="5"/>
    </row>
    <row r="3193" spans="2:15" x14ac:dyDescent="0.55000000000000004">
      <c r="B3193" s="5"/>
      <c r="C3193" s="5"/>
      <c r="D3193" s="5"/>
      <c r="E3193" s="5"/>
      <c r="F3193" s="5"/>
      <c r="G3193" s="5"/>
      <c r="H3193" s="5"/>
      <c r="I3193" s="5"/>
      <c r="J3193" s="5"/>
      <c r="K3193" s="5"/>
      <c r="L3193" s="5"/>
      <c r="M3193" s="5"/>
      <c r="N3193" s="5"/>
      <c r="O3193" s="5"/>
    </row>
    <row r="3194" spans="2:15" x14ac:dyDescent="0.55000000000000004">
      <c r="B3194" s="5"/>
      <c r="C3194" s="5"/>
      <c r="D3194" s="5"/>
      <c r="E3194" s="5"/>
      <c r="F3194" s="5"/>
      <c r="G3194" s="5"/>
      <c r="H3194" s="5"/>
      <c r="I3194" s="5"/>
      <c r="J3194" s="5"/>
      <c r="K3194" s="5"/>
      <c r="L3194" s="5"/>
      <c r="M3194" s="5"/>
      <c r="N3194" s="5"/>
      <c r="O3194" s="5"/>
    </row>
    <row r="3195" spans="2:15" x14ac:dyDescent="0.55000000000000004">
      <c r="B3195" s="5"/>
      <c r="C3195" s="5"/>
      <c r="D3195" s="5"/>
      <c r="E3195" s="5"/>
      <c r="F3195" s="5"/>
      <c r="G3195" s="5"/>
      <c r="H3195" s="5"/>
      <c r="I3195" s="5"/>
      <c r="J3195" s="5"/>
      <c r="K3195" s="5"/>
      <c r="L3195" s="5"/>
      <c r="M3195" s="5"/>
      <c r="N3195" s="5"/>
      <c r="O3195" s="5"/>
    </row>
    <row r="3196" spans="2:15" x14ac:dyDescent="0.55000000000000004">
      <c r="B3196" s="5"/>
      <c r="C3196" s="5"/>
      <c r="D3196" s="5"/>
      <c r="E3196" s="5"/>
      <c r="F3196" s="5"/>
      <c r="G3196" s="5"/>
      <c r="H3196" s="5"/>
      <c r="I3196" s="5"/>
      <c r="J3196" s="5"/>
      <c r="K3196" s="5"/>
      <c r="L3196" s="5"/>
      <c r="M3196" s="5"/>
      <c r="N3196" s="5"/>
      <c r="O3196" s="5"/>
    </row>
    <row r="3197" spans="2:15" x14ac:dyDescent="0.55000000000000004">
      <c r="B3197" s="5"/>
      <c r="C3197" s="5"/>
      <c r="D3197" s="5"/>
      <c r="E3197" s="5"/>
      <c r="F3197" s="5"/>
      <c r="G3197" s="5"/>
      <c r="H3197" s="5"/>
      <c r="I3197" s="5"/>
      <c r="J3197" s="5"/>
      <c r="K3197" s="5"/>
      <c r="L3197" s="5"/>
      <c r="M3197" s="5"/>
      <c r="N3197" s="5"/>
      <c r="O3197" s="5"/>
    </row>
    <row r="3198" spans="2:15" x14ac:dyDescent="0.55000000000000004">
      <c r="B3198" s="5"/>
      <c r="C3198" s="5"/>
      <c r="D3198" s="5"/>
      <c r="E3198" s="5"/>
      <c r="F3198" s="5"/>
      <c r="G3198" s="5"/>
      <c r="H3198" s="5"/>
      <c r="I3198" s="5"/>
      <c r="J3198" s="5"/>
      <c r="K3198" s="5"/>
      <c r="L3198" s="5"/>
      <c r="M3198" s="5"/>
      <c r="N3198" s="5"/>
      <c r="O3198" s="5"/>
    </row>
    <row r="3199" spans="2:15" x14ac:dyDescent="0.55000000000000004">
      <c r="B3199" s="5"/>
      <c r="C3199" s="5"/>
      <c r="D3199" s="5"/>
      <c r="E3199" s="5"/>
      <c r="F3199" s="5"/>
      <c r="G3199" s="5"/>
      <c r="H3199" s="5"/>
      <c r="I3199" s="5"/>
      <c r="J3199" s="5"/>
      <c r="K3199" s="5"/>
      <c r="L3199" s="5"/>
      <c r="M3199" s="5"/>
      <c r="N3199" s="5"/>
      <c r="O3199" s="5"/>
    </row>
    <row r="3200" spans="2:15" x14ac:dyDescent="0.55000000000000004">
      <c r="B3200" s="5"/>
      <c r="C3200" s="5"/>
      <c r="D3200" s="5"/>
      <c r="E3200" s="5"/>
      <c r="F3200" s="5"/>
      <c r="G3200" s="5"/>
      <c r="H3200" s="5"/>
      <c r="I3200" s="5"/>
      <c r="J3200" s="5"/>
      <c r="K3200" s="5"/>
      <c r="L3200" s="5"/>
      <c r="M3200" s="5"/>
      <c r="N3200" s="5"/>
      <c r="O3200" s="5"/>
    </row>
    <row r="3201" spans="2:15" x14ac:dyDescent="0.55000000000000004">
      <c r="B3201" s="5"/>
      <c r="C3201" s="5"/>
      <c r="D3201" s="5"/>
      <c r="E3201" s="5"/>
      <c r="F3201" s="5"/>
      <c r="G3201" s="5"/>
      <c r="H3201" s="5"/>
      <c r="I3201" s="5"/>
      <c r="J3201" s="5"/>
      <c r="K3201" s="5"/>
      <c r="L3201" s="5"/>
      <c r="M3201" s="5"/>
      <c r="N3201" s="5"/>
      <c r="O3201" s="5"/>
    </row>
    <row r="3202" spans="2:15" x14ac:dyDescent="0.55000000000000004">
      <c r="B3202" s="5"/>
      <c r="C3202" s="5"/>
      <c r="D3202" s="5"/>
      <c r="E3202" s="5"/>
      <c r="F3202" s="5"/>
      <c r="G3202" s="5"/>
      <c r="H3202" s="5"/>
      <c r="I3202" s="5"/>
      <c r="J3202" s="5"/>
      <c r="K3202" s="5"/>
      <c r="L3202" s="5"/>
      <c r="M3202" s="5"/>
      <c r="N3202" s="5"/>
      <c r="O3202" s="5"/>
    </row>
    <row r="3203" spans="2:15" x14ac:dyDescent="0.55000000000000004">
      <c r="B3203" s="5"/>
      <c r="C3203" s="5"/>
      <c r="D3203" s="5"/>
      <c r="E3203" s="5"/>
      <c r="F3203" s="5"/>
      <c r="G3203" s="5"/>
      <c r="H3203" s="5"/>
      <c r="I3203" s="5"/>
      <c r="J3203" s="5"/>
      <c r="K3203" s="5"/>
      <c r="L3203" s="5"/>
      <c r="M3203" s="5"/>
      <c r="N3203" s="5"/>
      <c r="O3203" s="5"/>
    </row>
    <row r="3204" spans="2:15" x14ac:dyDescent="0.55000000000000004">
      <c r="B3204" s="5"/>
      <c r="C3204" s="5"/>
      <c r="D3204" s="5"/>
      <c r="E3204" s="5"/>
      <c r="F3204" s="5"/>
      <c r="G3204" s="5"/>
      <c r="H3204" s="5"/>
      <c r="I3204" s="5"/>
      <c r="J3204" s="5"/>
      <c r="K3204" s="5"/>
      <c r="L3204" s="5"/>
      <c r="M3204" s="5"/>
      <c r="N3204" s="5"/>
      <c r="O3204" s="5"/>
    </row>
    <row r="3205" spans="2:15" x14ac:dyDescent="0.55000000000000004">
      <c r="B3205" s="5"/>
      <c r="C3205" s="5"/>
      <c r="D3205" s="5"/>
      <c r="E3205" s="5"/>
      <c r="F3205" s="5"/>
      <c r="G3205" s="5"/>
      <c r="H3205" s="5"/>
      <c r="I3205" s="5"/>
      <c r="J3205" s="5"/>
      <c r="K3205" s="5"/>
      <c r="L3205" s="5"/>
      <c r="M3205" s="5"/>
      <c r="N3205" s="5"/>
      <c r="O3205" s="5"/>
    </row>
    <row r="3206" spans="2:15" x14ac:dyDescent="0.55000000000000004">
      <c r="B3206" s="5"/>
      <c r="C3206" s="5"/>
      <c r="D3206" s="5"/>
      <c r="E3206" s="5"/>
      <c r="F3206" s="5"/>
      <c r="G3206" s="5"/>
      <c r="H3206" s="5"/>
      <c r="I3206" s="5"/>
      <c r="J3206" s="5"/>
      <c r="K3206" s="5"/>
      <c r="L3206" s="5"/>
      <c r="M3206" s="5"/>
      <c r="N3206" s="5"/>
      <c r="O3206" s="5"/>
    </row>
    <row r="3207" spans="2:15" x14ac:dyDescent="0.55000000000000004">
      <c r="B3207" s="5"/>
      <c r="C3207" s="5"/>
      <c r="D3207" s="5"/>
      <c r="E3207" s="5"/>
      <c r="F3207" s="5"/>
      <c r="G3207" s="5"/>
      <c r="H3207" s="5"/>
      <c r="I3207" s="5"/>
      <c r="J3207" s="5"/>
      <c r="K3207" s="5"/>
      <c r="L3207" s="5"/>
      <c r="M3207" s="5"/>
      <c r="N3207" s="5"/>
      <c r="O3207" s="5"/>
    </row>
    <row r="3208" spans="2:15" x14ac:dyDescent="0.55000000000000004">
      <c r="B3208" s="5"/>
      <c r="C3208" s="5"/>
      <c r="D3208" s="5"/>
      <c r="E3208" s="5"/>
      <c r="F3208" s="5"/>
      <c r="G3208" s="5"/>
      <c r="H3208" s="5"/>
      <c r="I3208" s="5"/>
      <c r="J3208" s="5"/>
      <c r="K3208" s="5"/>
      <c r="L3208" s="5"/>
      <c r="M3208" s="5"/>
      <c r="N3208" s="5"/>
      <c r="O3208" s="5"/>
    </row>
    <row r="3209" spans="2:15" x14ac:dyDescent="0.55000000000000004">
      <c r="B3209" s="5"/>
      <c r="C3209" s="5"/>
      <c r="D3209" s="5"/>
      <c r="E3209" s="5"/>
      <c r="F3209" s="5"/>
      <c r="G3209" s="5"/>
      <c r="H3209" s="5"/>
      <c r="I3209" s="5"/>
      <c r="J3209" s="5"/>
      <c r="K3209" s="5"/>
      <c r="L3209" s="5"/>
      <c r="M3209" s="5"/>
      <c r="N3209" s="5"/>
      <c r="O3209" s="5"/>
    </row>
    <row r="3210" spans="2:15" x14ac:dyDescent="0.55000000000000004">
      <c r="B3210" s="5"/>
      <c r="C3210" s="5"/>
      <c r="D3210" s="5"/>
      <c r="E3210" s="5"/>
      <c r="F3210" s="5"/>
      <c r="G3210" s="5"/>
      <c r="H3210" s="5"/>
      <c r="I3210" s="5"/>
      <c r="J3210" s="5"/>
      <c r="K3210" s="5"/>
      <c r="L3210" s="5"/>
      <c r="M3210" s="5"/>
      <c r="N3210" s="5"/>
      <c r="O3210" s="5"/>
    </row>
    <row r="3211" spans="2:15" x14ac:dyDescent="0.55000000000000004">
      <c r="B3211" s="5"/>
      <c r="C3211" s="5"/>
      <c r="D3211" s="5"/>
      <c r="E3211" s="5"/>
      <c r="F3211" s="5"/>
      <c r="G3211" s="5"/>
      <c r="H3211" s="5"/>
      <c r="I3211" s="5"/>
      <c r="J3211" s="5"/>
      <c r="K3211" s="5"/>
      <c r="L3211" s="5"/>
      <c r="M3211" s="5"/>
      <c r="N3211" s="5"/>
      <c r="O3211" s="5"/>
    </row>
    <row r="3212" spans="2:15" x14ac:dyDescent="0.55000000000000004">
      <c r="B3212" s="5"/>
      <c r="C3212" s="5"/>
      <c r="D3212" s="5"/>
      <c r="E3212" s="5"/>
      <c r="F3212" s="5"/>
      <c r="G3212" s="5"/>
      <c r="H3212" s="5"/>
      <c r="I3212" s="5"/>
      <c r="J3212" s="5"/>
      <c r="K3212" s="5"/>
      <c r="L3212" s="5"/>
      <c r="M3212" s="5"/>
      <c r="N3212" s="5"/>
      <c r="O3212" s="5"/>
    </row>
    <row r="3213" spans="2:15" x14ac:dyDescent="0.55000000000000004">
      <c r="B3213" s="5"/>
      <c r="C3213" s="5"/>
      <c r="D3213" s="5"/>
      <c r="E3213" s="5"/>
      <c r="F3213" s="5"/>
      <c r="G3213" s="5"/>
      <c r="H3213" s="5"/>
      <c r="I3213" s="5"/>
      <c r="J3213" s="5"/>
      <c r="K3213" s="5"/>
      <c r="L3213" s="5"/>
      <c r="M3213" s="5"/>
      <c r="N3213" s="5"/>
      <c r="O3213" s="5"/>
    </row>
    <row r="3214" spans="2:15" x14ac:dyDescent="0.55000000000000004">
      <c r="B3214" s="5"/>
      <c r="C3214" s="5"/>
      <c r="D3214" s="5"/>
      <c r="E3214" s="5"/>
      <c r="F3214" s="5"/>
      <c r="G3214" s="5"/>
      <c r="H3214" s="5"/>
      <c r="I3214" s="5"/>
      <c r="J3214" s="5"/>
      <c r="K3214" s="5"/>
      <c r="L3214" s="5"/>
      <c r="M3214" s="5"/>
      <c r="N3214" s="5"/>
      <c r="O3214" s="5"/>
    </row>
    <row r="3215" spans="2:15" x14ac:dyDescent="0.55000000000000004">
      <c r="B3215" s="5"/>
      <c r="C3215" s="5"/>
      <c r="D3215" s="5"/>
      <c r="E3215" s="5"/>
      <c r="F3215" s="5"/>
      <c r="G3215" s="5"/>
      <c r="H3215" s="5"/>
      <c r="I3215" s="5"/>
      <c r="J3215" s="5"/>
      <c r="K3215" s="5"/>
      <c r="L3215" s="5"/>
      <c r="M3215" s="5"/>
      <c r="N3215" s="5"/>
      <c r="O3215" s="5"/>
    </row>
    <row r="3216" spans="2:15" x14ac:dyDescent="0.55000000000000004">
      <c r="B3216" s="5"/>
      <c r="C3216" s="5"/>
      <c r="D3216" s="5"/>
      <c r="E3216" s="5"/>
      <c r="F3216" s="5"/>
      <c r="G3216" s="5"/>
      <c r="H3216" s="5"/>
      <c r="I3216" s="5"/>
      <c r="J3216" s="5"/>
      <c r="K3216" s="5"/>
      <c r="L3216" s="5"/>
      <c r="M3216" s="5"/>
      <c r="N3216" s="5"/>
      <c r="O3216" s="5"/>
    </row>
    <row r="3217" spans="2:15" x14ac:dyDescent="0.55000000000000004">
      <c r="B3217" s="5"/>
      <c r="C3217" s="5"/>
      <c r="D3217" s="5"/>
      <c r="E3217" s="5"/>
      <c r="F3217" s="5"/>
      <c r="G3217" s="5"/>
      <c r="H3217" s="5"/>
      <c r="I3217" s="5"/>
      <c r="J3217" s="5"/>
      <c r="K3217" s="5"/>
      <c r="L3217" s="5"/>
      <c r="M3217" s="5"/>
      <c r="N3217" s="5"/>
      <c r="O3217" s="5"/>
    </row>
    <row r="3218" spans="2:15" x14ac:dyDescent="0.55000000000000004">
      <c r="B3218" s="5"/>
      <c r="C3218" s="5"/>
      <c r="D3218" s="5"/>
      <c r="E3218" s="5"/>
      <c r="F3218" s="5"/>
      <c r="G3218" s="5"/>
      <c r="H3218" s="5"/>
      <c r="I3218" s="5"/>
      <c r="J3218" s="5"/>
      <c r="K3218" s="5"/>
      <c r="L3218" s="5"/>
      <c r="M3218" s="5"/>
      <c r="N3218" s="5"/>
      <c r="O3218" s="5"/>
    </row>
    <row r="3219" spans="2:15" x14ac:dyDescent="0.55000000000000004">
      <c r="B3219" s="5"/>
      <c r="C3219" s="5"/>
      <c r="D3219" s="5"/>
      <c r="E3219" s="5"/>
      <c r="F3219" s="5"/>
      <c r="G3219" s="5"/>
      <c r="H3219" s="5"/>
      <c r="I3219" s="5"/>
      <c r="J3219" s="5"/>
      <c r="K3219" s="5"/>
      <c r="L3219" s="5"/>
      <c r="M3219" s="5"/>
      <c r="N3219" s="5"/>
      <c r="O3219" s="5"/>
    </row>
    <row r="3220" spans="2:15" x14ac:dyDescent="0.55000000000000004">
      <c r="B3220" s="5"/>
      <c r="C3220" s="5"/>
      <c r="D3220" s="5"/>
      <c r="E3220" s="5"/>
      <c r="F3220" s="5"/>
      <c r="G3220" s="5"/>
      <c r="H3220" s="5"/>
      <c r="I3220" s="5"/>
      <c r="J3220" s="5"/>
      <c r="K3220" s="5"/>
      <c r="L3220" s="5"/>
      <c r="M3220" s="5"/>
      <c r="N3220" s="5"/>
      <c r="O3220" s="5"/>
    </row>
    <row r="3221" spans="2:15" x14ac:dyDescent="0.55000000000000004">
      <c r="B3221" s="5"/>
      <c r="C3221" s="5"/>
      <c r="D3221" s="5"/>
      <c r="E3221" s="5"/>
      <c r="F3221" s="5"/>
      <c r="G3221" s="5"/>
      <c r="H3221" s="5"/>
      <c r="I3221" s="5"/>
      <c r="J3221" s="5"/>
      <c r="K3221" s="5"/>
      <c r="L3221" s="5"/>
      <c r="M3221" s="5"/>
      <c r="N3221" s="5"/>
      <c r="O3221" s="5"/>
    </row>
    <row r="3222" spans="2:15" x14ac:dyDescent="0.55000000000000004">
      <c r="B3222" s="5"/>
      <c r="C3222" s="5"/>
      <c r="D3222" s="5"/>
      <c r="E3222" s="5"/>
      <c r="F3222" s="5"/>
      <c r="G3222" s="5"/>
      <c r="H3222" s="5"/>
      <c r="I3222" s="5"/>
      <c r="J3222" s="5"/>
      <c r="K3222" s="5"/>
      <c r="L3222" s="5"/>
      <c r="M3222" s="5"/>
      <c r="N3222" s="5"/>
      <c r="O3222" s="5"/>
    </row>
    <row r="3223" spans="2:15" x14ac:dyDescent="0.55000000000000004">
      <c r="B3223" s="5"/>
      <c r="C3223" s="5"/>
      <c r="D3223" s="5"/>
      <c r="E3223" s="5"/>
      <c r="F3223" s="5"/>
      <c r="G3223" s="5"/>
      <c r="H3223" s="5"/>
      <c r="I3223" s="5"/>
      <c r="J3223" s="5"/>
      <c r="K3223" s="5"/>
      <c r="L3223" s="5"/>
      <c r="M3223" s="5"/>
      <c r="N3223" s="5"/>
      <c r="O3223" s="5"/>
    </row>
    <row r="3224" spans="2:15" x14ac:dyDescent="0.55000000000000004">
      <c r="B3224" s="5"/>
      <c r="C3224" s="5"/>
      <c r="D3224" s="5"/>
      <c r="E3224" s="5"/>
      <c r="F3224" s="5"/>
      <c r="G3224" s="5"/>
      <c r="H3224" s="5"/>
      <c r="I3224" s="5"/>
      <c r="J3224" s="5"/>
      <c r="K3224" s="5"/>
      <c r="L3224" s="5"/>
      <c r="M3224" s="5"/>
      <c r="N3224" s="5"/>
      <c r="O3224" s="5"/>
    </row>
    <row r="3225" spans="2:15" x14ac:dyDescent="0.55000000000000004">
      <c r="B3225" s="5"/>
      <c r="C3225" s="5"/>
      <c r="D3225" s="5"/>
      <c r="E3225" s="5"/>
      <c r="F3225" s="5"/>
      <c r="G3225" s="5"/>
      <c r="H3225" s="5"/>
      <c r="I3225" s="5"/>
      <c r="J3225" s="5"/>
      <c r="K3225" s="5"/>
      <c r="L3225" s="5"/>
      <c r="M3225" s="5"/>
      <c r="N3225" s="5"/>
      <c r="O3225" s="5"/>
    </row>
    <row r="3226" spans="2:15" x14ac:dyDescent="0.55000000000000004">
      <c r="B3226" s="5"/>
      <c r="C3226" s="5"/>
      <c r="D3226" s="5"/>
      <c r="E3226" s="5"/>
      <c r="F3226" s="5"/>
      <c r="G3226" s="5"/>
      <c r="H3226" s="5"/>
      <c r="I3226" s="5"/>
      <c r="J3226" s="5"/>
      <c r="K3226" s="5"/>
      <c r="L3226" s="5"/>
      <c r="M3226" s="5"/>
      <c r="N3226" s="5"/>
      <c r="O3226" s="5"/>
    </row>
    <row r="3227" spans="2:15" x14ac:dyDescent="0.55000000000000004">
      <c r="B3227" s="5"/>
      <c r="C3227" s="5"/>
      <c r="D3227" s="5"/>
      <c r="E3227" s="5"/>
      <c r="F3227" s="5"/>
      <c r="G3227" s="5"/>
      <c r="H3227" s="5"/>
      <c r="I3227" s="5"/>
      <c r="J3227" s="5"/>
      <c r="K3227" s="5"/>
      <c r="L3227" s="5"/>
      <c r="M3227" s="5"/>
      <c r="N3227" s="5"/>
      <c r="O3227" s="5"/>
    </row>
    <row r="3228" spans="2:15" x14ac:dyDescent="0.55000000000000004">
      <c r="B3228" s="5"/>
      <c r="C3228" s="5"/>
      <c r="D3228" s="5"/>
      <c r="E3228" s="5"/>
      <c r="F3228" s="5"/>
      <c r="G3228" s="5"/>
      <c r="H3228" s="5"/>
      <c r="I3228" s="5"/>
      <c r="J3228" s="5"/>
      <c r="K3228" s="5"/>
      <c r="L3228" s="5"/>
      <c r="M3228" s="5"/>
      <c r="N3228" s="5"/>
      <c r="O3228" s="5"/>
    </row>
    <row r="3229" spans="2:15" x14ac:dyDescent="0.55000000000000004">
      <c r="B3229" s="5"/>
      <c r="C3229" s="5"/>
      <c r="D3229" s="5"/>
      <c r="E3229" s="5"/>
      <c r="F3229" s="5"/>
      <c r="G3229" s="5"/>
      <c r="H3229" s="5"/>
      <c r="I3229" s="5"/>
      <c r="J3229" s="5"/>
      <c r="K3229" s="5"/>
      <c r="L3229" s="5"/>
      <c r="M3229" s="5"/>
      <c r="N3229" s="5"/>
      <c r="O3229" s="5"/>
    </row>
    <row r="3230" spans="2:15" x14ac:dyDescent="0.55000000000000004">
      <c r="B3230" s="5"/>
      <c r="C3230" s="5"/>
      <c r="D3230" s="5"/>
      <c r="E3230" s="5"/>
      <c r="F3230" s="5"/>
      <c r="G3230" s="5"/>
      <c r="H3230" s="5"/>
      <c r="I3230" s="5"/>
      <c r="J3230" s="5"/>
      <c r="K3230" s="5"/>
      <c r="L3230" s="5"/>
      <c r="M3230" s="5"/>
      <c r="N3230" s="5"/>
      <c r="O3230" s="5"/>
    </row>
    <row r="3231" spans="2:15" x14ac:dyDescent="0.55000000000000004">
      <c r="B3231" s="5"/>
      <c r="C3231" s="5"/>
      <c r="D3231" s="5"/>
      <c r="E3231" s="5"/>
      <c r="F3231" s="5"/>
      <c r="G3231" s="5"/>
      <c r="H3231" s="5"/>
      <c r="I3231" s="5"/>
      <c r="J3231" s="5"/>
      <c r="K3231" s="5"/>
      <c r="L3231" s="5"/>
      <c r="M3231" s="5"/>
      <c r="N3231" s="5"/>
      <c r="O3231" s="5"/>
    </row>
    <row r="3232" spans="2:15" x14ac:dyDescent="0.55000000000000004">
      <c r="B3232" s="5"/>
      <c r="C3232" s="5"/>
      <c r="D3232" s="5"/>
      <c r="E3232" s="5"/>
      <c r="F3232" s="5"/>
      <c r="G3232" s="5"/>
      <c r="H3232" s="5"/>
      <c r="I3232" s="5"/>
      <c r="J3232" s="5"/>
      <c r="K3232" s="5"/>
      <c r="L3232" s="5"/>
      <c r="M3232" s="5"/>
      <c r="N3232" s="5"/>
      <c r="O3232" s="5"/>
    </row>
    <row r="3233" spans="2:15" x14ac:dyDescent="0.55000000000000004">
      <c r="B3233" s="5"/>
      <c r="C3233" s="5"/>
      <c r="D3233" s="5"/>
      <c r="E3233" s="5"/>
      <c r="F3233" s="5"/>
      <c r="G3233" s="5"/>
      <c r="H3233" s="5"/>
      <c r="I3233" s="5"/>
      <c r="J3233" s="5"/>
      <c r="K3233" s="5"/>
      <c r="L3233" s="5"/>
      <c r="M3233" s="5"/>
      <c r="N3233" s="5"/>
      <c r="O3233" s="5"/>
    </row>
    <row r="3234" spans="2:15" x14ac:dyDescent="0.55000000000000004">
      <c r="B3234" s="5"/>
      <c r="C3234" s="5"/>
      <c r="D3234" s="5"/>
      <c r="E3234" s="5"/>
      <c r="F3234" s="5"/>
      <c r="G3234" s="5"/>
      <c r="H3234" s="5"/>
      <c r="I3234" s="5"/>
      <c r="J3234" s="5"/>
      <c r="K3234" s="5"/>
      <c r="L3234" s="5"/>
      <c r="M3234" s="5"/>
      <c r="N3234" s="5"/>
      <c r="O3234" s="5"/>
    </row>
    <row r="3235" spans="2:15" x14ac:dyDescent="0.55000000000000004">
      <c r="B3235" s="5"/>
      <c r="C3235" s="5"/>
      <c r="D3235" s="5"/>
      <c r="E3235" s="5"/>
      <c r="F3235" s="5"/>
      <c r="G3235" s="5"/>
      <c r="H3235" s="5"/>
      <c r="I3235" s="5"/>
      <c r="J3235" s="5"/>
      <c r="K3235" s="5"/>
      <c r="L3235" s="5"/>
      <c r="M3235" s="5"/>
      <c r="N3235" s="5"/>
      <c r="O3235" s="5"/>
    </row>
    <row r="3236" spans="2:15" x14ac:dyDescent="0.55000000000000004">
      <c r="B3236" s="5"/>
      <c r="C3236" s="5"/>
      <c r="D3236" s="5"/>
      <c r="E3236" s="5"/>
      <c r="F3236" s="5"/>
      <c r="G3236" s="5"/>
      <c r="H3236" s="5"/>
      <c r="I3236" s="5"/>
      <c r="J3236" s="5"/>
      <c r="K3236" s="5"/>
      <c r="L3236" s="5"/>
      <c r="M3236" s="5"/>
      <c r="N3236" s="5"/>
      <c r="O3236" s="5"/>
    </row>
    <row r="3237" spans="2:15" x14ac:dyDescent="0.55000000000000004">
      <c r="B3237" s="5"/>
      <c r="C3237" s="5"/>
      <c r="D3237" s="5"/>
      <c r="E3237" s="5"/>
      <c r="F3237" s="5"/>
      <c r="G3237" s="5"/>
      <c r="H3237" s="5"/>
      <c r="I3237" s="5"/>
      <c r="J3237" s="5"/>
      <c r="K3237" s="5"/>
      <c r="L3237" s="5"/>
      <c r="M3237" s="5"/>
      <c r="N3237" s="5"/>
      <c r="O3237" s="5"/>
    </row>
    <row r="3238" spans="2:15" x14ac:dyDescent="0.55000000000000004">
      <c r="B3238" s="5"/>
      <c r="C3238" s="5"/>
      <c r="D3238" s="5"/>
      <c r="E3238" s="5"/>
      <c r="F3238" s="5"/>
      <c r="G3238" s="5"/>
      <c r="H3238" s="5"/>
      <c r="I3238" s="5"/>
      <c r="J3238" s="5"/>
      <c r="K3238" s="5"/>
      <c r="L3238" s="5"/>
      <c r="M3238" s="5"/>
      <c r="N3238" s="5"/>
      <c r="O3238" s="5"/>
    </row>
    <row r="3239" spans="2:15" x14ac:dyDescent="0.55000000000000004">
      <c r="B3239" s="5"/>
      <c r="C3239" s="5"/>
      <c r="D3239" s="5"/>
      <c r="E3239" s="5"/>
      <c r="F3239" s="5"/>
      <c r="G3239" s="5"/>
      <c r="H3239" s="5"/>
      <c r="I3239" s="5"/>
      <c r="J3239" s="5"/>
      <c r="K3239" s="5"/>
      <c r="L3239" s="5"/>
      <c r="M3239" s="5"/>
      <c r="N3239" s="5"/>
      <c r="O3239" s="5"/>
    </row>
    <row r="3240" spans="2:15" x14ac:dyDescent="0.55000000000000004">
      <c r="B3240" s="5"/>
      <c r="C3240" s="5"/>
      <c r="D3240" s="5"/>
      <c r="E3240" s="5"/>
      <c r="F3240" s="5"/>
      <c r="G3240" s="5"/>
      <c r="H3240" s="5"/>
      <c r="I3240" s="5"/>
      <c r="J3240" s="5"/>
      <c r="K3240" s="5"/>
      <c r="L3240" s="5"/>
      <c r="M3240" s="5"/>
      <c r="N3240" s="5"/>
      <c r="O3240" s="5"/>
    </row>
    <row r="3241" spans="2:15" x14ac:dyDescent="0.55000000000000004">
      <c r="B3241" s="5"/>
      <c r="C3241" s="5"/>
      <c r="D3241" s="5"/>
      <c r="E3241" s="5"/>
      <c r="F3241" s="5"/>
      <c r="G3241" s="5"/>
      <c r="H3241" s="5"/>
      <c r="I3241" s="5"/>
      <c r="J3241" s="5"/>
      <c r="K3241" s="5"/>
      <c r="L3241" s="5"/>
      <c r="M3241" s="5"/>
      <c r="N3241" s="5"/>
      <c r="O3241" s="5"/>
    </row>
    <row r="3242" spans="2:15" x14ac:dyDescent="0.55000000000000004">
      <c r="B3242" s="5"/>
      <c r="C3242" s="5"/>
      <c r="D3242" s="5"/>
      <c r="E3242" s="5"/>
      <c r="F3242" s="5"/>
      <c r="G3242" s="5"/>
      <c r="H3242" s="5"/>
      <c r="I3242" s="5"/>
      <c r="J3242" s="5"/>
      <c r="K3242" s="5"/>
      <c r="L3242" s="5"/>
      <c r="M3242" s="5"/>
      <c r="N3242" s="5"/>
      <c r="O3242" s="5"/>
    </row>
    <row r="3243" spans="2:15" x14ac:dyDescent="0.55000000000000004">
      <c r="B3243" s="5"/>
      <c r="C3243" s="5"/>
      <c r="D3243" s="5"/>
      <c r="E3243" s="5"/>
      <c r="F3243" s="5"/>
      <c r="G3243" s="5"/>
      <c r="H3243" s="5"/>
      <c r="I3243" s="5"/>
      <c r="J3243" s="5"/>
      <c r="K3243" s="5"/>
      <c r="L3243" s="5"/>
      <c r="M3243" s="5"/>
      <c r="N3243" s="5"/>
      <c r="O3243" s="5"/>
    </row>
    <row r="3244" spans="2:15" x14ac:dyDescent="0.55000000000000004">
      <c r="B3244" s="5"/>
      <c r="C3244" s="5"/>
      <c r="D3244" s="5"/>
      <c r="E3244" s="5"/>
      <c r="F3244" s="5"/>
      <c r="G3244" s="5"/>
      <c r="H3244" s="5"/>
      <c r="I3244" s="5"/>
      <c r="J3244" s="5"/>
      <c r="K3244" s="5"/>
      <c r="L3244" s="5"/>
      <c r="M3244" s="5"/>
      <c r="N3244" s="5"/>
      <c r="O3244" s="5"/>
    </row>
    <row r="3245" spans="2:15" x14ac:dyDescent="0.55000000000000004">
      <c r="B3245" s="5"/>
      <c r="C3245" s="5"/>
      <c r="D3245" s="5"/>
      <c r="E3245" s="5"/>
      <c r="F3245" s="5"/>
      <c r="G3245" s="5"/>
      <c r="H3245" s="5"/>
      <c r="I3245" s="5"/>
      <c r="J3245" s="5"/>
      <c r="K3245" s="5"/>
      <c r="L3245" s="5"/>
      <c r="M3245" s="5"/>
      <c r="N3245" s="5"/>
      <c r="O3245" s="5"/>
    </row>
    <row r="3246" spans="2:15" x14ac:dyDescent="0.55000000000000004">
      <c r="B3246" s="5"/>
      <c r="C3246" s="5"/>
      <c r="D3246" s="5"/>
      <c r="E3246" s="5"/>
      <c r="F3246" s="5"/>
      <c r="G3246" s="5"/>
      <c r="H3246" s="5"/>
      <c r="I3246" s="5"/>
      <c r="J3246" s="5"/>
      <c r="K3246" s="5"/>
      <c r="L3246" s="5"/>
      <c r="M3246" s="5"/>
      <c r="N3246" s="5"/>
      <c r="O3246" s="5"/>
    </row>
    <row r="3247" spans="2:15" x14ac:dyDescent="0.55000000000000004">
      <c r="B3247" s="5"/>
      <c r="C3247" s="5"/>
      <c r="D3247" s="5"/>
      <c r="E3247" s="5"/>
      <c r="F3247" s="5"/>
      <c r="G3247" s="5"/>
      <c r="H3247" s="5"/>
      <c r="I3247" s="5"/>
      <c r="J3247" s="5"/>
      <c r="K3247" s="5"/>
      <c r="L3247" s="5"/>
      <c r="M3247" s="5"/>
      <c r="N3247" s="5"/>
      <c r="O3247" s="5"/>
    </row>
    <row r="3248" spans="2:15" x14ac:dyDescent="0.55000000000000004">
      <c r="B3248" s="5"/>
      <c r="C3248" s="5"/>
      <c r="D3248" s="5"/>
      <c r="E3248" s="5"/>
      <c r="F3248" s="5"/>
      <c r="G3248" s="5"/>
      <c r="H3248" s="5"/>
      <c r="I3248" s="5"/>
      <c r="J3248" s="5"/>
      <c r="K3248" s="5"/>
      <c r="L3248" s="5"/>
      <c r="M3248" s="5"/>
      <c r="N3248" s="5"/>
      <c r="O3248" s="5"/>
    </row>
    <row r="3249" spans="2:15" x14ac:dyDescent="0.55000000000000004">
      <c r="B3249" s="5"/>
      <c r="C3249" s="5"/>
      <c r="D3249" s="5"/>
      <c r="E3249" s="5"/>
      <c r="F3249" s="5"/>
      <c r="G3249" s="5"/>
      <c r="H3249" s="5"/>
      <c r="I3249" s="5"/>
      <c r="J3249" s="5"/>
      <c r="K3249" s="5"/>
      <c r="L3249" s="5"/>
      <c r="M3249" s="5"/>
      <c r="N3249" s="5"/>
      <c r="O3249" s="5"/>
    </row>
    <row r="3250" spans="2:15" x14ac:dyDescent="0.55000000000000004">
      <c r="B3250" s="5"/>
      <c r="C3250" s="5"/>
      <c r="D3250" s="5"/>
      <c r="E3250" s="5"/>
      <c r="F3250" s="5"/>
      <c r="G3250" s="5"/>
      <c r="H3250" s="5"/>
      <c r="I3250" s="5"/>
      <c r="J3250" s="5"/>
      <c r="K3250" s="5"/>
      <c r="L3250" s="5"/>
      <c r="M3250" s="5"/>
      <c r="N3250" s="5"/>
      <c r="O3250" s="5"/>
    </row>
    <row r="3251" spans="2:15" x14ac:dyDescent="0.55000000000000004">
      <c r="B3251" s="5"/>
      <c r="C3251" s="5"/>
      <c r="D3251" s="5"/>
      <c r="E3251" s="5"/>
      <c r="F3251" s="5"/>
      <c r="G3251" s="5"/>
      <c r="H3251" s="5"/>
      <c r="I3251" s="5"/>
      <c r="J3251" s="5"/>
      <c r="K3251" s="5"/>
      <c r="L3251" s="5"/>
      <c r="M3251" s="5"/>
      <c r="N3251" s="5"/>
      <c r="O3251" s="5"/>
    </row>
    <row r="3252" spans="2:15" x14ac:dyDescent="0.55000000000000004">
      <c r="B3252" s="5"/>
      <c r="C3252" s="5"/>
      <c r="D3252" s="5"/>
      <c r="E3252" s="5"/>
      <c r="F3252" s="5"/>
      <c r="G3252" s="5"/>
      <c r="H3252" s="5"/>
      <c r="I3252" s="5"/>
      <c r="J3252" s="5"/>
      <c r="K3252" s="5"/>
      <c r="L3252" s="5"/>
      <c r="M3252" s="5"/>
      <c r="N3252" s="5"/>
      <c r="O3252" s="5"/>
    </row>
    <row r="3253" spans="2:15" x14ac:dyDescent="0.55000000000000004">
      <c r="B3253" s="5"/>
      <c r="C3253" s="5"/>
      <c r="D3253" s="5"/>
      <c r="E3253" s="5"/>
      <c r="F3253" s="5"/>
      <c r="G3253" s="5"/>
      <c r="H3253" s="5"/>
      <c r="I3253" s="5"/>
      <c r="J3253" s="5"/>
      <c r="K3253" s="5"/>
      <c r="L3253" s="5"/>
      <c r="M3253" s="5"/>
      <c r="N3253" s="5"/>
      <c r="O3253" s="5"/>
    </row>
    <row r="3254" spans="2:15" x14ac:dyDescent="0.55000000000000004">
      <c r="B3254" s="5"/>
      <c r="C3254" s="5"/>
      <c r="D3254" s="5"/>
      <c r="E3254" s="5"/>
      <c r="F3254" s="5"/>
      <c r="G3254" s="5"/>
      <c r="H3254" s="5"/>
      <c r="I3254" s="5"/>
      <c r="J3254" s="5"/>
      <c r="K3254" s="5"/>
      <c r="L3254" s="5"/>
      <c r="M3254" s="5"/>
      <c r="N3254" s="5"/>
      <c r="O3254" s="5"/>
    </row>
    <row r="3255" spans="2:15" x14ac:dyDescent="0.55000000000000004">
      <c r="B3255" s="5"/>
      <c r="C3255" s="5"/>
      <c r="D3255" s="5"/>
      <c r="E3255" s="5"/>
      <c r="F3255" s="5"/>
      <c r="G3255" s="5"/>
      <c r="H3255" s="5"/>
      <c r="I3255" s="5"/>
      <c r="J3255" s="5"/>
      <c r="K3255" s="5"/>
      <c r="L3255" s="5"/>
      <c r="M3255" s="5"/>
      <c r="N3255" s="5"/>
      <c r="O3255" s="5"/>
    </row>
    <row r="3256" spans="2:15" x14ac:dyDescent="0.55000000000000004">
      <c r="B3256" s="5"/>
      <c r="C3256" s="5"/>
      <c r="D3256" s="5"/>
      <c r="E3256" s="5"/>
      <c r="F3256" s="5"/>
      <c r="G3256" s="5"/>
      <c r="H3256" s="5"/>
      <c r="I3256" s="5"/>
      <c r="J3256" s="5"/>
      <c r="K3256" s="5"/>
      <c r="L3256" s="5"/>
      <c r="M3256" s="5"/>
      <c r="N3256" s="5"/>
      <c r="O3256" s="5"/>
    </row>
    <row r="3257" spans="2:15" x14ac:dyDescent="0.55000000000000004">
      <c r="B3257" s="5"/>
      <c r="C3257" s="5"/>
      <c r="D3257" s="5"/>
      <c r="E3257" s="5"/>
      <c r="F3257" s="5"/>
      <c r="G3257" s="5"/>
      <c r="H3257" s="5"/>
      <c r="I3257" s="5"/>
      <c r="J3257" s="5"/>
      <c r="K3257" s="5"/>
      <c r="L3257" s="5"/>
      <c r="M3257" s="5"/>
      <c r="N3257" s="5"/>
      <c r="O3257" s="5"/>
    </row>
    <row r="3258" spans="2:15" x14ac:dyDescent="0.55000000000000004">
      <c r="B3258" s="5"/>
      <c r="C3258" s="5"/>
      <c r="D3258" s="5"/>
      <c r="E3258" s="5"/>
      <c r="F3258" s="5"/>
      <c r="G3258" s="5"/>
      <c r="H3258" s="5"/>
      <c r="I3258" s="5"/>
      <c r="J3258" s="5"/>
      <c r="K3258" s="5"/>
      <c r="L3258" s="5"/>
      <c r="M3258" s="5"/>
      <c r="N3258" s="5"/>
      <c r="O3258" s="5"/>
    </row>
    <row r="3259" spans="2:15" x14ac:dyDescent="0.55000000000000004">
      <c r="B3259" s="5"/>
      <c r="C3259" s="5"/>
      <c r="D3259" s="5"/>
      <c r="E3259" s="5"/>
      <c r="F3259" s="5"/>
      <c r="G3259" s="5"/>
      <c r="H3259" s="5"/>
      <c r="I3259" s="5"/>
      <c r="J3259" s="5"/>
      <c r="K3259" s="5"/>
      <c r="L3259" s="5"/>
      <c r="M3259" s="5"/>
      <c r="N3259" s="5"/>
      <c r="O3259" s="5"/>
    </row>
    <row r="3260" spans="2:15" x14ac:dyDescent="0.55000000000000004">
      <c r="B3260" s="5"/>
      <c r="C3260" s="5"/>
      <c r="D3260" s="5"/>
      <c r="E3260" s="5"/>
      <c r="F3260" s="5"/>
      <c r="G3260" s="5"/>
      <c r="H3260" s="5"/>
      <c r="I3260" s="5"/>
      <c r="J3260" s="5"/>
      <c r="K3260" s="5"/>
      <c r="L3260" s="5"/>
      <c r="M3260" s="5"/>
      <c r="N3260" s="5"/>
      <c r="O3260" s="5"/>
    </row>
    <row r="3261" spans="2:15" x14ac:dyDescent="0.55000000000000004">
      <c r="B3261" s="5"/>
      <c r="C3261" s="5"/>
      <c r="D3261" s="5"/>
      <c r="E3261" s="5"/>
      <c r="F3261" s="5"/>
      <c r="G3261" s="5"/>
      <c r="H3261" s="5"/>
      <c r="I3261" s="5"/>
      <c r="J3261" s="5"/>
      <c r="K3261" s="5"/>
      <c r="L3261" s="5"/>
      <c r="M3261" s="5"/>
      <c r="N3261" s="5"/>
      <c r="O3261" s="5"/>
    </row>
    <row r="3262" spans="2:15" x14ac:dyDescent="0.55000000000000004">
      <c r="B3262" s="5"/>
      <c r="C3262" s="5"/>
      <c r="D3262" s="5"/>
      <c r="E3262" s="5"/>
      <c r="F3262" s="5"/>
      <c r="G3262" s="5"/>
      <c r="H3262" s="5"/>
      <c r="I3262" s="5"/>
      <c r="J3262" s="5"/>
      <c r="K3262" s="5"/>
      <c r="L3262" s="5"/>
      <c r="M3262" s="5"/>
      <c r="N3262" s="5"/>
      <c r="O3262" s="5"/>
    </row>
    <row r="3263" spans="2:15" x14ac:dyDescent="0.55000000000000004">
      <c r="B3263" s="5"/>
      <c r="C3263" s="5"/>
      <c r="D3263" s="5"/>
      <c r="E3263" s="5"/>
      <c r="F3263" s="5"/>
      <c r="G3263" s="5"/>
      <c r="H3263" s="5"/>
      <c r="I3263" s="5"/>
      <c r="J3263" s="5"/>
      <c r="K3263" s="5"/>
      <c r="L3263" s="5"/>
      <c r="M3263" s="5"/>
      <c r="N3263" s="5"/>
      <c r="O3263" s="5"/>
    </row>
    <row r="3264" spans="2:15" x14ac:dyDescent="0.55000000000000004">
      <c r="B3264" s="5"/>
      <c r="C3264" s="5"/>
      <c r="D3264" s="5"/>
      <c r="E3264" s="5"/>
      <c r="F3264" s="5"/>
      <c r="G3264" s="5"/>
      <c r="H3264" s="5"/>
      <c r="I3264" s="5"/>
      <c r="J3264" s="5"/>
      <c r="K3264" s="5"/>
      <c r="L3264" s="5"/>
      <c r="M3264" s="5"/>
      <c r="N3264" s="5"/>
      <c r="O3264" s="5"/>
    </row>
    <row r="3265" spans="2:15" x14ac:dyDescent="0.55000000000000004">
      <c r="B3265" s="5"/>
      <c r="C3265" s="5"/>
      <c r="D3265" s="5"/>
      <c r="E3265" s="5"/>
      <c r="F3265" s="5"/>
      <c r="G3265" s="5"/>
      <c r="H3265" s="5"/>
      <c r="I3265" s="5"/>
      <c r="J3265" s="5"/>
      <c r="K3265" s="5"/>
      <c r="L3265" s="5"/>
      <c r="M3265" s="5"/>
      <c r="N3265" s="5"/>
      <c r="O3265" s="5"/>
    </row>
    <row r="3266" spans="2:15" x14ac:dyDescent="0.55000000000000004">
      <c r="B3266" s="5"/>
      <c r="C3266" s="5"/>
      <c r="D3266" s="5"/>
      <c r="E3266" s="5"/>
      <c r="F3266" s="5"/>
      <c r="G3266" s="5"/>
      <c r="H3266" s="5"/>
      <c r="I3266" s="5"/>
      <c r="J3266" s="5"/>
      <c r="K3266" s="5"/>
      <c r="L3266" s="5"/>
      <c r="M3266" s="5"/>
      <c r="N3266" s="5"/>
      <c r="O3266" s="5"/>
    </row>
    <row r="3267" spans="2:15" x14ac:dyDescent="0.55000000000000004">
      <c r="B3267" s="5"/>
      <c r="C3267" s="5"/>
      <c r="D3267" s="5"/>
      <c r="E3267" s="5"/>
      <c r="F3267" s="5"/>
      <c r="G3267" s="5"/>
      <c r="H3267" s="5"/>
      <c r="I3267" s="5"/>
      <c r="J3267" s="5"/>
      <c r="K3267" s="5"/>
      <c r="L3267" s="5"/>
      <c r="M3267" s="5"/>
      <c r="N3267" s="5"/>
      <c r="O3267" s="5"/>
    </row>
    <row r="3268" spans="2:15" x14ac:dyDescent="0.55000000000000004">
      <c r="B3268" s="5"/>
      <c r="C3268" s="5"/>
      <c r="D3268" s="5"/>
      <c r="E3268" s="5"/>
      <c r="F3268" s="5"/>
      <c r="G3268" s="5"/>
      <c r="H3268" s="5"/>
      <c r="I3268" s="5"/>
      <c r="J3268" s="5"/>
      <c r="K3268" s="5"/>
      <c r="L3268" s="5"/>
      <c r="M3268" s="5"/>
      <c r="N3268" s="5"/>
      <c r="O3268" s="5"/>
    </row>
    <row r="3269" spans="2:15" x14ac:dyDescent="0.55000000000000004">
      <c r="B3269" s="5"/>
      <c r="C3269" s="5"/>
      <c r="D3269" s="5"/>
      <c r="E3269" s="5"/>
      <c r="F3269" s="5"/>
      <c r="G3269" s="5"/>
      <c r="H3269" s="5"/>
      <c r="I3269" s="5"/>
      <c r="J3269" s="5"/>
      <c r="K3269" s="5"/>
      <c r="L3269" s="5"/>
      <c r="M3269" s="5"/>
      <c r="N3269" s="5"/>
      <c r="O3269" s="5"/>
    </row>
    <row r="3270" spans="2:15" x14ac:dyDescent="0.55000000000000004">
      <c r="B3270" s="5"/>
      <c r="C3270" s="5"/>
      <c r="D3270" s="5"/>
      <c r="E3270" s="5"/>
      <c r="F3270" s="5"/>
      <c r="G3270" s="5"/>
      <c r="H3270" s="5"/>
      <c r="I3270" s="5"/>
      <c r="J3270" s="5"/>
      <c r="K3270" s="5"/>
      <c r="L3270" s="5"/>
      <c r="M3270" s="5"/>
      <c r="N3270" s="5"/>
      <c r="O3270" s="5"/>
    </row>
    <row r="3271" spans="2:15" x14ac:dyDescent="0.55000000000000004">
      <c r="B3271" s="5"/>
      <c r="C3271" s="5"/>
      <c r="D3271" s="5"/>
      <c r="E3271" s="5"/>
      <c r="F3271" s="5"/>
      <c r="G3271" s="5"/>
      <c r="H3271" s="5"/>
      <c r="I3271" s="5"/>
      <c r="J3271" s="5"/>
      <c r="K3271" s="5"/>
      <c r="L3271" s="5"/>
      <c r="M3271" s="5"/>
      <c r="N3271" s="5"/>
      <c r="O3271" s="5"/>
    </row>
    <row r="3272" spans="2:15" x14ac:dyDescent="0.55000000000000004">
      <c r="B3272" s="5"/>
      <c r="C3272" s="5"/>
      <c r="D3272" s="5"/>
      <c r="E3272" s="5"/>
      <c r="F3272" s="5"/>
      <c r="G3272" s="5"/>
      <c r="H3272" s="5"/>
      <c r="I3272" s="5"/>
      <c r="J3272" s="5"/>
      <c r="K3272" s="5"/>
      <c r="L3272" s="5"/>
      <c r="M3272" s="5"/>
      <c r="N3272" s="5"/>
      <c r="O3272" s="5"/>
    </row>
    <row r="3273" spans="2:15" x14ac:dyDescent="0.55000000000000004">
      <c r="B3273" s="5"/>
      <c r="C3273" s="5"/>
      <c r="D3273" s="5"/>
      <c r="E3273" s="5"/>
      <c r="F3273" s="5"/>
      <c r="G3273" s="5"/>
      <c r="H3273" s="5"/>
      <c r="I3273" s="5"/>
      <c r="J3273" s="5"/>
      <c r="K3273" s="5"/>
      <c r="L3273" s="5"/>
      <c r="M3273" s="5"/>
      <c r="N3273" s="5"/>
      <c r="O3273" s="5"/>
    </row>
    <row r="3274" spans="2:15" x14ac:dyDescent="0.55000000000000004">
      <c r="B3274" s="5"/>
      <c r="C3274" s="5"/>
      <c r="D3274" s="5"/>
      <c r="E3274" s="5"/>
      <c r="F3274" s="5"/>
      <c r="G3274" s="5"/>
      <c r="H3274" s="5"/>
      <c r="I3274" s="5"/>
      <c r="J3274" s="5"/>
      <c r="K3274" s="5"/>
      <c r="L3274" s="5"/>
      <c r="M3274" s="5"/>
      <c r="N3274" s="5"/>
      <c r="O3274" s="5"/>
    </row>
    <row r="3275" spans="2:15" x14ac:dyDescent="0.55000000000000004">
      <c r="B3275" s="5"/>
      <c r="C3275" s="5"/>
      <c r="D3275" s="5"/>
      <c r="E3275" s="5"/>
      <c r="F3275" s="5"/>
      <c r="G3275" s="5"/>
      <c r="H3275" s="5"/>
      <c r="I3275" s="5"/>
      <c r="J3275" s="5"/>
      <c r="K3275" s="5"/>
      <c r="L3275" s="5"/>
      <c r="M3275" s="5"/>
      <c r="N3275" s="5"/>
      <c r="O3275" s="5"/>
    </row>
    <row r="3276" spans="2:15" x14ac:dyDescent="0.55000000000000004">
      <c r="B3276" s="5"/>
      <c r="C3276" s="5"/>
      <c r="D3276" s="5"/>
      <c r="E3276" s="5"/>
      <c r="F3276" s="5"/>
      <c r="G3276" s="5"/>
      <c r="H3276" s="5"/>
      <c r="I3276" s="5"/>
      <c r="J3276" s="5"/>
      <c r="K3276" s="5"/>
      <c r="L3276" s="5"/>
      <c r="M3276" s="5"/>
      <c r="N3276" s="5"/>
      <c r="O3276" s="5"/>
    </row>
    <row r="3277" spans="2:15" x14ac:dyDescent="0.55000000000000004">
      <c r="B3277" s="5"/>
      <c r="C3277" s="5"/>
      <c r="D3277" s="5"/>
      <c r="E3277" s="5"/>
      <c r="F3277" s="5"/>
      <c r="G3277" s="5"/>
      <c r="H3277" s="5"/>
      <c r="I3277" s="5"/>
      <c r="J3277" s="5"/>
      <c r="K3277" s="5"/>
      <c r="L3277" s="5"/>
      <c r="M3277" s="5"/>
      <c r="N3277" s="5"/>
      <c r="O3277" s="5"/>
    </row>
    <row r="3278" spans="2:15" x14ac:dyDescent="0.55000000000000004">
      <c r="B3278" s="5"/>
      <c r="C3278" s="5"/>
      <c r="D3278" s="5"/>
      <c r="E3278" s="5"/>
      <c r="F3278" s="5"/>
      <c r="G3278" s="5"/>
      <c r="H3278" s="5"/>
      <c r="I3278" s="5"/>
      <c r="J3278" s="5"/>
      <c r="K3278" s="5"/>
      <c r="L3278" s="5"/>
      <c r="M3278" s="5"/>
      <c r="N3278" s="5"/>
      <c r="O3278" s="5"/>
    </row>
    <row r="3279" spans="2:15" x14ac:dyDescent="0.55000000000000004">
      <c r="B3279" s="5"/>
      <c r="C3279" s="5"/>
      <c r="D3279" s="5"/>
      <c r="E3279" s="5"/>
      <c r="F3279" s="5"/>
      <c r="G3279" s="5"/>
      <c r="H3279" s="5"/>
      <c r="I3279" s="5"/>
      <c r="J3279" s="5"/>
      <c r="K3279" s="5"/>
      <c r="L3279" s="5"/>
      <c r="M3279" s="5"/>
      <c r="N3279" s="5"/>
      <c r="O3279" s="5"/>
    </row>
    <row r="3280" spans="2:15" x14ac:dyDescent="0.55000000000000004">
      <c r="B3280" s="5"/>
      <c r="C3280" s="5"/>
      <c r="D3280" s="5"/>
      <c r="E3280" s="5"/>
      <c r="F3280" s="5"/>
      <c r="G3280" s="5"/>
      <c r="H3280" s="5"/>
      <c r="I3280" s="5"/>
      <c r="J3280" s="5"/>
      <c r="K3280" s="5"/>
      <c r="L3280" s="5"/>
      <c r="M3280" s="5"/>
      <c r="N3280" s="5"/>
      <c r="O3280" s="5"/>
    </row>
    <row r="3281" spans="2:15" x14ac:dyDescent="0.55000000000000004">
      <c r="B3281" s="5"/>
      <c r="C3281" s="5"/>
      <c r="D3281" s="5"/>
      <c r="E3281" s="5"/>
      <c r="F3281" s="5"/>
      <c r="G3281" s="5"/>
      <c r="H3281" s="5"/>
      <c r="I3281" s="5"/>
      <c r="J3281" s="5"/>
      <c r="K3281" s="5"/>
      <c r="L3281" s="5"/>
      <c r="M3281" s="5"/>
      <c r="N3281" s="5"/>
      <c r="O3281" s="5"/>
    </row>
    <row r="3282" spans="2:15" x14ac:dyDescent="0.55000000000000004">
      <c r="B3282" s="5"/>
      <c r="C3282" s="5"/>
      <c r="D3282" s="5"/>
      <c r="E3282" s="5"/>
      <c r="F3282" s="5"/>
      <c r="G3282" s="5"/>
      <c r="H3282" s="5"/>
      <c r="I3282" s="5"/>
      <c r="J3282" s="5"/>
      <c r="K3282" s="5"/>
      <c r="L3282" s="5"/>
      <c r="M3282" s="5"/>
      <c r="N3282" s="5"/>
      <c r="O3282" s="5"/>
    </row>
    <row r="3283" spans="2:15" x14ac:dyDescent="0.55000000000000004">
      <c r="B3283" s="5"/>
      <c r="C3283" s="5"/>
      <c r="D3283" s="5"/>
      <c r="E3283" s="5"/>
      <c r="F3283" s="5"/>
      <c r="G3283" s="5"/>
      <c r="H3283" s="5"/>
      <c r="I3283" s="5"/>
      <c r="J3283" s="5"/>
      <c r="K3283" s="5"/>
      <c r="L3283" s="5"/>
      <c r="M3283" s="5"/>
      <c r="N3283" s="5"/>
      <c r="O3283" s="5"/>
    </row>
    <row r="3284" spans="2:15" x14ac:dyDescent="0.55000000000000004">
      <c r="B3284" s="5"/>
      <c r="C3284" s="5"/>
      <c r="D3284" s="5"/>
      <c r="E3284" s="5"/>
      <c r="F3284" s="5"/>
      <c r="G3284" s="5"/>
      <c r="H3284" s="5"/>
      <c r="I3284" s="5"/>
      <c r="J3284" s="5"/>
      <c r="K3284" s="5"/>
      <c r="L3284" s="5"/>
      <c r="M3284" s="5"/>
      <c r="N3284" s="5"/>
      <c r="O3284" s="5"/>
    </row>
    <row r="3285" spans="2:15" x14ac:dyDescent="0.55000000000000004">
      <c r="B3285" s="5"/>
      <c r="C3285" s="5"/>
      <c r="D3285" s="5"/>
      <c r="E3285" s="5"/>
      <c r="F3285" s="5"/>
      <c r="G3285" s="5"/>
      <c r="H3285" s="5"/>
      <c r="I3285" s="5"/>
      <c r="J3285" s="5"/>
      <c r="K3285" s="5"/>
      <c r="L3285" s="5"/>
      <c r="M3285" s="5"/>
      <c r="N3285" s="5"/>
      <c r="O3285" s="5"/>
    </row>
    <row r="3286" spans="2:15" x14ac:dyDescent="0.55000000000000004">
      <c r="B3286" s="5"/>
      <c r="C3286" s="5"/>
      <c r="D3286" s="5"/>
      <c r="E3286" s="5"/>
      <c r="F3286" s="5"/>
      <c r="G3286" s="5"/>
      <c r="H3286" s="5"/>
      <c r="I3286" s="5"/>
      <c r="J3286" s="5"/>
      <c r="K3286" s="5"/>
      <c r="L3286" s="5"/>
      <c r="M3286" s="5"/>
      <c r="N3286" s="5"/>
      <c r="O3286" s="5"/>
    </row>
    <row r="3287" spans="2:15" x14ac:dyDescent="0.55000000000000004">
      <c r="B3287" s="5"/>
      <c r="C3287" s="5"/>
      <c r="D3287" s="5"/>
      <c r="E3287" s="5"/>
      <c r="F3287" s="5"/>
      <c r="G3287" s="5"/>
      <c r="H3287" s="5"/>
      <c r="I3287" s="5"/>
      <c r="J3287" s="5"/>
      <c r="K3287" s="5"/>
      <c r="L3287" s="5"/>
      <c r="M3287" s="5"/>
      <c r="N3287" s="5"/>
      <c r="O3287" s="5"/>
    </row>
    <row r="3288" spans="2:15" x14ac:dyDescent="0.55000000000000004">
      <c r="B3288" s="5"/>
      <c r="C3288" s="5"/>
      <c r="D3288" s="5"/>
      <c r="E3288" s="5"/>
      <c r="F3288" s="5"/>
      <c r="G3288" s="5"/>
      <c r="H3288" s="5"/>
      <c r="I3288" s="5"/>
      <c r="J3288" s="5"/>
      <c r="K3288" s="5"/>
      <c r="L3288" s="5"/>
      <c r="M3288" s="5"/>
      <c r="N3288" s="5"/>
      <c r="O3288" s="5"/>
    </row>
    <row r="3289" spans="2:15" x14ac:dyDescent="0.55000000000000004">
      <c r="B3289" s="5"/>
      <c r="C3289" s="5"/>
      <c r="D3289" s="5"/>
      <c r="E3289" s="5"/>
      <c r="F3289" s="5"/>
      <c r="G3289" s="5"/>
      <c r="H3289" s="5"/>
      <c r="I3289" s="5"/>
      <c r="J3289" s="5"/>
      <c r="K3289" s="5"/>
      <c r="L3289" s="5"/>
      <c r="M3289" s="5"/>
      <c r="N3289" s="5"/>
      <c r="O3289" s="5"/>
    </row>
    <row r="3290" spans="2:15" x14ac:dyDescent="0.55000000000000004">
      <c r="B3290" s="5"/>
      <c r="C3290" s="5"/>
      <c r="D3290" s="5"/>
      <c r="E3290" s="5"/>
      <c r="F3290" s="5"/>
      <c r="G3290" s="5"/>
      <c r="H3290" s="5"/>
      <c r="I3290" s="5"/>
      <c r="J3290" s="5"/>
      <c r="K3290" s="5"/>
      <c r="L3290" s="5"/>
      <c r="M3290" s="5"/>
      <c r="N3290" s="5"/>
      <c r="O3290" s="5"/>
    </row>
    <row r="3291" spans="2:15" x14ac:dyDescent="0.55000000000000004">
      <c r="B3291" s="5"/>
      <c r="C3291" s="5"/>
      <c r="D3291" s="5"/>
      <c r="E3291" s="5"/>
      <c r="F3291" s="5"/>
      <c r="G3291" s="5"/>
      <c r="H3291" s="5"/>
      <c r="I3291" s="5"/>
      <c r="J3291" s="5"/>
      <c r="K3291" s="5"/>
      <c r="L3291" s="5"/>
      <c r="M3291" s="5"/>
      <c r="N3291" s="5"/>
      <c r="O3291" s="5"/>
    </row>
    <row r="3292" spans="2:15" x14ac:dyDescent="0.55000000000000004">
      <c r="B3292" s="5"/>
      <c r="C3292" s="5"/>
      <c r="D3292" s="5"/>
      <c r="E3292" s="5"/>
      <c r="F3292" s="5"/>
      <c r="G3292" s="5"/>
      <c r="H3292" s="5"/>
      <c r="I3292" s="5"/>
      <c r="J3292" s="5"/>
      <c r="K3292" s="5"/>
      <c r="L3292" s="5"/>
      <c r="M3292" s="5"/>
      <c r="N3292" s="5"/>
      <c r="O3292" s="5"/>
    </row>
    <row r="3293" spans="2:15" x14ac:dyDescent="0.55000000000000004">
      <c r="B3293" s="5"/>
      <c r="C3293" s="5"/>
      <c r="D3293" s="5"/>
      <c r="E3293" s="5"/>
      <c r="F3293" s="5"/>
      <c r="G3293" s="5"/>
      <c r="H3293" s="5"/>
      <c r="I3293" s="5"/>
      <c r="J3293" s="5"/>
      <c r="K3293" s="5"/>
      <c r="L3293" s="5"/>
      <c r="M3293" s="5"/>
      <c r="N3293" s="5"/>
      <c r="O3293" s="5"/>
    </row>
    <row r="3294" spans="2:15" x14ac:dyDescent="0.55000000000000004">
      <c r="B3294" s="5"/>
      <c r="C3294" s="5"/>
      <c r="D3294" s="5"/>
      <c r="E3294" s="5"/>
      <c r="F3294" s="5"/>
      <c r="G3294" s="5"/>
      <c r="H3294" s="5"/>
      <c r="I3294" s="5"/>
      <c r="J3294" s="5"/>
      <c r="K3294" s="5"/>
      <c r="L3294" s="5"/>
      <c r="M3294" s="5"/>
      <c r="N3294" s="5"/>
      <c r="O3294" s="5"/>
    </row>
    <row r="3295" spans="2:15" x14ac:dyDescent="0.55000000000000004">
      <c r="B3295" s="5"/>
      <c r="C3295" s="5"/>
      <c r="D3295" s="5"/>
      <c r="E3295" s="5"/>
      <c r="F3295" s="5"/>
      <c r="G3295" s="5"/>
      <c r="H3295" s="5"/>
      <c r="I3295" s="5"/>
      <c r="J3295" s="5"/>
      <c r="K3295" s="5"/>
      <c r="L3295" s="5"/>
      <c r="M3295" s="5"/>
      <c r="N3295" s="5"/>
      <c r="O3295" s="5"/>
    </row>
    <row r="3296" spans="2:15" x14ac:dyDescent="0.55000000000000004">
      <c r="B3296" s="5"/>
      <c r="C3296" s="5"/>
      <c r="D3296" s="5"/>
      <c r="E3296" s="5"/>
      <c r="F3296" s="5"/>
      <c r="G3296" s="5"/>
      <c r="H3296" s="5"/>
      <c r="I3296" s="5"/>
      <c r="J3296" s="5"/>
      <c r="K3296" s="5"/>
      <c r="L3296" s="5"/>
      <c r="M3296" s="5"/>
      <c r="N3296" s="5"/>
      <c r="O3296" s="5"/>
    </row>
    <row r="3297" spans="2:15" x14ac:dyDescent="0.55000000000000004">
      <c r="B3297" s="5"/>
      <c r="C3297" s="5"/>
      <c r="D3297" s="5"/>
      <c r="E3297" s="5"/>
      <c r="F3297" s="5"/>
      <c r="G3297" s="5"/>
      <c r="H3297" s="5"/>
      <c r="I3297" s="5"/>
      <c r="J3297" s="5"/>
      <c r="K3297" s="5"/>
      <c r="L3297" s="5"/>
      <c r="M3297" s="5"/>
      <c r="N3297" s="5"/>
      <c r="O3297" s="5"/>
    </row>
    <row r="3298" spans="2:15" x14ac:dyDescent="0.55000000000000004">
      <c r="B3298" s="5"/>
      <c r="C3298" s="5"/>
      <c r="D3298" s="5"/>
      <c r="E3298" s="5"/>
      <c r="F3298" s="5"/>
      <c r="G3298" s="5"/>
      <c r="H3298" s="5"/>
      <c r="I3298" s="5"/>
      <c r="J3298" s="5"/>
      <c r="K3298" s="5"/>
      <c r="L3298" s="5"/>
      <c r="M3298" s="5"/>
      <c r="N3298" s="5"/>
      <c r="O3298" s="5"/>
    </row>
    <row r="3299" spans="2:15" x14ac:dyDescent="0.55000000000000004">
      <c r="B3299" s="5"/>
      <c r="C3299" s="5"/>
      <c r="D3299" s="5"/>
      <c r="E3299" s="5"/>
      <c r="F3299" s="5"/>
      <c r="G3299" s="5"/>
      <c r="H3299" s="5"/>
      <c r="I3299" s="5"/>
      <c r="J3299" s="5"/>
      <c r="K3299" s="5"/>
      <c r="L3299" s="5"/>
      <c r="M3299" s="5"/>
      <c r="N3299" s="5"/>
      <c r="O3299" s="5"/>
    </row>
    <row r="3300" spans="2:15" x14ac:dyDescent="0.55000000000000004">
      <c r="B3300" s="5"/>
      <c r="C3300" s="5"/>
      <c r="D3300" s="5"/>
      <c r="E3300" s="5"/>
      <c r="F3300" s="5"/>
      <c r="G3300" s="5"/>
      <c r="H3300" s="5"/>
      <c r="I3300" s="5"/>
      <c r="J3300" s="5"/>
      <c r="K3300" s="5"/>
      <c r="L3300" s="5"/>
      <c r="M3300" s="5"/>
      <c r="N3300" s="5"/>
      <c r="O3300" s="5"/>
    </row>
    <row r="3301" spans="2:15" x14ac:dyDescent="0.55000000000000004">
      <c r="B3301" s="5"/>
      <c r="C3301" s="5"/>
      <c r="D3301" s="5"/>
      <c r="E3301" s="5"/>
      <c r="F3301" s="5"/>
      <c r="G3301" s="5"/>
      <c r="H3301" s="5"/>
      <c r="I3301" s="5"/>
      <c r="J3301" s="5"/>
      <c r="K3301" s="5"/>
      <c r="L3301" s="5"/>
      <c r="M3301" s="5"/>
      <c r="N3301" s="5"/>
      <c r="O3301" s="5"/>
    </row>
    <row r="3302" spans="2:15" x14ac:dyDescent="0.55000000000000004">
      <c r="B3302" s="5"/>
      <c r="C3302" s="5"/>
      <c r="D3302" s="5"/>
      <c r="E3302" s="5"/>
      <c r="F3302" s="5"/>
      <c r="G3302" s="5"/>
      <c r="H3302" s="5"/>
      <c r="I3302" s="5"/>
      <c r="J3302" s="5"/>
      <c r="K3302" s="5"/>
      <c r="L3302" s="5"/>
      <c r="M3302" s="5"/>
      <c r="N3302" s="5"/>
      <c r="O3302" s="5"/>
    </row>
    <row r="3303" spans="2:15" x14ac:dyDescent="0.55000000000000004">
      <c r="B3303" s="5"/>
      <c r="C3303" s="5"/>
      <c r="D3303" s="5"/>
      <c r="E3303" s="5"/>
      <c r="F3303" s="5"/>
      <c r="G3303" s="5"/>
      <c r="H3303" s="5"/>
      <c r="I3303" s="5"/>
      <c r="J3303" s="5"/>
      <c r="K3303" s="5"/>
      <c r="L3303" s="5"/>
      <c r="M3303" s="5"/>
      <c r="N3303" s="5"/>
      <c r="O3303" s="5"/>
    </row>
    <row r="3304" spans="2:15" x14ac:dyDescent="0.55000000000000004">
      <c r="B3304" s="5"/>
      <c r="C3304" s="5"/>
      <c r="D3304" s="5"/>
      <c r="E3304" s="5"/>
      <c r="F3304" s="5"/>
      <c r="G3304" s="5"/>
      <c r="H3304" s="5"/>
      <c r="I3304" s="5"/>
      <c r="J3304" s="5"/>
      <c r="K3304" s="5"/>
      <c r="L3304" s="5"/>
      <c r="M3304" s="5"/>
      <c r="N3304" s="5"/>
      <c r="O3304" s="5"/>
    </row>
    <row r="3305" spans="2:15" x14ac:dyDescent="0.55000000000000004">
      <c r="B3305" s="5"/>
      <c r="C3305" s="5"/>
      <c r="D3305" s="5"/>
      <c r="E3305" s="5"/>
      <c r="F3305" s="5"/>
      <c r="G3305" s="5"/>
      <c r="H3305" s="5"/>
      <c r="I3305" s="5"/>
      <c r="J3305" s="5"/>
      <c r="K3305" s="5"/>
      <c r="L3305" s="5"/>
      <c r="M3305" s="5"/>
      <c r="N3305" s="5"/>
      <c r="O3305" s="5"/>
    </row>
    <row r="3306" spans="2:15" x14ac:dyDescent="0.55000000000000004">
      <c r="B3306" s="5"/>
      <c r="C3306" s="5"/>
      <c r="D3306" s="5"/>
      <c r="E3306" s="5"/>
      <c r="F3306" s="5"/>
      <c r="G3306" s="5"/>
      <c r="H3306" s="5"/>
      <c r="I3306" s="5"/>
      <c r="J3306" s="5"/>
      <c r="K3306" s="5"/>
      <c r="L3306" s="5"/>
      <c r="M3306" s="5"/>
      <c r="N3306" s="5"/>
      <c r="O3306" s="5"/>
    </row>
    <row r="3307" spans="2:15" x14ac:dyDescent="0.55000000000000004">
      <c r="B3307" s="5"/>
      <c r="C3307" s="5"/>
      <c r="D3307" s="5"/>
      <c r="E3307" s="5"/>
      <c r="F3307" s="5"/>
      <c r="G3307" s="5"/>
      <c r="H3307" s="5"/>
      <c r="I3307" s="5"/>
      <c r="J3307" s="5"/>
      <c r="K3307" s="5"/>
      <c r="L3307" s="5"/>
      <c r="M3307" s="5"/>
      <c r="N3307" s="5"/>
      <c r="O3307" s="5"/>
    </row>
    <row r="3308" spans="2:15" x14ac:dyDescent="0.55000000000000004">
      <c r="B3308" s="5"/>
      <c r="C3308" s="5"/>
      <c r="D3308" s="5"/>
      <c r="E3308" s="5"/>
      <c r="F3308" s="5"/>
      <c r="G3308" s="5"/>
      <c r="H3308" s="5"/>
      <c r="I3308" s="5"/>
      <c r="J3308" s="5"/>
      <c r="K3308" s="5"/>
      <c r="L3308" s="5"/>
      <c r="M3308" s="5"/>
      <c r="N3308" s="5"/>
      <c r="O3308" s="5"/>
    </row>
    <row r="3309" spans="2:15" x14ac:dyDescent="0.55000000000000004">
      <c r="B3309" s="5"/>
      <c r="C3309" s="5"/>
      <c r="D3309" s="5"/>
      <c r="E3309" s="5"/>
      <c r="F3309" s="5"/>
      <c r="G3309" s="5"/>
      <c r="H3309" s="5"/>
      <c r="I3309" s="5"/>
      <c r="J3309" s="5"/>
      <c r="K3309" s="5"/>
      <c r="L3309" s="5"/>
      <c r="M3309" s="5"/>
      <c r="N3309" s="5"/>
      <c r="O3309" s="5"/>
    </row>
    <row r="3310" spans="2:15" x14ac:dyDescent="0.55000000000000004">
      <c r="B3310" s="5"/>
      <c r="C3310" s="5"/>
      <c r="D3310" s="5"/>
      <c r="E3310" s="5"/>
      <c r="F3310" s="5"/>
      <c r="G3310" s="5"/>
      <c r="H3310" s="5"/>
      <c r="I3310" s="5"/>
      <c r="J3310" s="5"/>
      <c r="K3310" s="5"/>
      <c r="L3310" s="5"/>
      <c r="M3310" s="5"/>
      <c r="N3310" s="5"/>
      <c r="O3310" s="5"/>
    </row>
    <row r="3311" spans="2:15" x14ac:dyDescent="0.55000000000000004">
      <c r="B3311" s="5"/>
      <c r="C3311" s="5"/>
      <c r="D3311" s="5"/>
      <c r="E3311" s="5"/>
      <c r="F3311" s="5"/>
      <c r="G3311" s="5"/>
      <c r="H3311" s="5"/>
      <c r="I3311" s="5"/>
      <c r="J3311" s="5"/>
      <c r="K3311" s="5"/>
      <c r="L3311" s="5"/>
      <c r="M3311" s="5"/>
      <c r="N3311" s="5"/>
      <c r="O3311" s="5"/>
    </row>
    <row r="3312" spans="2:15" x14ac:dyDescent="0.55000000000000004">
      <c r="B3312" s="5"/>
      <c r="C3312" s="5"/>
      <c r="D3312" s="5"/>
      <c r="E3312" s="5"/>
      <c r="F3312" s="5"/>
      <c r="G3312" s="5"/>
      <c r="H3312" s="5"/>
      <c r="I3312" s="5"/>
      <c r="J3312" s="5"/>
      <c r="K3312" s="5"/>
      <c r="L3312" s="5"/>
      <c r="M3312" s="5"/>
      <c r="N3312" s="5"/>
      <c r="O3312" s="5"/>
    </row>
    <row r="3313" spans="2:15" x14ac:dyDescent="0.55000000000000004">
      <c r="B3313" s="5"/>
      <c r="C3313" s="5"/>
      <c r="D3313" s="5"/>
      <c r="E3313" s="5"/>
      <c r="F3313" s="5"/>
      <c r="G3313" s="5"/>
      <c r="H3313" s="5"/>
      <c r="I3313" s="5"/>
      <c r="J3313" s="5"/>
      <c r="K3313" s="5"/>
      <c r="L3313" s="5"/>
      <c r="M3313" s="5"/>
      <c r="N3313" s="5"/>
      <c r="O3313" s="5"/>
    </row>
    <row r="3314" spans="2:15" x14ac:dyDescent="0.55000000000000004">
      <c r="B3314" s="5"/>
      <c r="C3314" s="5"/>
      <c r="D3314" s="5"/>
      <c r="E3314" s="5"/>
      <c r="F3314" s="5"/>
      <c r="G3314" s="5"/>
      <c r="H3314" s="5"/>
      <c r="I3314" s="5"/>
      <c r="J3314" s="5"/>
      <c r="K3314" s="5"/>
      <c r="L3314" s="5"/>
      <c r="M3314" s="5"/>
      <c r="N3314" s="5"/>
      <c r="O3314" s="5"/>
    </row>
    <row r="3315" spans="2:15" x14ac:dyDescent="0.55000000000000004">
      <c r="B3315" s="5"/>
      <c r="C3315" s="5"/>
      <c r="D3315" s="5"/>
      <c r="E3315" s="5"/>
      <c r="F3315" s="5"/>
      <c r="G3315" s="5"/>
      <c r="H3315" s="5"/>
      <c r="I3315" s="5"/>
      <c r="J3315" s="5"/>
      <c r="K3315" s="5"/>
      <c r="L3315" s="5"/>
      <c r="M3315" s="5"/>
      <c r="N3315" s="5"/>
      <c r="O3315" s="5"/>
    </row>
    <row r="3316" spans="2:15" x14ac:dyDescent="0.55000000000000004">
      <c r="B3316" s="5"/>
      <c r="C3316" s="5"/>
      <c r="D3316" s="5"/>
      <c r="E3316" s="5"/>
      <c r="F3316" s="5"/>
      <c r="G3316" s="5"/>
      <c r="H3316" s="5"/>
      <c r="I3316" s="5"/>
      <c r="J3316" s="5"/>
      <c r="K3316" s="5"/>
      <c r="L3316" s="5"/>
      <c r="M3316" s="5"/>
      <c r="N3316" s="5"/>
      <c r="O3316" s="5"/>
    </row>
    <row r="3317" spans="2:15" x14ac:dyDescent="0.55000000000000004">
      <c r="B3317" s="5"/>
      <c r="C3317" s="5"/>
      <c r="D3317" s="5"/>
      <c r="E3317" s="5"/>
      <c r="F3317" s="5"/>
      <c r="G3317" s="5"/>
      <c r="H3317" s="5"/>
      <c r="I3317" s="5"/>
      <c r="J3317" s="5"/>
      <c r="K3317" s="5"/>
      <c r="L3317" s="5"/>
      <c r="M3317" s="5"/>
      <c r="N3317" s="5"/>
      <c r="O3317" s="5"/>
    </row>
    <row r="3318" spans="2:15" x14ac:dyDescent="0.55000000000000004">
      <c r="B3318" s="5"/>
      <c r="C3318" s="5"/>
      <c r="D3318" s="5"/>
      <c r="E3318" s="5"/>
      <c r="F3318" s="5"/>
      <c r="G3318" s="5"/>
      <c r="H3318" s="5"/>
      <c r="I3318" s="5"/>
      <c r="J3318" s="5"/>
      <c r="K3318" s="5"/>
      <c r="L3318" s="5"/>
      <c r="M3318" s="5"/>
      <c r="N3318" s="5"/>
      <c r="O3318" s="5"/>
    </row>
    <row r="3319" spans="2:15" x14ac:dyDescent="0.55000000000000004">
      <c r="B3319" s="5"/>
      <c r="C3319" s="5"/>
      <c r="D3319" s="5"/>
      <c r="E3319" s="5"/>
      <c r="F3319" s="5"/>
      <c r="G3319" s="5"/>
      <c r="H3319" s="5"/>
      <c r="I3319" s="5"/>
      <c r="J3319" s="5"/>
      <c r="K3319" s="5"/>
      <c r="L3319" s="5"/>
      <c r="M3319" s="5"/>
      <c r="N3319" s="5"/>
      <c r="O3319" s="5"/>
    </row>
    <row r="3320" spans="2:15" x14ac:dyDescent="0.55000000000000004">
      <c r="B3320" s="5"/>
      <c r="C3320" s="5"/>
      <c r="D3320" s="5"/>
      <c r="E3320" s="5"/>
      <c r="F3320" s="5"/>
      <c r="G3320" s="5"/>
      <c r="H3320" s="5"/>
      <c r="I3320" s="5"/>
      <c r="J3320" s="5"/>
      <c r="K3320" s="5"/>
      <c r="L3320" s="5"/>
      <c r="M3320" s="5"/>
      <c r="N3320" s="5"/>
      <c r="O3320" s="5"/>
    </row>
    <row r="3321" spans="2:15" x14ac:dyDescent="0.55000000000000004">
      <c r="B3321" s="5"/>
      <c r="C3321" s="5"/>
      <c r="D3321" s="5"/>
      <c r="E3321" s="5"/>
      <c r="F3321" s="5"/>
      <c r="G3321" s="5"/>
      <c r="H3321" s="5"/>
      <c r="I3321" s="5"/>
      <c r="J3321" s="5"/>
      <c r="K3321" s="5"/>
      <c r="L3321" s="5"/>
      <c r="M3321" s="5"/>
      <c r="N3321" s="5"/>
      <c r="O3321" s="5"/>
    </row>
    <row r="3322" spans="2:15" x14ac:dyDescent="0.55000000000000004">
      <c r="B3322" s="5"/>
      <c r="C3322" s="5"/>
      <c r="D3322" s="5"/>
      <c r="E3322" s="5"/>
      <c r="F3322" s="5"/>
      <c r="G3322" s="5"/>
      <c r="H3322" s="5"/>
      <c r="I3322" s="5"/>
      <c r="J3322" s="5"/>
      <c r="K3322" s="5"/>
      <c r="L3322" s="5"/>
      <c r="M3322" s="5"/>
      <c r="N3322" s="5"/>
      <c r="O3322" s="5"/>
    </row>
    <row r="3323" spans="2:15" x14ac:dyDescent="0.55000000000000004">
      <c r="B3323" s="5"/>
      <c r="C3323" s="5"/>
      <c r="D3323" s="5"/>
      <c r="E3323" s="5"/>
      <c r="F3323" s="5"/>
      <c r="G3323" s="5"/>
      <c r="H3323" s="5"/>
      <c r="I3323" s="5"/>
      <c r="J3323" s="5"/>
      <c r="K3323" s="5"/>
      <c r="L3323" s="5"/>
      <c r="M3323" s="5"/>
      <c r="N3323" s="5"/>
      <c r="O3323" s="5"/>
    </row>
    <row r="3324" spans="2:15" x14ac:dyDescent="0.55000000000000004">
      <c r="B3324" s="5"/>
      <c r="C3324" s="5"/>
      <c r="D3324" s="5"/>
      <c r="E3324" s="5"/>
      <c r="F3324" s="5"/>
      <c r="G3324" s="5"/>
      <c r="H3324" s="5"/>
      <c r="I3324" s="5"/>
      <c r="J3324" s="5"/>
      <c r="K3324" s="5"/>
      <c r="L3324" s="5"/>
      <c r="M3324" s="5"/>
      <c r="N3324" s="5"/>
      <c r="O3324" s="5"/>
    </row>
    <row r="3325" spans="2:15" x14ac:dyDescent="0.55000000000000004">
      <c r="B3325" s="5"/>
      <c r="C3325" s="5"/>
      <c r="D3325" s="5"/>
      <c r="E3325" s="5"/>
      <c r="F3325" s="5"/>
      <c r="G3325" s="5"/>
      <c r="H3325" s="5"/>
      <c r="I3325" s="5"/>
      <c r="J3325" s="5"/>
      <c r="K3325" s="5"/>
      <c r="L3325" s="5"/>
      <c r="M3325" s="5"/>
      <c r="N3325" s="5"/>
      <c r="O3325" s="5"/>
    </row>
    <row r="3326" spans="2:15" x14ac:dyDescent="0.55000000000000004">
      <c r="B3326" s="5"/>
      <c r="C3326" s="5"/>
      <c r="D3326" s="5"/>
      <c r="E3326" s="5"/>
      <c r="F3326" s="5"/>
      <c r="G3326" s="5"/>
      <c r="H3326" s="5"/>
      <c r="I3326" s="5"/>
      <c r="J3326" s="5"/>
      <c r="K3326" s="5"/>
      <c r="L3326" s="5"/>
      <c r="M3326" s="5"/>
      <c r="N3326" s="5"/>
      <c r="O3326" s="5"/>
    </row>
    <row r="3327" spans="2:15" x14ac:dyDescent="0.55000000000000004">
      <c r="B3327" s="5"/>
      <c r="C3327" s="5"/>
      <c r="D3327" s="5"/>
      <c r="E3327" s="5"/>
      <c r="F3327" s="5"/>
      <c r="G3327" s="5"/>
      <c r="H3327" s="5"/>
      <c r="I3327" s="5"/>
      <c r="J3327" s="5"/>
      <c r="K3327" s="5"/>
      <c r="L3327" s="5"/>
      <c r="M3327" s="5"/>
      <c r="N3327" s="5"/>
      <c r="O3327" s="5"/>
    </row>
    <row r="3328" spans="2:15" x14ac:dyDescent="0.55000000000000004">
      <c r="B3328" s="5"/>
      <c r="C3328" s="5"/>
      <c r="D3328" s="5"/>
      <c r="E3328" s="5"/>
      <c r="F3328" s="5"/>
      <c r="G3328" s="5"/>
      <c r="H3328" s="5"/>
      <c r="I3328" s="5"/>
      <c r="J3328" s="5"/>
      <c r="K3328" s="5"/>
      <c r="L3328" s="5"/>
      <c r="M3328" s="5"/>
      <c r="N3328" s="5"/>
      <c r="O3328" s="5"/>
    </row>
    <row r="3329" spans="2:15" x14ac:dyDescent="0.55000000000000004">
      <c r="B3329" s="5"/>
      <c r="C3329" s="5"/>
      <c r="D3329" s="5"/>
      <c r="E3329" s="5"/>
      <c r="F3329" s="5"/>
      <c r="G3329" s="5"/>
      <c r="H3329" s="5"/>
      <c r="I3329" s="5"/>
      <c r="J3329" s="5"/>
      <c r="K3329" s="5"/>
      <c r="L3329" s="5"/>
      <c r="M3329" s="5"/>
      <c r="N3329" s="5"/>
      <c r="O3329" s="5"/>
    </row>
    <row r="3330" spans="2:15" x14ac:dyDescent="0.55000000000000004">
      <c r="B3330" s="5"/>
      <c r="C3330" s="5"/>
      <c r="D3330" s="5"/>
      <c r="E3330" s="5"/>
      <c r="F3330" s="5"/>
      <c r="G3330" s="5"/>
      <c r="H3330" s="5"/>
      <c r="I3330" s="5"/>
      <c r="J3330" s="5"/>
      <c r="K3330" s="5"/>
      <c r="L3330" s="5"/>
      <c r="M3330" s="5"/>
      <c r="N3330" s="5"/>
      <c r="O3330" s="5"/>
    </row>
    <row r="3331" spans="2:15" x14ac:dyDescent="0.55000000000000004">
      <c r="B3331" s="5"/>
      <c r="C3331" s="5"/>
      <c r="D3331" s="5"/>
      <c r="E3331" s="5"/>
      <c r="F3331" s="5"/>
      <c r="G3331" s="5"/>
      <c r="H3331" s="5"/>
      <c r="I3331" s="5"/>
      <c r="J3331" s="5"/>
      <c r="K3331" s="5"/>
      <c r="L3331" s="5"/>
      <c r="M3331" s="5"/>
      <c r="N3331" s="5"/>
      <c r="O3331" s="5"/>
    </row>
    <row r="3332" spans="2:15" x14ac:dyDescent="0.55000000000000004">
      <c r="B3332" s="5"/>
      <c r="C3332" s="5"/>
      <c r="D3332" s="5"/>
      <c r="E3332" s="5"/>
      <c r="F3332" s="5"/>
      <c r="G3332" s="5"/>
      <c r="H3332" s="5"/>
      <c r="I3332" s="5"/>
      <c r="J3332" s="5"/>
      <c r="K3332" s="5"/>
      <c r="L3332" s="5"/>
      <c r="M3332" s="5"/>
      <c r="N3332" s="5"/>
      <c r="O3332" s="5"/>
    </row>
    <row r="3333" spans="2:15" x14ac:dyDescent="0.55000000000000004">
      <c r="B3333" s="5"/>
      <c r="C3333" s="5"/>
      <c r="D3333" s="5"/>
      <c r="E3333" s="5"/>
      <c r="F3333" s="5"/>
      <c r="G3333" s="5"/>
      <c r="H3333" s="5"/>
      <c r="I3333" s="5"/>
      <c r="J3333" s="5"/>
      <c r="K3333" s="5"/>
      <c r="L3333" s="5"/>
      <c r="M3333" s="5"/>
      <c r="N3333" s="5"/>
      <c r="O3333" s="5"/>
    </row>
    <row r="3334" spans="2:15" x14ac:dyDescent="0.55000000000000004">
      <c r="B3334" s="5"/>
      <c r="C3334" s="5"/>
      <c r="D3334" s="5"/>
      <c r="E3334" s="5"/>
      <c r="F3334" s="5"/>
      <c r="G3334" s="5"/>
      <c r="H3334" s="5"/>
      <c r="I3334" s="5"/>
      <c r="J3334" s="5"/>
      <c r="K3334" s="5"/>
      <c r="L3334" s="5"/>
      <c r="M3334" s="5"/>
      <c r="N3334" s="5"/>
      <c r="O3334" s="5"/>
    </row>
    <row r="3335" spans="2:15" x14ac:dyDescent="0.55000000000000004">
      <c r="B3335" s="5"/>
      <c r="C3335" s="5"/>
      <c r="D3335" s="5"/>
      <c r="E3335" s="5"/>
      <c r="F3335" s="5"/>
      <c r="G3335" s="5"/>
      <c r="H3335" s="5"/>
      <c r="I3335" s="5"/>
      <c r="J3335" s="5"/>
      <c r="K3335" s="5"/>
      <c r="L3335" s="5"/>
      <c r="M3335" s="5"/>
      <c r="N3335" s="5"/>
      <c r="O3335" s="5"/>
    </row>
    <row r="3336" spans="2:15" x14ac:dyDescent="0.55000000000000004">
      <c r="B3336" s="5"/>
      <c r="C3336" s="5"/>
      <c r="D3336" s="5"/>
      <c r="E3336" s="5"/>
      <c r="F3336" s="5"/>
      <c r="G3336" s="5"/>
      <c r="H3336" s="5"/>
      <c r="I3336" s="5"/>
      <c r="J3336" s="5"/>
      <c r="K3336" s="5"/>
      <c r="L3336" s="5"/>
      <c r="M3336" s="5"/>
      <c r="N3336" s="5"/>
      <c r="O3336" s="5"/>
    </row>
    <row r="3337" spans="2:15" x14ac:dyDescent="0.55000000000000004">
      <c r="B3337" s="5"/>
      <c r="C3337" s="5"/>
      <c r="D3337" s="5"/>
      <c r="E3337" s="5"/>
      <c r="F3337" s="5"/>
      <c r="G3337" s="5"/>
      <c r="H3337" s="5"/>
      <c r="I3337" s="5"/>
      <c r="J3337" s="5"/>
      <c r="K3337" s="5"/>
      <c r="L3337" s="5"/>
      <c r="M3337" s="5"/>
      <c r="N3337" s="5"/>
      <c r="O3337" s="5"/>
    </row>
    <row r="3338" spans="2:15" x14ac:dyDescent="0.55000000000000004">
      <c r="B3338" s="5"/>
      <c r="C3338" s="5"/>
      <c r="D3338" s="5"/>
      <c r="E3338" s="5"/>
      <c r="F3338" s="5"/>
      <c r="G3338" s="5"/>
      <c r="H3338" s="5"/>
      <c r="I3338" s="5"/>
      <c r="J3338" s="5"/>
      <c r="K3338" s="5"/>
      <c r="L3338" s="5"/>
      <c r="M3338" s="5"/>
      <c r="N3338" s="5"/>
      <c r="O3338" s="5"/>
    </row>
    <row r="3339" spans="2:15" x14ac:dyDescent="0.55000000000000004">
      <c r="B3339" s="5"/>
      <c r="C3339" s="5"/>
      <c r="D3339" s="5"/>
      <c r="E3339" s="5"/>
      <c r="F3339" s="5"/>
      <c r="G3339" s="5"/>
      <c r="H3339" s="5"/>
      <c r="I3339" s="5"/>
      <c r="J3339" s="5"/>
      <c r="K3339" s="5"/>
      <c r="L3339" s="5"/>
      <c r="M3339" s="5"/>
      <c r="N3339" s="5"/>
      <c r="O3339" s="5"/>
    </row>
    <row r="3340" spans="2:15" x14ac:dyDescent="0.55000000000000004">
      <c r="B3340" s="5"/>
      <c r="C3340" s="5"/>
      <c r="D3340" s="5"/>
      <c r="E3340" s="5"/>
      <c r="F3340" s="5"/>
      <c r="G3340" s="5"/>
      <c r="H3340" s="5"/>
      <c r="I3340" s="5"/>
      <c r="J3340" s="5"/>
      <c r="K3340" s="5"/>
      <c r="L3340" s="5"/>
      <c r="M3340" s="5"/>
      <c r="N3340" s="5"/>
      <c r="O3340" s="5"/>
    </row>
    <row r="3341" spans="2:15" x14ac:dyDescent="0.55000000000000004">
      <c r="B3341" s="5"/>
      <c r="C3341" s="5"/>
      <c r="D3341" s="5"/>
      <c r="E3341" s="5"/>
      <c r="F3341" s="5"/>
      <c r="G3341" s="5"/>
      <c r="H3341" s="5"/>
      <c r="I3341" s="5"/>
      <c r="J3341" s="5"/>
      <c r="K3341" s="5"/>
      <c r="L3341" s="5"/>
      <c r="M3341" s="5"/>
      <c r="N3341" s="5"/>
      <c r="O3341" s="5"/>
    </row>
    <row r="3342" spans="2:15" x14ac:dyDescent="0.55000000000000004">
      <c r="B3342" s="5"/>
      <c r="C3342" s="5"/>
      <c r="D3342" s="5"/>
      <c r="E3342" s="5"/>
      <c r="F3342" s="5"/>
      <c r="G3342" s="5"/>
      <c r="H3342" s="5"/>
      <c r="I3342" s="5"/>
      <c r="J3342" s="5"/>
      <c r="K3342" s="5"/>
      <c r="L3342" s="5"/>
      <c r="M3342" s="5"/>
      <c r="N3342" s="5"/>
      <c r="O3342" s="5"/>
    </row>
    <row r="3343" spans="2:15" x14ac:dyDescent="0.55000000000000004">
      <c r="B3343" s="5"/>
      <c r="C3343" s="5"/>
      <c r="D3343" s="5"/>
      <c r="E3343" s="5"/>
      <c r="F3343" s="5"/>
      <c r="G3343" s="5"/>
      <c r="H3343" s="5"/>
      <c r="I3343" s="5"/>
      <c r="J3343" s="5"/>
      <c r="K3343" s="5"/>
      <c r="L3343" s="5"/>
      <c r="M3343" s="5"/>
      <c r="N3343" s="5"/>
      <c r="O3343" s="5"/>
    </row>
    <row r="3344" spans="2:15" x14ac:dyDescent="0.55000000000000004">
      <c r="B3344" s="5"/>
      <c r="C3344" s="5"/>
      <c r="D3344" s="5"/>
      <c r="E3344" s="5"/>
      <c r="F3344" s="5"/>
      <c r="G3344" s="5"/>
      <c r="H3344" s="5"/>
      <c r="I3344" s="5"/>
      <c r="J3344" s="5"/>
      <c r="K3344" s="5"/>
      <c r="L3344" s="5"/>
      <c r="M3344" s="5"/>
      <c r="N3344" s="5"/>
      <c r="O3344" s="5"/>
    </row>
    <row r="3345" spans="2:15" x14ac:dyDescent="0.55000000000000004">
      <c r="B3345" s="5"/>
      <c r="C3345" s="5"/>
      <c r="D3345" s="5"/>
      <c r="E3345" s="5"/>
      <c r="F3345" s="5"/>
      <c r="G3345" s="5"/>
      <c r="H3345" s="5"/>
      <c r="I3345" s="5"/>
      <c r="J3345" s="5"/>
      <c r="K3345" s="5"/>
      <c r="L3345" s="5"/>
      <c r="M3345" s="5"/>
      <c r="N3345" s="5"/>
      <c r="O3345" s="5"/>
    </row>
    <row r="3346" spans="2:15" x14ac:dyDescent="0.55000000000000004">
      <c r="B3346" s="5"/>
      <c r="C3346" s="5"/>
      <c r="D3346" s="5"/>
      <c r="E3346" s="5"/>
      <c r="F3346" s="5"/>
      <c r="G3346" s="5"/>
      <c r="H3346" s="5"/>
      <c r="I3346" s="5"/>
      <c r="J3346" s="5"/>
      <c r="K3346" s="5"/>
      <c r="L3346" s="5"/>
      <c r="M3346" s="5"/>
      <c r="N3346" s="5"/>
      <c r="O3346" s="5"/>
    </row>
    <row r="3347" spans="2:15" x14ac:dyDescent="0.55000000000000004">
      <c r="B3347" s="5"/>
      <c r="C3347" s="5"/>
      <c r="D3347" s="5"/>
      <c r="E3347" s="5"/>
      <c r="F3347" s="5"/>
      <c r="G3347" s="5"/>
      <c r="H3347" s="5"/>
      <c r="I3347" s="5"/>
      <c r="J3347" s="5"/>
      <c r="K3347" s="5"/>
      <c r="L3347" s="5"/>
      <c r="M3347" s="5"/>
      <c r="N3347" s="5"/>
      <c r="O3347" s="5"/>
    </row>
    <row r="3348" spans="2:15" x14ac:dyDescent="0.55000000000000004">
      <c r="B3348" s="5"/>
      <c r="C3348" s="5"/>
      <c r="D3348" s="5"/>
      <c r="E3348" s="5"/>
      <c r="F3348" s="5"/>
      <c r="G3348" s="5"/>
      <c r="H3348" s="5"/>
      <c r="I3348" s="5"/>
      <c r="J3348" s="5"/>
      <c r="K3348" s="5"/>
      <c r="L3348" s="5"/>
      <c r="M3348" s="5"/>
      <c r="N3348" s="5"/>
      <c r="O3348" s="5"/>
    </row>
    <row r="3349" spans="2:15" x14ac:dyDescent="0.55000000000000004">
      <c r="B3349" s="5"/>
      <c r="C3349" s="5"/>
      <c r="D3349" s="5"/>
      <c r="E3349" s="5"/>
      <c r="F3349" s="5"/>
      <c r="G3349" s="5"/>
      <c r="H3349" s="5"/>
      <c r="I3349" s="5"/>
      <c r="J3349" s="5"/>
      <c r="K3349" s="5"/>
      <c r="L3349" s="5"/>
      <c r="M3349" s="5"/>
      <c r="N3349" s="5"/>
      <c r="O3349" s="5"/>
    </row>
    <row r="3350" spans="2:15" x14ac:dyDescent="0.55000000000000004">
      <c r="B3350" s="5"/>
      <c r="C3350" s="5"/>
      <c r="D3350" s="5"/>
      <c r="E3350" s="5"/>
      <c r="F3350" s="5"/>
      <c r="G3350" s="5"/>
      <c r="H3350" s="5"/>
      <c r="I3350" s="5"/>
      <c r="J3350" s="5"/>
      <c r="K3350" s="5"/>
      <c r="L3350" s="5"/>
      <c r="M3350" s="5"/>
      <c r="N3350" s="5"/>
      <c r="O3350" s="5"/>
    </row>
    <row r="3351" spans="2:15" x14ac:dyDescent="0.55000000000000004">
      <c r="B3351" s="5"/>
      <c r="C3351" s="5"/>
      <c r="D3351" s="5"/>
      <c r="E3351" s="5"/>
      <c r="F3351" s="5"/>
      <c r="G3351" s="5"/>
      <c r="H3351" s="5"/>
      <c r="I3351" s="5"/>
      <c r="J3351" s="5"/>
      <c r="K3351" s="5"/>
      <c r="L3351" s="5"/>
      <c r="M3351" s="5"/>
      <c r="N3351" s="5"/>
      <c r="O3351" s="5"/>
    </row>
    <row r="3352" spans="2:15" x14ac:dyDescent="0.55000000000000004">
      <c r="B3352" s="5"/>
      <c r="C3352" s="5"/>
      <c r="D3352" s="5"/>
      <c r="E3352" s="5"/>
      <c r="F3352" s="5"/>
      <c r="G3352" s="5"/>
      <c r="H3352" s="5"/>
      <c r="I3352" s="5"/>
      <c r="J3352" s="5"/>
      <c r="K3352" s="5"/>
      <c r="L3352" s="5"/>
      <c r="M3352" s="5"/>
      <c r="N3352" s="5"/>
      <c r="O3352" s="5"/>
    </row>
    <row r="3353" spans="2:15" x14ac:dyDescent="0.55000000000000004">
      <c r="B3353" s="5"/>
      <c r="C3353" s="5"/>
      <c r="D3353" s="5"/>
      <c r="E3353" s="5"/>
      <c r="F3353" s="5"/>
      <c r="G3353" s="5"/>
      <c r="H3353" s="5"/>
      <c r="I3353" s="5"/>
      <c r="J3353" s="5"/>
      <c r="K3353" s="5"/>
      <c r="L3353" s="5"/>
      <c r="M3353" s="5"/>
      <c r="N3353" s="5"/>
      <c r="O3353" s="5"/>
    </row>
    <row r="3354" spans="2:15" x14ac:dyDescent="0.55000000000000004">
      <c r="B3354" s="5"/>
      <c r="C3354" s="5"/>
      <c r="D3354" s="5"/>
      <c r="E3354" s="5"/>
      <c r="F3354" s="5"/>
      <c r="G3354" s="5"/>
      <c r="H3354" s="5"/>
      <c r="I3354" s="5"/>
      <c r="J3354" s="5"/>
      <c r="K3354" s="5"/>
      <c r="L3354" s="5"/>
      <c r="M3354" s="5"/>
      <c r="N3354" s="5"/>
      <c r="O3354" s="5"/>
    </row>
    <row r="3355" spans="2:15" x14ac:dyDescent="0.55000000000000004">
      <c r="B3355" s="5"/>
      <c r="C3355" s="5"/>
      <c r="D3355" s="5"/>
      <c r="E3355" s="5"/>
      <c r="F3355" s="5"/>
      <c r="G3355" s="5"/>
      <c r="H3355" s="5"/>
      <c r="I3355" s="5"/>
      <c r="J3355" s="5"/>
      <c r="K3355" s="5"/>
      <c r="L3355" s="5"/>
      <c r="M3355" s="5"/>
      <c r="N3355" s="5"/>
      <c r="O3355" s="5"/>
    </row>
    <row r="3356" spans="2:15" x14ac:dyDescent="0.55000000000000004">
      <c r="B3356" s="5"/>
      <c r="C3356" s="5"/>
      <c r="D3356" s="5"/>
      <c r="E3356" s="5"/>
      <c r="F3356" s="5"/>
      <c r="G3356" s="5"/>
      <c r="H3356" s="5"/>
      <c r="I3356" s="5"/>
      <c r="J3356" s="5"/>
      <c r="K3356" s="5"/>
      <c r="L3356" s="5"/>
      <c r="M3356" s="5"/>
      <c r="N3356" s="5"/>
      <c r="O3356" s="5"/>
    </row>
    <row r="3357" spans="2:15" x14ac:dyDescent="0.55000000000000004">
      <c r="B3357" s="5"/>
      <c r="C3357" s="5"/>
      <c r="D3357" s="5"/>
      <c r="E3357" s="5"/>
      <c r="F3357" s="5"/>
      <c r="G3357" s="5"/>
      <c r="H3357" s="5"/>
      <c r="I3357" s="5"/>
      <c r="J3357" s="5"/>
      <c r="K3357" s="5"/>
      <c r="L3357" s="5"/>
      <c r="M3357" s="5"/>
      <c r="N3357" s="5"/>
      <c r="O3357" s="5"/>
    </row>
    <row r="3358" spans="2:15" x14ac:dyDescent="0.55000000000000004">
      <c r="B3358" s="5"/>
      <c r="C3358" s="5"/>
      <c r="D3358" s="5"/>
      <c r="E3358" s="5"/>
      <c r="F3358" s="5"/>
      <c r="G3358" s="5"/>
      <c r="H3358" s="5"/>
      <c r="I3358" s="5"/>
      <c r="J3358" s="5"/>
      <c r="K3358" s="5"/>
      <c r="L3358" s="5"/>
      <c r="M3358" s="5"/>
      <c r="N3358" s="5"/>
      <c r="O3358" s="5"/>
    </row>
    <row r="3359" spans="2:15" x14ac:dyDescent="0.55000000000000004">
      <c r="B3359" s="5"/>
      <c r="C3359" s="5"/>
      <c r="D3359" s="5"/>
      <c r="E3359" s="5"/>
      <c r="F3359" s="5"/>
      <c r="G3359" s="5"/>
      <c r="H3359" s="5"/>
      <c r="I3359" s="5"/>
      <c r="J3359" s="5"/>
      <c r="K3359" s="5"/>
      <c r="L3359" s="5"/>
      <c r="M3359" s="5"/>
      <c r="N3359" s="5"/>
      <c r="O3359" s="5"/>
    </row>
    <row r="3360" spans="2:15" x14ac:dyDescent="0.55000000000000004">
      <c r="B3360" s="5"/>
      <c r="C3360" s="5"/>
      <c r="D3360" s="5"/>
      <c r="E3360" s="5"/>
      <c r="F3360" s="5"/>
      <c r="G3360" s="5"/>
      <c r="H3360" s="5"/>
      <c r="I3360" s="5"/>
      <c r="J3360" s="5"/>
      <c r="K3360" s="5"/>
      <c r="L3360" s="5"/>
      <c r="M3360" s="5"/>
      <c r="N3360" s="5"/>
      <c r="O3360" s="5"/>
    </row>
    <row r="3361" spans="2:15" x14ac:dyDescent="0.55000000000000004">
      <c r="B3361" s="5"/>
      <c r="C3361" s="5"/>
      <c r="D3361" s="5"/>
      <c r="E3361" s="5"/>
      <c r="F3361" s="5"/>
      <c r="G3361" s="5"/>
      <c r="H3361" s="5"/>
      <c r="I3361" s="5"/>
      <c r="J3361" s="5"/>
      <c r="K3361" s="5"/>
      <c r="L3361" s="5"/>
      <c r="M3361" s="5"/>
      <c r="N3361" s="5"/>
      <c r="O3361" s="5"/>
    </row>
    <row r="3362" spans="2:15" x14ac:dyDescent="0.55000000000000004">
      <c r="B3362" s="5"/>
      <c r="C3362" s="5"/>
      <c r="D3362" s="5"/>
      <c r="E3362" s="5"/>
      <c r="F3362" s="5"/>
      <c r="G3362" s="5"/>
      <c r="H3362" s="5"/>
      <c r="I3362" s="5"/>
      <c r="J3362" s="5"/>
      <c r="K3362" s="5"/>
      <c r="L3362" s="5"/>
      <c r="M3362" s="5"/>
      <c r="N3362" s="5"/>
      <c r="O3362" s="5"/>
    </row>
    <row r="3363" spans="2:15" x14ac:dyDescent="0.55000000000000004">
      <c r="B3363" s="5"/>
      <c r="C3363" s="5"/>
      <c r="D3363" s="5"/>
      <c r="E3363" s="5"/>
      <c r="F3363" s="5"/>
      <c r="G3363" s="5"/>
      <c r="H3363" s="5"/>
      <c r="I3363" s="5"/>
      <c r="J3363" s="5"/>
      <c r="K3363" s="5"/>
      <c r="L3363" s="5"/>
      <c r="M3363" s="5"/>
      <c r="N3363" s="5"/>
      <c r="O3363" s="5"/>
    </row>
    <row r="3364" spans="2:15" x14ac:dyDescent="0.55000000000000004">
      <c r="B3364" s="5"/>
      <c r="C3364" s="5"/>
      <c r="D3364" s="5"/>
      <c r="E3364" s="5"/>
      <c r="F3364" s="5"/>
      <c r="G3364" s="5"/>
      <c r="H3364" s="5"/>
      <c r="I3364" s="5"/>
      <c r="J3364" s="5"/>
      <c r="K3364" s="5"/>
      <c r="L3364" s="5"/>
      <c r="M3364" s="5"/>
      <c r="N3364" s="5"/>
      <c r="O3364" s="5"/>
    </row>
    <row r="3365" spans="2:15" x14ac:dyDescent="0.55000000000000004">
      <c r="B3365" s="5"/>
      <c r="C3365" s="5"/>
      <c r="D3365" s="5"/>
      <c r="E3365" s="5"/>
      <c r="F3365" s="5"/>
      <c r="G3365" s="5"/>
      <c r="H3365" s="5"/>
      <c r="I3365" s="5"/>
      <c r="J3365" s="5"/>
      <c r="K3365" s="5"/>
      <c r="L3365" s="5"/>
      <c r="M3365" s="5"/>
      <c r="N3365" s="5"/>
      <c r="O3365" s="5"/>
    </row>
    <row r="3366" spans="2:15" x14ac:dyDescent="0.55000000000000004">
      <c r="B3366" s="5"/>
      <c r="C3366" s="5"/>
      <c r="D3366" s="5"/>
      <c r="E3366" s="5"/>
      <c r="F3366" s="5"/>
      <c r="G3366" s="5"/>
      <c r="H3366" s="5"/>
      <c r="I3366" s="5"/>
      <c r="J3366" s="5"/>
      <c r="K3366" s="5"/>
      <c r="L3366" s="5"/>
      <c r="M3366" s="5"/>
      <c r="N3366" s="5"/>
      <c r="O3366" s="5"/>
    </row>
    <row r="3367" spans="2:15" x14ac:dyDescent="0.55000000000000004">
      <c r="B3367" s="5"/>
      <c r="C3367" s="5"/>
      <c r="D3367" s="5"/>
      <c r="E3367" s="5"/>
      <c r="F3367" s="5"/>
      <c r="G3367" s="5"/>
      <c r="H3367" s="5"/>
      <c r="I3367" s="5"/>
      <c r="J3367" s="5"/>
      <c r="K3367" s="5"/>
      <c r="L3367" s="5"/>
      <c r="M3367" s="5"/>
      <c r="N3367" s="5"/>
      <c r="O3367" s="5"/>
    </row>
    <row r="3368" spans="2:15" x14ac:dyDescent="0.55000000000000004">
      <c r="B3368" s="5"/>
      <c r="C3368" s="5"/>
      <c r="D3368" s="5"/>
      <c r="E3368" s="5"/>
      <c r="F3368" s="5"/>
      <c r="G3368" s="5"/>
      <c r="H3368" s="5"/>
      <c r="I3368" s="5"/>
      <c r="J3368" s="5"/>
      <c r="K3368" s="5"/>
      <c r="L3368" s="5"/>
      <c r="M3368" s="5"/>
      <c r="N3368" s="5"/>
      <c r="O3368" s="5"/>
    </row>
    <row r="3369" spans="2:15" x14ac:dyDescent="0.55000000000000004">
      <c r="B3369" s="5"/>
      <c r="C3369" s="5"/>
      <c r="D3369" s="5"/>
      <c r="E3369" s="5"/>
      <c r="F3369" s="5"/>
      <c r="G3369" s="5"/>
      <c r="H3369" s="5"/>
      <c r="I3369" s="5"/>
      <c r="J3369" s="5"/>
      <c r="K3369" s="5"/>
      <c r="L3369" s="5"/>
      <c r="M3369" s="5"/>
      <c r="N3369" s="5"/>
      <c r="O3369" s="5"/>
    </row>
    <row r="3370" spans="2:15" x14ac:dyDescent="0.55000000000000004">
      <c r="B3370" s="5"/>
      <c r="C3370" s="5"/>
      <c r="D3370" s="5"/>
      <c r="E3370" s="5"/>
      <c r="F3370" s="5"/>
      <c r="G3370" s="5"/>
      <c r="H3370" s="5"/>
      <c r="I3370" s="5"/>
      <c r="J3370" s="5"/>
      <c r="K3370" s="5"/>
      <c r="L3370" s="5"/>
      <c r="M3370" s="5"/>
      <c r="N3370" s="5"/>
      <c r="O3370" s="5"/>
    </row>
    <row r="3371" spans="2:15" x14ac:dyDescent="0.55000000000000004">
      <c r="B3371" s="5"/>
      <c r="C3371" s="5"/>
      <c r="D3371" s="5"/>
      <c r="E3371" s="5"/>
      <c r="F3371" s="5"/>
      <c r="G3371" s="5"/>
      <c r="H3371" s="5"/>
      <c r="I3371" s="5"/>
      <c r="J3371" s="5"/>
      <c r="K3371" s="5"/>
      <c r="L3371" s="5"/>
      <c r="M3371" s="5"/>
      <c r="N3371" s="5"/>
      <c r="O3371" s="5"/>
    </row>
    <row r="3372" spans="2:15" x14ac:dyDescent="0.55000000000000004">
      <c r="B3372" s="5"/>
      <c r="C3372" s="5"/>
      <c r="D3372" s="5"/>
      <c r="E3372" s="5"/>
      <c r="F3372" s="5"/>
      <c r="G3372" s="5"/>
      <c r="H3372" s="5"/>
      <c r="I3372" s="5"/>
      <c r="J3372" s="5"/>
      <c r="K3372" s="5"/>
      <c r="L3372" s="5"/>
      <c r="M3372" s="5"/>
      <c r="N3372" s="5"/>
      <c r="O3372" s="5"/>
    </row>
    <row r="3373" spans="2:15" x14ac:dyDescent="0.55000000000000004">
      <c r="B3373" s="5"/>
      <c r="C3373" s="5"/>
      <c r="D3373" s="5"/>
      <c r="E3373" s="5"/>
      <c r="F3373" s="5"/>
      <c r="G3373" s="5"/>
      <c r="H3373" s="5"/>
      <c r="I3373" s="5"/>
      <c r="J3373" s="5"/>
      <c r="K3373" s="5"/>
      <c r="L3373" s="5"/>
      <c r="M3373" s="5"/>
      <c r="N3373" s="5"/>
      <c r="O3373" s="5"/>
    </row>
    <row r="3374" spans="2:15" x14ac:dyDescent="0.55000000000000004">
      <c r="B3374" s="5"/>
      <c r="C3374" s="5"/>
      <c r="D3374" s="5"/>
      <c r="E3374" s="5"/>
      <c r="F3374" s="5"/>
      <c r="G3374" s="5"/>
      <c r="H3374" s="5"/>
      <c r="I3374" s="5"/>
      <c r="J3374" s="5"/>
      <c r="K3374" s="5"/>
      <c r="L3374" s="5"/>
      <c r="M3374" s="5"/>
      <c r="N3374" s="5"/>
      <c r="O3374" s="5"/>
    </row>
    <row r="3375" spans="2:15" x14ac:dyDescent="0.55000000000000004">
      <c r="B3375" s="5"/>
      <c r="C3375" s="5"/>
      <c r="D3375" s="5"/>
      <c r="E3375" s="5"/>
      <c r="F3375" s="5"/>
      <c r="G3375" s="5"/>
      <c r="H3375" s="5"/>
      <c r="I3375" s="5"/>
      <c r="J3375" s="5"/>
      <c r="K3375" s="5"/>
      <c r="L3375" s="5"/>
      <c r="M3375" s="5"/>
      <c r="N3375" s="5"/>
      <c r="O3375" s="5"/>
    </row>
    <row r="3376" spans="2:15" x14ac:dyDescent="0.55000000000000004">
      <c r="B3376" s="5"/>
      <c r="C3376" s="5"/>
      <c r="D3376" s="5"/>
      <c r="E3376" s="5"/>
      <c r="F3376" s="5"/>
      <c r="G3376" s="5"/>
      <c r="H3376" s="5"/>
      <c r="I3376" s="5"/>
      <c r="J3376" s="5"/>
      <c r="K3376" s="5"/>
      <c r="L3376" s="5"/>
      <c r="M3376" s="5"/>
      <c r="N3376" s="5"/>
      <c r="O3376" s="5"/>
    </row>
    <row r="3377" spans="2:15" x14ac:dyDescent="0.55000000000000004">
      <c r="B3377" s="5"/>
      <c r="C3377" s="5"/>
      <c r="D3377" s="5"/>
      <c r="E3377" s="5"/>
      <c r="F3377" s="5"/>
      <c r="G3377" s="5"/>
      <c r="H3377" s="5"/>
      <c r="I3377" s="5"/>
      <c r="J3377" s="5"/>
      <c r="K3377" s="5"/>
      <c r="L3377" s="5"/>
      <c r="M3377" s="5"/>
      <c r="N3377" s="5"/>
      <c r="O3377" s="5"/>
    </row>
    <row r="3378" spans="2:15" x14ac:dyDescent="0.55000000000000004">
      <c r="B3378" s="5"/>
      <c r="C3378" s="5"/>
      <c r="D3378" s="5"/>
      <c r="E3378" s="5"/>
      <c r="F3378" s="5"/>
      <c r="G3378" s="5"/>
      <c r="H3378" s="5"/>
      <c r="I3378" s="5"/>
      <c r="J3378" s="5"/>
      <c r="K3378" s="5"/>
      <c r="L3378" s="5"/>
      <c r="M3378" s="5"/>
      <c r="N3378" s="5"/>
      <c r="O3378" s="5"/>
    </row>
    <row r="3379" spans="2:15" x14ac:dyDescent="0.55000000000000004">
      <c r="B3379" s="5"/>
      <c r="C3379" s="5"/>
      <c r="D3379" s="5"/>
      <c r="E3379" s="5"/>
      <c r="F3379" s="5"/>
      <c r="G3379" s="5"/>
      <c r="H3379" s="5"/>
      <c r="I3379" s="5"/>
      <c r="J3379" s="5"/>
      <c r="K3379" s="5"/>
      <c r="L3379" s="5"/>
      <c r="M3379" s="5"/>
      <c r="N3379" s="5"/>
      <c r="O3379" s="5"/>
    </row>
    <row r="3380" spans="2:15" x14ac:dyDescent="0.55000000000000004">
      <c r="B3380" s="5"/>
      <c r="C3380" s="5"/>
      <c r="D3380" s="5"/>
      <c r="E3380" s="5"/>
      <c r="F3380" s="5"/>
      <c r="G3380" s="5"/>
      <c r="H3380" s="5"/>
      <c r="I3380" s="5"/>
      <c r="J3380" s="5"/>
      <c r="K3380" s="5"/>
      <c r="L3380" s="5"/>
      <c r="M3380" s="5"/>
      <c r="N3380" s="5"/>
      <c r="O3380" s="5"/>
    </row>
    <row r="3381" spans="2:15" x14ac:dyDescent="0.55000000000000004">
      <c r="B3381" s="5"/>
      <c r="C3381" s="5"/>
      <c r="D3381" s="5"/>
      <c r="E3381" s="5"/>
      <c r="F3381" s="5"/>
      <c r="G3381" s="5"/>
      <c r="H3381" s="5"/>
      <c r="I3381" s="5"/>
      <c r="J3381" s="5"/>
      <c r="K3381" s="5"/>
      <c r="L3381" s="5"/>
      <c r="M3381" s="5"/>
      <c r="N3381" s="5"/>
      <c r="O3381" s="5"/>
    </row>
    <row r="3382" spans="2:15" x14ac:dyDescent="0.55000000000000004">
      <c r="B3382" s="5"/>
      <c r="C3382" s="5"/>
      <c r="D3382" s="5"/>
      <c r="E3382" s="5"/>
      <c r="F3382" s="5"/>
      <c r="G3382" s="5"/>
      <c r="H3382" s="5"/>
      <c r="I3382" s="5"/>
      <c r="J3382" s="5"/>
      <c r="K3382" s="5"/>
      <c r="L3382" s="5"/>
      <c r="M3382" s="5"/>
      <c r="N3382" s="5"/>
      <c r="O3382" s="5"/>
    </row>
    <row r="3383" spans="2:15" x14ac:dyDescent="0.55000000000000004">
      <c r="B3383" s="5"/>
      <c r="C3383" s="5"/>
      <c r="D3383" s="5"/>
      <c r="E3383" s="5"/>
      <c r="F3383" s="5"/>
      <c r="G3383" s="5"/>
      <c r="H3383" s="5"/>
      <c r="I3383" s="5"/>
      <c r="J3383" s="5"/>
      <c r="K3383" s="5"/>
      <c r="L3383" s="5"/>
      <c r="M3383" s="5"/>
      <c r="N3383" s="5"/>
      <c r="O3383" s="5"/>
    </row>
    <row r="3384" spans="2:15" x14ac:dyDescent="0.55000000000000004">
      <c r="B3384" s="5"/>
      <c r="C3384" s="5"/>
      <c r="D3384" s="5"/>
      <c r="E3384" s="5"/>
      <c r="F3384" s="5"/>
      <c r="G3384" s="5"/>
      <c r="H3384" s="5"/>
      <c r="I3384" s="5"/>
      <c r="J3384" s="5"/>
      <c r="K3384" s="5"/>
      <c r="L3384" s="5"/>
      <c r="M3384" s="5"/>
      <c r="N3384" s="5"/>
      <c r="O3384" s="5"/>
    </row>
    <row r="3385" spans="2:15" x14ac:dyDescent="0.55000000000000004">
      <c r="B3385" s="5"/>
      <c r="C3385" s="5"/>
      <c r="D3385" s="5"/>
      <c r="E3385" s="5"/>
      <c r="F3385" s="5"/>
      <c r="G3385" s="5"/>
      <c r="H3385" s="5"/>
      <c r="I3385" s="5"/>
      <c r="J3385" s="5"/>
      <c r="K3385" s="5"/>
      <c r="L3385" s="5"/>
      <c r="M3385" s="5"/>
      <c r="N3385" s="5"/>
      <c r="O3385" s="5"/>
    </row>
    <row r="3386" spans="2:15" x14ac:dyDescent="0.55000000000000004">
      <c r="B3386" s="5"/>
      <c r="C3386" s="5"/>
      <c r="D3386" s="5"/>
      <c r="E3386" s="5"/>
      <c r="F3386" s="5"/>
      <c r="G3386" s="5"/>
      <c r="H3386" s="5"/>
      <c r="I3386" s="5"/>
      <c r="J3386" s="5"/>
      <c r="K3386" s="5"/>
      <c r="L3386" s="5"/>
      <c r="M3386" s="5"/>
      <c r="N3386" s="5"/>
      <c r="O3386" s="5"/>
    </row>
    <row r="3387" spans="2:15" x14ac:dyDescent="0.55000000000000004">
      <c r="B3387" s="5"/>
      <c r="C3387" s="5"/>
      <c r="D3387" s="5"/>
      <c r="E3387" s="5"/>
      <c r="F3387" s="5"/>
      <c r="G3387" s="5"/>
      <c r="H3387" s="5"/>
      <c r="I3387" s="5"/>
      <c r="J3387" s="5"/>
      <c r="K3387" s="5"/>
      <c r="L3387" s="5"/>
      <c r="M3387" s="5"/>
      <c r="N3387" s="5"/>
      <c r="O3387" s="5"/>
    </row>
    <row r="3388" spans="2:15" x14ac:dyDescent="0.55000000000000004">
      <c r="B3388" s="5"/>
      <c r="C3388" s="5"/>
      <c r="D3388" s="5"/>
      <c r="E3388" s="5"/>
      <c r="F3388" s="5"/>
      <c r="G3388" s="5"/>
      <c r="H3388" s="5"/>
      <c r="I3388" s="5"/>
      <c r="J3388" s="5"/>
      <c r="K3388" s="5"/>
      <c r="L3388" s="5"/>
      <c r="M3388" s="5"/>
      <c r="N3388" s="5"/>
      <c r="O3388" s="5"/>
    </row>
    <row r="3389" spans="2:15" x14ac:dyDescent="0.55000000000000004">
      <c r="B3389" s="5"/>
      <c r="C3389" s="5"/>
      <c r="D3389" s="5"/>
      <c r="E3389" s="5"/>
      <c r="F3389" s="5"/>
      <c r="G3389" s="5"/>
      <c r="H3389" s="5"/>
      <c r="I3389" s="5"/>
      <c r="J3389" s="5"/>
      <c r="K3389" s="5"/>
      <c r="L3389" s="5"/>
      <c r="M3389" s="5"/>
      <c r="N3389" s="5"/>
      <c r="O3389" s="5"/>
    </row>
    <row r="3390" spans="2:15" x14ac:dyDescent="0.55000000000000004">
      <c r="B3390" s="5"/>
      <c r="C3390" s="5"/>
      <c r="D3390" s="5"/>
      <c r="E3390" s="5"/>
      <c r="F3390" s="5"/>
      <c r="G3390" s="5"/>
      <c r="H3390" s="5"/>
      <c r="I3390" s="5"/>
      <c r="J3390" s="5"/>
      <c r="K3390" s="5"/>
      <c r="L3390" s="5"/>
      <c r="M3390" s="5"/>
      <c r="N3390" s="5"/>
      <c r="O3390" s="5"/>
    </row>
    <row r="3391" spans="2:15" x14ac:dyDescent="0.55000000000000004">
      <c r="B3391" s="5"/>
      <c r="C3391" s="5"/>
      <c r="D3391" s="5"/>
      <c r="E3391" s="5"/>
      <c r="F3391" s="5"/>
      <c r="G3391" s="5"/>
      <c r="H3391" s="5"/>
      <c r="I3391" s="5"/>
      <c r="J3391" s="5"/>
      <c r="K3391" s="5"/>
      <c r="L3391" s="5"/>
      <c r="M3391" s="5"/>
      <c r="N3391" s="5"/>
      <c r="O3391" s="5"/>
    </row>
    <row r="3392" spans="2:15" x14ac:dyDescent="0.55000000000000004">
      <c r="B3392" s="5"/>
      <c r="C3392" s="5"/>
      <c r="D3392" s="5"/>
      <c r="E3392" s="5"/>
      <c r="F3392" s="5"/>
      <c r="G3392" s="5"/>
      <c r="H3392" s="5"/>
      <c r="I3392" s="5"/>
      <c r="J3392" s="5"/>
      <c r="K3392" s="5"/>
      <c r="L3392" s="5"/>
      <c r="M3392" s="5"/>
      <c r="N3392" s="5"/>
      <c r="O3392" s="5"/>
    </row>
    <row r="3393" spans="2:15" x14ac:dyDescent="0.55000000000000004">
      <c r="B3393" s="5"/>
      <c r="C3393" s="5"/>
      <c r="D3393" s="5"/>
      <c r="E3393" s="5"/>
      <c r="F3393" s="5"/>
      <c r="G3393" s="5"/>
      <c r="H3393" s="5"/>
      <c r="I3393" s="5"/>
      <c r="J3393" s="5"/>
      <c r="K3393" s="5"/>
      <c r="L3393" s="5"/>
      <c r="M3393" s="5"/>
      <c r="N3393" s="5"/>
      <c r="O3393" s="5"/>
    </row>
    <row r="3394" spans="2:15" x14ac:dyDescent="0.55000000000000004">
      <c r="B3394" s="5"/>
      <c r="C3394" s="5"/>
      <c r="D3394" s="5"/>
      <c r="E3394" s="5"/>
      <c r="F3394" s="5"/>
      <c r="G3394" s="5"/>
      <c r="H3394" s="5"/>
      <c r="I3394" s="5"/>
      <c r="J3394" s="5"/>
      <c r="K3394" s="5"/>
      <c r="L3394" s="5"/>
      <c r="M3394" s="5"/>
      <c r="N3394" s="5"/>
      <c r="O3394" s="5"/>
    </row>
    <row r="3395" spans="2:15" x14ac:dyDescent="0.55000000000000004">
      <c r="B3395" s="5"/>
      <c r="C3395" s="5"/>
      <c r="D3395" s="5"/>
      <c r="E3395" s="5"/>
      <c r="F3395" s="5"/>
      <c r="G3395" s="5"/>
      <c r="H3395" s="5"/>
      <c r="I3395" s="5"/>
      <c r="J3395" s="5"/>
      <c r="K3395" s="5"/>
      <c r="L3395" s="5"/>
      <c r="M3395" s="5"/>
      <c r="N3395" s="5"/>
      <c r="O3395" s="5"/>
    </row>
    <row r="3396" spans="2:15" x14ac:dyDescent="0.55000000000000004">
      <c r="B3396" s="5"/>
      <c r="C3396" s="5"/>
      <c r="D3396" s="5"/>
      <c r="E3396" s="5"/>
      <c r="F3396" s="5"/>
      <c r="G3396" s="5"/>
      <c r="H3396" s="5"/>
      <c r="I3396" s="5"/>
      <c r="J3396" s="5"/>
      <c r="K3396" s="5"/>
      <c r="L3396" s="5"/>
      <c r="M3396" s="5"/>
      <c r="N3396" s="5"/>
      <c r="O3396" s="5"/>
    </row>
    <row r="3397" spans="2:15" x14ac:dyDescent="0.55000000000000004">
      <c r="B3397" s="5"/>
      <c r="C3397" s="5"/>
      <c r="D3397" s="5"/>
      <c r="E3397" s="5"/>
      <c r="F3397" s="5"/>
      <c r="G3397" s="5"/>
      <c r="H3397" s="5"/>
      <c r="I3397" s="5"/>
      <c r="J3397" s="5"/>
      <c r="K3397" s="5"/>
      <c r="L3397" s="5"/>
      <c r="M3397" s="5"/>
      <c r="N3397" s="5"/>
      <c r="O3397" s="5"/>
    </row>
    <row r="3398" spans="2:15" x14ac:dyDescent="0.55000000000000004">
      <c r="B3398" s="5"/>
      <c r="C3398" s="5"/>
      <c r="D3398" s="5"/>
      <c r="E3398" s="5"/>
      <c r="F3398" s="5"/>
      <c r="G3398" s="5"/>
      <c r="H3398" s="5"/>
      <c r="I3398" s="5"/>
      <c r="J3398" s="5"/>
      <c r="K3398" s="5"/>
      <c r="L3398" s="5"/>
      <c r="M3398" s="5"/>
      <c r="N3398" s="5"/>
      <c r="O3398" s="5"/>
    </row>
    <row r="3399" spans="2:15" x14ac:dyDescent="0.55000000000000004">
      <c r="B3399" s="5"/>
      <c r="C3399" s="5"/>
      <c r="D3399" s="5"/>
      <c r="E3399" s="5"/>
      <c r="F3399" s="5"/>
      <c r="G3399" s="5"/>
      <c r="H3399" s="5"/>
      <c r="I3399" s="5"/>
      <c r="J3399" s="5"/>
      <c r="K3399" s="5"/>
      <c r="L3399" s="5"/>
      <c r="M3399" s="5"/>
      <c r="N3399" s="5"/>
      <c r="O3399" s="5"/>
    </row>
    <row r="3400" spans="2:15" x14ac:dyDescent="0.55000000000000004">
      <c r="B3400" s="5"/>
      <c r="C3400" s="5"/>
      <c r="D3400" s="5"/>
      <c r="E3400" s="5"/>
      <c r="F3400" s="5"/>
      <c r="G3400" s="5"/>
      <c r="H3400" s="5"/>
      <c r="I3400" s="5"/>
      <c r="J3400" s="5"/>
      <c r="K3400" s="5"/>
      <c r="L3400" s="5"/>
      <c r="M3400" s="5"/>
      <c r="N3400" s="5"/>
      <c r="O3400" s="5"/>
    </row>
    <row r="3401" spans="2:15" x14ac:dyDescent="0.55000000000000004">
      <c r="B3401" s="5"/>
      <c r="C3401" s="5"/>
      <c r="D3401" s="5"/>
      <c r="E3401" s="5"/>
      <c r="F3401" s="5"/>
      <c r="G3401" s="5"/>
      <c r="H3401" s="5"/>
      <c r="I3401" s="5"/>
      <c r="J3401" s="5"/>
      <c r="K3401" s="5"/>
      <c r="L3401" s="5"/>
      <c r="M3401" s="5"/>
      <c r="N3401" s="5"/>
      <c r="O3401" s="5"/>
    </row>
    <row r="3402" spans="2:15" x14ac:dyDescent="0.55000000000000004">
      <c r="B3402" s="5"/>
      <c r="C3402" s="5"/>
      <c r="D3402" s="5"/>
      <c r="E3402" s="5"/>
      <c r="F3402" s="5"/>
      <c r="G3402" s="5"/>
      <c r="H3402" s="5"/>
      <c r="I3402" s="5"/>
      <c r="J3402" s="5"/>
      <c r="K3402" s="5"/>
      <c r="L3402" s="5"/>
      <c r="M3402" s="5"/>
      <c r="N3402" s="5"/>
      <c r="O3402" s="5"/>
    </row>
    <row r="3403" spans="2:15" x14ac:dyDescent="0.55000000000000004">
      <c r="B3403" s="5"/>
      <c r="C3403" s="5"/>
      <c r="D3403" s="5"/>
      <c r="E3403" s="5"/>
      <c r="F3403" s="5"/>
      <c r="G3403" s="5"/>
      <c r="H3403" s="5"/>
      <c r="I3403" s="5"/>
      <c r="J3403" s="5"/>
      <c r="K3403" s="5"/>
      <c r="L3403" s="5"/>
      <c r="M3403" s="5"/>
      <c r="N3403" s="5"/>
      <c r="O3403" s="5"/>
    </row>
    <row r="3404" spans="2:15" x14ac:dyDescent="0.55000000000000004">
      <c r="B3404" s="5"/>
      <c r="C3404" s="5"/>
      <c r="D3404" s="5"/>
      <c r="E3404" s="5"/>
      <c r="F3404" s="5"/>
      <c r="G3404" s="5"/>
      <c r="H3404" s="5"/>
      <c r="I3404" s="5"/>
      <c r="J3404" s="5"/>
      <c r="K3404" s="5"/>
      <c r="L3404" s="5"/>
      <c r="M3404" s="5"/>
      <c r="N3404" s="5"/>
      <c r="O3404" s="5"/>
    </row>
    <row r="3405" spans="2:15" x14ac:dyDescent="0.55000000000000004">
      <c r="B3405" s="5"/>
      <c r="C3405" s="5"/>
      <c r="D3405" s="5"/>
      <c r="E3405" s="5"/>
      <c r="F3405" s="5"/>
      <c r="G3405" s="5"/>
      <c r="H3405" s="5"/>
      <c r="I3405" s="5"/>
      <c r="J3405" s="5"/>
      <c r="K3405" s="5"/>
      <c r="L3405" s="5"/>
      <c r="M3405" s="5"/>
      <c r="N3405" s="5"/>
      <c r="O3405" s="5"/>
    </row>
    <row r="3406" spans="2:15" x14ac:dyDescent="0.55000000000000004">
      <c r="B3406" s="5"/>
      <c r="C3406" s="5"/>
      <c r="D3406" s="5"/>
      <c r="E3406" s="5"/>
      <c r="F3406" s="5"/>
      <c r="G3406" s="5"/>
      <c r="H3406" s="5"/>
      <c r="I3406" s="5"/>
      <c r="J3406" s="5"/>
      <c r="K3406" s="5"/>
      <c r="L3406" s="5"/>
      <c r="M3406" s="5"/>
      <c r="N3406" s="5"/>
      <c r="O3406" s="5"/>
    </row>
    <row r="3407" spans="2:15" x14ac:dyDescent="0.55000000000000004">
      <c r="B3407" s="5"/>
      <c r="C3407" s="5"/>
      <c r="D3407" s="5"/>
      <c r="E3407" s="5"/>
      <c r="F3407" s="5"/>
      <c r="G3407" s="5"/>
      <c r="H3407" s="5"/>
      <c r="I3407" s="5"/>
      <c r="J3407" s="5"/>
      <c r="K3407" s="5"/>
      <c r="L3407" s="5"/>
      <c r="M3407" s="5"/>
      <c r="N3407" s="5"/>
      <c r="O3407" s="5"/>
    </row>
    <row r="3408" spans="2:15" x14ac:dyDescent="0.55000000000000004">
      <c r="B3408" s="5"/>
      <c r="C3408" s="5"/>
      <c r="D3408" s="5"/>
      <c r="E3408" s="5"/>
      <c r="F3408" s="5"/>
      <c r="G3408" s="5"/>
      <c r="H3408" s="5"/>
      <c r="I3408" s="5"/>
      <c r="J3408" s="5"/>
      <c r="K3408" s="5"/>
      <c r="L3408" s="5"/>
      <c r="M3408" s="5"/>
      <c r="N3408" s="5"/>
      <c r="O3408" s="5"/>
    </row>
    <row r="3409" spans="2:15" x14ac:dyDescent="0.55000000000000004">
      <c r="B3409" s="5"/>
      <c r="C3409" s="5"/>
      <c r="D3409" s="5"/>
      <c r="E3409" s="5"/>
      <c r="F3409" s="5"/>
      <c r="G3409" s="5"/>
      <c r="H3409" s="5"/>
      <c r="I3409" s="5"/>
      <c r="J3409" s="5"/>
      <c r="K3409" s="5"/>
      <c r="L3409" s="5"/>
      <c r="M3409" s="5"/>
      <c r="N3409" s="5"/>
      <c r="O3409" s="5"/>
    </row>
    <row r="3410" spans="2:15" x14ac:dyDescent="0.55000000000000004">
      <c r="B3410" s="5"/>
      <c r="C3410" s="5"/>
      <c r="D3410" s="5"/>
      <c r="E3410" s="5"/>
      <c r="F3410" s="5"/>
      <c r="G3410" s="5"/>
      <c r="H3410" s="5"/>
      <c r="I3410" s="5"/>
      <c r="J3410" s="5"/>
      <c r="K3410" s="5"/>
      <c r="L3410" s="5"/>
      <c r="M3410" s="5"/>
      <c r="N3410" s="5"/>
      <c r="O3410" s="5"/>
    </row>
    <row r="3411" spans="2:15" x14ac:dyDescent="0.55000000000000004">
      <c r="B3411" s="5"/>
      <c r="C3411" s="5"/>
      <c r="D3411" s="5"/>
      <c r="E3411" s="5"/>
      <c r="F3411" s="5"/>
      <c r="G3411" s="5"/>
      <c r="H3411" s="5"/>
      <c r="I3411" s="5"/>
      <c r="J3411" s="5"/>
      <c r="K3411" s="5"/>
      <c r="L3411" s="5"/>
      <c r="M3411" s="5"/>
      <c r="N3411" s="5"/>
      <c r="O3411" s="5"/>
    </row>
    <row r="3412" spans="2:15" x14ac:dyDescent="0.55000000000000004">
      <c r="B3412" s="5"/>
      <c r="C3412" s="5"/>
      <c r="D3412" s="5"/>
      <c r="E3412" s="5"/>
      <c r="F3412" s="5"/>
      <c r="G3412" s="5"/>
      <c r="H3412" s="5"/>
      <c r="I3412" s="5"/>
      <c r="J3412" s="5"/>
      <c r="K3412" s="5"/>
      <c r="L3412" s="5"/>
      <c r="M3412" s="5"/>
      <c r="N3412" s="5"/>
      <c r="O3412" s="5"/>
    </row>
    <row r="3413" spans="2:15" x14ac:dyDescent="0.55000000000000004">
      <c r="B3413" s="5"/>
      <c r="C3413" s="5"/>
      <c r="D3413" s="5"/>
      <c r="E3413" s="5"/>
      <c r="F3413" s="5"/>
      <c r="G3413" s="5"/>
      <c r="H3413" s="5"/>
      <c r="I3413" s="5"/>
      <c r="J3413" s="5"/>
      <c r="K3413" s="5"/>
      <c r="L3413" s="5"/>
      <c r="M3413" s="5"/>
      <c r="N3413" s="5"/>
      <c r="O3413" s="5"/>
    </row>
    <row r="3414" spans="2:15" x14ac:dyDescent="0.55000000000000004">
      <c r="B3414" s="5"/>
      <c r="C3414" s="5"/>
      <c r="D3414" s="5"/>
      <c r="E3414" s="5"/>
      <c r="F3414" s="5"/>
      <c r="G3414" s="5"/>
      <c r="H3414" s="5"/>
      <c r="I3414" s="5"/>
      <c r="J3414" s="5"/>
      <c r="K3414" s="5"/>
      <c r="L3414" s="5"/>
      <c r="M3414" s="5"/>
      <c r="N3414" s="5"/>
      <c r="O3414" s="5"/>
    </row>
    <row r="3415" spans="2:15" x14ac:dyDescent="0.55000000000000004">
      <c r="B3415" s="5"/>
      <c r="C3415" s="5"/>
      <c r="D3415" s="5"/>
      <c r="E3415" s="5"/>
      <c r="F3415" s="5"/>
      <c r="G3415" s="5"/>
      <c r="H3415" s="5"/>
      <c r="I3415" s="5"/>
      <c r="J3415" s="5"/>
      <c r="K3415" s="5"/>
      <c r="L3415" s="5"/>
      <c r="M3415" s="5"/>
      <c r="N3415" s="5"/>
      <c r="O3415" s="5"/>
    </row>
    <row r="3416" spans="2:15" x14ac:dyDescent="0.55000000000000004">
      <c r="B3416" s="5"/>
      <c r="C3416" s="5"/>
      <c r="D3416" s="5"/>
      <c r="E3416" s="5"/>
      <c r="F3416" s="5"/>
      <c r="G3416" s="5"/>
      <c r="H3416" s="5"/>
      <c r="I3416" s="5"/>
      <c r="J3416" s="5"/>
      <c r="K3416" s="5"/>
      <c r="L3416" s="5"/>
      <c r="M3416" s="5"/>
      <c r="N3416" s="5"/>
      <c r="O3416" s="5"/>
    </row>
    <row r="3417" spans="2:15" x14ac:dyDescent="0.55000000000000004">
      <c r="B3417" s="5"/>
      <c r="C3417" s="5"/>
      <c r="D3417" s="5"/>
      <c r="E3417" s="5"/>
      <c r="F3417" s="5"/>
      <c r="G3417" s="5"/>
      <c r="H3417" s="5"/>
      <c r="I3417" s="5"/>
      <c r="J3417" s="5"/>
      <c r="K3417" s="5"/>
      <c r="L3417" s="5"/>
      <c r="M3417" s="5"/>
      <c r="N3417" s="5"/>
      <c r="O3417" s="5"/>
    </row>
    <row r="3418" spans="2:15" x14ac:dyDescent="0.55000000000000004">
      <c r="B3418" s="5"/>
      <c r="C3418" s="5"/>
      <c r="D3418" s="5"/>
      <c r="E3418" s="5"/>
      <c r="F3418" s="5"/>
      <c r="G3418" s="5"/>
      <c r="H3418" s="5"/>
      <c r="I3418" s="5"/>
      <c r="J3418" s="5"/>
      <c r="K3418" s="5"/>
      <c r="L3418" s="5"/>
      <c r="M3418" s="5"/>
      <c r="N3418" s="5"/>
      <c r="O3418" s="5"/>
    </row>
    <row r="3419" spans="2:15" x14ac:dyDescent="0.55000000000000004">
      <c r="B3419" s="5"/>
      <c r="C3419" s="5"/>
      <c r="D3419" s="5"/>
      <c r="E3419" s="5"/>
      <c r="F3419" s="5"/>
      <c r="G3419" s="5"/>
      <c r="H3419" s="5"/>
      <c r="I3419" s="5"/>
      <c r="J3419" s="5"/>
      <c r="K3419" s="5"/>
      <c r="L3419" s="5"/>
      <c r="M3419" s="5"/>
      <c r="N3419" s="5"/>
      <c r="O3419" s="5"/>
    </row>
    <row r="3420" spans="2:15" x14ac:dyDescent="0.55000000000000004">
      <c r="B3420" s="5"/>
      <c r="C3420" s="5"/>
      <c r="D3420" s="5"/>
      <c r="E3420" s="5"/>
      <c r="F3420" s="5"/>
      <c r="G3420" s="5"/>
      <c r="H3420" s="5"/>
      <c r="I3420" s="5"/>
      <c r="J3420" s="5"/>
      <c r="K3420" s="5"/>
      <c r="L3420" s="5"/>
      <c r="M3420" s="5"/>
      <c r="N3420" s="5"/>
      <c r="O3420" s="5"/>
    </row>
    <row r="3421" spans="2:15" x14ac:dyDescent="0.55000000000000004">
      <c r="B3421" s="5"/>
      <c r="C3421" s="5"/>
      <c r="D3421" s="5"/>
      <c r="E3421" s="5"/>
      <c r="F3421" s="5"/>
      <c r="G3421" s="5"/>
      <c r="H3421" s="5"/>
      <c r="I3421" s="5"/>
      <c r="J3421" s="5"/>
      <c r="K3421" s="5"/>
      <c r="L3421" s="5"/>
      <c r="M3421" s="5"/>
      <c r="N3421" s="5"/>
      <c r="O3421" s="5"/>
    </row>
    <row r="3422" spans="2:15" x14ac:dyDescent="0.55000000000000004">
      <c r="B3422" s="5"/>
      <c r="C3422" s="5"/>
      <c r="D3422" s="5"/>
      <c r="E3422" s="5"/>
      <c r="F3422" s="5"/>
      <c r="G3422" s="5"/>
      <c r="H3422" s="5"/>
      <c r="I3422" s="5"/>
      <c r="J3422" s="5"/>
      <c r="K3422" s="5"/>
      <c r="L3422" s="5"/>
      <c r="M3422" s="5"/>
      <c r="N3422" s="5"/>
      <c r="O3422" s="5"/>
    </row>
    <row r="3423" spans="2:15" x14ac:dyDescent="0.55000000000000004">
      <c r="B3423" s="5"/>
      <c r="C3423" s="5"/>
      <c r="D3423" s="5"/>
      <c r="E3423" s="5"/>
      <c r="F3423" s="5"/>
      <c r="G3423" s="5"/>
      <c r="H3423" s="5"/>
      <c r="I3423" s="5"/>
      <c r="J3423" s="5"/>
      <c r="K3423" s="5"/>
      <c r="L3423" s="5"/>
      <c r="M3423" s="5"/>
      <c r="N3423" s="5"/>
      <c r="O3423" s="5"/>
    </row>
    <row r="3424" spans="2:15" x14ac:dyDescent="0.55000000000000004">
      <c r="B3424" s="5"/>
      <c r="C3424" s="5"/>
      <c r="D3424" s="5"/>
      <c r="E3424" s="5"/>
      <c r="F3424" s="5"/>
      <c r="G3424" s="5"/>
      <c r="H3424" s="5"/>
      <c r="I3424" s="5"/>
      <c r="J3424" s="5"/>
      <c r="K3424" s="5"/>
      <c r="L3424" s="5"/>
      <c r="M3424" s="5"/>
      <c r="N3424" s="5"/>
      <c r="O3424" s="5"/>
    </row>
    <row r="3425" spans="2:15" x14ac:dyDescent="0.55000000000000004">
      <c r="B3425" s="5"/>
      <c r="C3425" s="5"/>
      <c r="D3425" s="5"/>
      <c r="E3425" s="5"/>
      <c r="F3425" s="5"/>
      <c r="G3425" s="5"/>
      <c r="H3425" s="5"/>
      <c r="I3425" s="5"/>
      <c r="J3425" s="5"/>
      <c r="K3425" s="5"/>
      <c r="L3425" s="5"/>
      <c r="M3425" s="5"/>
      <c r="N3425" s="5"/>
      <c r="O3425" s="5"/>
    </row>
    <row r="3426" spans="2:15" x14ac:dyDescent="0.55000000000000004">
      <c r="B3426" s="5"/>
      <c r="C3426" s="5"/>
      <c r="D3426" s="5"/>
      <c r="E3426" s="5"/>
      <c r="F3426" s="5"/>
      <c r="G3426" s="5"/>
      <c r="H3426" s="5"/>
      <c r="I3426" s="5"/>
      <c r="J3426" s="5"/>
      <c r="K3426" s="5"/>
      <c r="L3426" s="5"/>
      <c r="M3426" s="5"/>
      <c r="N3426" s="5"/>
      <c r="O3426" s="5"/>
    </row>
    <row r="3427" spans="2:15" x14ac:dyDescent="0.55000000000000004">
      <c r="B3427" s="5"/>
      <c r="C3427" s="5"/>
      <c r="D3427" s="5"/>
      <c r="E3427" s="5"/>
      <c r="F3427" s="5"/>
      <c r="G3427" s="5"/>
      <c r="H3427" s="5"/>
      <c r="I3427" s="5"/>
      <c r="J3427" s="5"/>
      <c r="K3427" s="5"/>
      <c r="L3427" s="5"/>
      <c r="M3427" s="5"/>
      <c r="N3427" s="5"/>
      <c r="O3427" s="5"/>
    </row>
    <row r="3428" spans="2:15" x14ac:dyDescent="0.55000000000000004">
      <c r="B3428" s="5"/>
      <c r="C3428" s="5"/>
      <c r="D3428" s="5"/>
      <c r="E3428" s="5"/>
      <c r="F3428" s="5"/>
      <c r="G3428" s="5"/>
      <c r="H3428" s="5"/>
      <c r="I3428" s="5"/>
      <c r="J3428" s="5"/>
      <c r="K3428" s="5"/>
      <c r="L3428" s="5"/>
      <c r="M3428" s="5"/>
      <c r="N3428" s="5"/>
      <c r="O3428" s="5"/>
    </row>
    <row r="3429" spans="2:15" x14ac:dyDescent="0.55000000000000004">
      <c r="B3429" s="5"/>
      <c r="C3429" s="5"/>
      <c r="D3429" s="5"/>
      <c r="E3429" s="5"/>
      <c r="F3429" s="5"/>
      <c r="G3429" s="5"/>
      <c r="H3429" s="5"/>
      <c r="I3429" s="5"/>
      <c r="J3429" s="5"/>
      <c r="K3429" s="5"/>
      <c r="L3429" s="5"/>
      <c r="M3429" s="5"/>
      <c r="N3429" s="5"/>
      <c r="O3429" s="5"/>
    </row>
    <row r="3430" spans="2:15" x14ac:dyDescent="0.55000000000000004">
      <c r="B3430" s="5"/>
      <c r="C3430" s="5"/>
      <c r="D3430" s="5"/>
      <c r="E3430" s="5"/>
      <c r="F3430" s="5"/>
      <c r="G3430" s="5"/>
      <c r="H3430" s="5"/>
      <c r="I3430" s="5"/>
      <c r="J3430" s="5"/>
      <c r="K3430" s="5"/>
      <c r="L3430" s="5"/>
      <c r="M3430" s="5"/>
      <c r="N3430" s="5"/>
      <c r="O3430" s="5"/>
    </row>
    <row r="3431" spans="2:15" x14ac:dyDescent="0.55000000000000004">
      <c r="B3431" s="5"/>
      <c r="C3431" s="5"/>
      <c r="D3431" s="5"/>
      <c r="E3431" s="5"/>
      <c r="F3431" s="5"/>
      <c r="G3431" s="5"/>
      <c r="H3431" s="5"/>
      <c r="I3431" s="5"/>
      <c r="J3431" s="5"/>
      <c r="K3431" s="5"/>
      <c r="L3431" s="5"/>
      <c r="M3431" s="5"/>
      <c r="N3431" s="5"/>
      <c r="O3431" s="5"/>
    </row>
    <row r="3432" spans="2:15" x14ac:dyDescent="0.55000000000000004">
      <c r="B3432" s="5"/>
      <c r="C3432" s="5"/>
      <c r="D3432" s="5"/>
      <c r="E3432" s="5"/>
      <c r="F3432" s="5"/>
      <c r="G3432" s="5"/>
      <c r="H3432" s="5"/>
      <c r="I3432" s="5"/>
      <c r="J3432" s="5"/>
      <c r="K3432" s="5"/>
      <c r="L3432" s="5"/>
      <c r="M3432" s="5"/>
      <c r="N3432" s="5"/>
      <c r="O3432" s="5"/>
    </row>
    <row r="3433" spans="2:15" x14ac:dyDescent="0.55000000000000004">
      <c r="B3433" s="5"/>
      <c r="C3433" s="5"/>
      <c r="D3433" s="5"/>
      <c r="E3433" s="5"/>
      <c r="F3433" s="5"/>
      <c r="G3433" s="5"/>
      <c r="H3433" s="5"/>
      <c r="I3433" s="5"/>
      <c r="J3433" s="5"/>
      <c r="K3433" s="5"/>
      <c r="L3433" s="5"/>
      <c r="M3433" s="5"/>
      <c r="N3433" s="5"/>
      <c r="O3433" s="5"/>
    </row>
    <row r="3434" spans="2:15" x14ac:dyDescent="0.55000000000000004">
      <c r="B3434" s="5"/>
      <c r="C3434" s="5"/>
      <c r="D3434" s="5"/>
      <c r="E3434" s="5"/>
      <c r="F3434" s="5"/>
      <c r="G3434" s="5"/>
      <c r="H3434" s="5"/>
      <c r="I3434" s="5"/>
      <c r="J3434" s="5"/>
      <c r="K3434" s="5"/>
      <c r="L3434" s="5"/>
      <c r="M3434" s="5"/>
      <c r="N3434" s="5"/>
      <c r="O3434" s="5"/>
    </row>
    <row r="3435" spans="2:15" x14ac:dyDescent="0.55000000000000004">
      <c r="B3435" s="5"/>
      <c r="C3435" s="5"/>
      <c r="D3435" s="5"/>
      <c r="E3435" s="5"/>
      <c r="F3435" s="5"/>
      <c r="G3435" s="5"/>
      <c r="H3435" s="5"/>
      <c r="I3435" s="5"/>
      <c r="J3435" s="5"/>
      <c r="K3435" s="5"/>
      <c r="L3435" s="5"/>
      <c r="M3435" s="5"/>
      <c r="N3435" s="5"/>
      <c r="O3435" s="5"/>
    </row>
    <row r="3436" spans="2:15" x14ac:dyDescent="0.55000000000000004">
      <c r="B3436" s="5"/>
      <c r="C3436" s="5"/>
      <c r="D3436" s="5"/>
      <c r="E3436" s="5"/>
      <c r="F3436" s="5"/>
      <c r="G3436" s="5"/>
      <c r="H3436" s="5"/>
      <c r="I3436" s="5"/>
      <c r="J3436" s="5"/>
      <c r="K3436" s="5"/>
      <c r="L3436" s="5"/>
      <c r="M3436" s="5"/>
      <c r="N3436" s="5"/>
      <c r="O3436" s="5"/>
    </row>
    <row r="3437" spans="2:15" x14ac:dyDescent="0.55000000000000004">
      <c r="B3437" s="5"/>
      <c r="C3437" s="5"/>
      <c r="D3437" s="5"/>
      <c r="E3437" s="5"/>
      <c r="F3437" s="5"/>
      <c r="G3437" s="5"/>
      <c r="H3437" s="5"/>
      <c r="I3437" s="5"/>
      <c r="J3437" s="5"/>
      <c r="K3437" s="5"/>
      <c r="L3437" s="5"/>
      <c r="M3437" s="5"/>
      <c r="N3437" s="5"/>
      <c r="O3437" s="5"/>
    </row>
    <row r="3438" spans="2:15" x14ac:dyDescent="0.55000000000000004">
      <c r="B3438" s="5"/>
      <c r="C3438" s="5"/>
      <c r="D3438" s="5"/>
      <c r="E3438" s="5"/>
      <c r="F3438" s="5"/>
      <c r="G3438" s="5"/>
      <c r="H3438" s="5"/>
      <c r="I3438" s="5"/>
      <c r="J3438" s="5"/>
      <c r="K3438" s="5"/>
      <c r="L3438" s="5"/>
      <c r="M3438" s="5"/>
      <c r="N3438" s="5"/>
      <c r="O3438" s="5"/>
    </row>
    <row r="3439" spans="2:15" x14ac:dyDescent="0.55000000000000004">
      <c r="B3439" s="5"/>
      <c r="C3439" s="5"/>
      <c r="D3439" s="5"/>
      <c r="E3439" s="5"/>
      <c r="F3439" s="5"/>
      <c r="G3439" s="5"/>
      <c r="H3439" s="5"/>
      <c r="I3439" s="5"/>
      <c r="J3439" s="5"/>
      <c r="K3439" s="5"/>
      <c r="L3439" s="5"/>
      <c r="M3439" s="5"/>
      <c r="N3439" s="5"/>
      <c r="O3439" s="5"/>
    </row>
    <row r="3440" spans="2:15" x14ac:dyDescent="0.55000000000000004">
      <c r="B3440" s="5"/>
      <c r="C3440" s="5"/>
      <c r="D3440" s="5"/>
      <c r="E3440" s="5"/>
      <c r="F3440" s="5"/>
      <c r="G3440" s="5"/>
      <c r="H3440" s="5"/>
      <c r="I3440" s="5"/>
      <c r="J3440" s="5"/>
      <c r="K3440" s="5"/>
      <c r="L3440" s="5"/>
      <c r="M3440" s="5"/>
      <c r="N3440" s="5"/>
      <c r="O3440" s="5"/>
    </row>
    <row r="3441" spans="2:15" x14ac:dyDescent="0.55000000000000004">
      <c r="B3441" s="5"/>
      <c r="C3441" s="5"/>
      <c r="D3441" s="5"/>
      <c r="E3441" s="5"/>
      <c r="F3441" s="5"/>
      <c r="G3441" s="5"/>
      <c r="H3441" s="5"/>
      <c r="I3441" s="5"/>
      <c r="J3441" s="5"/>
      <c r="K3441" s="5"/>
      <c r="L3441" s="5"/>
      <c r="M3441" s="5"/>
      <c r="N3441" s="5"/>
      <c r="O3441" s="5"/>
    </row>
    <row r="3442" spans="2:15" x14ac:dyDescent="0.55000000000000004">
      <c r="B3442" s="5"/>
      <c r="C3442" s="5"/>
      <c r="D3442" s="5"/>
      <c r="E3442" s="5"/>
      <c r="F3442" s="5"/>
      <c r="G3442" s="5"/>
      <c r="H3442" s="5"/>
      <c r="I3442" s="5"/>
      <c r="J3442" s="5"/>
      <c r="K3442" s="5"/>
      <c r="L3442" s="5"/>
      <c r="M3442" s="5"/>
      <c r="N3442" s="5"/>
      <c r="O3442" s="5"/>
    </row>
    <row r="3443" spans="2:15" x14ac:dyDescent="0.55000000000000004">
      <c r="B3443" s="5"/>
      <c r="C3443" s="5"/>
      <c r="D3443" s="5"/>
      <c r="E3443" s="5"/>
      <c r="F3443" s="5"/>
      <c r="G3443" s="5"/>
      <c r="H3443" s="5"/>
      <c r="I3443" s="5"/>
      <c r="J3443" s="5"/>
      <c r="K3443" s="5"/>
      <c r="L3443" s="5"/>
      <c r="M3443" s="5"/>
      <c r="N3443" s="5"/>
      <c r="O3443" s="5"/>
    </row>
    <row r="3444" spans="2:15" x14ac:dyDescent="0.55000000000000004">
      <c r="B3444" s="5"/>
      <c r="C3444" s="5"/>
      <c r="D3444" s="5"/>
      <c r="E3444" s="5"/>
      <c r="F3444" s="5"/>
      <c r="G3444" s="5"/>
      <c r="H3444" s="5"/>
      <c r="I3444" s="5"/>
      <c r="J3444" s="5"/>
      <c r="K3444" s="5"/>
      <c r="L3444" s="5"/>
      <c r="M3444" s="5"/>
      <c r="N3444" s="5"/>
      <c r="O3444" s="5"/>
    </row>
    <row r="3445" spans="2:15" x14ac:dyDescent="0.55000000000000004">
      <c r="B3445" s="5"/>
      <c r="C3445" s="5"/>
      <c r="D3445" s="5"/>
      <c r="E3445" s="5"/>
      <c r="F3445" s="5"/>
      <c r="G3445" s="5"/>
      <c r="H3445" s="5"/>
      <c r="I3445" s="5"/>
      <c r="J3445" s="5"/>
      <c r="K3445" s="5"/>
      <c r="L3445" s="5"/>
      <c r="M3445" s="5"/>
      <c r="N3445" s="5"/>
      <c r="O3445" s="5"/>
    </row>
    <row r="3446" spans="2:15" x14ac:dyDescent="0.55000000000000004">
      <c r="B3446" s="5"/>
      <c r="C3446" s="5"/>
      <c r="D3446" s="5"/>
      <c r="E3446" s="5"/>
      <c r="F3446" s="5"/>
      <c r="G3446" s="5"/>
      <c r="H3446" s="5"/>
      <c r="I3446" s="5"/>
      <c r="J3446" s="5"/>
      <c r="K3446" s="5"/>
      <c r="L3446" s="5"/>
      <c r="M3446" s="5"/>
      <c r="N3446" s="5"/>
      <c r="O3446" s="5"/>
    </row>
    <row r="3447" spans="2:15" x14ac:dyDescent="0.55000000000000004">
      <c r="B3447" s="5"/>
      <c r="C3447" s="5"/>
      <c r="D3447" s="5"/>
      <c r="E3447" s="5"/>
      <c r="F3447" s="5"/>
      <c r="G3447" s="5"/>
      <c r="H3447" s="5"/>
      <c r="I3447" s="5"/>
      <c r="J3447" s="5"/>
      <c r="K3447" s="5"/>
      <c r="L3447" s="5"/>
      <c r="M3447" s="5"/>
      <c r="N3447" s="5"/>
      <c r="O3447" s="5"/>
    </row>
    <row r="3448" spans="2:15" x14ac:dyDescent="0.55000000000000004">
      <c r="B3448" s="5"/>
      <c r="C3448" s="5"/>
      <c r="D3448" s="5"/>
      <c r="E3448" s="5"/>
      <c r="F3448" s="5"/>
      <c r="G3448" s="5"/>
      <c r="H3448" s="5"/>
      <c r="I3448" s="5"/>
      <c r="J3448" s="5"/>
      <c r="K3448" s="5"/>
      <c r="L3448" s="5"/>
      <c r="M3448" s="5"/>
      <c r="N3448" s="5"/>
      <c r="O3448" s="5"/>
    </row>
    <row r="3449" spans="2:15" x14ac:dyDescent="0.55000000000000004">
      <c r="B3449" s="5"/>
      <c r="C3449" s="5"/>
      <c r="D3449" s="5"/>
      <c r="E3449" s="5"/>
      <c r="F3449" s="5"/>
      <c r="G3449" s="5"/>
      <c r="H3449" s="5"/>
      <c r="I3449" s="5"/>
      <c r="J3449" s="5"/>
      <c r="K3449" s="5"/>
      <c r="L3449" s="5"/>
      <c r="M3449" s="5"/>
      <c r="N3449" s="5"/>
      <c r="O3449" s="5"/>
    </row>
    <row r="3450" spans="2:15" x14ac:dyDescent="0.55000000000000004">
      <c r="B3450" s="5"/>
      <c r="C3450" s="5"/>
      <c r="D3450" s="5"/>
      <c r="E3450" s="5"/>
      <c r="F3450" s="5"/>
      <c r="G3450" s="5"/>
      <c r="H3450" s="5"/>
      <c r="I3450" s="5"/>
      <c r="J3450" s="5"/>
      <c r="K3450" s="5"/>
      <c r="L3450" s="5"/>
      <c r="M3450" s="5"/>
      <c r="N3450" s="5"/>
      <c r="O3450" s="5"/>
    </row>
    <row r="3451" spans="2:15" x14ac:dyDescent="0.55000000000000004">
      <c r="B3451" s="5"/>
      <c r="C3451" s="5"/>
      <c r="D3451" s="5"/>
      <c r="E3451" s="5"/>
      <c r="F3451" s="5"/>
      <c r="G3451" s="5"/>
      <c r="H3451" s="5"/>
      <c r="I3451" s="5"/>
      <c r="J3451" s="5"/>
      <c r="K3451" s="5"/>
      <c r="L3451" s="5"/>
      <c r="M3451" s="5"/>
      <c r="N3451" s="5"/>
      <c r="O3451" s="5"/>
    </row>
    <row r="3452" spans="2:15" x14ac:dyDescent="0.55000000000000004">
      <c r="B3452" s="5"/>
      <c r="C3452" s="5"/>
      <c r="D3452" s="5"/>
      <c r="E3452" s="5"/>
      <c r="F3452" s="5"/>
      <c r="G3452" s="5"/>
      <c r="H3452" s="5"/>
      <c r="I3452" s="5"/>
      <c r="J3452" s="5"/>
      <c r="K3452" s="5"/>
      <c r="L3452" s="5"/>
      <c r="M3452" s="5"/>
      <c r="N3452" s="5"/>
      <c r="O3452" s="5"/>
    </row>
    <row r="3453" spans="2:15" x14ac:dyDescent="0.55000000000000004">
      <c r="B3453" s="5"/>
      <c r="C3453" s="5"/>
      <c r="D3453" s="5"/>
      <c r="E3453" s="5"/>
      <c r="F3453" s="5"/>
      <c r="G3453" s="5"/>
      <c r="H3453" s="5"/>
      <c r="I3453" s="5"/>
      <c r="J3453" s="5"/>
      <c r="K3453" s="5"/>
      <c r="L3453" s="5"/>
      <c r="M3453" s="5"/>
      <c r="N3453" s="5"/>
      <c r="O3453" s="5"/>
    </row>
    <row r="3454" spans="2:15" x14ac:dyDescent="0.55000000000000004">
      <c r="B3454" s="5"/>
      <c r="C3454" s="5"/>
      <c r="D3454" s="5"/>
      <c r="E3454" s="5"/>
      <c r="F3454" s="5"/>
      <c r="G3454" s="5"/>
      <c r="H3454" s="5"/>
      <c r="I3454" s="5"/>
      <c r="J3454" s="5"/>
      <c r="K3454" s="5"/>
      <c r="L3454" s="5"/>
      <c r="M3454" s="5"/>
      <c r="N3454" s="5"/>
      <c r="O3454" s="5"/>
    </row>
    <row r="3455" spans="2:15" x14ac:dyDescent="0.55000000000000004">
      <c r="B3455" s="5"/>
      <c r="C3455" s="5"/>
      <c r="D3455" s="5"/>
      <c r="E3455" s="5"/>
      <c r="F3455" s="5"/>
      <c r="G3455" s="5"/>
      <c r="H3455" s="5"/>
      <c r="I3455" s="5"/>
      <c r="J3455" s="5"/>
      <c r="K3455" s="5"/>
      <c r="L3455" s="5"/>
      <c r="M3455" s="5"/>
      <c r="N3455" s="5"/>
      <c r="O3455" s="5"/>
    </row>
    <row r="3456" spans="2:15" x14ac:dyDescent="0.55000000000000004">
      <c r="B3456" s="5"/>
      <c r="C3456" s="5"/>
      <c r="D3456" s="5"/>
      <c r="E3456" s="5"/>
      <c r="F3456" s="5"/>
      <c r="G3456" s="5"/>
      <c r="H3456" s="5"/>
      <c r="I3456" s="5"/>
      <c r="J3456" s="5"/>
      <c r="K3456" s="5"/>
      <c r="L3456" s="5"/>
      <c r="M3456" s="5"/>
      <c r="N3456" s="5"/>
      <c r="O3456" s="5"/>
    </row>
    <row r="3457" spans="2:15" x14ac:dyDescent="0.55000000000000004">
      <c r="B3457" s="5"/>
      <c r="C3457" s="5"/>
      <c r="D3457" s="5"/>
      <c r="E3457" s="5"/>
      <c r="F3457" s="5"/>
      <c r="G3457" s="5"/>
      <c r="H3457" s="5"/>
      <c r="I3457" s="5"/>
      <c r="J3457" s="5"/>
      <c r="K3457" s="5"/>
      <c r="L3457" s="5"/>
      <c r="M3457" s="5"/>
      <c r="N3457" s="5"/>
      <c r="O3457" s="5"/>
    </row>
    <row r="3458" spans="2:15" x14ac:dyDescent="0.55000000000000004">
      <c r="B3458" s="5"/>
      <c r="C3458" s="5"/>
      <c r="D3458" s="5"/>
      <c r="E3458" s="5"/>
      <c r="F3458" s="5"/>
      <c r="G3458" s="5"/>
      <c r="H3458" s="5"/>
      <c r="I3458" s="5"/>
      <c r="J3458" s="5"/>
      <c r="K3458" s="5"/>
      <c r="L3458" s="5"/>
      <c r="M3458" s="5"/>
      <c r="N3458" s="5"/>
      <c r="O3458" s="5"/>
    </row>
    <row r="3459" spans="2:15" x14ac:dyDescent="0.55000000000000004">
      <c r="B3459" s="5"/>
      <c r="C3459" s="5"/>
      <c r="D3459" s="5"/>
      <c r="E3459" s="5"/>
      <c r="F3459" s="5"/>
      <c r="G3459" s="5"/>
      <c r="H3459" s="5"/>
      <c r="I3459" s="5"/>
      <c r="J3459" s="5"/>
      <c r="K3459" s="5"/>
      <c r="L3459" s="5"/>
      <c r="M3459" s="5"/>
      <c r="N3459" s="5"/>
      <c r="O3459" s="5"/>
    </row>
    <row r="3460" spans="2:15" x14ac:dyDescent="0.55000000000000004">
      <c r="B3460" s="5"/>
      <c r="C3460" s="5"/>
      <c r="D3460" s="5"/>
      <c r="E3460" s="5"/>
      <c r="F3460" s="5"/>
      <c r="G3460" s="5"/>
      <c r="H3460" s="5"/>
      <c r="I3460" s="5"/>
      <c r="J3460" s="5"/>
      <c r="K3460" s="5"/>
      <c r="L3460" s="5"/>
      <c r="M3460" s="5"/>
      <c r="N3460" s="5"/>
      <c r="O3460" s="5"/>
    </row>
    <row r="3461" spans="2:15" x14ac:dyDescent="0.55000000000000004">
      <c r="B3461" s="5"/>
      <c r="C3461" s="5"/>
      <c r="D3461" s="5"/>
      <c r="E3461" s="5"/>
      <c r="F3461" s="5"/>
      <c r="G3461" s="5"/>
      <c r="H3461" s="5"/>
      <c r="I3461" s="5"/>
      <c r="J3461" s="5"/>
      <c r="K3461" s="5"/>
      <c r="L3461" s="5"/>
      <c r="M3461" s="5"/>
      <c r="N3461" s="5"/>
      <c r="O3461" s="5"/>
    </row>
    <row r="3462" spans="2:15" x14ac:dyDescent="0.55000000000000004">
      <c r="B3462" s="5"/>
      <c r="C3462" s="5"/>
      <c r="D3462" s="5"/>
      <c r="E3462" s="5"/>
      <c r="F3462" s="5"/>
      <c r="G3462" s="5"/>
      <c r="H3462" s="5"/>
      <c r="I3462" s="5"/>
      <c r="J3462" s="5"/>
      <c r="K3462" s="5"/>
      <c r="L3462" s="5"/>
      <c r="M3462" s="5"/>
      <c r="N3462" s="5"/>
      <c r="O3462" s="5"/>
    </row>
    <row r="3463" spans="2:15" x14ac:dyDescent="0.55000000000000004">
      <c r="B3463" s="5"/>
      <c r="C3463" s="5"/>
      <c r="D3463" s="5"/>
      <c r="E3463" s="5"/>
      <c r="F3463" s="5"/>
      <c r="G3463" s="5"/>
      <c r="H3463" s="5"/>
      <c r="I3463" s="5"/>
      <c r="J3463" s="5"/>
      <c r="K3463" s="5"/>
      <c r="L3463" s="5"/>
      <c r="M3463" s="5"/>
      <c r="N3463" s="5"/>
      <c r="O3463" s="5"/>
    </row>
    <row r="3464" spans="2:15" x14ac:dyDescent="0.55000000000000004">
      <c r="B3464" s="5"/>
      <c r="C3464" s="5"/>
      <c r="D3464" s="5"/>
      <c r="E3464" s="5"/>
      <c r="F3464" s="5"/>
      <c r="G3464" s="5"/>
      <c r="H3464" s="5"/>
      <c r="I3464" s="5"/>
      <c r="J3464" s="5"/>
      <c r="K3464" s="5"/>
      <c r="L3464" s="5"/>
      <c r="M3464" s="5"/>
      <c r="N3464" s="5"/>
      <c r="O3464" s="5"/>
    </row>
    <row r="3465" spans="2:15" x14ac:dyDescent="0.55000000000000004">
      <c r="B3465" s="5"/>
      <c r="C3465" s="5"/>
      <c r="D3465" s="5"/>
      <c r="E3465" s="5"/>
      <c r="F3465" s="5"/>
      <c r="G3465" s="5"/>
      <c r="H3465" s="5"/>
      <c r="I3465" s="5"/>
      <c r="J3465" s="5"/>
      <c r="K3465" s="5"/>
      <c r="L3465" s="5"/>
      <c r="M3465" s="5"/>
      <c r="N3465" s="5"/>
      <c r="O3465" s="5"/>
    </row>
    <row r="3466" spans="2:15" x14ac:dyDescent="0.55000000000000004">
      <c r="B3466" s="5"/>
      <c r="C3466" s="5"/>
      <c r="D3466" s="5"/>
      <c r="E3466" s="5"/>
      <c r="F3466" s="5"/>
      <c r="G3466" s="5"/>
      <c r="H3466" s="5"/>
      <c r="I3466" s="5"/>
      <c r="J3466" s="5"/>
      <c r="K3466" s="5"/>
      <c r="L3466" s="5"/>
      <c r="M3466" s="5"/>
      <c r="N3466" s="5"/>
      <c r="O3466" s="5"/>
    </row>
    <row r="3467" spans="2:15" x14ac:dyDescent="0.55000000000000004">
      <c r="B3467" s="5"/>
      <c r="C3467" s="5"/>
      <c r="D3467" s="5"/>
      <c r="E3467" s="5"/>
      <c r="F3467" s="5"/>
      <c r="G3467" s="5"/>
      <c r="H3467" s="5"/>
      <c r="I3467" s="5"/>
      <c r="J3467" s="5"/>
      <c r="K3467" s="5"/>
      <c r="L3467" s="5"/>
      <c r="M3467" s="5"/>
      <c r="N3467" s="5"/>
      <c r="O3467" s="5"/>
    </row>
    <row r="3468" spans="2:15" x14ac:dyDescent="0.55000000000000004">
      <c r="B3468" s="5"/>
      <c r="C3468" s="5"/>
      <c r="D3468" s="5"/>
      <c r="E3468" s="5"/>
      <c r="F3468" s="5"/>
      <c r="G3468" s="5"/>
      <c r="H3468" s="5"/>
      <c r="I3468" s="5"/>
      <c r="J3468" s="5"/>
      <c r="K3468" s="5"/>
      <c r="L3468" s="5"/>
      <c r="M3468" s="5"/>
      <c r="N3468" s="5"/>
      <c r="O3468" s="5"/>
    </row>
    <row r="3469" spans="2:15" x14ac:dyDescent="0.55000000000000004">
      <c r="B3469" s="5"/>
      <c r="C3469" s="5"/>
      <c r="D3469" s="5"/>
      <c r="E3469" s="5"/>
      <c r="F3469" s="5"/>
      <c r="G3469" s="5"/>
      <c r="H3469" s="5"/>
      <c r="I3469" s="5"/>
      <c r="J3469" s="5"/>
      <c r="K3469" s="5"/>
      <c r="L3469" s="5"/>
      <c r="M3469" s="5"/>
      <c r="N3469" s="5"/>
      <c r="O3469" s="5"/>
    </row>
    <row r="3470" spans="2:15" x14ac:dyDescent="0.55000000000000004">
      <c r="B3470" s="5"/>
      <c r="C3470" s="5"/>
      <c r="D3470" s="5"/>
      <c r="E3470" s="5"/>
      <c r="F3470" s="5"/>
      <c r="G3470" s="5"/>
      <c r="H3470" s="5"/>
      <c r="I3470" s="5"/>
      <c r="J3470" s="5"/>
      <c r="K3470" s="5"/>
      <c r="L3470" s="5"/>
      <c r="M3470" s="5"/>
      <c r="N3470" s="5"/>
      <c r="O3470" s="5"/>
    </row>
    <row r="3471" spans="2:15" x14ac:dyDescent="0.55000000000000004">
      <c r="B3471" s="5"/>
      <c r="C3471" s="5"/>
      <c r="D3471" s="5"/>
      <c r="E3471" s="5"/>
      <c r="F3471" s="5"/>
      <c r="G3471" s="5"/>
      <c r="H3471" s="5"/>
      <c r="I3471" s="5"/>
      <c r="J3471" s="5"/>
      <c r="K3471" s="5"/>
      <c r="L3471" s="5"/>
      <c r="M3471" s="5"/>
      <c r="N3471" s="5"/>
      <c r="O3471" s="5"/>
    </row>
    <row r="3472" spans="2:15" x14ac:dyDescent="0.55000000000000004">
      <c r="B3472" s="5"/>
      <c r="C3472" s="5"/>
      <c r="D3472" s="5"/>
      <c r="E3472" s="5"/>
      <c r="F3472" s="5"/>
      <c r="G3472" s="5"/>
      <c r="H3472" s="5"/>
      <c r="I3472" s="5"/>
      <c r="J3472" s="5"/>
      <c r="K3472" s="5"/>
      <c r="L3472" s="5"/>
      <c r="M3472" s="5"/>
      <c r="N3472" s="5"/>
      <c r="O3472" s="5"/>
    </row>
    <row r="3473" spans="2:15" x14ac:dyDescent="0.55000000000000004">
      <c r="B3473" s="5"/>
      <c r="C3473" s="5"/>
      <c r="D3473" s="5"/>
      <c r="E3473" s="5"/>
      <c r="F3473" s="5"/>
      <c r="G3473" s="5"/>
      <c r="H3473" s="5"/>
      <c r="I3473" s="5"/>
      <c r="J3473" s="5"/>
      <c r="K3473" s="5"/>
      <c r="L3473" s="5"/>
      <c r="M3473" s="5"/>
      <c r="N3473" s="5"/>
      <c r="O3473" s="5"/>
    </row>
    <row r="3474" spans="2:15" x14ac:dyDescent="0.55000000000000004">
      <c r="B3474" s="5"/>
      <c r="C3474" s="5"/>
      <c r="D3474" s="5"/>
      <c r="E3474" s="5"/>
      <c r="F3474" s="5"/>
      <c r="G3474" s="5"/>
      <c r="H3474" s="5"/>
      <c r="I3474" s="5"/>
      <c r="J3474" s="5"/>
      <c r="K3474" s="5"/>
      <c r="L3474" s="5"/>
      <c r="M3474" s="5"/>
      <c r="N3474" s="5"/>
      <c r="O3474" s="5"/>
    </row>
    <row r="3475" spans="2:15" x14ac:dyDescent="0.55000000000000004">
      <c r="B3475" s="5"/>
      <c r="C3475" s="5"/>
      <c r="D3475" s="5"/>
      <c r="E3475" s="5"/>
      <c r="F3475" s="5"/>
      <c r="G3475" s="5"/>
      <c r="H3475" s="5"/>
      <c r="I3475" s="5"/>
      <c r="J3475" s="5"/>
      <c r="K3475" s="5"/>
      <c r="L3475" s="5"/>
      <c r="M3475" s="5"/>
      <c r="N3475" s="5"/>
      <c r="O3475" s="5"/>
    </row>
    <row r="3476" spans="2:15" x14ac:dyDescent="0.55000000000000004">
      <c r="B3476" s="5"/>
      <c r="C3476" s="5"/>
      <c r="D3476" s="5"/>
      <c r="E3476" s="5"/>
      <c r="F3476" s="5"/>
      <c r="G3476" s="5"/>
      <c r="H3476" s="5"/>
      <c r="I3476" s="5"/>
      <c r="J3476" s="5"/>
      <c r="K3476" s="5"/>
      <c r="L3476" s="5"/>
      <c r="M3476" s="5"/>
      <c r="N3476" s="5"/>
      <c r="O3476" s="5"/>
    </row>
    <row r="3477" spans="2:15" x14ac:dyDescent="0.55000000000000004">
      <c r="B3477" s="5"/>
      <c r="C3477" s="5"/>
      <c r="D3477" s="5"/>
      <c r="E3477" s="5"/>
      <c r="F3477" s="5"/>
      <c r="G3477" s="5"/>
      <c r="H3477" s="5"/>
      <c r="I3477" s="5"/>
      <c r="J3477" s="5"/>
      <c r="K3477" s="5"/>
      <c r="L3477" s="5"/>
      <c r="M3477" s="5"/>
      <c r="N3477" s="5"/>
      <c r="O3477" s="5"/>
    </row>
    <row r="3478" spans="2:15" x14ac:dyDescent="0.55000000000000004">
      <c r="B3478" s="5"/>
      <c r="C3478" s="5"/>
      <c r="D3478" s="5"/>
      <c r="E3478" s="5"/>
      <c r="F3478" s="5"/>
      <c r="G3478" s="5"/>
      <c r="H3478" s="5"/>
      <c r="I3478" s="5"/>
      <c r="J3478" s="5"/>
      <c r="K3478" s="5"/>
      <c r="L3478" s="5"/>
      <c r="M3478" s="5"/>
      <c r="N3478" s="5"/>
      <c r="O3478" s="5"/>
    </row>
    <row r="3479" spans="2:15" x14ac:dyDescent="0.55000000000000004">
      <c r="B3479" s="5"/>
      <c r="C3479" s="5"/>
      <c r="D3479" s="5"/>
      <c r="E3479" s="5"/>
      <c r="F3479" s="5"/>
      <c r="G3479" s="5"/>
      <c r="H3479" s="5"/>
      <c r="I3479" s="5"/>
      <c r="J3479" s="5"/>
      <c r="K3479" s="5"/>
      <c r="L3479" s="5"/>
      <c r="M3479" s="5"/>
      <c r="N3479" s="5"/>
      <c r="O3479" s="5"/>
    </row>
    <row r="3480" spans="2:15" x14ac:dyDescent="0.55000000000000004">
      <c r="B3480" s="5"/>
      <c r="C3480" s="5"/>
      <c r="D3480" s="5"/>
      <c r="E3480" s="5"/>
      <c r="F3480" s="5"/>
      <c r="G3480" s="5"/>
      <c r="H3480" s="5"/>
      <c r="I3480" s="5"/>
      <c r="J3480" s="5"/>
      <c r="K3480" s="5"/>
      <c r="L3480" s="5"/>
      <c r="M3480" s="5"/>
      <c r="N3480" s="5"/>
      <c r="O3480" s="5"/>
    </row>
    <row r="3481" spans="2:15" x14ac:dyDescent="0.55000000000000004">
      <c r="B3481" s="5"/>
      <c r="C3481" s="5"/>
      <c r="D3481" s="5"/>
      <c r="E3481" s="5"/>
      <c r="F3481" s="5"/>
      <c r="G3481" s="5"/>
      <c r="H3481" s="5"/>
      <c r="I3481" s="5"/>
      <c r="J3481" s="5"/>
      <c r="K3481" s="5"/>
      <c r="L3481" s="5"/>
      <c r="M3481" s="5"/>
      <c r="N3481" s="5"/>
      <c r="O3481" s="5"/>
    </row>
    <row r="3482" spans="2:15" x14ac:dyDescent="0.55000000000000004">
      <c r="B3482" s="5"/>
      <c r="C3482" s="5"/>
      <c r="D3482" s="5"/>
      <c r="E3482" s="5"/>
      <c r="F3482" s="5"/>
      <c r="G3482" s="5"/>
      <c r="H3482" s="5"/>
      <c r="I3482" s="5"/>
      <c r="J3482" s="5"/>
      <c r="K3482" s="5"/>
      <c r="L3482" s="5"/>
      <c r="M3482" s="5"/>
      <c r="N3482" s="5"/>
      <c r="O3482" s="5"/>
    </row>
    <row r="3483" spans="2:15" x14ac:dyDescent="0.55000000000000004">
      <c r="B3483" s="5"/>
      <c r="C3483" s="5"/>
      <c r="D3483" s="5"/>
      <c r="E3483" s="5"/>
      <c r="F3483" s="5"/>
      <c r="G3483" s="5"/>
      <c r="H3483" s="5"/>
      <c r="I3483" s="5"/>
      <c r="J3483" s="5"/>
      <c r="K3483" s="5"/>
      <c r="L3483" s="5"/>
      <c r="M3483" s="5"/>
      <c r="N3483" s="5"/>
      <c r="O3483" s="5"/>
    </row>
    <row r="3484" spans="2:15" x14ac:dyDescent="0.55000000000000004">
      <c r="B3484" s="5"/>
      <c r="C3484" s="5"/>
      <c r="D3484" s="5"/>
      <c r="E3484" s="5"/>
      <c r="F3484" s="5"/>
      <c r="G3484" s="5"/>
      <c r="H3484" s="5"/>
      <c r="I3484" s="5"/>
      <c r="J3484" s="5"/>
      <c r="K3484" s="5"/>
      <c r="L3484" s="5"/>
      <c r="M3484" s="5"/>
      <c r="N3484" s="5"/>
      <c r="O3484" s="5"/>
    </row>
    <row r="3485" spans="2:15" x14ac:dyDescent="0.55000000000000004">
      <c r="B3485" s="5"/>
      <c r="C3485" s="5"/>
      <c r="D3485" s="5"/>
      <c r="E3485" s="5"/>
      <c r="F3485" s="5"/>
      <c r="G3485" s="5"/>
      <c r="H3485" s="5"/>
      <c r="I3485" s="5"/>
      <c r="J3485" s="5"/>
      <c r="K3485" s="5"/>
      <c r="L3485" s="5"/>
      <c r="M3485" s="5"/>
      <c r="N3485" s="5"/>
      <c r="O3485" s="5"/>
    </row>
    <row r="3486" spans="2:15" x14ac:dyDescent="0.55000000000000004">
      <c r="B3486" s="5"/>
      <c r="C3486" s="5"/>
      <c r="D3486" s="5"/>
      <c r="E3486" s="5"/>
      <c r="F3486" s="5"/>
      <c r="G3486" s="5"/>
      <c r="H3486" s="5"/>
      <c r="I3486" s="5"/>
      <c r="J3486" s="5"/>
      <c r="K3486" s="5"/>
      <c r="L3486" s="5"/>
      <c r="M3486" s="5"/>
      <c r="N3486" s="5"/>
      <c r="O3486" s="5"/>
    </row>
    <row r="3487" spans="2:15" x14ac:dyDescent="0.55000000000000004">
      <c r="B3487" s="5"/>
      <c r="C3487" s="5"/>
      <c r="D3487" s="5"/>
      <c r="E3487" s="5"/>
      <c r="F3487" s="5"/>
      <c r="G3487" s="5"/>
      <c r="H3487" s="5"/>
      <c r="I3487" s="5"/>
      <c r="J3487" s="5"/>
      <c r="K3487" s="5"/>
      <c r="L3487" s="5"/>
      <c r="M3487" s="5"/>
      <c r="N3487" s="5"/>
      <c r="O3487" s="5"/>
    </row>
    <row r="3488" spans="2:15" x14ac:dyDescent="0.55000000000000004">
      <c r="B3488" s="5"/>
      <c r="C3488" s="5"/>
      <c r="D3488" s="5"/>
      <c r="E3488" s="5"/>
      <c r="F3488" s="5"/>
      <c r="G3488" s="5"/>
      <c r="H3488" s="5"/>
      <c r="I3488" s="5"/>
      <c r="J3488" s="5"/>
      <c r="K3488" s="5"/>
      <c r="L3488" s="5"/>
      <c r="M3488" s="5"/>
      <c r="N3488" s="5"/>
      <c r="O3488" s="5"/>
    </row>
    <row r="3489" spans="2:15" x14ac:dyDescent="0.55000000000000004">
      <c r="B3489" s="5"/>
      <c r="C3489" s="5"/>
      <c r="D3489" s="5"/>
      <c r="E3489" s="5"/>
      <c r="F3489" s="5"/>
      <c r="G3489" s="5"/>
      <c r="H3489" s="5"/>
      <c r="I3489" s="5"/>
      <c r="J3489" s="5"/>
      <c r="K3489" s="5"/>
      <c r="L3489" s="5"/>
      <c r="M3489" s="5"/>
      <c r="N3489" s="5"/>
      <c r="O3489" s="5"/>
    </row>
    <row r="3490" spans="2:15" x14ac:dyDescent="0.55000000000000004">
      <c r="B3490" s="5"/>
      <c r="C3490" s="5"/>
      <c r="D3490" s="5"/>
      <c r="E3490" s="5"/>
      <c r="F3490" s="5"/>
      <c r="G3490" s="5"/>
      <c r="H3490" s="5"/>
      <c r="I3490" s="5"/>
      <c r="J3490" s="5"/>
      <c r="K3490" s="5"/>
      <c r="L3490" s="5"/>
      <c r="M3490" s="5"/>
      <c r="N3490" s="5"/>
      <c r="O3490" s="5"/>
    </row>
    <row r="3491" spans="2:15" x14ac:dyDescent="0.55000000000000004">
      <c r="B3491" s="5"/>
      <c r="C3491" s="5"/>
      <c r="D3491" s="5"/>
      <c r="E3491" s="5"/>
      <c r="F3491" s="5"/>
      <c r="G3491" s="5"/>
      <c r="H3491" s="5"/>
      <c r="I3491" s="5"/>
      <c r="J3491" s="5"/>
      <c r="K3491" s="5"/>
      <c r="L3491" s="5"/>
      <c r="M3491" s="5"/>
      <c r="N3491" s="5"/>
      <c r="O3491" s="5"/>
    </row>
    <row r="3492" spans="2:15" x14ac:dyDescent="0.55000000000000004">
      <c r="B3492" s="5"/>
      <c r="C3492" s="5"/>
      <c r="D3492" s="5"/>
      <c r="E3492" s="5"/>
      <c r="F3492" s="5"/>
      <c r="G3492" s="5"/>
      <c r="H3492" s="5"/>
      <c r="I3492" s="5"/>
      <c r="J3492" s="5"/>
      <c r="K3492" s="5"/>
      <c r="L3492" s="5"/>
      <c r="M3492" s="5"/>
      <c r="N3492" s="5"/>
      <c r="O3492" s="5"/>
    </row>
    <row r="3493" spans="2:15" x14ac:dyDescent="0.55000000000000004">
      <c r="B3493" s="5"/>
      <c r="C3493" s="5"/>
      <c r="D3493" s="5"/>
      <c r="E3493" s="5"/>
      <c r="F3493" s="5"/>
      <c r="G3493" s="5"/>
      <c r="H3493" s="5"/>
      <c r="I3493" s="5"/>
      <c r="J3493" s="5"/>
      <c r="K3493" s="5"/>
      <c r="L3493" s="5"/>
      <c r="M3493" s="5"/>
      <c r="N3493" s="5"/>
      <c r="O3493" s="5"/>
    </row>
    <row r="3494" spans="2:15" x14ac:dyDescent="0.55000000000000004">
      <c r="B3494" s="5"/>
      <c r="C3494" s="5"/>
      <c r="D3494" s="5"/>
      <c r="E3494" s="5"/>
      <c r="F3494" s="5"/>
      <c r="G3494" s="5"/>
      <c r="H3494" s="5"/>
      <c r="I3494" s="5"/>
      <c r="J3494" s="5"/>
      <c r="K3494" s="5"/>
      <c r="L3494" s="5"/>
      <c r="M3494" s="5"/>
      <c r="N3494" s="5"/>
      <c r="O3494" s="5"/>
    </row>
    <row r="3495" spans="2:15" x14ac:dyDescent="0.55000000000000004">
      <c r="B3495" s="5"/>
      <c r="C3495" s="5"/>
      <c r="D3495" s="5"/>
      <c r="E3495" s="5"/>
      <c r="F3495" s="5"/>
      <c r="G3495" s="5"/>
      <c r="H3495" s="5"/>
      <c r="I3495" s="5"/>
      <c r="J3495" s="5"/>
      <c r="K3495" s="5"/>
      <c r="L3495" s="5"/>
      <c r="M3495" s="5"/>
      <c r="N3495" s="5"/>
      <c r="O3495" s="5"/>
    </row>
    <row r="3496" spans="2:15" x14ac:dyDescent="0.55000000000000004">
      <c r="B3496" s="5"/>
      <c r="C3496" s="5"/>
      <c r="D3496" s="5"/>
      <c r="E3496" s="5"/>
      <c r="F3496" s="5"/>
      <c r="G3496" s="5"/>
      <c r="H3496" s="5"/>
      <c r="I3496" s="5"/>
      <c r="J3496" s="5"/>
      <c r="K3496" s="5"/>
      <c r="L3496" s="5"/>
      <c r="M3496" s="5"/>
      <c r="N3496" s="5"/>
      <c r="O3496" s="5"/>
    </row>
    <row r="3497" spans="2:15" x14ac:dyDescent="0.55000000000000004">
      <c r="B3497" s="5"/>
      <c r="C3497" s="5"/>
      <c r="D3497" s="5"/>
      <c r="E3497" s="5"/>
      <c r="F3497" s="5"/>
      <c r="G3497" s="5"/>
      <c r="H3497" s="5"/>
      <c r="I3497" s="5"/>
      <c r="J3497" s="5"/>
      <c r="K3497" s="5"/>
      <c r="L3497" s="5"/>
      <c r="M3497" s="5"/>
      <c r="N3497" s="5"/>
      <c r="O3497" s="5"/>
    </row>
    <row r="3498" spans="2:15" x14ac:dyDescent="0.55000000000000004">
      <c r="B3498" s="5"/>
      <c r="C3498" s="5"/>
      <c r="D3498" s="5"/>
      <c r="E3498" s="5"/>
      <c r="F3498" s="5"/>
      <c r="G3498" s="5"/>
      <c r="H3498" s="5"/>
      <c r="I3498" s="5"/>
      <c r="J3498" s="5"/>
      <c r="K3498" s="5"/>
      <c r="L3498" s="5"/>
      <c r="M3498" s="5"/>
      <c r="N3498" s="5"/>
      <c r="O3498" s="5"/>
    </row>
    <row r="3499" spans="2:15" x14ac:dyDescent="0.55000000000000004">
      <c r="B3499" s="5"/>
      <c r="C3499" s="5"/>
      <c r="D3499" s="5"/>
      <c r="E3499" s="5"/>
      <c r="F3499" s="5"/>
      <c r="G3499" s="5"/>
      <c r="H3499" s="5"/>
      <c r="I3499" s="5"/>
      <c r="J3499" s="5"/>
      <c r="K3499" s="5"/>
      <c r="L3499" s="5"/>
      <c r="M3499" s="5"/>
      <c r="N3499" s="5"/>
      <c r="O3499" s="5"/>
    </row>
    <row r="3500" spans="2:15" x14ac:dyDescent="0.55000000000000004">
      <c r="B3500" s="5"/>
      <c r="C3500" s="5"/>
      <c r="D3500" s="5"/>
      <c r="E3500" s="5"/>
      <c r="F3500" s="5"/>
      <c r="G3500" s="5"/>
      <c r="H3500" s="5"/>
      <c r="I3500" s="5"/>
      <c r="J3500" s="5"/>
      <c r="K3500" s="5"/>
      <c r="L3500" s="5"/>
      <c r="M3500" s="5"/>
      <c r="N3500" s="5"/>
      <c r="O3500" s="5"/>
    </row>
    <row r="3501" spans="2:15" x14ac:dyDescent="0.55000000000000004">
      <c r="B3501" s="5"/>
      <c r="C3501" s="5"/>
      <c r="D3501" s="5"/>
      <c r="E3501" s="5"/>
      <c r="F3501" s="5"/>
      <c r="G3501" s="5"/>
      <c r="H3501" s="5"/>
      <c r="I3501" s="5"/>
      <c r="J3501" s="5"/>
      <c r="K3501" s="5"/>
      <c r="L3501" s="5"/>
      <c r="M3501" s="5"/>
      <c r="N3501" s="5"/>
      <c r="O3501" s="5"/>
    </row>
    <row r="3502" spans="2:15" x14ac:dyDescent="0.55000000000000004">
      <c r="B3502" s="5"/>
      <c r="C3502" s="5"/>
      <c r="D3502" s="5"/>
      <c r="E3502" s="5"/>
      <c r="F3502" s="5"/>
      <c r="G3502" s="5"/>
      <c r="H3502" s="5"/>
      <c r="I3502" s="5"/>
      <c r="J3502" s="5"/>
      <c r="K3502" s="5"/>
      <c r="L3502" s="5"/>
      <c r="M3502" s="5"/>
      <c r="N3502" s="5"/>
      <c r="O3502" s="5"/>
    </row>
    <row r="3503" spans="2:15" x14ac:dyDescent="0.55000000000000004">
      <c r="B3503" s="5"/>
      <c r="C3503" s="5"/>
      <c r="D3503" s="5"/>
      <c r="E3503" s="5"/>
      <c r="F3503" s="5"/>
      <c r="G3503" s="5"/>
      <c r="H3503" s="5"/>
      <c r="I3503" s="5"/>
      <c r="J3503" s="5"/>
      <c r="K3503" s="5"/>
      <c r="L3503" s="5"/>
      <c r="M3503" s="5"/>
      <c r="N3503" s="5"/>
      <c r="O3503" s="5"/>
    </row>
    <row r="3504" spans="2:15" x14ac:dyDescent="0.55000000000000004">
      <c r="B3504" s="5"/>
      <c r="C3504" s="5"/>
      <c r="D3504" s="5"/>
      <c r="E3504" s="5"/>
      <c r="F3504" s="5"/>
      <c r="G3504" s="5"/>
      <c r="H3504" s="5"/>
      <c r="I3504" s="5"/>
      <c r="J3504" s="5"/>
      <c r="K3504" s="5"/>
      <c r="L3504" s="5"/>
      <c r="M3504" s="5"/>
      <c r="N3504" s="5"/>
      <c r="O3504" s="5"/>
    </row>
    <row r="3505" spans="2:15" x14ac:dyDescent="0.55000000000000004">
      <c r="B3505" s="5"/>
      <c r="C3505" s="5"/>
      <c r="D3505" s="5"/>
      <c r="E3505" s="5"/>
      <c r="F3505" s="5"/>
      <c r="G3505" s="5"/>
      <c r="H3505" s="5"/>
      <c r="I3505" s="5"/>
      <c r="J3505" s="5"/>
      <c r="K3505" s="5"/>
      <c r="L3505" s="5"/>
      <c r="M3505" s="5"/>
      <c r="N3505" s="5"/>
      <c r="O3505" s="5"/>
    </row>
    <row r="3506" spans="2:15" x14ac:dyDescent="0.55000000000000004">
      <c r="B3506" s="5"/>
      <c r="C3506" s="5"/>
      <c r="D3506" s="5"/>
      <c r="E3506" s="5"/>
      <c r="F3506" s="5"/>
      <c r="G3506" s="5"/>
      <c r="H3506" s="5"/>
      <c r="I3506" s="5"/>
      <c r="J3506" s="5"/>
      <c r="K3506" s="5"/>
      <c r="L3506" s="5"/>
      <c r="M3506" s="5"/>
      <c r="N3506" s="5"/>
      <c r="O3506" s="5"/>
    </row>
    <row r="3507" spans="2:15" x14ac:dyDescent="0.55000000000000004">
      <c r="B3507" s="5"/>
      <c r="C3507" s="5"/>
      <c r="D3507" s="5"/>
      <c r="E3507" s="5"/>
      <c r="F3507" s="5"/>
      <c r="G3507" s="5"/>
      <c r="H3507" s="5"/>
      <c r="I3507" s="5"/>
      <c r="J3507" s="5"/>
      <c r="K3507" s="5"/>
      <c r="L3507" s="5"/>
      <c r="M3507" s="5"/>
      <c r="N3507" s="5"/>
      <c r="O3507" s="5"/>
    </row>
    <row r="3508" spans="2:15" x14ac:dyDescent="0.55000000000000004">
      <c r="B3508" s="5"/>
      <c r="C3508" s="5"/>
      <c r="D3508" s="5"/>
      <c r="E3508" s="5"/>
      <c r="F3508" s="5"/>
      <c r="G3508" s="5"/>
      <c r="H3508" s="5"/>
      <c r="I3508" s="5"/>
      <c r="J3508" s="5"/>
      <c r="K3508" s="5"/>
      <c r="L3508" s="5"/>
      <c r="M3508" s="5"/>
      <c r="N3508" s="5"/>
      <c r="O3508" s="5"/>
    </row>
    <row r="3509" spans="2:15" x14ac:dyDescent="0.55000000000000004">
      <c r="B3509" s="5"/>
      <c r="C3509" s="5"/>
      <c r="D3509" s="5"/>
      <c r="E3509" s="5"/>
      <c r="F3509" s="5"/>
      <c r="G3509" s="5"/>
      <c r="H3509" s="5"/>
      <c r="I3509" s="5"/>
      <c r="J3509" s="5"/>
      <c r="K3509" s="5"/>
      <c r="L3509" s="5"/>
      <c r="M3509" s="5"/>
      <c r="N3509" s="5"/>
      <c r="O3509" s="5"/>
    </row>
    <row r="3510" spans="2:15" x14ac:dyDescent="0.55000000000000004">
      <c r="B3510" s="5"/>
      <c r="C3510" s="5"/>
      <c r="D3510" s="5"/>
      <c r="E3510" s="5"/>
      <c r="F3510" s="5"/>
      <c r="G3510" s="5"/>
      <c r="H3510" s="5"/>
      <c r="I3510" s="5"/>
      <c r="J3510" s="5"/>
      <c r="K3510" s="5"/>
      <c r="L3510" s="5"/>
      <c r="M3510" s="5"/>
      <c r="N3510" s="5"/>
      <c r="O3510" s="5"/>
    </row>
    <row r="3511" spans="2:15" x14ac:dyDescent="0.55000000000000004">
      <c r="B3511" s="5"/>
      <c r="C3511" s="5"/>
      <c r="D3511" s="5"/>
      <c r="E3511" s="5"/>
      <c r="F3511" s="5"/>
      <c r="G3511" s="5"/>
      <c r="H3511" s="5"/>
      <c r="I3511" s="5"/>
      <c r="J3511" s="5"/>
      <c r="K3511" s="5"/>
      <c r="L3511" s="5"/>
      <c r="M3511" s="5"/>
      <c r="N3511" s="5"/>
      <c r="O3511" s="5"/>
    </row>
    <row r="3512" spans="2:15" x14ac:dyDescent="0.55000000000000004">
      <c r="B3512" s="5"/>
      <c r="C3512" s="5"/>
      <c r="D3512" s="5"/>
      <c r="E3512" s="5"/>
      <c r="F3512" s="5"/>
      <c r="G3512" s="5"/>
      <c r="H3512" s="5"/>
      <c r="I3512" s="5"/>
      <c r="J3512" s="5"/>
      <c r="K3512" s="5"/>
      <c r="L3512" s="5"/>
      <c r="M3512" s="5"/>
      <c r="N3512" s="5"/>
      <c r="O3512" s="5"/>
    </row>
    <row r="3513" spans="2:15" x14ac:dyDescent="0.55000000000000004">
      <c r="B3513" s="5"/>
      <c r="C3513" s="5"/>
      <c r="D3513" s="5"/>
      <c r="E3513" s="5"/>
      <c r="F3513" s="5"/>
      <c r="G3513" s="5"/>
      <c r="H3513" s="5"/>
      <c r="I3513" s="5"/>
      <c r="J3513" s="5"/>
      <c r="K3513" s="5"/>
      <c r="L3513" s="5"/>
      <c r="M3513" s="5"/>
      <c r="N3513" s="5"/>
      <c r="O3513" s="5"/>
    </row>
    <row r="3514" spans="2:15" x14ac:dyDescent="0.55000000000000004">
      <c r="B3514" s="5"/>
      <c r="C3514" s="5"/>
      <c r="D3514" s="5"/>
      <c r="E3514" s="5"/>
      <c r="F3514" s="5"/>
      <c r="G3514" s="5"/>
      <c r="H3514" s="5"/>
      <c r="I3514" s="5"/>
      <c r="J3514" s="5"/>
      <c r="K3514" s="5"/>
      <c r="L3514" s="5"/>
      <c r="M3514" s="5"/>
      <c r="N3514" s="5"/>
      <c r="O3514" s="5"/>
    </row>
    <row r="3515" spans="2:15" x14ac:dyDescent="0.55000000000000004">
      <c r="B3515" s="5"/>
      <c r="C3515" s="5"/>
      <c r="D3515" s="5"/>
      <c r="E3515" s="5"/>
      <c r="F3515" s="5"/>
      <c r="G3515" s="5"/>
      <c r="H3515" s="5"/>
      <c r="I3515" s="5"/>
      <c r="J3515" s="5"/>
      <c r="K3515" s="5"/>
      <c r="L3515" s="5"/>
      <c r="M3515" s="5"/>
      <c r="N3515" s="5"/>
      <c r="O3515" s="5"/>
    </row>
    <row r="3516" spans="2:15" x14ac:dyDescent="0.55000000000000004">
      <c r="B3516" s="5"/>
      <c r="C3516" s="5"/>
      <c r="D3516" s="5"/>
      <c r="E3516" s="5"/>
      <c r="F3516" s="5"/>
      <c r="G3516" s="5"/>
      <c r="H3516" s="5"/>
      <c r="I3516" s="5"/>
      <c r="J3516" s="5"/>
      <c r="K3516" s="5"/>
      <c r="L3516" s="5"/>
      <c r="M3516" s="5"/>
      <c r="N3516" s="5"/>
      <c r="O3516" s="5"/>
    </row>
    <row r="3517" spans="2:15" x14ac:dyDescent="0.55000000000000004">
      <c r="B3517" s="5"/>
      <c r="C3517" s="5"/>
      <c r="D3517" s="5"/>
      <c r="E3517" s="5"/>
      <c r="F3517" s="5"/>
      <c r="G3517" s="5"/>
      <c r="H3517" s="5"/>
      <c r="I3517" s="5"/>
      <c r="J3517" s="5"/>
      <c r="K3517" s="5"/>
      <c r="L3517" s="5"/>
      <c r="M3517" s="5"/>
      <c r="N3517" s="5"/>
      <c r="O3517" s="5"/>
    </row>
    <row r="3518" spans="2:15" x14ac:dyDescent="0.55000000000000004">
      <c r="B3518" s="5"/>
      <c r="C3518" s="5"/>
      <c r="D3518" s="5"/>
      <c r="E3518" s="5"/>
      <c r="F3518" s="5"/>
      <c r="G3518" s="5"/>
      <c r="H3518" s="5"/>
      <c r="I3518" s="5"/>
      <c r="J3518" s="5"/>
      <c r="K3518" s="5"/>
      <c r="L3518" s="5"/>
      <c r="M3518" s="5"/>
      <c r="N3518" s="5"/>
      <c r="O3518" s="5"/>
    </row>
    <row r="3519" spans="2:15" x14ac:dyDescent="0.55000000000000004">
      <c r="B3519" s="5"/>
      <c r="C3519" s="5"/>
      <c r="D3519" s="5"/>
      <c r="E3519" s="5"/>
      <c r="F3519" s="5"/>
      <c r="G3519" s="5"/>
      <c r="H3519" s="5"/>
      <c r="I3519" s="5"/>
      <c r="J3519" s="5"/>
      <c r="K3519" s="5"/>
      <c r="L3519" s="5"/>
      <c r="M3519" s="5"/>
      <c r="N3519" s="5"/>
      <c r="O3519" s="5"/>
    </row>
    <row r="3520" spans="2:15" x14ac:dyDescent="0.55000000000000004">
      <c r="B3520" s="5"/>
      <c r="C3520" s="5"/>
      <c r="D3520" s="5"/>
      <c r="E3520" s="5"/>
      <c r="F3520" s="5"/>
      <c r="G3520" s="5"/>
      <c r="H3520" s="5"/>
      <c r="I3520" s="5"/>
      <c r="J3520" s="5"/>
      <c r="K3520" s="5"/>
      <c r="L3520" s="5"/>
      <c r="M3520" s="5"/>
      <c r="N3520" s="5"/>
      <c r="O3520" s="5"/>
    </row>
    <row r="3521" spans="2:15" x14ac:dyDescent="0.55000000000000004">
      <c r="B3521" s="5"/>
      <c r="C3521" s="5"/>
      <c r="D3521" s="5"/>
      <c r="E3521" s="5"/>
      <c r="F3521" s="5"/>
      <c r="G3521" s="5"/>
      <c r="H3521" s="5"/>
      <c r="I3521" s="5"/>
      <c r="J3521" s="5"/>
      <c r="K3521" s="5"/>
      <c r="L3521" s="5"/>
      <c r="M3521" s="5"/>
      <c r="N3521" s="5"/>
      <c r="O3521" s="5"/>
    </row>
    <row r="3522" spans="2:15" x14ac:dyDescent="0.55000000000000004">
      <c r="B3522" s="5"/>
      <c r="C3522" s="5"/>
      <c r="D3522" s="5"/>
      <c r="E3522" s="5"/>
      <c r="F3522" s="5"/>
      <c r="G3522" s="5"/>
      <c r="H3522" s="5"/>
      <c r="I3522" s="5"/>
      <c r="J3522" s="5"/>
      <c r="K3522" s="5"/>
      <c r="L3522" s="5"/>
      <c r="M3522" s="5"/>
      <c r="N3522" s="5"/>
      <c r="O3522" s="5"/>
    </row>
    <row r="3523" spans="2:15" x14ac:dyDescent="0.55000000000000004">
      <c r="B3523" s="5"/>
      <c r="C3523" s="5"/>
      <c r="D3523" s="5"/>
      <c r="E3523" s="5"/>
      <c r="F3523" s="5"/>
      <c r="G3523" s="5"/>
      <c r="H3523" s="5"/>
      <c r="I3523" s="5"/>
      <c r="J3523" s="5"/>
      <c r="K3523" s="5"/>
      <c r="L3523" s="5"/>
      <c r="M3523" s="5"/>
      <c r="N3523" s="5"/>
      <c r="O3523" s="5"/>
    </row>
    <row r="3524" spans="2:15" x14ac:dyDescent="0.55000000000000004">
      <c r="B3524" s="5"/>
      <c r="C3524" s="5"/>
      <c r="D3524" s="5"/>
      <c r="E3524" s="5"/>
      <c r="F3524" s="5"/>
      <c r="G3524" s="5"/>
      <c r="H3524" s="5"/>
      <c r="I3524" s="5"/>
      <c r="J3524" s="5"/>
      <c r="K3524" s="5"/>
      <c r="L3524" s="5"/>
      <c r="M3524" s="5"/>
      <c r="N3524" s="5"/>
      <c r="O3524" s="5"/>
    </row>
    <row r="3525" spans="2:15" x14ac:dyDescent="0.55000000000000004">
      <c r="B3525" s="5"/>
      <c r="C3525" s="5"/>
      <c r="D3525" s="5"/>
      <c r="E3525" s="5"/>
      <c r="F3525" s="5"/>
      <c r="G3525" s="5"/>
      <c r="H3525" s="5"/>
      <c r="I3525" s="5"/>
      <c r="J3525" s="5"/>
      <c r="K3525" s="5"/>
      <c r="L3525" s="5"/>
      <c r="M3525" s="5"/>
      <c r="N3525" s="5"/>
      <c r="O3525" s="5"/>
    </row>
    <row r="3526" spans="2:15" x14ac:dyDescent="0.55000000000000004">
      <c r="B3526" s="5"/>
      <c r="C3526" s="5"/>
      <c r="D3526" s="5"/>
      <c r="E3526" s="5"/>
      <c r="F3526" s="5"/>
      <c r="G3526" s="5"/>
      <c r="H3526" s="5"/>
      <c r="I3526" s="5"/>
      <c r="J3526" s="5"/>
      <c r="K3526" s="5"/>
      <c r="L3526" s="5"/>
      <c r="M3526" s="5"/>
      <c r="N3526" s="5"/>
      <c r="O3526" s="5"/>
    </row>
    <row r="3527" spans="2:15" x14ac:dyDescent="0.55000000000000004">
      <c r="B3527" s="5"/>
      <c r="C3527" s="5"/>
      <c r="D3527" s="5"/>
      <c r="E3527" s="5"/>
      <c r="F3527" s="5"/>
      <c r="G3527" s="5"/>
      <c r="H3527" s="5"/>
      <c r="I3527" s="5"/>
      <c r="J3527" s="5"/>
      <c r="K3527" s="5"/>
      <c r="L3527" s="5"/>
      <c r="M3527" s="5"/>
      <c r="N3527" s="5"/>
      <c r="O3527" s="5"/>
    </row>
    <row r="3528" spans="2:15" x14ac:dyDescent="0.55000000000000004">
      <c r="B3528" s="5"/>
      <c r="C3528" s="5"/>
      <c r="D3528" s="5"/>
      <c r="E3528" s="5"/>
      <c r="F3528" s="5"/>
      <c r="G3528" s="5"/>
      <c r="H3528" s="5"/>
      <c r="I3528" s="5"/>
      <c r="J3528" s="5"/>
      <c r="K3528" s="5"/>
      <c r="L3528" s="5"/>
      <c r="M3528" s="5"/>
      <c r="N3528" s="5"/>
      <c r="O3528" s="5"/>
    </row>
    <row r="3529" spans="2:15" x14ac:dyDescent="0.55000000000000004">
      <c r="B3529" s="5"/>
      <c r="C3529" s="5"/>
      <c r="D3529" s="5"/>
      <c r="E3529" s="5"/>
      <c r="F3529" s="5"/>
      <c r="G3529" s="5"/>
      <c r="H3529" s="5"/>
      <c r="I3529" s="5"/>
      <c r="J3529" s="5"/>
      <c r="K3529" s="5"/>
      <c r="L3529" s="5"/>
      <c r="M3529" s="5"/>
      <c r="N3529" s="5"/>
      <c r="O3529" s="5"/>
    </row>
    <row r="3530" spans="2:15" x14ac:dyDescent="0.55000000000000004">
      <c r="B3530" s="5"/>
      <c r="C3530" s="5"/>
      <c r="D3530" s="5"/>
      <c r="E3530" s="5"/>
      <c r="F3530" s="5"/>
      <c r="G3530" s="5"/>
      <c r="H3530" s="5"/>
      <c r="I3530" s="5"/>
      <c r="J3530" s="5"/>
      <c r="K3530" s="5"/>
      <c r="L3530" s="5"/>
      <c r="M3530" s="5"/>
      <c r="N3530" s="5"/>
      <c r="O3530" s="5"/>
    </row>
    <row r="3531" spans="2:15" x14ac:dyDescent="0.55000000000000004">
      <c r="B3531" s="5"/>
      <c r="C3531" s="5"/>
      <c r="D3531" s="5"/>
      <c r="E3531" s="5"/>
      <c r="F3531" s="5"/>
      <c r="G3531" s="5"/>
      <c r="H3531" s="5"/>
      <c r="I3531" s="5"/>
      <c r="J3531" s="5"/>
      <c r="K3531" s="5"/>
      <c r="L3531" s="5"/>
      <c r="M3531" s="5"/>
      <c r="N3531" s="5"/>
      <c r="O3531" s="5"/>
    </row>
    <row r="3532" spans="2:15" x14ac:dyDescent="0.55000000000000004">
      <c r="B3532" s="5"/>
      <c r="C3532" s="5"/>
      <c r="D3532" s="5"/>
      <c r="E3532" s="5"/>
      <c r="F3532" s="5"/>
      <c r="G3532" s="5"/>
      <c r="H3532" s="5"/>
      <c r="I3532" s="5"/>
      <c r="J3532" s="5"/>
      <c r="K3532" s="5"/>
      <c r="L3532" s="5"/>
      <c r="M3532" s="5"/>
      <c r="N3532" s="5"/>
      <c r="O3532" s="5"/>
    </row>
    <row r="3533" spans="2:15" x14ac:dyDescent="0.55000000000000004">
      <c r="B3533" s="5"/>
      <c r="C3533" s="5"/>
      <c r="D3533" s="5"/>
      <c r="E3533" s="5"/>
      <c r="F3533" s="5"/>
      <c r="G3533" s="5"/>
      <c r="H3533" s="5"/>
      <c r="I3533" s="5"/>
      <c r="J3533" s="5"/>
      <c r="K3533" s="5"/>
      <c r="L3533" s="5"/>
      <c r="M3533" s="5"/>
      <c r="N3533" s="5"/>
      <c r="O3533" s="5"/>
    </row>
    <row r="3534" spans="2:15" x14ac:dyDescent="0.55000000000000004">
      <c r="B3534" s="5"/>
      <c r="C3534" s="5"/>
      <c r="D3534" s="5"/>
      <c r="E3534" s="5"/>
      <c r="F3534" s="5"/>
      <c r="G3534" s="5"/>
      <c r="H3534" s="5"/>
      <c r="I3534" s="5"/>
      <c r="J3534" s="5"/>
      <c r="K3534" s="5"/>
      <c r="L3534" s="5"/>
      <c r="M3534" s="5"/>
      <c r="N3534" s="5"/>
      <c r="O3534" s="5"/>
    </row>
    <row r="3535" spans="2:15" x14ac:dyDescent="0.55000000000000004">
      <c r="B3535" s="5"/>
      <c r="C3535" s="5"/>
      <c r="D3535" s="5"/>
      <c r="E3535" s="5"/>
      <c r="F3535" s="5"/>
      <c r="G3535" s="5"/>
      <c r="H3535" s="5"/>
      <c r="I3535" s="5"/>
      <c r="J3535" s="5"/>
      <c r="K3535" s="5"/>
      <c r="L3535" s="5"/>
      <c r="M3535" s="5"/>
      <c r="N3535" s="5"/>
      <c r="O3535" s="5"/>
    </row>
    <row r="3536" spans="2:15" x14ac:dyDescent="0.55000000000000004">
      <c r="B3536" s="5"/>
      <c r="C3536" s="5"/>
      <c r="D3536" s="5"/>
      <c r="E3536" s="5"/>
      <c r="F3536" s="5"/>
      <c r="G3536" s="5"/>
      <c r="H3536" s="5"/>
      <c r="I3536" s="5"/>
      <c r="J3536" s="5"/>
      <c r="K3536" s="5"/>
      <c r="L3536" s="5"/>
      <c r="M3536" s="5"/>
      <c r="N3536" s="5"/>
      <c r="O3536" s="5"/>
    </row>
    <row r="3537" spans="2:15" x14ac:dyDescent="0.55000000000000004">
      <c r="B3537" s="5"/>
      <c r="C3537" s="5"/>
      <c r="D3537" s="5"/>
      <c r="E3537" s="5"/>
      <c r="F3537" s="5"/>
      <c r="G3537" s="5"/>
      <c r="H3537" s="5"/>
      <c r="I3537" s="5"/>
      <c r="J3537" s="5"/>
      <c r="K3537" s="5"/>
      <c r="L3537" s="5"/>
      <c r="M3537" s="5"/>
      <c r="N3537" s="5"/>
      <c r="O3537" s="5"/>
    </row>
    <row r="3538" spans="2:15" x14ac:dyDescent="0.55000000000000004">
      <c r="B3538" s="5"/>
      <c r="C3538" s="5"/>
      <c r="D3538" s="5"/>
      <c r="E3538" s="5"/>
      <c r="F3538" s="5"/>
      <c r="G3538" s="5"/>
      <c r="H3538" s="5"/>
      <c r="I3538" s="5"/>
      <c r="J3538" s="5"/>
      <c r="K3538" s="5"/>
      <c r="L3538" s="5"/>
      <c r="M3538" s="5"/>
      <c r="N3538" s="5"/>
      <c r="O3538" s="5"/>
    </row>
    <row r="3539" spans="2:15" x14ac:dyDescent="0.55000000000000004">
      <c r="B3539" s="5"/>
      <c r="C3539" s="5"/>
      <c r="D3539" s="5"/>
      <c r="E3539" s="5"/>
      <c r="F3539" s="5"/>
      <c r="G3539" s="5"/>
      <c r="H3539" s="5"/>
      <c r="I3539" s="5"/>
      <c r="J3539" s="5"/>
      <c r="K3539" s="5"/>
      <c r="L3539" s="5"/>
      <c r="M3539" s="5"/>
      <c r="N3539" s="5"/>
      <c r="O3539" s="5"/>
    </row>
    <row r="3540" spans="2:15" x14ac:dyDescent="0.55000000000000004">
      <c r="B3540" s="5"/>
      <c r="C3540" s="5"/>
      <c r="D3540" s="5"/>
      <c r="E3540" s="5"/>
      <c r="F3540" s="5"/>
      <c r="G3540" s="5"/>
      <c r="H3540" s="5"/>
      <c r="I3540" s="5"/>
      <c r="J3540" s="5"/>
      <c r="K3540" s="5"/>
      <c r="L3540" s="5"/>
      <c r="M3540" s="5"/>
      <c r="N3540" s="5"/>
      <c r="O3540" s="5"/>
    </row>
    <row r="3541" spans="2:15" x14ac:dyDescent="0.55000000000000004">
      <c r="B3541" s="5"/>
      <c r="C3541" s="5"/>
      <c r="D3541" s="5"/>
      <c r="E3541" s="5"/>
      <c r="F3541" s="5"/>
      <c r="G3541" s="5"/>
      <c r="H3541" s="5"/>
      <c r="I3541" s="5"/>
      <c r="J3541" s="5"/>
      <c r="K3541" s="5"/>
      <c r="L3541" s="5"/>
      <c r="M3541" s="5"/>
      <c r="N3541" s="5"/>
      <c r="O3541" s="5"/>
    </row>
    <row r="3542" spans="2:15" x14ac:dyDescent="0.55000000000000004">
      <c r="B3542" s="5"/>
      <c r="C3542" s="5"/>
      <c r="D3542" s="5"/>
      <c r="E3542" s="5"/>
      <c r="F3542" s="5"/>
      <c r="G3542" s="5"/>
      <c r="H3542" s="5"/>
      <c r="I3542" s="5"/>
      <c r="J3542" s="5"/>
      <c r="K3542" s="5"/>
      <c r="L3542" s="5"/>
      <c r="M3542" s="5"/>
      <c r="N3542" s="5"/>
      <c r="O3542" s="5"/>
    </row>
    <row r="3543" spans="2:15" x14ac:dyDescent="0.55000000000000004">
      <c r="B3543" s="5"/>
      <c r="C3543" s="5"/>
      <c r="D3543" s="5"/>
      <c r="E3543" s="5"/>
      <c r="F3543" s="5"/>
      <c r="G3543" s="5"/>
      <c r="H3543" s="5"/>
      <c r="I3543" s="5"/>
      <c r="J3543" s="5"/>
      <c r="K3543" s="5"/>
      <c r="L3543" s="5"/>
      <c r="M3543" s="5"/>
      <c r="N3543" s="5"/>
      <c r="O3543" s="5"/>
    </row>
    <row r="3544" spans="2:15" x14ac:dyDescent="0.55000000000000004">
      <c r="B3544" s="5"/>
      <c r="C3544" s="5"/>
      <c r="D3544" s="5"/>
      <c r="E3544" s="5"/>
      <c r="F3544" s="5"/>
      <c r="G3544" s="5"/>
      <c r="H3544" s="5"/>
      <c r="I3544" s="5"/>
      <c r="J3544" s="5"/>
      <c r="K3544" s="5"/>
      <c r="L3544" s="5"/>
      <c r="M3544" s="5"/>
      <c r="N3544" s="5"/>
      <c r="O3544" s="5"/>
    </row>
    <row r="3545" spans="2:15" x14ac:dyDescent="0.55000000000000004">
      <c r="B3545" s="5"/>
      <c r="C3545" s="5"/>
      <c r="D3545" s="5"/>
      <c r="E3545" s="5"/>
      <c r="F3545" s="5"/>
      <c r="G3545" s="5"/>
      <c r="H3545" s="5"/>
      <c r="I3545" s="5"/>
      <c r="J3545" s="5"/>
      <c r="K3545" s="5"/>
      <c r="L3545" s="5"/>
      <c r="M3545" s="5"/>
      <c r="N3545" s="5"/>
      <c r="O3545" s="5"/>
    </row>
    <row r="3546" spans="2:15" x14ac:dyDescent="0.55000000000000004">
      <c r="B3546" s="5"/>
      <c r="C3546" s="5"/>
      <c r="D3546" s="5"/>
      <c r="E3546" s="5"/>
      <c r="F3546" s="5"/>
      <c r="G3546" s="5"/>
      <c r="H3546" s="5"/>
      <c r="I3546" s="5"/>
      <c r="J3546" s="5"/>
      <c r="K3546" s="5"/>
      <c r="L3546" s="5"/>
      <c r="M3546" s="5"/>
      <c r="N3546" s="5"/>
      <c r="O3546" s="5"/>
    </row>
    <row r="3547" spans="2:15" x14ac:dyDescent="0.55000000000000004">
      <c r="B3547" s="5"/>
      <c r="C3547" s="5"/>
      <c r="D3547" s="5"/>
      <c r="E3547" s="5"/>
      <c r="F3547" s="5"/>
      <c r="G3547" s="5"/>
      <c r="H3547" s="5"/>
      <c r="I3547" s="5"/>
      <c r="J3547" s="5"/>
      <c r="K3547" s="5"/>
      <c r="L3547" s="5"/>
      <c r="M3547" s="5"/>
      <c r="N3547" s="5"/>
      <c r="O3547" s="5"/>
    </row>
    <row r="3548" spans="2:15" x14ac:dyDescent="0.55000000000000004">
      <c r="B3548" s="5"/>
      <c r="C3548" s="5"/>
      <c r="D3548" s="5"/>
      <c r="E3548" s="5"/>
      <c r="F3548" s="5"/>
      <c r="G3548" s="5"/>
      <c r="H3548" s="5"/>
      <c r="I3548" s="5"/>
      <c r="J3548" s="5"/>
      <c r="K3548" s="5"/>
      <c r="L3548" s="5"/>
      <c r="M3548" s="5"/>
      <c r="N3548" s="5"/>
      <c r="O3548" s="5"/>
    </row>
    <row r="3549" spans="2:15" x14ac:dyDescent="0.55000000000000004">
      <c r="B3549" s="5"/>
      <c r="C3549" s="5"/>
      <c r="D3549" s="5"/>
      <c r="E3549" s="5"/>
      <c r="F3549" s="5"/>
      <c r="G3549" s="5"/>
      <c r="H3549" s="5"/>
      <c r="I3549" s="5"/>
      <c r="J3549" s="5"/>
      <c r="K3549" s="5"/>
      <c r="L3549" s="5"/>
      <c r="M3549" s="5"/>
      <c r="N3549" s="5"/>
      <c r="O3549" s="5"/>
    </row>
    <row r="3550" spans="2:15" x14ac:dyDescent="0.55000000000000004">
      <c r="B3550" s="5"/>
      <c r="C3550" s="5"/>
      <c r="D3550" s="5"/>
      <c r="E3550" s="5"/>
      <c r="F3550" s="5"/>
      <c r="G3550" s="5"/>
      <c r="H3550" s="5"/>
      <c r="I3550" s="5"/>
      <c r="J3550" s="5"/>
      <c r="K3550" s="5"/>
      <c r="L3550" s="5"/>
      <c r="M3550" s="5"/>
      <c r="N3550" s="5"/>
      <c r="O3550" s="5"/>
    </row>
    <row r="3551" spans="2:15" x14ac:dyDescent="0.55000000000000004">
      <c r="B3551" s="5"/>
      <c r="C3551" s="5"/>
      <c r="D3551" s="5"/>
      <c r="E3551" s="5"/>
      <c r="F3551" s="5"/>
      <c r="G3551" s="5"/>
      <c r="H3551" s="5"/>
      <c r="I3551" s="5"/>
      <c r="J3551" s="5"/>
      <c r="K3551" s="5"/>
      <c r="L3551" s="5"/>
      <c r="M3551" s="5"/>
      <c r="N3551" s="5"/>
      <c r="O3551" s="5"/>
    </row>
    <row r="3552" spans="2:15" x14ac:dyDescent="0.55000000000000004">
      <c r="B3552" s="5"/>
      <c r="C3552" s="5"/>
      <c r="D3552" s="5"/>
      <c r="E3552" s="5"/>
      <c r="F3552" s="5"/>
      <c r="G3552" s="5"/>
      <c r="H3552" s="5"/>
      <c r="I3552" s="5"/>
      <c r="J3552" s="5"/>
      <c r="K3552" s="5"/>
      <c r="L3552" s="5"/>
      <c r="M3552" s="5"/>
      <c r="N3552" s="5"/>
      <c r="O3552" s="5"/>
    </row>
    <row r="3553" spans="2:15" x14ac:dyDescent="0.55000000000000004">
      <c r="B3553" s="5"/>
      <c r="C3553" s="5"/>
      <c r="D3553" s="5"/>
      <c r="E3553" s="5"/>
      <c r="F3553" s="5"/>
      <c r="G3553" s="5"/>
      <c r="H3553" s="5"/>
      <c r="I3553" s="5"/>
      <c r="J3553" s="5"/>
      <c r="K3553" s="5"/>
      <c r="L3553" s="5"/>
      <c r="M3553" s="5"/>
      <c r="N3553" s="5"/>
      <c r="O3553" s="5"/>
    </row>
    <row r="3554" spans="2:15" x14ac:dyDescent="0.55000000000000004">
      <c r="B3554" s="5"/>
      <c r="C3554" s="5"/>
      <c r="D3554" s="5"/>
      <c r="E3554" s="5"/>
      <c r="F3554" s="5"/>
      <c r="G3554" s="5"/>
      <c r="H3554" s="5"/>
      <c r="I3554" s="5"/>
      <c r="J3554" s="5"/>
      <c r="K3554" s="5"/>
      <c r="L3554" s="5"/>
      <c r="M3554" s="5"/>
      <c r="N3554" s="5"/>
      <c r="O3554" s="5"/>
    </row>
    <row r="3555" spans="2:15" x14ac:dyDescent="0.55000000000000004">
      <c r="B3555" s="5"/>
      <c r="C3555" s="5"/>
      <c r="D3555" s="5"/>
      <c r="E3555" s="5"/>
      <c r="F3555" s="5"/>
      <c r="G3555" s="5"/>
      <c r="H3555" s="5"/>
      <c r="I3555" s="5"/>
      <c r="J3555" s="5"/>
      <c r="K3555" s="5"/>
      <c r="L3555" s="5"/>
      <c r="M3555" s="5"/>
      <c r="N3555" s="5"/>
      <c r="O3555" s="5"/>
    </row>
    <row r="3556" spans="2:15" x14ac:dyDescent="0.55000000000000004">
      <c r="B3556" s="5"/>
      <c r="C3556" s="5"/>
      <c r="D3556" s="5"/>
      <c r="E3556" s="5"/>
      <c r="F3556" s="5"/>
      <c r="G3556" s="5"/>
      <c r="H3556" s="5"/>
      <c r="I3556" s="5"/>
      <c r="J3556" s="5"/>
      <c r="K3556" s="5"/>
      <c r="L3556" s="5"/>
      <c r="M3556" s="5"/>
      <c r="N3556" s="5"/>
      <c r="O3556" s="5"/>
    </row>
    <row r="3557" spans="2:15" x14ac:dyDescent="0.55000000000000004">
      <c r="B3557" s="5"/>
      <c r="C3557" s="5"/>
      <c r="D3557" s="5"/>
      <c r="E3557" s="5"/>
      <c r="F3557" s="5"/>
      <c r="G3557" s="5"/>
      <c r="H3557" s="5"/>
      <c r="I3557" s="5"/>
      <c r="J3557" s="5"/>
      <c r="K3557" s="5"/>
      <c r="L3557" s="5"/>
      <c r="M3557" s="5"/>
      <c r="N3557" s="5"/>
      <c r="O3557" s="5"/>
    </row>
    <row r="3558" spans="2:15" x14ac:dyDescent="0.55000000000000004">
      <c r="B3558" s="5"/>
      <c r="C3558" s="5"/>
      <c r="D3558" s="5"/>
      <c r="E3558" s="5"/>
      <c r="F3558" s="5"/>
      <c r="G3558" s="5"/>
      <c r="H3558" s="5"/>
      <c r="I3558" s="5"/>
      <c r="J3558" s="5"/>
      <c r="K3558" s="5"/>
      <c r="L3558" s="5"/>
      <c r="M3558" s="5"/>
      <c r="N3558" s="5"/>
      <c r="O3558" s="5"/>
    </row>
    <row r="3559" spans="2:15" x14ac:dyDescent="0.55000000000000004">
      <c r="B3559" s="5"/>
      <c r="C3559" s="5"/>
      <c r="D3559" s="5"/>
      <c r="E3559" s="5"/>
      <c r="F3559" s="5"/>
      <c r="G3559" s="5"/>
      <c r="H3559" s="5"/>
      <c r="I3559" s="5"/>
      <c r="J3559" s="5"/>
      <c r="K3559" s="5"/>
      <c r="L3559" s="5"/>
      <c r="M3559" s="5"/>
      <c r="N3559" s="5"/>
      <c r="O3559" s="5"/>
    </row>
    <row r="3560" spans="2:15" x14ac:dyDescent="0.55000000000000004">
      <c r="B3560" s="5"/>
      <c r="C3560" s="5"/>
      <c r="D3560" s="5"/>
      <c r="E3560" s="5"/>
      <c r="F3560" s="5"/>
      <c r="G3560" s="5"/>
      <c r="H3560" s="5"/>
      <c r="I3560" s="5"/>
      <c r="J3560" s="5"/>
      <c r="K3560" s="5"/>
      <c r="L3560" s="5"/>
      <c r="M3560" s="5"/>
      <c r="N3560" s="5"/>
      <c r="O3560" s="5"/>
    </row>
    <row r="3561" spans="2:15" x14ac:dyDescent="0.55000000000000004">
      <c r="B3561" s="5"/>
      <c r="C3561" s="5"/>
      <c r="D3561" s="5"/>
      <c r="E3561" s="5"/>
      <c r="F3561" s="5"/>
      <c r="G3561" s="5"/>
      <c r="H3561" s="5"/>
      <c r="I3561" s="5"/>
      <c r="J3561" s="5"/>
      <c r="K3561" s="5"/>
      <c r="L3561" s="5"/>
      <c r="M3561" s="5"/>
      <c r="N3561" s="5"/>
      <c r="O3561" s="5"/>
    </row>
    <row r="3562" spans="2:15" x14ac:dyDescent="0.55000000000000004">
      <c r="B3562" s="5"/>
      <c r="C3562" s="5"/>
      <c r="D3562" s="5"/>
      <c r="E3562" s="5"/>
      <c r="F3562" s="5"/>
      <c r="G3562" s="5"/>
      <c r="H3562" s="5"/>
      <c r="I3562" s="5"/>
      <c r="J3562" s="5"/>
      <c r="K3562" s="5"/>
      <c r="L3562" s="5"/>
      <c r="M3562" s="5"/>
      <c r="N3562" s="5"/>
      <c r="O3562" s="5"/>
    </row>
    <row r="3563" spans="2:15" x14ac:dyDescent="0.55000000000000004">
      <c r="B3563" s="5"/>
      <c r="C3563" s="5"/>
      <c r="D3563" s="5"/>
      <c r="E3563" s="5"/>
      <c r="F3563" s="5"/>
      <c r="G3563" s="5"/>
      <c r="H3563" s="5"/>
      <c r="I3563" s="5"/>
      <c r="J3563" s="5"/>
      <c r="K3563" s="5"/>
      <c r="L3563" s="5"/>
      <c r="M3563" s="5"/>
      <c r="N3563" s="5"/>
      <c r="O3563" s="5"/>
    </row>
    <row r="3564" spans="2:15" x14ac:dyDescent="0.55000000000000004">
      <c r="B3564" s="5"/>
      <c r="C3564" s="5"/>
      <c r="D3564" s="5"/>
      <c r="E3564" s="5"/>
      <c r="F3564" s="5"/>
      <c r="G3564" s="5"/>
      <c r="H3564" s="5"/>
      <c r="I3564" s="5"/>
      <c r="J3564" s="5"/>
      <c r="K3564" s="5"/>
      <c r="L3564" s="5"/>
      <c r="M3564" s="5"/>
      <c r="N3564" s="5"/>
      <c r="O3564" s="5"/>
    </row>
    <row r="3565" spans="2:15" x14ac:dyDescent="0.55000000000000004">
      <c r="B3565" s="5"/>
      <c r="C3565" s="5"/>
      <c r="D3565" s="5"/>
      <c r="E3565" s="5"/>
      <c r="F3565" s="5"/>
      <c r="G3565" s="5"/>
      <c r="H3565" s="5"/>
      <c r="I3565" s="5"/>
      <c r="J3565" s="5"/>
      <c r="K3565" s="5"/>
      <c r="L3565" s="5"/>
      <c r="M3565" s="5"/>
      <c r="N3565" s="5"/>
      <c r="O3565" s="5"/>
    </row>
    <row r="3566" spans="2:15" x14ac:dyDescent="0.55000000000000004">
      <c r="B3566" s="5"/>
      <c r="C3566" s="5"/>
      <c r="D3566" s="5"/>
      <c r="E3566" s="5"/>
      <c r="F3566" s="5"/>
      <c r="G3566" s="5"/>
      <c r="H3566" s="5"/>
      <c r="I3566" s="5"/>
      <c r="J3566" s="5"/>
      <c r="K3566" s="5"/>
      <c r="L3566" s="5"/>
      <c r="M3566" s="5"/>
      <c r="N3566" s="5"/>
      <c r="O3566" s="5"/>
    </row>
    <row r="3567" spans="2:15" x14ac:dyDescent="0.55000000000000004">
      <c r="B3567" s="5"/>
      <c r="C3567" s="5"/>
      <c r="D3567" s="5"/>
      <c r="E3567" s="5"/>
      <c r="F3567" s="5"/>
      <c r="G3567" s="5"/>
      <c r="H3567" s="5"/>
      <c r="I3567" s="5"/>
      <c r="J3567" s="5"/>
      <c r="K3567" s="5"/>
      <c r="L3567" s="5"/>
      <c r="M3567" s="5"/>
      <c r="N3567" s="5"/>
      <c r="O3567" s="5"/>
    </row>
    <row r="3568" spans="2:15" x14ac:dyDescent="0.55000000000000004">
      <c r="B3568" s="5"/>
      <c r="C3568" s="5"/>
      <c r="D3568" s="5"/>
      <c r="E3568" s="5"/>
      <c r="F3568" s="5"/>
      <c r="G3568" s="5"/>
      <c r="H3568" s="5"/>
      <c r="I3568" s="5"/>
      <c r="J3568" s="5"/>
      <c r="K3568" s="5"/>
      <c r="L3568" s="5"/>
      <c r="M3568" s="5"/>
      <c r="N3568" s="5"/>
      <c r="O3568" s="5"/>
    </row>
    <row r="3569" spans="2:15" x14ac:dyDescent="0.55000000000000004">
      <c r="B3569" s="5"/>
      <c r="C3569" s="5"/>
      <c r="D3569" s="5"/>
      <c r="E3569" s="5"/>
      <c r="F3569" s="5"/>
      <c r="G3569" s="5"/>
      <c r="H3569" s="5"/>
      <c r="I3569" s="5"/>
      <c r="J3569" s="5"/>
      <c r="K3569" s="5"/>
      <c r="L3569" s="5"/>
      <c r="M3569" s="5"/>
      <c r="N3569" s="5"/>
      <c r="O3569" s="5"/>
    </row>
    <row r="3570" spans="2:15" x14ac:dyDescent="0.55000000000000004">
      <c r="B3570" s="5"/>
      <c r="C3570" s="5"/>
      <c r="D3570" s="5"/>
      <c r="E3570" s="5"/>
      <c r="F3570" s="5"/>
      <c r="G3570" s="5"/>
      <c r="H3570" s="5"/>
      <c r="I3570" s="5"/>
      <c r="J3570" s="5"/>
      <c r="K3570" s="5"/>
      <c r="L3570" s="5"/>
      <c r="M3570" s="5"/>
      <c r="N3570" s="5"/>
      <c r="O3570" s="5"/>
    </row>
    <row r="3571" spans="2:15" x14ac:dyDescent="0.55000000000000004">
      <c r="B3571" s="5"/>
      <c r="C3571" s="5"/>
      <c r="D3571" s="5"/>
      <c r="E3571" s="5"/>
      <c r="F3571" s="5"/>
      <c r="G3571" s="5"/>
      <c r="H3571" s="5"/>
      <c r="I3571" s="5"/>
      <c r="J3571" s="5"/>
      <c r="K3571" s="5"/>
      <c r="L3571" s="5"/>
      <c r="M3571" s="5"/>
      <c r="N3571" s="5"/>
      <c r="O3571" s="5"/>
    </row>
    <row r="3572" spans="2:15" x14ac:dyDescent="0.55000000000000004">
      <c r="B3572" s="5"/>
      <c r="C3572" s="5"/>
      <c r="D3572" s="5"/>
      <c r="E3572" s="5"/>
      <c r="F3572" s="5"/>
      <c r="G3572" s="5"/>
      <c r="H3572" s="5"/>
      <c r="I3572" s="5"/>
      <c r="J3572" s="5"/>
      <c r="K3572" s="5"/>
      <c r="L3572" s="5"/>
      <c r="M3572" s="5"/>
      <c r="N3572" s="5"/>
      <c r="O3572" s="5"/>
    </row>
    <row r="3573" spans="2:15" x14ac:dyDescent="0.55000000000000004">
      <c r="B3573" s="5"/>
      <c r="C3573" s="5"/>
      <c r="D3573" s="5"/>
      <c r="E3573" s="5"/>
      <c r="F3573" s="5"/>
      <c r="G3573" s="5"/>
      <c r="H3573" s="5"/>
      <c r="I3573" s="5"/>
      <c r="J3573" s="5"/>
      <c r="K3573" s="5"/>
      <c r="L3573" s="5"/>
      <c r="M3573" s="5"/>
      <c r="N3573" s="5"/>
      <c r="O3573" s="5"/>
    </row>
    <row r="3574" spans="2:15" x14ac:dyDescent="0.55000000000000004">
      <c r="B3574" s="5"/>
      <c r="C3574" s="5"/>
      <c r="D3574" s="5"/>
      <c r="E3574" s="5"/>
      <c r="F3574" s="5"/>
      <c r="G3574" s="5"/>
      <c r="H3574" s="5"/>
      <c r="I3574" s="5"/>
      <c r="J3574" s="5"/>
      <c r="K3574" s="5"/>
      <c r="L3574" s="5"/>
      <c r="M3574" s="5"/>
      <c r="N3574" s="5"/>
      <c r="O3574" s="5"/>
    </row>
    <row r="3575" spans="2:15" x14ac:dyDescent="0.55000000000000004">
      <c r="B3575" s="5"/>
      <c r="C3575" s="5"/>
      <c r="D3575" s="5"/>
      <c r="E3575" s="5"/>
      <c r="F3575" s="5"/>
      <c r="G3575" s="5"/>
      <c r="H3575" s="5"/>
      <c r="I3575" s="5"/>
      <c r="J3575" s="5"/>
      <c r="K3575" s="5"/>
      <c r="L3575" s="5"/>
      <c r="M3575" s="5"/>
      <c r="N3575" s="5"/>
      <c r="O3575" s="5"/>
    </row>
    <row r="3576" spans="2:15" x14ac:dyDescent="0.55000000000000004">
      <c r="B3576" s="5"/>
      <c r="C3576" s="5"/>
      <c r="D3576" s="5"/>
      <c r="E3576" s="5"/>
      <c r="F3576" s="5"/>
      <c r="G3576" s="5"/>
      <c r="H3576" s="5"/>
      <c r="I3576" s="5"/>
      <c r="J3576" s="5"/>
      <c r="K3576" s="5"/>
      <c r="L3576" s="5"/>
      <c r="M3576" s="5"/>
      <c r="N3576" s="5"/>
      <c r="O3576" s="5"/>
    </row>
    <row r="3577" spans="2:15" x14ac:dyDescent="0.55000000000000004">
      <c r="B3577" s="5"/>
      <c r="C3577" s="5"/>
      <c r="D3577" s="5"/>
      <c r="E3577" s="5"/>
      <c r="F3577" s="5"/>
      <c r="G3577" s="5"/>
      <c r="H3577" s="5"/>
      <c r="I3577" s="5"/>
      <c r="J3577" s="5"/>
      <c r="K3577" s="5"/>
      <c r="L3577" s="5"/>
      <c r="M3577" s="5"/>
      <c r="N3577" s="5"/>
      <c r="O3577" s="5"/>
    </row>
    <row r="3578" spans="2:15" x14ac:dyDescent="0.55000000000000004">
      <c r="B3578" s="5"/>
      <c r="C3578" s="5"/>
      <c r="D3578" s="5"/>
      <c r="E3578" s="5"/>
      <c r="F3578" s="5"/>
      <c r="G3578" s="5"/>
      <c r="H3578" s="5"/>
      <c r="I3578" s="5"/>
      <c r="J3578" s="5"/>
      <c r="K3578" s="5"/>
      <c r="L3578" s="5"/>
      <c r="M3578" s="5"/>
      <c r="N3578" s="5"/>
      <c r="O3578" s="5"/>
    </row>
    <row r="3579" spans="2:15" x14ac:dyDescent="0.55000000000000004">
      <c r="B3579" s="5"/>
      <c r="C3579" s="5"/>
      <c r="D3579" s="5"/>
      <c r="E3579" s="5"/>
      <c r="F3579" s="5"/>
      <c r="G3579" s="5"/>
      <c r="H3579" s="5"/>
      <c r="I3579" s="5"/>
      <c r="J3579" s="5"/>
      <c r="K3579" s="5"/>
      <c r="L3579" s="5"/>
      <c r="M3579" s="5"/>
      <c r="N3579" s="5"/>
      <c r="O3579" s="5"/>
    </row>
    <row r="3580" spans="2:15" x14ac:dyDescent="0.55000000000000004">
      <c r="B3580" s="5"/>
      <c r="C3580" s="5"/>
      <c r="D3580" s="5"/>
      <c r="E3580" s="5"/>
      <c r="F3580" s="5"/>
      <c r="G3580" s="5"/>
      <c r="H3580" s="5"/>
      <c r="I3580" s="5"/>
      <c r="J3580" s="5"/>
      <c r="K3580" s="5"/>
      <c r="L3580" s="5"/>
      <c r="M3580" s="5"/>
      <c r="N3580" s="5"/>
      <c r="O3580" s="5"/>
    </row>
    <row r="3581" spans="2:15" x14ac:dyDescent="0.55000000000000004">
      <c r="B3581" s="5"/>
      <c r="C3581" s="5"/>
      <c r="D3581" s="5"/>
      <c r="E3581" s="5"/>
      <c r="F3581" s="5"/>
      <c r="G3581" s="5"/>
      <c r="H3581" s="5"/>
      <c r="I3581" s="5"/>
      <c r="J3581" s="5"/>
      <c r="K3581" s="5"/>
      <c r="L3581" s="5"/>
      <c r="M3581" s="5"/>
      <c r="N3581" s="5"/>
      <c r="O3581" s="5"/>
    </row>
    <row r="3582" spans="2:15" x14ac:dyDescent="0.55000000000000004">
      <c r="B3582" s="5"/>
      <c r="C3582" s="5"/>
      <c r="D3582" s="5"/>
      <c r="E3582" s="5"/>
      <c r="F3582" s="5"/>
      <c r="G3582" s="5"/>
      <c r="H3582" s="5"/>
      <c r="I3582" s="5"/>
      <c r="J3582" s="5"/>
      <c r="K3582" s="5"/>
      <c r="L3582" s="5"/>
      <c r="M3582" s="5"/>
      <c r="N3582" s="5"/>
      <c r="O3582" s="5"/>
    </row>
    <row r="3583" spans="2:15" x14ac:dyDescent="0.55000000000000004">
      <c r="B3583" s="5"/>
      <c r="C3583" s="5"/>
      <c r="D3583" s="5"/>
      <c r="E3583" s="5"/>
      <c r="F3583" s="5"/>
      <c r="G3583" s="5"/>
      <c r="H3583" s="5"/>
      <c r="I3583" s="5"/>
      <c r="J3583" s="5"/>
      <c r="K3583" s="5"/>
      <c r="L3583" s="5"/>
      <c r="M3583" s="5"/>
      <c r="N3583" s="5"/>
      <c r="O3583" s="5"/>
    </row>
    <row r="3584" spans="2:15" x14ac:dyDescent="0.55000000000000004">
      <c r="B3584" s="5"/>
      <c r="C3584" s="5"/>
      <c r="D3584" s="5"/>
      <c r="E3584" s="5"/>
      <c r="F3584" s="5"/>
      <c r="G3584" s="5"/>
      <c r="H3584" s="5"/>
      <c r="I3584" s="5"/>
      <c r="J3584" s="5"/>
      <c r="K3584" s="5"/>
      <c r="L3584" s="5"/>
      <c r="M3584" s="5"/>
      <c r="N3584" s="5"/>
      <c r="O3584" s="5"/>
    </row>
    <row r="3585" spans="2:15" x14ac:dyDescent="0.55000000000000004">
      <c r="B3585" s="5"/>
      <c r="C3585" s="5"/>
      <c r="D3585" s="5"/>
      <c r="E3585" s="5"/>
      <c r="F3585" s="5"/>
      <c r="G3585" s="5"/>
      <c r="H3585" s="5"/>
      <c r="I3585" s="5"/>
      <c r="J3585" s="5"/>
      <c r="K3585" s="5"/>
      <c r="L3585" s="5"/>
      <c r="M3585" s="5"/>
      <c r="N3585" s="5"/>
      <c r="O3585" s="5"/>
    </row>
    <row r="3586" spans="2:15" x14ac:dyDescent="0.55000000000000004">
      <c r="B3586" s="5"/>
      <c r="C3586" s="5"/>
      <c r="D3586" s="5"/>
      <c r="E3586" s="5"/>
      <c r="F3586" s="5"/>
      <c r="G3586" s="5"/>
      <c r="H3586" s="5"/>
      <c r="I3586" s="5"/>
      <c r="J3586" s="5"/>
      <c r="K3586" s="5"/>
      <c r="L3586" s="5"/>
      <c r="M3586" s="5"/>
      <c r="N3586" s="5"/>
      <c r="O3586" s="5"/>
    </row>
    <row r="3587" spans="2:15" x14ac:dyDescent="0.55000000000000004">
      <c r="B3587" s="5"/>
      <c r="C3587" s="5"/>
      <c r="D3587" s="5"/>
      <c r="E3587" s="5"/>
      <c r="F3587" s="5"/>
      <c r="G3587" s="5"/>
      <c r="H3587" s="5"/>
      <c r="I3587" s="5"/>
      <c r="J3587" s="5"/>
      <c r="K3587" s="5"/>
      <c r="L3587" s="5"/>
      <c r="M3587" s="5"/>
      <c r="N3587" s="5"/>
      <c r="O3587" s="5"/>
    </row>
    <row r="3588" spans="2:15" x14ac:dyDescent="0.55000000000000004">
      <c r="B3588" s="5"/>
      <c r="C3588" s="5"/>
      <c r="D3588" s="5"/>
      <c r="E3588" s="5"/>
      <c r="F3588" s="5"/>
      <c r="G3588" s="5"/>
      <c r="H3588" s="5"/>
      <c r="I3588" s="5"/>
      <c r="J3588" s="5"/>
      <c r="K3588" s="5"/>
      <c r="L3588" s="5"/>
      <c r="M3588" s="5"/>
      <c r="N3588" s="5"/>
      <c r="O3588" s="5"/>
    </row>
    <row r="3589" spans="2:15" x14ac:dyDescent="0.55000000000000004">
      <c r="B3589" s="5"/>
      <c r="C3589" s="5"/>
      <c r="D3589" s="5"/>
      <c r="E3589" s="5"/>
      <c r="F3589" s="5"/>
      <c r="G3589" s="5"/>
      <c r="H3589" s="5"/>
      <c r="I3589" s="5"/>
      <c r="J3589" s="5"/>
      <c r="K3589" s="5"/>
      <c r="L3589" s="5"/>
      <c r="M3589" s="5"/>
      <c r="N3589" s="5"/>
      <c r="O3589" s="5"/>
    </row>
    <row r="3590" spans="2:15" x14ac:dyDescent="0.55000000000000004">
      <c r="B3590" s="5"/>
      <c r="C3590" s="5"/>
      <c r="D3590" s="5"/>
      <c r="E3590" s="5"/>
      <c r="F3590" s="5"/>
      <c r="G3590" s="5"/>
      <c r="H3590" s="5"/>
      <c r="I3590" s="5"/>
      <c r="J3590" s="5"/>
      <c r="K3590" s="5"/>
      <c r="L3590" s="5"/>
      <c r="M3590" s="5"/>
      <c r="N3590" s="5"/>
      <c r="O3590" s="5"/>
    </row>
    <row r="3591" spans="2:15" x14ac:dyDescent="0.55000000000000004">
      <c r="B3591" s="5"/>
      <c r="C3591" s="5"/>
      <c r="D3591" s="5"/>
      <c r="E3591" s="5"/>
      <c r="F3591" s="5"/>
      <c r="G3591" s="5"/>
      <c r="H3591" s="5"/>
      <c r="I3591" s="5"/>
      <c r="J3591" s="5"/>
      <c r="K3591" s="5"/>
      <c r="L3591" s="5"/>
      <c r="M3591" s="5"/>
      <c r="N3591" s="5"/>
      <c r="O3591" s="5"/>
    </row>
    <row r="3592" spans="2:15" x14ac:dyDescent="0.55000000000000004">
      <c r="B3592" s="5"/>
      <c r="C3592" s="5"/>
      <c r="D3592" s="5"/>
      <c r="E3592" s="5"/>
      <c r="F3592" s="5"/>
      <c r="G3592" s="5"/>
      <c r="H3592" s="5"/>
      <c r="I3592" s="5"/>
      <c r="J3592" s="5"/>
      <c r="K3592" s="5"/>
      <c r="L3592" s="5"/>
      <c r="M3592" s="5"/>
      <c r="N3592" s="5"/>
      <c r="O3592" s="5"/>
    </row>
    <row r="3593" spans="2:15" x14ac:dyDescent="0.55000000000000004">
      <c r="B3593" s="5"/>
      <c r="C3593" s="5"/>
      <c r="D3593" s="5"/>
      <c r="E3593" s="5"/>
      <c r="F3593" s="5"/>
      <c r="G3593" s="5"/>
      <c r="H3593" s="5"/>
      <c r="I3593" s="5"/>
      <c r="J3593" s="5"/>
      <c r="K3593" s="5"/>
      <c r="L3593" s="5"/>
      <c r="M3593" s="5"/>
      <c r="N3593" s="5"/>
      <c r="O3593" s="5"/>
    </row>
    <row r="3594" spans="2:15" x14ac:dyDescent="0.55000000000000004">
      <c r="B3594" s="5"/>
      <c r="C3594" s="5"/>
      <c r="D3594" s="5"/>
      <c r="E3594" s="5"/>
      <c r="F3594" s="5"/>
      <c r="G3594" s="5"/>
      <c r="H3594" s="5"/>
      <c r="I3594" s="5"/>
      <c r="J3594" s="5"/>
      <c r="K3594" s="5"/>
      <c r="L3594" s="5"/>
      <c r="M3594" s="5"/>
      <c r="N3594" s="5"/>
      <c r="O3594" s="5"/>
    </row>
    <row r="3595" spans="2:15" x14ac:dyDescent="0.55000000000000004">
      <c r="B3595" s="5"/>
      <c r="C3595" s="5"/>
      <c r="D3595" s="5"/>
      <c r="E3595" s="5"/>
      <c r="F3595" s="5"/>
      <c r="G3595" s="5"/>
      <c r="H3595" s="5"/>
      <c r="I3595" s="5"/>
      <c r="J3595" s="5"/>
      <c r="K3595" s="5"/>
      <c r="L3595" s="5"/>
      <c r="M3595" s="5"/>
      <c r="N3595" s="5"/>
      <c r="O3595" s="5"/>
    </row>
    <row r="3596" spans="2:15" x14ac:dyDescent="0.55000000000000004">
      <c r="B3596" s="5"/>
      <c r="C3596" s="5"/>
      <c r="D3596" s="5"/>
      <c r="E3596" s="5"/>
      <c r="F3596" s="5"/>
      <c r="G3596" s="5"/>
      <c r="H3596" s="5"/>
      <c r="I3596" s="5"/>
      <c r="J3596" s="5"/>
      <c r="K3596" s="5"/>
      <c r="L3596" s="5"/>
      <c r="M3596" s="5"/>
      <c r="N3596" s="5"/>
      <c r="O3596" s="5"/>
    </row>
    <row r="3597" spans="2:15" x14ac:dyDescent="0.55000000000000004">
      <c r="B3597" s="5"/>
      <c r="C3597" s="5"/>
      <c r="D3597" s="5"/>
      <c r="E3597" s="5"/>
      <c r="F3597" s="5"/>
      <c r="G3597" s="5"/>
      <c r="H3597" s="5"/>
      <c r="I3597" s="5"/>
      <c r="J3597" s="5"/>
      <c r="K3597" s="5"/>
      <c r="L3597" s="5"/>
      <c r="M3597" s="5"/>
      <c r="N3597" s="5"/>
      <c r="O3597" s="5"/>
    </row>
    <row r="3598" spans="2:15" x14ac:dyDescent="0.55000000000000004">
      <c r="B3598" s="5"/>
      <c r="C3598" s="5"/>
      <c r="D3598" s="5"/>
      <c r="E3598" s="5"/>
      <c r="F3598" s="5"/>
      <c r="G3598" s="5"/>
      <c r="H3598" s="5"/>
      <c r="I3598" s="5"/>
      <c r="J3598" s="5"/>
      <c r="K3598" s="5"/>
      <c r="L3598" s="5"/>
      <c r="M3598" s="5"/>
      <c r="N3598" s="5"/>
      <c r="O3598" s="5"/>
    </row>
    <row r="3599" spans="2:15" x14ac:dyDescent="0.55000000000000004">
      <c r="B3599" s="5"/>
      <c r="C3599" s="5"/>
      <c r="D3599" s="5"/>
      <c r="E3599" s="5"/>
      <c r="F3599" s="5"/>
      <c r="G3599" s="5"/>
      <c r="H3599" s="5"/>
      <c r="I3599" s="5"/>
      <c r="J3599" s="5"/>
      <c r="K3599" s="5"/>
      <c r="L3599" s="5"/>
      <c r="M3599" s="5"/>
      <c r="N3599" s="5"/>
      <c r="O3599" s="5"/>
    </row>
    <row r="3600" spans="2:15" x14ac:dyDescent="0.55000000000000004">
      <c r="B3600" s="5"/>
      <c r="C3600" s="5"/>
      <c r="D3600" s="5"/>
      <c r="E3600" s="5"/>
      <c r="F3600" s="5"/>
      <c r="G3600" s="5"/>
      <c r="H3600" s="5"/>
      <c r="I3600" s="5"/>
      <c r="J3600" s="5"/>
      <c r="K3600" s="5"/>
      <c r="L3600" s="5"/>
      <c r="M3600" s="5"/>
      <c r="N3600" s="5"/>
      <c r="O3600" s="5"/>
    </row>
    <row r="3601" spans="2:15" x14ac:dyDescent="0.55000000000000004">
      <c r="B3601" s="5"/>
      <c r="C3601" s="5"/>
      <c r="D3601" s="5"/>
      <c r="E3601" s="5"/>
      <c r="F3601" s="5"/>
      <c r="G3601" s="5"/>
      <c r="H3601" s="5"/>
      <c r="I3601" s="5"/>
      <c r="J3601" s="5"/>
      <c r="K3601" s="5"/>
      <c r="L3601" s="5"/>
      <c r="M3601" s="5"/>
      <c r="N3601" s="5"/>
      <c r="O3601" s="5"/>
    </row>
    <row r="3602" spans="2:15" x14ac:dyDescent="0.55000000000000004">
      <c r="B3602" s="5"/>
      <c r="C3602" s="5"/>
      <c r="D3602" s="5"/>
      <c r="E3602" s="5"/>
      <c r="F3602" s="5"/>
      <c r="G3602" s="5"/>
      <c r="H3602" s="5"/>
      <c r="I3602" s="5"/>
      <c r="J3602" s="5"/>
      <c r="K3602" s="5"/>
      <c r="L3602" s="5"/>
      <c r="M3602" s="5"/>
      <c r="N3602" s="5"/>
      <c r="O3602" s="5"/>
    </row>
    <row r="3603" spans="2:15" x14ac:dyDescent="0.55000000000000004">
      <c r="B3603" s="5"/>
      <c r="C3603" s="5"/>
      <c r="D3603" s="5"/>
      <c r="E3603" s="5"/>
      <c r="F3603" s="5"/>
      <c r="G3603" s="5"/>
      <c r="H3603" s="5"/>
      <c r="I3603" s="5"/>
      <c r="J3603" s="5"/>
      <c r="K3603" s="5"/>
      <c r="L3603" s="5"/>
      <c r="M3603" s="5"/>
      <c r="N3603" s="5"/>
      <c r="O3603" s="5"/>
    </row>
    <row r="3604" spans="2:15" x14ac:dyDescent="0.55000000000000004">
      <c r="B3604" s="5"/>
      <c r="C3604" s="5"/>
      <c r="D3604" s="5"/>
      <c r="E3604" s="5"/>
      <c r="F3604" s="5"/>
      <c r="G3604" s="5"/>
      <c r="H3604" s="5"/>
      <c r="I3604" s="5"/>
      <c r="J3604" s="5"/>
      <c r="K3604" s="5"/>
      <c r="L3604" s="5"/>
      <c r="M3604" s="5"/>
      <c r="N3604" s="5"/>
      <c r="O3604" s="5"/>
    </row>
    <row r="3605" spans="2:15" x14ac:dyDescent="0.55000000000000004">
      <c r="B3605" s="5"/>
      <c r="C3605" s="5"/>
      <c r="D3605" s="5"/>
      <c r="E3605" s="5"/>
      <c r="F3605" s="5"/>
      <c r="G3605" s="5"/>
      <c r="H3605" s="5"/>
      <c r="I3605" s="5"/>
      <c r="J3605" s="5"/>
      <c r="K3605" s="5"/>
      <c r="L3605" s="5"/>
      <c r="M3605" s="5"/>
      <c r="N3605" s="5"/>
      <c r="O3605" s="5"/>
    </row>
    <row r="3606" spans="2:15" x14ac:dyDescent="0.55000000000000004">
      <c r="B3606" s="5"/>
      <c r="C3606" s="5"/>
      <c r="D3606" s="5"/>
      <c r="E3606" s="5"/>
      <c r="F3606" s="5"/>
      <c r="G3606" s="5"/>
      <c r="H3606" s="5"/>
      <c r="I3606" s="5"/>
      <c r="J3606" s="5"/>
      <c r="K3606" s="5"/>
      <c r="L3606" s="5"/>
      <c r="M3606" s="5"/>
      <c r="N3606" s="5"/>
      <c r="O3606" s="5"/>
    </row>
    <row r="3607" spans="2:15" x14ac:dyDescent="0.55000000000000004">
      <c r="B3607" s="5"/>
      <c r="C3607" s="5"/>
      <c r="D3607" s="5"/>
      <c r="E3607" s="5"/>
      <c r="F3607" s="5"/>
      <c r="G3607" s="5"/>
      <c r="H3607" s="5"/>
      <c r="I3607" s="5"/>
      <c r="J3607" s="5"/>
      <c r="K3607" s="5"/>
      <c r="L3607" s="5"/>
      <c r="M3607" s="5"/>
      <c r="N3607" s="5"/>
      <c r="O3607" s="5"/>
    </row>
    <row r="3608" spans="2:15" x14ac:dyDescent="0.55000000000000004">
      <c r="B3608" s="5"/>
      <c r="C3608" s="5"/>
      <c r="D3608" s="5"/>
      <c r="E3608" s="5"/>
      <c r="F3608" s="5"/>
      <c r="G3608" s="5"/>
      <c r="H3608" s="5"/>
      <c r="I3608" s="5"/>
      <c r="J3608" s="5"/>
      <c r="K3608" s="5"/>
      <c r="L3608" s="5"/>
      <c r="M3608" s="5"/>
      <c r="N3608" s="5"/>
      <c r="O3608" s="5"/>
    </row>
    <row r="3609" spans="2:15" x14ac:dyDescent="0.55000000000000004">
      <c r="B3609" s="5"/>
      <c r="C3609" s="5"/>
      <c r="D3609" s="5"/>
      <c r="E3609" s="5"/>
      <c r="F3609" s="5"/>
      <c r="G3609" s="5"/>
      <c r="H3609" s="5"/>
      <c r="I3609" s="5"/>
      <c r="J3609" s="5"/>
      <c r="K3609" s="5"/>
      <c r="L3609" s="5"/>
      <c r="M3609" s="5"/>
      <c r="N3609" s="5"/>
      <c r="O3609" s="5"/>
    </row>
    <row r="3610" spans="2:15" x14ac:dyDescent="0.55000000000000004">
      <c r="B3610" s="5"/>
      <c r="C3610" s="5"/>
      <c r="D3610" s="5"/>
      <c r="E3610" s="5"/>
      <c r="F3610" s="5"/>
      <c r="G3610" s="5"/>
      <c r="H3610" s="5"/>
      <c r="I3610" s="5"/>
      <c r="J3610" s="5"/>
      <c r="K3610" s="5"/>
      <c r="L3610" s="5"/>
      <c r="M3610" s="5"/>
      <c r="N3610" s="5"/>
      <c r="O3610" s="5"/>
    </row>
    <row r="3611" spans="2:15" x14ac:dyDescent="0.55000000000000004">
      <c r="B3611" s="5"/>
      <c r="C3611" s="5"/>
      <c r="D3611" s="5"/>
      <c r="E3611" s="5"/>
      <c r="F3611" s="5"/>
      <c r="G3611" s="5"/>
      <c r="H3611" s="5"/>
      <c r="I3611" s="5"/>
      <c r="J3611" s="5"/>
      <c r="K3611" s="5"/>
      <c r="L3611" s="5"/>
      <c r="M3611" s="5"/>
      <c r="N3611" s="5"/>
      <c r="O3611" s="5"/>
    </row>
    <row r="3612" spans="2:15" x14ac:dyDescent="0.55000000000000004">
      <c r="B3612" s="5"/>
      <c r="C3612" s="5"/>
      <c r="D3612" s="5"/>
      <c r="E3612" s="5"/>
      <c r="F3612" s="5"/>
      <c r="G3612" s="5"/>
      <c r="H3612" s="5"/>
      <c r="I3612" s="5"/>
      <c r="J3612" s="5"/>
      <c r="K3612" s="5"/>
      <c r="L3612" s="5"/>
      <c r="M3612" s="5"/>
      <c r="N3612" s="5"/>
      <c r="O3612" s="5"/>
    </row>
    <row r="3613" spans="2:15" x14ac:dyDescent="0.55000000000000004">
      <c r="B3613" s="5"/>
      <c r="C3613" s="5"/>
      <c r="D3613" s="5"/>
      <c r="E3613" s="5"/>
      <c r="F3613" s="5"/>
      <c r="G3613" s="5"/>
      <c r="H3613" s="5"/>
      <c r="I3613" s="5"/>
      <c r="J3613" s="5"/>
      <c r="K3613" s="5"/>
      <c r="L3613" s="5"/>
      <c r="M3613" s="5"/>
      <c r="N3613" s="5"/>
      <c r="O3613" s="5"/>
    </row>
    <row r="3614" spans="2:15" x14ac:dyDescent="0.55000000000000004">
      <c r="B3614" s="5"/>
      <c r="C3614" s="5"/>
      <c r="D3614" s="5"/>
      <c r="E3614" s="5"/>
      <c r="F3614" s="5"/>
      <c r="G3614" s="5"/>
      <c r="H3614" s="5"/>
      <c r="I3614" s="5"/>
      <c r="J3614" s="5"/>
      <c r="K3614" s="5"/>
      <c r="L3614" s="5"/>
      <c r="M3614" s="5"/>
      <c r="N3614" s="5"/>
      <c r="O3614" s="5"/>
    </row>
    <row r="3615" spans="2:15" x14ac:dyDescent="0.55000000000000004">
      <c r="B3615" s="5"/>
      <c r="C3615" s="5"/>
      <c r="D3615" s="5"/>
      <c r="E3615" s="5"/>
      <c r="F3615" s="5"/>
      <c r="G3615" s="5"/>
      <c r="H3615" s="5"/>
      <c r="I3615" s="5"/>
      <c r="J3615" s="5"/>
      <c r="K3615" s="5"/>
      <c r="L3615" s="5"/>
      <c r="M3615" s="5"/>
      <c r="N3615" s="5"/>
      <c r="O3615" s="5"/>
    </row>
    <row r="3616" spans="2:15" x14ac:dyDescent="0.55000000000000004">
      <c r="B3616" s="5"/>
      <c r="C3616" s="5"/>
      <c r="D3616" s="5"/>
      <c r="E3616" s="5"/>
      <c r="F3616" s="5"/>
      <c r="G3616" s="5"/>
      <c r="H3616" s="5"/>
      <c r="I3616" s="5"/>
      <c r="J3616" s="5"/>
      <c r="K3616" s="5"/>
      <c r="L3616" s="5"/>
      <c r="M3616" s="5"/>
      <c r="N3616" s="5"/>
      <c r="O3616" s="5"/>
    </row>
    <row r="3617" spans="2:15" x14ac:dyDescent="0.55000000000000004">
      <c r="B3617" s="5"/>
      <c r="C3617" s="5"/>
      <c r="D3617" s="5"/>
      <c r="E3617" s="5"/>
      <c r="F3617" s="5"/>
      <c r="G3617" s="5"/>
      <c r="H3617" s="5"/>
      <c r="I3617" s="5"/>
      <c r="J3617" s="5"/>
      <c r="K3617" s="5"/>
      <c r="L3617" s="5"/>
      <c r="M3617" s="5"/>
      <c r="N3617" s="5"/>
      <c r="O3617" s="5"/>
    </row>
    <row r="3618" spans="2:15" x14ac:dyDescent="0.55000000000000004">
      <c r="B3618" s="5"/>
      <c r="C3618" s="5"/>
      <c r="D3618" s="5"/>
      <c r="E3618" s="5"/>
      <c r="F3618" s="5"/>
      <c r="G3618" s="5"/>
      <c r="H3618" s="5"/>
      <c r="I3618" s="5"/>
      <c r="J3618" s="5"/>
      <c r="K3618" s="5"/>
      <c r="L3618" s="5"/>
      <c r="M3618" s="5"/>
      <c r="N3618" s="5"/>
      <c r="O3618" s="5"/>
    </row>
    <row r="3619" spans="2:15" x14ac:dyDescent="0.55000000000000004">
      <c r="B3619" s="5"/>
      <c r="C3619" s="5"/>
      <c r="D3619" s="5"/>
      <c r="E3619" s="5"/>
      <c r="F3619" s="5"/>
      <c r="G3619" s="5"/>
      <c r="H3619" s="5"/>
      <c r="I3619" s="5"/>
      <c r="J3619" s="5"/>
      <c r="K3619" s="5"/>
      <c r="L3619" s="5"/>
      <c r="M3619" s="5"/>
      <c r="N3619" s="5"/>
      <c r="O3619" s="5"/>
    </row>
    <row r="3620" spans="2:15" x14ac:dyDescent="0.55000000000000004">
      <c r="B3620" s="5"/>
      <c r="C3620" s="5"/>
      <c r="D3620" s="5"/>
      <c r="E3620" s="5"/>
      <c r="F3620" s="5"/>
      <c r="G3620" s="5"/>
      <c r="H3620" s="5"/>
      <c r="I3620" s="5"/>
      <c r="J3620" s="5"/>
      <c r="K3620" s="5"/>
      <c r="L3620" s="5"/>
      <c r="M3620" s="5"/>
      <c r="N3620" s="5"/>
      <c r="O3620" s="5"/>
    </row>
    <row r="3621" spans="2:15" x14ac:dyDescent="0.55000000000000004">
      <c r="B3621" s="5"/>
      <c r="C3621" s="5"/>
      <c r="D3621" s="5"/>
      <c r="E3621" s="5"/>
      <c r="F3621" s="5"/>
      <c r="G3621" s="5"/>
      <c r="H3621" s="5"/>
      <c r="I3621" s="5"/>
      <c r="J3621" s="5"/>
      <c r="K3621" s="5"/>
      <c r="L3621" s="5"/>
      <c r="M3621" s="5"/>
      <c r="N3621" s="5"/>
      <c r="O3621" s="5"/>
    </row>
    <row r="3622" spans="2:15" x14ac:dyDescent="0.55000000000000004">
      <c r="B3622" s="5"/>
      <c r="C3622" s="5"/>
      <c r="D3622" s="5"/>
      <c r="E3622" s="5"/>
      <c r="F3622" s="5"/>
      <c r="G3622" s="5"/>
      <c r="H3622" s="5"/>
      <c r="I3622" s="5"/>
      <c r="J3622" s="5"/>
      <c r="K3622" s="5"/>
      <c r="L3622" s="5"/>
      <c r="M3622" s="5"/>
      <c r="N3622" s="5"/>
      <c r="O3622" s="5"/>
    </row>
    <row r="3623" spans="2:15" x14ac:dyDescent="0.55000000000000004">
      <c r="B3623" s="5"/>
      <c r="C3623" s="5"/>
      <c r="D3623" s="5"/>
      <c r="E3623" s="5"/>
      <c r="F3623" s="5"/>
      <c r="G3623" s="5"/>
      <c r="H3623" s="5"/>
      <c r="I3623" s="5"/>
      <c r="J3623" s="5"/>
      <c r="K3623" s="5"/>
      <c r="L3623" s="5"/>
      <c r="M3623" s="5"/>
      <c r="N3623" s="5"/>
      <c r="O3623" s="5"/>
    </row>
    <row r="3624" spans="2:15" x14ac:dyDescent="0.55000000000000004">
      <c r="B3624" s="5"/>
      <c r="C3624" s="5"/>
      <c r="D3624" s="5"/>
      <c r="E3624" s="5"/>
      <c r="F3624" s="5"/>
      <c r="G3624" s="5"/>
      <c r="H3624" s="5"/>
      <c r="I3624" s="5"/>
      <c r="J3624" s="5"/>
      <c r="K3624" s="5"/>
      <c r="L3624" s="5"/>
      <c r="M3624" s="5"/>
      <c r="N3624" s="5"/>
      <c r="O3624" s="5"/>
    </row>
    <row r="3625" spans="2:15" x14ac:dyDescent="0.55000000000000004">
      <c r="B3625" s="5"/>
      <c r="C3625" s="5"/>
      <c r="D3625" s="5"/>
      <c r="E3625" s="5"/>
      <c r="F3625" s="5"/>
      <c r="G3625" s="5"/>
      <c r="H3625" s="5"/>
      <c r="I3625" s="5"/>
      <c r="J3625" s="5"/>
      <c r="K3625" s="5"/>
      <c r="L3625" s="5"/>
      <c r="M3625" s="5"/>
      <c r="N3625" s="5"/>
      <c r="O3625" s="5"/>
    </row>
    <row r="3626" spans="2:15" x14ac:dyDescent="0.55000000000000004">
      <c r="B3626" s="5"/>
      <c r="C3626" s="5"/>
      <c r="D3626" s="5"/>
      <c r="E3626" s="5"/>
      <c r="F3626" s="5"/>
      <c r="G3626" s="5"/>
      <c r="H3626" s="5"/>
      <c r="I3626" s="5"/>
      <c r="J3626" s="5"/>
      <c r="K3626" s="5"/>
      <c r="L3626" s="5"/>
      <c r="M3626" s="5"/>
      <c r="N3626" s="5"/>
      <c r="O3626" s="5"/>
    </row>
    <row r="3627" spans="2:15" x14ac:dyDescent="0.55000000000000004">
      <c r="B3627" s="5"/>
      <c r="C3627" s="5"/>
      <c r="D3627" s="5"/>
      <c r="E3627" s="5"/>
      <c r="F3627" s="5"/>
      <c r="G3627" s="5"/>
      <c r="H3627" s="5"/>
      <c r="I3627" s="5"/>
      <c r="J3627" s="5"/>
      <c r="K3627" s="5"/>
      <c r="L3627" s="5"/>
      <c r="M3627" s="5"/>
      <c r="N3627" s="5"/>
      <c r="O3627" s="5"/>
    </row>
    <row r="3628" spans="2:15" x14ac:dyDescent="0.55000000000000004">
      <c r="B3628" s="5"/>
      <c r="C3628" s="5"/>
      <c r="D3628" s="5"/>
      <c r="E3628" s="5"/>
      <c r="F3628" s="5"/>
      <c r="G3628" s="5"/>
      <c r="H3628" s="5"/>
      <c r="I3628" s="5"/>
      <c r="J3628" s="5"/>
      <c r="K3628" s="5"/>
      <c r="L3628" s="5"/>
      <c r="M3628" s="5"/>
      <c r="N3628" s="5"/>
      <c r="O3628" s="5"/>
    </row>
    <row r="3629" spans="2:15" x14ac:dyDescent="0.55000000000000004">
      <c r="B3629" s="5"/>
      <c r="C3629" s="5"/>
      <c r="D3629" s="5"/>
      <c r="E3629" s="5"/>
      <c r="F3629" s="5"/>
      <c r="G3629" s="5"/>
      <c r="H3629" s="5"/>
      <c r="I3629" s="5"/>
      <c r="J3629" s="5"/>
      <c r="K3629" s="5"/>
      <c r="L3629" s="5"/>
      <c r="M3629" s="5"/>
      <c r="N3629" s="5"/>
      <c r="O3629" s="5"/>
    </row>
    <row r="3630" spans="2:15" x14ac:dyDescent="0.55000000000000004">
      <c r="B3630" s="5"/>
      <c r="C3630" s="5"/>
      <c r="D3630" s="5"/>
      <c r="E3630" s="5"/>
      <c r="F3630" s="5"/>
      <c r="G3630" s="5"/>
      <c r="H3630" s="5"/>
      <c r="I3630" s="5"/>
      <c r="J3630" s="5"/>
      <c r="K3630" s="5"/>
      <c r="L3630" s="5"/>
      <c r="M3630" s="5"/>
      <c r="N3630" s="5"/>
      <c r="O3630" s="5"/>
    </row>
    <row r="3631" spans="2:15" x14ac:dyDescent="0.55000000000000004">
      <c r="B3631" s="5"/>
      <c r="C3631" s="5"/>
      <c r="D3631" s="5"/>
      <c r="E3631" s="5"/>
      <c r="F3631" s="5"/>
      <c r="G3631" s="5"/>
      <c r="H3631" s="5"/>
      <c r="I3631" s="5"/>
      <c r="J3631" s="5"/>
      <c r="K3631" s="5"/>
      <c r="L3631" s="5"/>
      <c r="M3631" s="5"/>
      <c r="N3631" s="5"/>
      <c r="O3631" s="5"/>
    </row>
    <row r="3632" spans="2:15" x14ac:dyDescent="0.55000000000000004">
      <c r="B3632" s="5"/>
      <c r="C3632" s="5"/>
      <c r="D3632" s="5"/>
      <c r="E3632" s="5"/>
      <c r="F3632" s="5"/>
      <c r="G3632" s="5"/>
      <c r="H3632" s="5"/>
      <c r="I3632" s="5"/>
      <c r="J3632" s="5"/>
      <c r="K3632" s="5"/>
      <c r="L3632" s="5"/>
      <c r="M3632" s="5"/>
      <c r="N3632" s="5"/>
      <c r="O3632" s="5"/>
    </row>
    <row r="3633" spans="2:15" x14ac:dyDescent="0.55000000000000004">
      <c r="B3633" s="5"/>
      <c r="C3633" s="5"/>
      <c r="D3633" s="5"/>
      <c r="E3633" s="5"/>
      <c r="F3633" s="5"/>
      <c r="G3633" s="5"/>
      <c r="H3633" s="5"/>
      <c r="I3633" s="5"/>
      <c r="J3633" s="5"/>
      <c r="K3633" s="5"/>
      <c r="L3633" s="5"/>
      <c r="M3633" s="5"/>
      <c r="N3633" s="5"/>
      <c r="O3633" s="5"/>
    </row>
    <row r="3634" spans="2:15" x14ac:dyDescent="0.55000000000000004">
      <c r="B3634" s="5"/>
      <c r="C3634" s="5"/>
      <c r="D3634" s="5"/>
      <c r="E3634" s="5"/>
      <c r="F3634" s="5"/>
      <c r="G3634" s="5"/>
      <c r="H3634" s="5"/>
      <c r="I3634" s="5"/>
      <c r="J3634" s="5"/>
      <c r="K3634" s="5"/>
      <c r="L3634" s="5"/>
      <c r="M3634" s="5"/>
      <c r="N3634" s="5"/>
      <c r="O3634" s="5"/>
    </row>
    <row r="3635" spans="2:15" x14ac:dyDescent="0.55000000000000004">
      <c r="B3635" s="5"/>
      <c r="C3635" s="5"/>
      <c r="D3635" s="5"/>
      <c r="E3635" s="5"/>
      <c r="F3635" s="5"/>
      <c r="G3635" s="5"/>
      <c r="H3635" s="5"/>
      <c r="I3635" s="5"/>
      <c r="J3635" s="5"/>
      <c r="K3635" s="5"/>
      <c r="L3635" s="5"/>
      <c r="M3635" s="5"/>
      <c r="N3635" s="5"/>
      <c r="O3635" s="5"/>
    </row>
    <row r="3636" spans="2:15" x14ac:dyDescent="0.55000000000000004">
      <c r="B3636" s="5"/>
      <c r="C3636" s="5"/>
      <c r="D3636" s="5"/>
      <c r="E3636" s="5"/>
      <c r="F3636" s="5"/>
      <c r="G3636" s="5"/>
      <c r="H3636" s="5"/>
      <c r="I3636" s="5"/>
      <c r="J3636" s="5"/>
      <c r="K3636" s="5"/>
      <c r="L3636" s="5"/>
      <c r="M3636" s="5"/>
      <c r="N3636" s="5"/>
      <c r="O3636" s="5"/>
    </row>
    <row r="3637" spans="2:15" x14ac:dyDescent="0.55000000000000004">
      <c r="B3637" s="5"/>
      <c r="C3637" s="5"/>
      <c r="D3637" s="5"/>
      <c r="E3637" s="5"/>
      <c r="F3637" s="5"/>
      <c r="G3637" s="5"/>
      <c r="H3637" s="5"/>
      <c r="I3637" s="5"/>
      <c r="J3637" s="5"/>
      <c r="K3637" s="5"/>
      <c r="L3637" s="5"/>
      <c r="M3637" s="5"/>
      <c r="N3637" s="5"/>
      <c r="O3637" s="5"/>
    </row>
    <row r="3638" spans="2:15" x14ac:dyDescent="0.55000000000000004">
      <c r="B3638" s="5"/>
      <c r="C3638" s="5"/>
      <c r="D3638" s="5"/>
      <c r="E3638" s="5"/>
      <c r="F3638" s="5"/>
      <c r="G3638" s="5"/>
      <c r="H3638" s="5"/>
      <c r="I3638" s="5"/>
      <c r="J3638" s="5"/>
      <c r="K3638" s="5"/>
      <c r="L3638" s="5"/>
      <c r="M3638" s="5"/>
      <c r="N3638" s="5"/>
      <c r="O3638" s="5"/>
    </row>
    <row r="3639" spans="2:15" x14ac:dyDescent="0.55000000000000004">
      <c r="B3639" s="5"/>
      <c r="C3639" s="5"/>
      <c r="D3639" s="5"/>
      <c r="E3639" s="5"/>
      <c r="F3639" s="5"/>
      <c r="G3639" s="5"/>
      <c r="H3639" s="5"/>
      <c r="I3639" s="5"/>
      <c r="J3639" s="5"/>
      <c r="K3639" s="5"/>
      <c r="L3639" s="5"/>
      <c r="M3639" s="5"/>
      <c r="N3639" s="5"/>
      <c r="O3639" s="5"/>
    </row>
    <row r="3640" spans="2:15" x14ac:dyDescent="0.55000000000000004">
      <c r="B3640" s="5"/>
      <c r="C3640" s="5"/>
      <c r="D3640" s="5"/>
      <c r="E3640" s="5"/>
      <c r="F3640" s="5"/>
      <c r="G3640" s="5"/>
      <c r="H3640" s="5"/>
      <c r="I3640" s="5"/>
      <c r="J3640" s="5"/>
      <c r="K3640" s="5"/>
      <c r="L3640" s="5"/>
      <c r="M3640" s="5"/>
      <c r="N3640" s="5"/>
      <c r="O3640" s="5"/>
    </row>
    <row r="3641" spans="2:15" x14ac:dyDescent="0.55000000000000004">
      <c r="B3641" s="5"/>
      <c r="C3641" s="5"/>
      <c r="D3641" s="5"/>
      <c r="E3641" s="5"/>
      <c r="F3641" s="5"/>
      <c r="G3641" s="5"/>
      <c r="H3641" s="5"/>
      <c r="I3641" s="5"/>
      <c r="J3641" s="5"/>
      <c r="K3641" s="5"/>
      <c r="L3641" s="5"/>
      <c r="M3641" s="5"/>
      <c r="N3641" s="5"/>
      <c r="O3641" s="5"/>
    </row>
    <row r="3642" spans="2:15" x14ac:dyDescent="0.55000000000000004">
      <c r="B3642" s="5"/>
      <c r="C3642" s="5"/>
      <c r="D3642" s="5"/>
      <c r="E3642" s="5"/>
      <c r="F3642" s="5"/>
      <c r="G3642" s="5"/>
      <c r="H3642" s="5"/>
      <c r="I3642" s="5"/>
      <c r="J3642" s="5"/>
      <c r="K3642" s="5"/>
      <c r="L3642" s="5"/>
      <c r="M3642" s="5"/>
      <c r="N3642" s="5"/>
      <c r="O3642" s="5"/>
    </row>
    <row r="3643" spans="2:15" x14ac:dyDescent="0.55000000000000004">
      <c r="B3643" s="5"/>
      <c r="C3643" s="5"/>
      <c r="D3643" s="5"/>
      <c r="E3643" s="5"/>
      <c r="F3643" s="5"/>
      <c r="G3643" s="5"/>
      <c r="H3643" s="5"/>
      <c r="I3643" s="5"/>
      <c r="J3643" s="5"/>
      <c r="K3643" s="5"/>
      <c r="L3643" s="5"/>
      <c r="M3643" s="5"/>
      <c r="N3643" s="5"/>
      <c r="O3643" s="5"/>
    </row>
    <row r="3644" spans="2:15" x14ac:dyDescent="0.55000000000000004">
      <c r="B3644" s="5"/>
      <c r="C3644" s="5"/>
      <c r="D3644" s="5"/>
      <c r="E3644" s="5"/>
      <c r="F3644" s="5"/>
      <c r="G3644" s="5"/>
      <c r="H3644" s="5"/>
      <c r="I3644" s="5"/>
      <c r="J3644" s="5"/>
      <c r="K3644" s="5"/>
      <c r="L3644" s="5"/>
      <c r="M3644" s="5"/>
      <c r="N3644" s="5"/>
      <c r="O3644" s="5"/>
    </row>
    <row r="3645" spans="2:15" x14ac:dyDescent="0.55000000000000004">
      <c r="B3645" s="5"/>
      <c r="C3645" s="5"/>
      <c r="D3645" s="5"/>
      <c r="E3645" s="5"/>
      <c r="F3645" s="5"/>
      <c r="G3645" s="5"/>
      <c r="H3645" s="5"/>
      <c r="I3645" s="5"/>
      <c r="J3645" s="5"/>
      <c r="K3645" s="5"/>
      <c r="L3645" s="5"/>
      <c r="M3645" s="5"/>
      <c r="N3645" s="5"/>
      <c r="O3645" s="5"/>
    </row>
    <row r="3646" spans="2:15" x14ac:dyDescent="0.55000000000000004">
      <c r="B3646" s="5"/>
      <c r="C3646" s="5"/>
      <c r="D3646" s="5"/>
      <c r="E3646" s="5"/>
      <c r="F3646" s="5"/>
      <c r="G3646" s="5"/>
      <c r="H3646" s="5"/>
      <c r="I3646" s="5"/>
      <c r="J3646" s="5"/>
      <c r="K3646" s="5"/>
      <c r="L3646" s="5"/>
      <c r="M3646" s="5"/>
      <c r="N3646" s="5"/>
      <c r="O3646" s="5"/>
    </row>
    <row r="3647" spans="2:15" x14ac:dyDescent="0.55000000000000004">
      <c r="B3647" s="5"/>
      <c r="C3647" s="5"/>
      <c r="D3647" s="5"/>
      <c r="E3647" s="5"/>
      <c r="F3647" s="5"/>
      <c r="G3647" s="5"/>
      <c r="H3647" s="5"/>
      <c r="I3647" s="5"/>
      <c r="J3647" s="5"/>
      <c r="K3647" s="5"/>
      <c r="L3647" s="5"/>
      <c r="M3647" s="5"/>
      <c r="N3647" s="5"/>
      <c r="O3647" s="5"/>
    </row>
    <row r="3648" spans="2:15" x14ac:dyDescent="0.55000000000000004">
      <c r="B3648" s="5"/>
      <c r="C3648" s="5"/>
      <c r="D3648" s="5"/>
      <c r="E3648" s="5"/>
      <c r="F3648" s="5"/>
      <c r="G3648" s="5"/>
      <c r="H3648" s="5"/>
      <c r="I3648" s="5"/>
      <c r="J3648" s="5"/>
      <c r="K3648" s="5"/>
      <c r="L3648" s="5"/>
      <c r="M3648" s="5"/>
      <c r="N3648" s="5"/>
      <c r="O3648" s="5"/>
    </row>
    <row r="3649" spans="2:15" x14ac:dyDescent="0.55000000000000004">
      <c r="B3649" s="5"/>
      <c r="C3649" s="5"/>
      <c r="D3649" s="5"/>
      <c r="E3649" s="5"/>
      <c r="F3649" s="5"/>
      <c r="G3649" s="5"/>
      <c r="H3649" s="5"/>
      <c r="I3649" s="5"/>
      <c r="J3649" s="5"/>
      <c r="K3649" s="5"/>
      <c r="L3649" s="5"/>
      <c r="M3649" s="5"/>
      <c r="N3649" s="5"/>
      <c r="O3649" s="5"/>
    </row>
    <row r="3650" spans="2:15" x14ac:dyDescent="0.55000000000000004">
      <c r="B3650" s="5"/>
      <c r="C3650" s="5"/>
      <c r="D3650" s="5"/>
      <c r="E3650" s="5"/>
      <c r="F3650" s="5"/>
      <c r="G3650" s="5"/>
      <c r="H3650" s="5"/>
      <c r="I3650" s="5"/>
      <c r="J3650" s="5"/>
      <c r="K3650" s="5"/>
      <c r="L3650" s="5"/>
      <c r="M3650" s="5"/>
      <c r="N3650" s="5"/>
      <c r="O3650" s="5"/>
    </row>
    <row r="3651" spans="2:15" x14ac:dyDescent="0.55000000000000004">
      <c r="B3651" s="5"/>
      <c r="C3651" s="5"/>
      <c r="D3651" s="5"/>
      <c r="E3651" s="5"/>
      <c r="F3651" s="5"/>
      <c r="G3651" s="5"/>
      <c r="H3651" s="5"/>
      <c r="I3651" s="5"/>
      <c r="J3651" s="5"/>
      <c r="K3651" s="5"/>
      <c r="L3651" s="5"/>
      <c r="M3651" s="5"/>
      <c r="N3651" s="5"/>
      <c r="O3651" s="5"/>
    </row>
    <row r="3652" spans="2:15" x14ac:dyDescent="0.55000000000000004">
      <c r="B3652" s="5"/>
      <c r="C3652" s="5"/>
      <c r="D3652" s="5"/>
      <c r="E3652" s="5"/>
      <c r="F3652" s="5"/>
      <c r="G3652" s="5"/>
      <c r="H3652" s="5"/>
      <c r="I3652" s="5"/>
      <c r="J3652" s="5"/>
      <c r="K3652" s="5"/>
      <c r="L3652" s="5"/>
      <c r="M3652" s="5"/>
      <c r="N3652" s="5"/>
      <c r="O3652" s="5"/>
    </row>
    <row r="3653" spans="2:15" x14ac:dyDescent="0.55000000000000004">
      <c r="B3653" s="5"/>
      <c r="C3653" s="5"/>
      <c r="D3653" s="5"/>
      <c r="E3653" s="5"/>
      <c r="F3653" s="5"/>
      <c r="G3653" s="5"/>
      <c r="H3653" s="5"/>
      <c r="I3653" s="5"/>
      <c r="J3653" s="5"/>
      <c r="K3653" s="5"/>
      <c r="L3653" s="5"/>
      <c r="M3653" s="5"/>
      <c r="N3653" s="5"/>
      <c r="O3653" s="5"/>
    </row>
    <row r="3654" spans="2:15" x14ac:dyDescent="0.55000000000000004">
      <c r="B3654" s="5"/>
      <c r="C3654" s="5"/>
      <c r="D3654" s="5"/>
      <c r="E3654" s="5"/>
      <c r="F3654" s="5"/>
      <c r="G3654" s="5"/>
      <c r="H3654" s="5"/>
      <c r="I3654" s="5"/>
      <c r="J3654" s="5"/>
      <c r="K3654" s="5"/>
      <c r="L3654" s="5"/>
      <c r="M3654" s="5"/>
      <c r="N3654" s="5"/>
      <c r="O3654" s="5"/>
    </row>
    <row r="3655" spans="2:15" x14ac:dyDescent="0.55000000000000004">
      <c r="B3655" s="5"/>
      <c r="C3655" s="5"/>
      <c r="D3655" s="5"/>
      <c r="E3655" s="5"/>
      <c r="F3655" s="5"/>
      <c r="G3655" s="5"/>
      <c r="H3655" s="5"/>
      <c r="I3655" s="5"/>
      <c r="J3655" s="5"/>
      <c r="K3655" s="5"/>
      <c r="L3655" s="5"/>
      <c r="M3655" s="5"/>
      <c r="N3655" s="5"/>
      <c r="O3655" s="5"/>
    </row>
    <row r="3656" spans="2:15" x14ac:dyDescent="0.55000000000000004">
      <c r="B3656" s="5"/>
      <c r="C3656" s="5"/>
      <c r="D3656" s="5"/>
      <c r="E3656" s="5"/>
      <c r="F3656" s="5"/>
      <c r="G3656" s="5"/>
      <c r="H3656" s="5"/>
      <c r="I3656" s="5"/>
      <c r="J3656" s="5"/>
      <c r="K3656" s="5"/>
      <c r="L3656" s="5"/>
      <c r="M3656" s="5"/>
      <c r="N3656" s="5"/>
      <c r="O3656" s="5"/>
    </row>
    <row r="3657" spans="2:15" x14ac:dyDescent="0.55000000000000004">
      <c r="B3657" s="5"/>
      <c r="C3657" s="5"/>
      <c r="D3657" s="5"/>
      <c r="E3657" s="5"/>
      <c r="F3657" s="5"/>
      <c r="G3657" s="5"/>
      <c r="H3657" s="5"/>
      <c r="I3657" s="5"/>
      <c r="J3657" s="5"/>
      <c r="K3657" s="5"/>
      <c r="L3657" s="5"/>
      <c r="M3657" s="5"/>
      <c r="N3657" s="5"/>
      <c r="O3657" s="5"/>
    </row>
    <row r="3658" spans="2:15" x14ac:dyDescent="0.55000000000000004">
      <c r="B3658" s="5"/>
      <c r="C3658" s="5"/>
      <c r="D3658" s="5"/>
      <c r="E3658" s="5"/>
      <c r="F3658" s="5"/>
      <c r="G3658" s="5"/>
      <c r="H3658" s="5"/>
      <c r="I3658" s="5"/>
      <c r="J3658" s="5"/>
      <c r="K3658" s="5"/>
      <c r="L3658" s="5"/>
      <c r="M3658" s="5"/>
      <c r="N3658" s="5"/>
      <c r="O3658" s="5"/>
    </row>
    <row r="3659" spans="2:15" x14ac:dyDescent="0.55000000000000004">
      <c r="B3659" s="5"/>
      <c r="C3659" s="5"/>
      <c r="D3659" s="5"/>
      <c r="E3659" s="5"/>
      <c r="F3659" s="5"/>
      <c r="G3659" s="5"/>
      <c r="H3659" s="5"/>
      <c r="I3659" s="5"/>
      <c r="J3659" s="5"/>
      <c r="K3659" s="5"/>
      <c r="L3659" s="5"/>
      <c r="M3659" s="5"/>
      <c r="N3659" s="5"/>
      <c r="O3659" s="5"/>
    </row>
    <row r="3660" spans="2:15" x14ac:dyDescent="0.55000000000000004">
      <c r="B3660" s="5"/>
      <c r="C3660" s="5"/>
      <c r="D3660" s="5"/>
      <c r="E3660" s="5"/>
      <c r="F3660" s="5"/>
      <c r="G3660" s="5"/>
      <c r="H3660" s="5"/>
      <c r="I3660" s="5"/>
      <c r="J3660" s="5"/>
      <c r="K3660" s="5"/>
      <c r="L3660" s="5"/>
      <c r="M3660" s="5"/>
      <c r="N3660" s="5"/>
      <c r="O3660" s="5"/>
    </row>
    <row r="3661" spans="2:15" x14ac:dyDescent="0.55000000000000004">
      <c r="B3661" s="5"/>
      <c r="C3661" s="5"/>
      <c r="D3661" s="5"/>
      <c r="E3661" s="5"/>
      <c r="F3661" s="5"/>
      <c r="G3661" s="5"/>
      <c r="H3661" s="5"/>
      <c r="I3661" s="5"/>
      <c r="J3661" s="5"/>
      <c r="K3661" s="5"/>
      <c r="L3661" s="5"/>
      <c r="M3661" s="5"/>
      <c r="N3661" s="5"/>
      <c r="O3661" s="5"/>
    </row>
    <row r="3662" spans="2:15" x14ac:dyDescent="0.55000000000000004">
      <c r="B3662" s="5"/>
      <c r="C3662" s="5"/>
      <c r="D3662" s="5"/>
      <c r="E3662" s="5"/>
      <c r="F3662" s="5"/>
      <c r="G3662" s="5"/>
      <c r="H3662" s="5"/>
      <c r="I3662" s="5"/>
      <c r="J3662" s="5"/>
      <c r="K3662" s="5"/>
      <c r="L3662" s="5"/>
      <c r="M3662" s="5"/>
      <c r="N3662" s="5"/>
      <c r="O3662" s="5"/>
    </row>
    <row r="3663" spans="2:15" x14ac:dyDescent="0.55000000000000004">
      <c r="B3663" s="5"/>
      <c r="C3663" s="5"/>
      <c r="D3663" s="5"/>
      <c r="E3663" s="5"/>
      <c r="F3663" s="5"/>
      <c r="G3663" s="5"/>
      <c r="H3663" s="5"/>
      <c r="I3663" s="5"/>
      <c r="J3663" s="5"/>
      <c r="K3663" s="5"/>
      <c r="L3663" s="5"/>
      <c r="M3663" s="5"/>
      <c r="N3663" s="5"/>
      <c r="O3663" s="5"/>
    </row>
    <row r="3664" spans="2:15" x14ac:dyDescent="0.55000000000000004">
      <c r="B3664" s="5"/>
      <c r="C3664" s="5"/>
      <c r="D3664" s="5"/>
      <c r="E3664" s="5"/>
      <c r="F3664" s="5"/>
      <c r="G3664" s="5"/>
      <c r="H3664" s="5"/>
      <c r="I3664" s="5"/>
      <c r="J3664" s="5"/>
      <c r="K3664" s="5"/>
      <c r="L3664" s="5"/>
      <c r="M3664" s="5"/>
      <c r="N3664" s="5"/>
      <c r="O3664" s="5"/>
    </row>
    <row r="3665" spans="2:15" x14ac:dyDescent="0.55000000000000004">
      <c r="B3665" s="5"/>
      <c r="C3665" s="5"/>
      <c r="D3665" s="5"/>
      <c r="E3665" s="5"/>
      <c r="F3665" s="5"/>
      <c r="G3665" s="5"/>
      <c r="H3665" s="5"/>
      <c r="I3665" s="5"/>
      <c r="J3665" s="5"/>
      <c r="K3665" s="5"/>
      <c r="L3665" s="5"/>
      <c r="M3665" s="5"/>
      <c r="N3665" s="5"/>
      <c r="O3665" s="5"/>
    </row>
    <row r="3666" spans="2:15" x14ac:dyDescent="0.55000000000000004">
      <c r="B3666" s="5"/>
      <c r="C3666" s="5"/>
      <c r="D3666" s="5"/>
      <c r="E3666" s="5"/>
      <c r="F3666" s="5"/>
      <c r="G3666" s="5"/>
      <c r="H3666" s="5"/>
      <c r="I3666" s="5"/>
      <c r="J3666" s="5"/>
      <c r="K3666" s="5"/>
      <c r="L3666" s="5"/>
      <c r="M3666" s="5"/>
      <c r="N3666" s="5"/>
      <c r="O3666" s="5"/>
    </row>
    <row r="3667" spans="2:15" x14ac:dyDescent="0.55000000000000004">
      <c r="B3667" s="5"/>
      <c r="C3667" s="5"/>
      <c r="D3667" s="5"/>
      <c r="E3667" s="5"/>
      <c r="F3667" s="5"/>
      <c r="G3667" s="5"/>
      <c r="H3667" s="5"/>
      <c r="I3667" s="5"/>
      <c r="J3667" s="5"/>
      <c r="K3667" s="5"/>
      <c r="L3667" s="5"/>
      <c r="M3667" s="5"/>
      <c r="N3667" s="5"/>
      <c r="O3667" s="5"/>
    </row>
    <row r="3668" spans="2:15" x14ac:dyDescent="0.55000000000000004">
      <c r="B3668" s="5"/>
      <c r="C3668" s="5"/>
      <c r="D3668" s="5"/>
      <c r="E3668" s="5"/>
      <c r="F3668" s="5"/>
      <c r="G3668" s="5"/>
      <c r="H3668" s="5"/>
      <c r="I3668" s="5"/>
      <c r="J3668" s="5"/>
      <c r="K3668" s="5"/>
      <c r="L3668" s="5"/>
      <c r="M3668" s="5"/>
      <c r="N3668" s="5"/>
      <c r="O3668" s="5"/>
    </row>
    <row r="3669" spans="2:15" x14ac:dyDescent="0.55000000000000004">
      <c r="B3669" s="5"/>
      <c r="C3669" s="5"/>
      <c r="D3669" s="5"/>
      <c r="E3669" s="5"/>
      <c r="F3669" s="5"/>
      <c r="G3669" s="5"/>
      <c r="H3669" s="5"/>
      <c r="I3669" s="5"/>
      <c r="J3669" s="5"/>
      <c r="K3669" s="5"/>
      <c r="L3669" s="5"/>
      <c r="M3669" s="5"/>
      <c r="N3669" s="5"/>
      <c r="O3669" s="5"/>
    </row>
    <row r="3670" spans="2:15" x14ac:dyDescent="0.55000000000000004">
      <c r="B3670" s="5"/>
      <c r="C3670" s="5"/>
      <c r="D3670" s="5"/>
      <c r="E3670" s="5"/>
      <c r="F3670" s="5"/>
      <c r="G3670" s="5"/>
      <c r="H3670" s="5"/>
      <c r="I3670" s="5"/>
      <c r="J3670" s="5"/>
      <c r="K3670" s="5"/>
      <c r="L3670" s="5"/>
      <c r="M3670" s="5"/>
      <c r="N3670" s="5"/>
      <c r="O3670" s="5"/>
    </row>
    <row r="3671" spans="2:15" x14ac:dyDescent="0.55000000000000004">
      <c r="B3671" s="5"/>
      <c r="C3671" s="5"/>
      <c r="D3671" s="5"/>
      <c r="E3671" s="5"/>
      <c r="F3671" s="5"/>
      <c r="G3671" s="5"/>
      <c r="H3671" s="5"/>
      <c r="I3671" s="5"/>
      <c r="J3671" s="5"/>
      <c r="K3671" s="5"/>
      <c r="L3671" s="5"/>
      <c r="M3671" s="5"/>
      <c r="N3671" s="5"/>
      <c r="O3671" s="5"/>
    </row>
    <row r="3672" spans="2:15" x14ac:dyDescent="0.55000000000000004">
      <c r="B3672" s="5"/>
      <c r="C3672" s="5"/>
      <c r="D3672" s="5"/>
      <c r="E3672" s="5"/>
      <c r="F3672" s="5"/>
      <c r="G3672" s="5"/>
      <c r="H3672" s="5"/>
      <c r="I3672" s="5"/>
      <c r="J3672" s="5"/>
      <c r="K3672" s="5"/>
      <c r="L3672" s="5"/>
      <c r="M3672" s="5"/>
      <c r="N3672" s="5"/>
      <c r="O3672" s="5"/>
    </row>
    <row r="3673" spans="2:15" x14ac:dyDescent="0.55000000000000004">
      <c r="B3673" s="5"/>
      <c r="C3673" s="5"/>
      <c r="D3673" s="5"/>
      <c r="E3673" s="5"/>
      <c r="F3673" s="5"/>
      <c r="G3673" s="5"/>
      <c r="H3673" s="5"/>
      <c r="I3673" s="5"/>
      <c r="J3673" s="5"/>
      <c r="K3673" s="5"/>
      <c r="L3673" s="5"/>
      <c r="M3673" s="5"/>
      <c r="N3673" s="5"/>
      <c r="O3673" s="5"/>
    </row>
    <row r="3674" spans="2:15" x14ac:dyDescent="0.55000000000000004">
      <c r="B3674" s="5"/>
      <c r="C3674" s="5"/>
      <c r="D3674" s="5"/>
      <c r="E3674" s="5"/>
      <c r="F3674" s="5"/>
      <c r="G3674" s="5"/>
      <c r="H3674" s="5"/>
      <c r="I3674" s="5"/>
      <c r="J3674" s="5"/>
      <c r="K3674" s="5"/>
      <c r="L3674" s="5"/>
      <c r="M3674" s="5"/>
      <c r="N3674" s="5"/>
      <c r="O3674" s="5"/>
    </row>
    <row r="3675" spans="2:15" x14ac:dyDescent="0.55000000000000004">
      <c r="B3675" s="5"/>
      <c r="C3675" s="5"/>
      <c r="D3675" s="5"/>
      <c r="E3675" s="5"/>
      <c r="F3675" s="5"/>
      <c r="G3675" s="5"/>
      <c r="H3675" s="5"/>
      <c r="I3675" s="5"/>
      <c r="J3675" s="5"/>
      <c r="K3675" s="5"/>
      <c r="L3675" s="5"/>
      <c r="M3675" s="5"/>
      <c r="N3675" s="5"/>
      <c r="O3675" s="5"/>
    </row>
    <row r="3676" spans="2:15" x14ac:dyDescent="0.55000000000000004">
      <c r="B3676" s="5"/>
      <c r="C3676" s="5"/>
      <c r="D3676" s="5"/>
      <c r="E3676" s="5"/>
      <c r="F3676" s="5"/>
      <c r="G3676" s="5"/>
      <c r="H3676" s="5"/>
      <c r="I3676" s="5"/>
      <c r="J3676" s="5"/>
      <c r="K3676" s="5"/>
      <c r="L3676" s="5"/>
      <c r="M3676" s="5"/>
      <c r="N3676" s="5"/>
      <c r="O3676" s="5"/>
    </row>
    <row r="3677" spans="2:15" x14ac:dyDescent="0.55000000000000004">
      <c r="B3677" s="5"/>
      <c r="C3677" s="5"/>
      <c r="D3677" s="5"/>
      <c r="E3677" s="5"/>
      <c r="F3677" s="5"/>
      <c r="G3677" s="5"/>
      <c r="H3677" s="5"/>
      <c r="I3677" s="5"/>
      <c r="J3677" s="5"/>
      <c r="K3677" s="5"/>
      <c r="L3677" s="5"/>
      <c r="M3677" s="5"/>
      <c r="N3677" s="5"/>
      <c r="O3677" s="5"/>
    </row>
    <row r="3678" spans="2:15" x14ac:dyDescent="0.55000000000000004">
      <c r="B3678" s="5"/>
      <c r="C3678" s="5"/>
      <c r="D3678" s="5"/>
      <c r="E3678" s="5"/>
      <c r="F3678" s="5"/>
      <c r="G3678" s="5"/>
      <c r="H3678" s="5"/>
      <c r="I3678" s="5"/>
      <c r="J3678" s="5"/>
      <c r="K3678" s="5"/>
      <c r="L3678" s="5"/>
      <c r="M3678" s="5"/>
      <c r="N3678" s="5"/>
      <c r="O3678" s="5"/>
    </row>
    <row r="3679" spans="2:15" x14ac:dyDescent="0.55000000000000004">
      <c r="B3679" s="5"/>
      <c r="C3679" s="5"/>
      <c r="D3679" s="5"/>
      <c r="E3679" s="5"/>
      <c r="F3679" s="5"/>
      <c r="G3679" s="5"/>
      <c r="H3679" s="5"/>
      <c r="I3679" s="5"/>
      <c r="J3679" s="5"/>
      <c r="K3679" s="5"/>
      <c r="L3679" s="5"/>
      <c r="M3679" s="5"/>
      <c r="N3679" s="5"/>
      <c r="O3679" s="5"/>
    </row>
    <row r="3680" spans="2:15" x14ac:dyDescent="0.55000000000000004">
      <c r="B3680" s="5"/>
      <c r="C3680" s="5"/>
      <c r="D3680" s="5"/>
      <c r="E3680" s="5"/>
      <c r="F3680" s="5"/>
      <c r="G3680" s="5"/>
      <c r="H3680" s="5"/>
      <c r="I3680" s="5"/>
      <c r="J3680" s="5"/>
      <c r="K3680" s="5"/>
      <c r="L3680" s="5"/>
      <c r="M3680" s="5"/>
      <c r="N3680" s="5"/>
      <c r="O3680" s="5"/>
    </row>
    <row r="3681" spans="2:15" x14ac:dyDescent="0.55000000000000004">
      <c r="B3681" s="5"/>
      <c r="C3681" s="5"/>
      <c r="D3681" s="5"/>
      <c r="E3681" s="5"/>
      <c r="F3681" s="5"/>
      <c r="G3681" s="5"/>
      <c r="H3681" s="5"/>
      <c r="I3681" s="5"/>
      <c r="J3681" s="5"/>
      <c r="K3681" s="5"/>
      <c r="L3681" s="5"/>
      <c r="M3681" s="5"/>
      <c r="N3681" s="5"/>
      <c r="O3681" s="5"/>
    </row>
    <row r="3682" spans="2:15" x14ac:dyDescent="0.55000000000000004">
      <c r="B3682" s="5"/>
      <c r="C3682" s="5"/>
      <c r="D3682" s="5"/>
      <c r="E3682" s="5"/>
      <c r="F3682" s="5"/>
      <c r="G3682" s="5"/>
      <c r="H3682" s="5"/>
      <c r="I3682" s="5"/>
      <c r="J3682" s="5"/>
      <c r="K3682" s="5"/>
      <c r="L3682" s="5"/>
      <c r="M3682" s="5"/>
      <c r="N3682" s="5"/>
      <c r="O3682" s="5"/>
    </row>
    <row r="3683" spans="2:15" x14ac:dyDescent="0.55000000000000004">
      <c r="B3683" s="5"/>
      <c r="C3683" s="5"/>
      <c r="D3683" s="5"/>
      <c r="E3683" s="5"/>
      <c r="F3683" s="5"/>
      <c r="G3683" s="5"/>
      <c r="H3683" s="5"/>
      <c r="I3683" s="5"/>
      <c r="J3683" s="5"/>
      <c r="K3683" s="5"/>
      <c r="L3683" s="5"/>
      <c r="M3683" s="5"/>
      <c r="N3683" s="5"/>
      <c r="O3683" s="5"/>
    </row>
    <row r="3684" spans="2:15" x14ac:dyDescent="0.55000000000000004">
      <c r="B3684" s="5"/>
      <c r="C3684" s="5"/>
      <c r="D3684" s="5"/>
      <c r="E3684" s="5"/>
      <c r="F3684" s="5"/>
      <c r="G3684" s="5"/>
      <c r="H3684" s="5"/>
      <c r="I3684" s="5"/>
      <c r="J3684" s="5"/>
      <c r="K3684" s="5"/>
      <c r="L3684" s="5"/>
      <c r="M3684" s="5"/>
      <c r="N3684" s="5"/>
      <c r="O3684" s="5"/>
    </row>
    <row r="3685" spans="2:15" x14ac:dyDescent="0.55000000000000004">
      <c r="B3685" s="5"/>
      <c r="C3685" s="5"/>
      <c r="D3685" s="5"/>
      <c r="E3685" s="5"/>
      <c r="F3685" s="5"/>
      <c r="G3685" s="5"/>
      <c r="H3685" s="5"/>
      <c r="I3685" s="5"/>
      <c r="J3685" s="5"/>
      <c r="K3685" s="5"/>
      <c r="L3685" s="5"/>
      <c r="M3685" s="5"/>
      <c r="N3685" s="5"/>
      <c r="O3685" s="5"/>
    </row>
    <row r="3686" spans="2:15" x14ac:dyDescent="0.55000000000000004">
      <c r="B3686" s="5"/>
      <c r="C3686" s="5"/>
      <c r="D3686" s="5"/>
      <c r="E3686" s="5"/>
      <c r="F3686" s="5"/>
      <c r="G3686" s="5"/>
      <c r="H3686" s="5"/>
      <c r="I3686" s="5"/>
      <c r="J3686" s="5"/>
      <c r="K3686" s="5"/>
      <c r="L3686" s="5"/>
      <c r="M3686" s="5"/>
      <c r="N3686" s="5"/>
      <c r="O3686" s="5"/>
    </row>
    <row r="3687" spans="2:15" x14ac:dyDescent="0.55000000000000004">
      <c r="B3687" s="5"/>
      <c r="C3687" s="5"/>
      <c r="D3687" s="5"/>
      <c r="E3687" s="5"/>
      <c r="F3687" s="5"/>
      <c r="G3687" s="5"/>
      <c r="H3687" s="5"/>
      <c r="I3687" s="5"/>
      <c r="J3687" s="5"/>
      <c r="K3687" s="5"/>
      <c r="L3687" s="5"/>
      <c r="M3687" s="5"/>
      <c r="N3687" s="5"/>
      <c r="O3687" s="5"/>
    </row>
    <row r="3688" spans="2:15" x14ac:dyDescent="0.55000000000000004">
      <c r="B3688" s="5"/>
      <c r="C3688" s="5"/>
      <c r="D3688" s="5"/>
      <c r="E3688" s="5"/>
      <c r="F3688" s="5"/>
      <c r="G3688" s="5"/>
      <c r="H3688" s="5"/>
      <c r="I3688" s="5"/>
      <c r="J3688" s="5"/>
      <c r="K3688" s="5"/>
      <c r="L3688" s="5"/>
      <c r="M3688" s="5"/>
      <c r="N3688" s="5"/>
      <c r="O3688" s="5"/>
    </row>
    <row r="3689" spans="2:15" x14ac:dyDescent="0.55000000000000004">
      <c r="B3689" s="5"/>
      <c r="C3689" s="5"/>
      <c r="D3689" s="5"/>
      <c r="E3689" s="5"/>
      <c r="F3689" s="5"/>
      <c r="G3689" s="5"/>
      <c r="H3689" s="5"/>
      <c r="I3689" s="5"/>
      <c r="J3689" s="5"/>
      <c r="K3689" s="5"/>
      <c r="L3689" s="5"/>
      <c r="M3689" s="5"/>
      <c r="N3689" s="5"/>
      <c r="O3689" s="5"/>
    </row>
    <row r="3690" spans="2:15" x14ac:dyDescent="0.55000000000000004">
      <c r="B3690" s="5"/>
      <c r="C3690" s="5"/>
      <c r="D3690" s="5"/>
      <c r="E3690" s="5"/>
      <c r="F3690" s="5"/>
      <c r="G3690" s="5"/>
      <c r="H3690" s="5"/>
      <c r="I3690" s="5"/>
      <c r="J3690" s="5"/>
      <c r="K3690" s="5"/>
      <c r="L3690" s="5"/>
      <c r="M3690" s="5"/>
      <c r="N3690" s="5"/>
      <c r="O3690" s="5"/>
    </row>
    <row r="3691" spans="2:15" x14ac:dyDescent="0.55000000000000004">
      <c r="B3691" s="5"/>
      <c r="C3691" s="5"/>
      <c r="D3691" s="5"/>
      <c r="E3691" s="5"/>
      <c r="F3691" s="5"/>
      <c r="G3691" s="5"/>
      <c r="H3691" s="5"/>
      <c r="I3691" s="5"/>
      <c r="J3691" s="5"/>
      <c r="K3691" s="5"/>
      <c r="L3691" s="5"/>
      <c r="M3691" s="5"/>
      <c r="N3691" s="5"/>
      <c r="O3691" s="5"/>
    </row>
    <row r="3692" spans="2:15" x14ac:dyDescent="0.55000000000000004">
      <c r="B3692" s="5"/>
      <c r="C3692" s="5"/>
      <c r="D3692" s="5"/>
      <c r="E3692" s="5"/>
      <c r="F3692" s="5"/>
      <c r="G3692" s="5"/>
      <c r="H3692" s="5"/>
      <c r="I3692" s="5"/>
      <c r="J3692" s="5"/>
      <c r="K3692" s="5"/>
      <c r="L3692" s="5"/>
      <c r="M3692" s="5"/>
      <c r="N3692" s="5"/>
      <c r="O3692" s="5"/>
    </row>
    <row r="3693" spans="2:15" x14ac:dyDescent="0.55000000000000004">
      <c r="B3693" s="5"/>
      <c r="C3693" s="5"/>
      <c r="D3693" s="5"/>
      <c r="E3693" s="5"/>
      <c r="F3693" s="5"/>
      <c r="G3693" s="5"/>
      <c r="H3693" s="5"/>
      <c r="I3693" s="5"/>
      <c r="J3693" s="5"/>
      <c r="K3693" s="5"/>
      <c r="L3693" s="5"/>
      <c r="M3693" s="5"/>
      <c r="N3693" s="5"/>
      <c r="O3693" s="5"/>
    </row>
    <row r="3694" spans="2:15" x14ac:dyDescent="0.55000000000000004">
      <c r="B3694" s="5"/>
      <c r="C3694" s="5"/>
      <c r="D3694" s="5"/>
      <c r="E3694" s="5"/>
      <c r="F3694" s="5"/>
      <c r="G3694" s="5"/>
      <c r="H3694" s="5"/>
      <c r="I3694" s="5"/>
      <c r="J3694" s="5"/>
      <c r="K3694" s="5"/>
      <c r="L3694" s="5"/>
      <c r="M3694" s="5"/>
      <c r="N3694" s="5"/>
      <c r="O3694" s="5"/>
    </row>
    <row r="3695" spans="2:15" x14ac:dyDescent="0.55000000000000004">
      <c r="B3695" s="5"/>
      <c r="C3695" s="5"/>
      <c r="D3695" s="5"/>
      <c r="E3695" s="5"/>
      <c r="F3695" s="5"/>
      <c r="G3695" s="5"/>
      <c r="H3695" s="5"/>
      <c r="I3695" s="5"/>
      <c r="J3695" s="5"/>
      <c r="K3695" s="5"/>
      <c r="L3695" s="5"/>
      <c r="M3695" s="5"/>
      <c r="N3695" s="5"/>
      <c r="O3695" s="5"/>
    </row>
    <row r="3696" spans="2:15" x14ac:dyDescent="0.55000000000000004">
      <c r="B3696" s="5"/>
      <c r="C3696" s="5"/>
      <c r="D3696" s="5"/>
      <c r="E3696" s="5"/>
      <c r="F3696" s="5"/>
      <c r="G3696" s="5"/>
      <c r="H3696" s="5"/>
      <c r="I3696" s="5"/>
      <c r="J3696" s="5"/>
      <c r="K3696" s="5"/>
      <c r="L3696" s="5"/>
      <c r="M3696" s="5"/>
      <c r="N3696" s="5"/>
      <c r="O3696" s="5"/>
    </row>
    <row r="3697" spans="2:15" x14ac:dyDescent="0.55000000000000004">
      <c r="B3697" s="5"/>
      <c r="C3697" s="5"/>
      <c r="D3697" s="5"/>
      <c r="E3697" s="5"/>
      <c r="F3697" s="5"/>
      <c r="G3697" s="5"/>
      <c r="H3697" s="5"/>
      <c r="I3697" s="5"/>
      <c r="J3697" s="5"/>
      <c r="K3697" s="5"/>
      <c r="L3697" s="5"/>
      <c r="M3697" s="5"/>
      <c r="N3697" s="5"/>
      <c r="O3697" s="5"/>
    </row>
    <row r="3698" spans="2:15" x14ac:dyDescent="0.55000000000000004">
      <c r="B3698" s="5"/>
      <c r="C3698" s="5"/>
      <c r="D3698" s="5"/>
      <c r="E3698" s="5"/>
      <c r="F3698" s="5"/>
      <c r="G3698" s="5"/>
      <c r="H3698" s="5"/>
      <c r="I3698" s="5"/>
      <c r="J3698" s="5"/>
      <c r="K3698" s="5"/>
      <c r="L3698" s="5"/>
      <c r="M3698" s="5"/>
      <c r="N3698" s="5"/>
      <c r="O3698" s="5"/>
    </row>
    <row r="3699" spans="2:15" x14ac:dyDescent="0.55000000000000004">
      <c r="B3699" s="5"/>
      <c r="C3699" s="5"/>
      <c r="D3699" s="5"/>
      <c r="E3699" s="5"/>
      <c r="F3699" s="5"/>
      <c r="G3699" s="5"/>
      <c r="H3699" s="5"/>
      <c r="I3699" s="5"/>
      <c r="J3699" s="5"/>
      <c r="K3699" s="5"/>
      <c r="L3699" s="5"/>
      <c r="M3699" s="5"/>
      <c r="N3699" s="5"/>
      <c r="O3699" s="5"/>
    </row>
    <row r="3700" spans="2:15" x14ac:dyDescent="0.55000000000000004">
      <c r="B3700" s="5"/>
      <c r="C3700" s="5"/>
      <c r="D3700" s="5"/>
      <c r="E3700" s="5"/>
      <c r="F3700" s="5"/>
      <c r="G3700" s="5"/>
      <c r="H3700" s="5"/>
      <c r="I3700" s="5"/>
      <c r="J3700" s="5"/>
      <c r="K3700" s="5"/>
      <c r="L3700" s="5"/>
      <c r="M3700" s="5"/>
      <c r="N3700" s="5"/>
      <c r="O3700" s="5"/>
    </row>
    <row r="3701" spans="2:15" x14ac:dyDescent="0.55000000000000004">
      <c r="B3701" s="5"/>
      <c r="C3701" s="5"/>
      <c r="D3701" s="5"/>
      <c r="E3701" s="5"/>
      <c r="F3701" s="5"/>
      <c r="G3701" s="5"/>
      <c r="H3701" s="5"/>
      <c r="I3701" s="5"/>
      <c r="J3701" s="5"/>
      <c r="K3701" s="5"/>
      <c r="L3701" s="5"/>
      <c r="M3701" s="5"/>
      <c r="N3701" s="5"/>
      <c r="O3701" s="5"/>
    </row>
    <row r="3702" spans="2:15" x14ac:dyDescent="0.55000000000000004">
      <c r="B3702" s="5"/>
      <c r="C3702" s="5"/>
      <c r="D3702" s="5"/>
      <c r="E3702" s="5"/>
      <c r="F3702" s="5"/>
      <c r="G3702" s="5"/>
      <c r="H3702" s="5"/>
      <c r="I3702" s="5"/>
      <c r="J3702" s="5"/>
      <c r="K3702" s="5"/>
      <c r="L3702" s="5"/>
      <c r="M3702" s="5"/>
      <c r="N3702" s="5"/>
      <c r="O3702" s="5"/>
    </row>
    <row r="3703" spans="2:15" x14ac:dyDescent="0.55000000000000004">
      <c r="B3703" s="5"/>
      <c r="C3703" s="5"/>
      <c r="D3703" s="5"/>
      <c r="E3703" s="5"/>
      <c r="F3703" s="5"/>
      <c r="G3703" s="5"/>
      <c r="H3703" s="5"/>
      <c r="I3703" s="5"/>
      <c r="J3703" s="5"/>
      <c r="K3703" s="5"/>
      <c r="L3703" s="5"/>
      <c r="M3703" s="5"/>
      <c r="N3703" s="5"/>
      <c r="O3703" s="5"/>
    </row>
    <row r="3704" spans="2:15" x14ac:dyDescent="0.55000000000000004">
      <c r="B3704" s="5"/>
      <c r="C3704" s="5"/>
      <c r="D3704" s="5"/>
      <c r="E3704" s="5"/>
      <c r="F3704" s="5"/>
      <c r="G3704" s="5"/>
      <c r="H3704" s="5"/>
      <c r="I3704" s="5"/>
      <c r="J3704" s="5"/>
      <c r="K3704" s="5"/>
      <c r="L3704" s="5"/>
      <c r="M3704" s="5"/>
      <c r="N3704" s="5"/>
      <c r="O3704" s="5"/>
    </row>
    <row r="3705" spans="2:15" x14ac:dyDescent="0.55000000000000004">
      <c r="B3705" s="5"/>
      <c r="C3705" s="5"/>
      <c r="D3705" s="5"/>
      <c r="E3705" s="5"/>
      <c r="F3705" s="5"/>
      <c r="G3705" s="5"/>
      <c r="H3705" s="5"/>
      <c r="I3705" s="5"/>
      <c r="J3705" s="5"/>
      <c r="K3705" s="5"/>
      <c r="L3705" s="5"/>
      <c r="M3705" s="5"/>
      <c r="N3705" s="5"/>
      <c r="O3705" s="5"/>
    </row>
    <row r="3706" spans="2:15" x14ac:dyDescent="0.55000000000000004">
      <c r="B3706" s="5"/>
      <c r="C3706" s="5"/>
      <c r="D3706" s="5"/>
      <c r="E3706" s="5"/>
      <c r="F3706" s="5"/>
      <c r="G3706" s="5"/>
      <c r="H3706" s="5"/>
      <c r="I3706" s="5"/>
      <c r="J3706" s="5"/>
      <c r="K3706" s="5"/>
      <c r="L3706" s="5"/>
      <c r="M3706" s="5"/>
      <c r="N3706" s="5"/>
      <c r="O3706" s="5"/>
    </row>
    <row r="3707" spans="2:15" x14ac:dyDescent="0.55000000000000004">
      <c r="B3707" s="5"/>
      <c r="C3707" s="5"/>
      <c r="D3707" s="5"/>
      <c r="E3707" s="5"/>
      <c r="F3707" s="5"/>
      <c r="G3707" s="5"/>
      <c r="H3707" s="5"/>
      <c r="I3707" s="5"/>
      <c r="J3707" s="5"/>
      <c r="K3707" s="5"/>
      <c r="L3707" s="5"/>
      <c r="M3707" s="5"/>
      <c r="N3707" s="5"/>
      <c r="O3707" s="5"/>
    </row>
    <row r="3708" spans="2:15" x14ac:dyDescent="0.55000000000000004">
      <c r="B3708" s="5"/>
      <c r="C3708" s="5"/>
      <c r="D3708" s="5"/>
      <c r="E3708" s="5"/>
      <c r="F3708" s="5"/>
      <c r="G3708" s="5"/>
      <c r="H3708" s="5"/>
      <c r="I3708" s="5"/>
      <c r="J3708" s="5"/>
      <c r="K3708" s="5"/>
      <c r="L3708" s="5"/>
      <c r="M3708" s="5"/>
      <c r="N3708" s="5"/>
      <c r="O3708" s="5"/>
    </row>
    <row r="3709" spans="2:15" x14ac:dyDescent="0.55000000000000004">
      <c r="B3709" s="5"/>
      <c r="C3709" s="5"/>
      <c r="D3709" s="5"/>
      <c r="E3709" s="5"/>
      <c r="F3709" s="5"/>
      <c r="G3709" s="5"/>
      <c r="H3709" s="5"/>
      <c r="I3709" s="5"/>
      <c r="J3709" s="5"/>
      <c r="K3709" s="5"/>
      <c r="L3709" s="5"/>
      <c r="M3709" s="5"/>
      <c r="N3709" s="5"/>
      <c r="O3709" s="5"/>
    </row>
    <row r="3710" spans="2:15" x14ac:dyDescent="0.55000000000000004">
      <c r="B3710" s="5"/>
      <c r="C3710" s="5"/>
      <c r="D3710" s="5"/>
      <c r="E3710" s="5"/>
      <c r="F3710" s="5"/>
      <c r="G3710" s="5"/>
      <c r="H3710" s="5"/>
      <c r="I3710" s="5"/>
      <c r="J3710" s="5"/>
      <c r="K3710" s="5"/>
      <c r="L3710" s="5"/>
      <c r="M3710" s="5"/>
      <c r="N3710" s="5"/>
      <c r="O3710" s="5"/>
    </row>
    <row r="3711" spans="2:15" x14ac:dyDescent="0.55000000000000004">
      <c r="B3711" s="5"/>
      <c r="C3711" s="5"/>
      <c r="D3711" s="5"/>
      <c r="E3711" s="5"/>
      <c r="F3711" s="5"/>
      <c r="G3711" s="5"/>
      <c r="H3711" s="5"/>
      <c r="I3711" s="5"/>
      <c r="J3711" s="5"/>
      <c r="K3711" s="5"/>
      <c r="L3711" s="5"/>
      <c r="M3711" s="5"/>
      <c r="N3711" s="5"/>
      <c r="O3711" s="5"/>
    </row>
    <row r="3712" spans="2:15" x14ac:dyDescent="0.55000000000000004">
      <c r="B3712" s="5"/>
      <c r="C3712" s="5"/>
      <c r="D3712" s="5"/>
      <c r="E3712" s="5"/>
      <c r="F3712" s="5"/>
      <c r="G3712" s="5"/>
      <c r="H3712" s="5"/>
      <c r="I3712" s="5"/>
      <c r="J3712" s="5"/>
      <c r="K3712" s="5"/>
      <c r="L3712" s="5"/>
      <c r="M3712" s="5"/>
      <c r="N3712" s="5"/>
      <c r="O3712" s="5"/>
    </row>
    <row r="3713" spans="2:15" x14ac:dyDescent="0.55000000000000004">
      <c r="B3713" s="5"/>
      <c r="C3713" s="5"/>
      <c r="D3713" s="5"/>
      <c r="E3713" s="5"/>
      <c r="F3713" s="5"/>
      <c r="G3713" s="5"/>
      <c r="H3713" s="5"/>
      <c r="I3713" s="5"/>
      <c r="J3713" s="5"/>
      <c r="K3713" s="5"/>
      <c r="L3713" s="5"/>
      <c r="M3713" s="5"/>
      <c r="N3713" s="5"/>
      <c r="O3713" s="5"/>
    </row>
    <row r="3714" spans="2:15" x14ac:dyDescent="0.55000000000000004">
      <c r="B3714" s="5"/>
      <c r="C3714" s="5"/>
      <c r="D3714" s="5"/>
      <c r="E3714" s="5"/>
      <c r="F3714" s="5"/>
      <c r="G3714" s="5"/>
      <c r="H3714" s="5"/>
      <c r="I3714" s="5"/>
      <c r="J3714" s="5"/>
      <c r="K3714" s="5"/>
      <c r="L3714" s="5"/>
      <c r="M3714" s="5"/>
      <c r="N3714" s="5"/>
      <c r="O3714" s="5"/>
    </row>
    <row r="3715" spans="2:15" x14ac:dyDescent="0.55000000000000004">
      <c r="B3715" s="5"/>
      <c r="C3715" s="5"/>
      <c r="D3715" s="5"/>
      <c r="E3715" s="5"/>
      <c r="F3715" s="5"/>
      <c r="G3715" s="5"/>
      <c r="H3715" s="5"/>
      <c r="I3715" s="5"/>
      <c r="J3715" s="5"/>
      <c r="K3715" s="5"/>
      <c r="L3715" s="5"/>
      <c r="M3715" s="5"/>
      <c r="N3715" s="5"/>
      <c r="O3715" s="5"/>
    </row>
    <row r="3716" spans="2:15" x14ac:dyDescent="0.55000000000000004">
      <c r="B3716" s="5"/>
      <c r="C3716" s="5"/>
      <c r="D3716" s="5"/>
      <c r="E3716" s="5"/>
      <c r="F3716" s="5"/>
      <c r="G3716" s="5"/>
      <c r="H3716" s="5"/>
      <c r="I3716" s="5"/>
      <c r="J3716" s="5"/>
      <c r="K3716" s="5"/>
      <c r="L3716" s="5"/>
      <c r="M3716" s="5"/>
      <c r="N3716" s="5"/>
      <c r="O3716" s="5"/>
    </row>
    <row r="3717" spans="2:15" x14ac:dyDescent="0.55000000000000004">
      <c r="B3717" s="5"/>
      <c r="C3717" s="5"/>
      <c r="D3717" s="5"/>
      <c r="E3717" s="5"/>
      <c r="F3717" s="5"/>
      <c r="G3717" s="5"/>
      <c r="H3717" s="5"/>
      <c r="I3717" s="5"/>
      <c r="J3717" s="5"/>
      <c r="K3717" s="5"/>
      <c r="L3717" s="5"/>
      <c r="M3717" s="5"/>
      <c r="N3717" s="5"/>
      <c r="O3717" s="5"/>
    </row>
    <row r="3718" spans="2:15" x14ac:dyDescent="0.55000000000000004">
      <c r="B3718" s="5"/>
      <c r="C3718" s="5"/>
      <c r="D3718" s="5"/>
      <c r="E3718" s="5"/>
      <c r="F3718" s="5"/>
      <c r="G3718" s="5"/>
      <c r="H3718" s="5"/>
      <c r="I3718" s="5"/>
      <c r="J3718" s="5"/>
      <c r="K3718" s="5"/>
      <c r="L3718" s="5"/>
      <c r="M3718" s="5"/>
      <c r="N3718" s="5"/>
      <c r="O3718" s="5"/>
    </row>
    <row r="3719" spans="2:15" x14ac:dyDescent="0.55000000000000004">
      <c r="B3719" s="5"/>
      <c r="C3719" s="5"/>
      <c r="D3719" s="5"/>
      <c r="E3719" s="5"/>
      <c r="F3719" s="5"/>
      <c r="G3719" s="5"/>
      <c r="H3719" s="5"/>
      <c r="I3719" s="5"/>
      <c r="J3719" s="5"/>
      <c r="K3719" s="5"/>
      <c r="L3719" s="5"/>
      <c r="M3719" s="5"/>
      <c r="N3719" s="5"/>
      <c r="O3719" s="5"/>
    </row>
    <row r="3720" spans="2:15" x14ac:dyDescent="0.55000000000000004">
      <c r="B3720" s="5"/>
      <c r="C3720" s="5"/>
      <c r="D3720" s="5"/>
      <c r="E3720" s="5"/>
      <c r="F3720" s="5"/>
      <c r="G3720" s="5"/>
      <c r="H3720" s="5"/>
      <c r="I3720" s="5"/>
      <c r="J3720" s="5"/>
      <c r="K3720" s="5"/>
      <c r="L3720" s="5"/>
      <c r="M3720" s="5"/>
      <c r="N3720" s="5"/>
      <c r="O3720" s="5"/>
    </row>
    <row r="3721" spans="2:15" x14ac:dyDescent="0.55000000000000004">
      <c r="B3721" s="5"/>
      <c r="C3721" s="5"/>
      <c r="D3721" s="5"/>
      <c r="E3721" s="5"/>
      <c r="F3721" s="5"/>
      <c r="G3721" s="5"/>
      <c r="H3721" s="5"/>
      <c r="I3721" s="5"/>
      <c r="J3721" s="5"/>
      <c r="K3721" s="5"/>
      <c r="L3721" s="5"/>
      <c r="M3721" s="5"/>
      <c r="N3721" s="5"/>
      <c r="O3721" s="5"/>
    </row>
    <row r="3722" spans="2:15" x14ac:dyDescent="0.55000000000000004">
      <c r="B3722" s="5"/>
      <c r="C3722" s="5"/>
      <c r="D3722" s="5"/>
      <c r="E3722" s="5"/>
      <c r="F3722" s="5"/>
      <c r="G3722" s="5"/>
      <c r="H3722" s="5"/>
      <c r="I3722" s="5"/>
      <c r="J3722" s="5"/>
      <c r="K3722" s="5"/>
      <c r="L3722" s="5"/>
      <c r="M3722" s="5"/>
      <c r="N3722" s="5"/>
      <c r="O3722" s="5"/>
    </row>
    <row r="3723" spans="2:15" x14ac:dyDescent="0.55000000000000004">
      <c r="B3723" s="5"/>
      <c r="C3723" s="5"/>
      <c r="D3723" s="5"/>
      <c r="E3723" s="5"/>
      <c r="F3723" s="5"/>
      <c r="G3723" s="5"/>
      <c r="H3723" s="5"/>
      <c r="I3723" s="5"/>
      <c r="J3723" s="5"/>
      <c r="K3723" s="5"/>
      <c r="L3723" s="5"/>
      <c r="M3723" s="5"/>
      <c r="N3723" s="5"/>
      <c r="O3723" s="5"/>
    </row>
    <row r="3724" spans="2:15" x14ac:dyDescent="0.55000000000000004">
      <c r="B3724" s="5"/>
      <c r="C3724" s="5"/>
      <c r="D3724" s="5"/>
      <c r="E3724" s="5"/>
      <c r="F3724" s="5"/>
      <c r="G3724" s="5"/>
      <c r="H3724" s="5"/>
      <c r="I3724" s="5"/>
      <c r="J3724" s="5"/>
      <c r="K3724" s="5"/>
      <c r="L3724" s="5"/>
      <c r="M3724" s="5"/>
      <c r="N3724" s="5"/>
      <c r="O3724" s="5"/>
    </row>
    <row r="3725" spans="2:15" x14ac:dyDescent="0.55000000000000004">
      <c r="B3725" s="5"/>
      <c r="C3725" s="5"/>
      <c r="D3725" s="5"/>
      <c r="E3725" s="5"/>
      <c r="F3725" s="5"/>
      <c r="G3725" s="5"/>
      <c r="H3725" s="5"/>
      <c r="I3725" s="5"/>
      <c r="J3725" s="5"/>
      <c r="K3725" s="5"/>
      <c r="L3725" s="5"/>
      <c r="M3725" s="5"/>
      <c r="N3725" s="5"/>
      <c r="O3725" s="5"/>
    </row>
    <row r="3726" spans="2:15" x14ac:dyDescent="0.55000000000000004">
      <c r="B3726" s="5"/>
      <c r="C3726" s="5"/>
      <c r="D3726" s="5"/>
      <c r="E3726" s="5"/>
      <c r="F3726" s="5"/>
      <c r="G3726" s="5"/>
      <c r="H3726" s="5"/>
      <c r="I3726" s="5"/>
      <c r="J3726" s="5"/>
      <c r="K3726" s="5"/>
      <c r="L3726" s="5"/>
      <c r="M3726" s="5"/>
      <c r="N3726" s="5"/>
      <c r="O3726" s="5"/>
    </row>
    <row r="3727" spans="2:15" x14ac:dyDescent="0.55000000000000004">
      <c r="B3727" s="5"/>
      <c r="C3727" s="5"/>
      <c r="D3727" s="5"/>
      <c r="E3727" s="5"/>
      <c r="F3727" s="5"/>
      <c r="G3727" s="5"/>
      <c r="H3727" s="5"/>
      <c r="I3727" s="5"/>
      <c r="J3727" s="5"/>
      <c r="K3727" s="5"/>
      <c r="L3727" s="5"/>
      <c r="M3727" s="5"/>
      <c r="N3727" s="5"/>
      <c r="O3727" s="5"/>
    </row>
    <row r="3728" spans="2:15" x14ac:dyDescent="0.55000000000000004">
      <c r="B3728" s="5"/>
      <c r="C3728" s="5"/>
      <c r="D3728" s="5"/>
      <c r="E3728" s="5"/>
      <c r="F3728" s="5"/>
      <c r="G3728" s="5"/>
      <c r="H3728" s="5"/>
      <c r="I3728" s="5"/>
      <c r="J3728" s="5"/>
      <c r="K3728" s="5"/>
      <c r="L3728" s="5"/>
      <c r="M3728" s="5"/>
      <c r="N3728" s="5"/>
      <c r="O3728" s="5"/>
    </row>
    <row r="3729" spans="2:15" x14ac:dyDescent="0.55000000000000004">
      <c r="B3729" s="5"/>
      <c r="C3729" s="5"/>
      <c r="D3729" s="5"/>
      <c r="E3729" s="5"/>
      <c r="F3729" s="5"/>
      <c r="G3729" s="5"/>
      <c r="H3729" s="5"/>
      <c r="I3729" s="5"/>
      <c r="J3729" s="5"/>
      <c r="K3729" s="5"/>
      <c r="L3729" s="5"/>
      <c r="M3729" s="5"/>
      <c r="N3729" s="5"/>
      <c r="O3729" s="5"/>
    </row>
    <row r="3730" spans="2:15" x14ac:dyDescent="0.55000000000000004">
      <c r="B3730" s="5"/>
      <c r="C3730" s="5"/>
      <c r="D3730" s="5"/>
      <c r="E3730" s="5"/>
      <c r="F3730" s="5"/>
      <c r="G3730" s="5"/>
      <c r="H3730" s="5"/>
      <c r="I3730" s="5"/>
      <c r="J3730" s="5"/>
      <c r="K3730" s="5"/>
      <c r="L3730" s="5"/>
      <c r="M3730" s="5"/>
      <c r="N3730" s="5"/>
      <c r="O3730" s="5"/>
    </row>
    <row r="3731" spans="2:15" x14ac:dyDescent="0.55000000000000004">
      <c r="B3731" s="5"/>
      <c r="C3731" s="5"/>
      <c r="D3731" s="5"/>
      <c r="E3731" s="5"/>
      <c r="F3731" s="5"/>
      <c r="G3731" s="5"/>
      <c r="H3731" s="5"/>
      <c r="I3731" s="5"/>
      <c r="J3731" s="5"/>
      <c r="K3731" s="5"/>
      <c r="L3731" s="5"/>
      <c r="M3731" s="5"/>
      <c r="N3731" s="5"/>
      <c r="O3731" s="5"/>
    </row>
    <row r="3732" spans="2:15" x14ac:dyDescent="0.55000000000000004">
      <c r="B3732" s="5"/>
      <c r="C3732" s="5"/>
      <c r="D3732" s="5"/>
      <c r="E3732" s="5"/>
      <c r="F3732" s="5"/>
      <c r="G3732" s="5"/>
      <c r="H3732" s="5"/>
      <c r="I3732" s="5"/>
      <c r="J3732" s="5"/>
      <c r="K3732" s="5"/>
      <c r="L3732" s="5"/>
      <c r="M3732" s="5"/>
      <c r="N3732" s="5"/>
      <c r="O3732" s="5"/>
    </row>
    <row r="3733" spans="2:15" x14ac:dyDescent="0.55000000000000004">
      <c r="B3733" s="5"/>
      <c r="C3733" s="5"/>
      <c r="D3733" s="5"/>
      <c r="E3733" s="5"/>
      <c r="F3733" s="5"/>
      <c r="G3733" s="5"/>
      <c r="H3733" s="5"/>
      <c r="I3733" s="5"/>
      <c r="J3733" s="5"/>
      <c r="K3733" s="5"/>
      <c r="L3733" s="5"/>
      <c r="M3733" s="5"/>
      <c r="N3733" s="5"/>
      <c r="O3733" s="5"/>
    </row>
    <row r="3734" spans="2:15" x14ac:dyDescent="0.55000000000000004">
      <c r="B3734" s="5"/>
      <c r="C3734" s="5"/>
      <c r="D3734" s="5"/>
      <c r="E3734" s="5"/>
      <c r="F3734" s="5"/>
      <c r="G3734" s="5"/>
      <c r="H3734" s="5"/>
      <c r="I3734" s="5"/>
      <c r="J3734" s="5"/>
      <c r="K3734" s="5"/>
      <c r="L3734" s="5"/>
      <c r="M3734" s="5"/>
      <c r="N3734" s="5"/>
      <c r="O3734" s="5"/>
    </row>
    <row r="3735" spans="2:15" x14ac:dyDescent="0.55000000000000004">
      <c r="B3735" s="5"/>
      <c r="C3735" s="5"/>
      <c r="D3735" s="5"/>
      <c r="E3735" s="5"/>
      <c r="F3735" s="5"/>
      <c r="G3735" s="5"/>
      <c r="H3735" s="5"/>
      <c r="I3735" s="5"/>
      <c r="J3735" s="5"/>
      <c r="K3735" s="5"/>
      <c r="L3735" s="5"/>
      <c r="M3735" s="5"/>
      <c r="N3735" s="5"/>
      <c r="O3735" s="5"/>
    </row>
    <row r="3736" spans="2:15" x14ac:dyDescent="0.55000000000000004">
      <c r="B3736" s="5"/>
      <c r="C3736" s="5"/>
      <c r="D3736" s="5"/>
      <c r="E3736" s="5"/>
      <c r="F3736" s="5"/>
      <c r="G3736" s="5"/>
      <c r="H3736" s="5"/>
      <c r="I3736" s="5"/>
      <c r="J3736" s="5"/>
      <c r="K3736" s="5"/>
      <c r="L3736" s="5"/>
      <c r="M3736" s="5"/>
      <c r="N3736" s="5"/>
      <c r="O3736" s="5"/>
    </row>
    <row r="3737" spans="2:15" x14ac:dyDescent="0.55000000000000004">
      <c r="B3737" s="5"/>
      <c r="C3737" s="5"/>
      <c r="D3737" s="5"/>
      <c r="E3737" s="5"/>
      <c r="F3737" s="5"/>
      <c r="G3737" s="5"/>
      <c r="H3737" s="5"/>
      <c r="I3737" s="5"/>
      <c r="J3737" s="5"/>
      <c r="K3737" s="5"/>
      <c r="L3737" s="5"/>
      <c r="M3737" s="5"/>
      <c r="N3737" s="5"/>
      <c r="O3737" s="5"/>
    </row>
    <row r="3738" spans="2:15" x14ac:dyDescent="0.55000000000000004">
      <c r="B3738" s="5"/>
      <c r="C3738" s="5"/>
      <c r="D3738" s="5"/>
      <c r="E3738" s="5"/>
      <c r="F3738" s="5"/>
      <c r="G3738" s="5"/>
      <c r="H3738" s="5"/>
      <c r="I3738" s="5"/>
      <c r="J3738" s="5"/>
      <c r="K3738" s="5"/>
      <c r="L3738" s="5"/>
      <c r="M3738" s="5"/>
      <c r="N3738" s="5"/>
      <c r="O3738" s="5"/>
    </row>
    <row r="3739" spans="2:15" x14ac:dyDescent="0.55000000000000004">
      <c r="B3739" s="5"/>
      <c r="C3739" s="5"/>
      <c r="D3739" s="5"/>
      <c r="E3739" s="5"/>
      <c r="F3739" s="5"/>
      <c r="G3739" s="5"/>
      <c r="H3739" s="5"/>
      <c r="I3739" s="5"/>
      <c r="J3739" s="5"/>
      <c r="K3739" s="5"/>
      <c r="L3739" s="5"/>
      <c r="M3739" s="5"/>
      <c r="N3739" s="5"/>
      <c r="O3739" s="5"/>
    </row>
    <row r="3740" spans="2:15" x14ac:dyDescent="0.55000000000000004">
      <c r="B3740" s="5"/>
      <c r="C3740" s="5"/>
      <c r="D3740" s="5"/>
      <c r="E3740" s="5"/>
      <c r="F3740" s="5"/>
      <c r="G3740" s="5"/>
      <c r="H3740" s="5"/>
      <c r="I3740" s="5"/>
      <c r="J3740" s="5"/>
      <c r="K3740" s="5"/>
      <c r="L3740" s="5"/>
      <c r="M3740" s="5"/>
      <c r="N3740" s="5"/>
      <c r="O3740" s="5"/>
    </row>
    <row r="3741" spans="2:15" x14ac:dyDescent="0.55000000000000004">
      <c r="B3741" s="5"/>
      <c r="C3741" s="5"/>
      <c r="D3741" s="5"/>
      <c r="E3741" s="5"/>
      <c r="F3741" s="5"/>
      <c r="G3741" s="5"/>
      <c r="H3741" s="5"/>
      <c r="I3741" s="5"/>
      <c r="J3741" s="5"/>
      <c r="K3741" s="5"/>
      <c r="L3741" s="5"/>
      <c r="M3741" s="5"/>
      <c r="N3741" s="5"/>
      <c r="O3741" s="5"/>
    </row>
    <row r="3742" spans="2:15" x14ac:dyDescent="0.55000000000000004">
      <c r="B3742" s="5"/>
      <c r="C3742" s="5"/>
      <c r="D3742" s="5"/>
      <c r="E3742" s="5"/>
      <c r="F3742" s="5"/>
      <c r="G3742" s="5"/>
      <c r="H3742" s="5"/>
      <c r="I3742" s="5"/>
      <c r="J3742" s="5"/>
      <c r="K3742" s="5"/>
      <c r="L3742" s="5"/>
      <c r="M3742" s="5"/>
      <c r="N3742" s="5"/>
      <c r="O3742" s="5"/>
    </row>
    <row r="3743" spans="2:15" x14ac:dyDescent="0.55000000000000004">
      <c r="B3743" s="5"/>
      <c r="C3743" s="5"/>
      <c r="D3743" s="5"/>
      <c r="E3743" s="5"/>
      <c r="F3743" s="5"/>
      <c r="G3743" s="5"/>
      <c r="H3743" s="5"/>
      <c r="I3743" s="5"/>
      <c r="J3743" s="5"/>
      <c r="K3743" s="5"/>
      <c r="L3743" s="5"/>
      <c r="M3743" s="5"/>
      <c r="N3743" s="5"/>
      <c r="O3743" s="5"/>
    </row>
    <row r="3744" spans="2:15" x14ac:dyDescent="0.55000000000000004">
      <c r="B3744" s="5"/>
      <c r="C3744" s="5"/>
      <c r="D3744" s="5"/>
      <c r="E3744" s="5"/>
      <c r="F3744" s="5"/>
      <c r="G3744" s="5"/>
      <c r="H3744" s="5"/>
      <c r="I3744" s="5"/>
      <c r="J3744" s="5"/>
      <c r="K3744" s="5"/>
      <c r="L3744" s="5"/>
      <c r="M3744" s="5"/>
      <c r="N3744" s="5"/>
      <c r="O3744" s="5"/>
    </row>
    <row r="3745" spans="2:15" x14ac:dyDescent="0.55000000000000004">
      <c r="B3745" s="5"/>
      <c r="C3745" s="5"/>
      <c r="D3745" s="5"/>
      <c r="E3745" s="5"/>
      <c r="F3745" s="5"/>
      <c r="G3745" s="5"/>
      <c r="H3745" s="5"/>
      <c r="I3745" s="5"/>
      <c r="J3745" s="5"/>
      <c r="K3745" s="5"/>
      <c r="L3745" s="5"/>
      <c r="M3745" s="5"/>
      <c r="N3745" s="5"/>
      <c r="O3745" s="5"/>
    </row>
    <row r="3746" spans="2:15" x14ac:dyDescent="0.55000000000000004">
      <c r="B3746" s="5"/>
      <c r="C3746" s="5"/>
      <c r="D3746" s="5"/>
      <c r="E3746" s="5"/>
      <c r="F3746" s="5"/>
      <c r="G3746" s="5"/>
      <c r="H3746" s="5"/>
      <c r="I3746" s="5"/>
      <c r="J3746" s="5"/>
      <c r="K3746" s="5"/>
      <c r="L3746" s="5"/>
      <c r="M3746" s="5"/>
      <c r="N3746" s="5"/>
      <c r="O3746" s="5"/>
    </row>
    <row r="3747" spans="2:15" x14ac:dyDescent="0.55000000000000004">
      <c r="B3747" s="5"/>
      <c r="C3747" s="5"/>
      <c r="D3747" s="5"/>
      <c r="E3747" s="5"/>
      <c r="F3747" s="5"/>
      <c r="G3747" s="5"/>
      <c r="H3747" s="5"/>
      <c r="I3747" s="5"/>
      <c r="J3747" s="5"/>
      <c r="K3747" s="5"/>
      <c r="L3747" s="5"/>
      <c r="M3747" s="5"/>
      <c r="N3747" s="5"/>
      <c r="O3747" s="5"/>
    </row>
    <row r="3748" spans="2:15" x14ac:dyDescent="0.55000000000000004">
      <c r="B3748" s="5"/>
      <c r="C3748" s="5"/>
      <c r="D3748" s="5"/>
      <c r="E3748" s="5"/>
      <c r="F3748" s="5"/>
      <c r="G3748" s="5"/>
      <c r="H3748" s="5"/>
      <c r="I3748" s="5"/>
      <c r="J3748" s="5"/>
      <c r="K3748" s="5"/>
      <c r="L3748" s="5"/>
      <c r="M3748" s="5"/>
      <c r="N3748" s="5"/>
      <c r="O3748" s="5"/>
    </row>
    <row r="3749" spans="2:15" x14ac:dyDescent="0.55000000000000004">
      <c r="B3749" s="5"/>
      <c r="C3749" s="5"/>
      <c r="D3749" s="5"/>
      <c r="E3749" s="5"/>
      <c r="F3749" s="5"/>
      <c r="G3749" s="5"/>
      <c r="H3749" s="5"/>
      <c r="I3749" s="5"/>
      <c r="J3749" s="5"/>
      <c r="K3749" s="5"/>
      <c r="L3749" s="5"/>
      <c r="M3749" s="5"/>
      <c r="N3749" s="5"/>
      <c r="O3749" s="5"/>
    </row>
    <row r="3750" spans="2:15" x14ac:dyDescent="0.55000000000000004">
      <c r="B3750" s="5"/>
      <c r="C3750" s="5"/>
      <c r="D3750" s="5"/>
      <c r="E3750" s="5"/>
      <c r="F3750" s="5"/>
      <c r="G3750" s="5"/>
      <c r="H3750" s="5"/>
      <c r="I3750" s="5"/>
      <c r="J3750" s="5"/>
      <c r="K3750" s="5"/>
      <c r="L3750" s="5"/>
      <c r="M3750" s="5"/>
      <c r="N3750" s="5"/>
      <c r="O3750" s="5"/>
    </row>
    <row r="3751" spans="2:15" x14ac:dyDescent="0.55000000000000004">
      <c r="B3751" s="5"/>
      <c r="C3751" s="5"/>
      <c r="D3751" s="5"/>
      <c r="E3751" s="5"/>
      <c r="F3751" s="5"/>
      <c r="G3751" s="5"/>
      <c r="H3751" s="5"/>
      <c r="I3751" s="5"/>
      <c r="J3751" s="5"/>
      <c r="K3751" s="5"/>
      <c r="L3751" s="5"/>
      <c r="M3751" s="5"/>
      <c r="N3751" s="5"/>
      <c r="O3751" s="5"/>
    </row>
    <row r="3752" spans="2:15" x14ac:dyDescent="0.55000000000000004">
      <c r="B3752" s="5"/>
      <c r="C3752" s="5"/>
      <c r="D3752" s="5"/>
      <c r="E3752" s="5"/>
      <c r="F3752" s="5"/>
      <c r="G3752" s="5"/>
      <c r="H3752" s="5"/>
      <c r="I3752" s="5"/>
      <c r="J3752" s="5"/>
      <c r="K3752" s="5"/>
      <c r="L3752" s="5"/>
      <c r="M3752" s="5"/>
      <c r="N3752" s="5"/>
      <c r="O3752" s="5"/>
    </row>
    <row r="3753" spans="2:15" x14ac:dyDescent="0.55000000000000004">
      <c r="B3753" s="5"/>
      <c r="C3753" s="5"/>
      <c r="D3753" s="5"/>
      <c r="E3753" s="5"/>
      <c r="F3753" s="5"/>
      <c r="G3753" s="5"/>
      <c r="H3753" s="5"/>
      <c r="I3753" s="5"/>
      <c r="J3753" s="5"/>
      <c r="K3753" s="5"/>
      <c r="L3753" s="5"/>
      <c r="M3753" s="5"/>
      <c r="N3753" s="5"/>
      <c r="O3753" s="5"/>
    </row>
    <row r="3754" spans="2:15" x14ac:dyDescent="0.55000000000000004">
      <c r="B3754" s="5"/>
      <c r="C3754" s="5"/>
      <c r="D3754" s="5"/>
      <c r="E3754" s="5"/>
      <c r="F3754" s="5"/>
      <c r="G3754" s="5"/>
      <c r="H3754" s="5"/>
      <c r="I3754" s="5"/>
      <c r="J3754" s="5"/>
      <c r="K3754" s="5"/>
      <c r="L3754" s="5"/>
      <c r="M3754" s="5"/>
      <c r="N3754" s="5"/>
      <c r="O3754" s="5"/>
    </row>
    <row r="3755" spans="2:15" x14ac:dyDescent="0.55000000000000004">
      <c r="B3755" s="5"/>
      <c r="C3755" s="5"/>
      <c r="D3755" s="5"/>
      <c r="E3755" s="5"/>
      <c r="F3755" s="5"/>
      <c r="G3755" s="5"/>
      <c r="H3755" s="5"/>
      <c r="I3755" s="5"/>
      <c r="J3755" s="5"/>
      <c r="K3755" s="5"/>
      <c r="L3755" s="5"/>
      <c r="M3755" s="5"/>
      <c r="N3755" s="5"/>
      <c r="O3755" s="5"/>
    </row>
    <row r="3756" spans="2:15" x14ac:dyDescent="0.55000000000000004">
      <c r="B3756" s="5"/>
      <c r="C3756" s="5"/>
      <c r="D3756" s="5"/>
      <c r="E3756" s="5"/>
      <c r="F3756" s="5"/>
      <c r="G3756" s="5"/>
      <c r="H3756" s="5"/>
      <c r="I3756" s="5"/>
      <c r="J3756" s="5"/>
      <c r="K3756" s="5"/>
      <c r="L3756" s="5"/>
      <c r="M3756" s="5"/>
      <c r="N3756" s="5"/>
      <c r="O3756" s="5"/>
    </row>
    <row r="3757" spans="2:15" x14ac:dyDescent="0.55000000000000004">
      <c r="B3757" s="5"/>
      <c r="C3757" s="5"/>
      <c r="D3757" s="5"/>
      <c r="E3757" s="5"/>
      <c r="F3757" s="5"/>
      <c r="G3757" s="5"/>
      <c r="H3757" s="5"/>
      <c r="I3757" s="5"/>
      <c r="J3757" s="5"/>
      <c r="K3757" s="5"/>
      <c r="L3757" s="5"/>
      <c r="M3757" s="5"/>
      <c r="N3757" s="5"/>
      <c r="O3757" s="5"/>
    </row>
    <row r="3758" spans="2:15" x14ac:dyDescent="0.55000000000000004">
      <c r="B3758" s="5"/>
      <c r="C3758" s="5"/>
      <c r="D3758" s="5"/>
      <c r="E3758" s="5"/>
      <c r="F3758" s="5"/>
      <c r="G3758" s="5"/>
      <c r="H3758" s="5"/>
      <c r="I3758" s="5"/>
      <c r="J3758" s="5"/>
      <c r="K3758" s="5"/>
      <c r="L3758" s="5"/>
      <c r="M3758" s="5"/>
      <c r="N3758" s="5"/>
      <c r="O3758" s="5"/>
    </row>
    <row r="3759" spans="2:15" x14ac:dyDescent="0.55000000000000004">
      <c r="B3759" s="5"/>
      <c r="C3759" s="5"/>
      <c r="D3759" s="5"/>
      <c r="E3759" s="5"/>
      <c r="F3759" s="5"/>
      <c r="G3759" s="5"/>
      <c r="H3759" s="5"/>
      <c r="I3759" s="5"/>
      <c r="J3759" s="5"/>
      <c r="K3759" s="5"/>
      <c r="L3759" s="5"/>
      <c r="M3759" s="5"/>
      <c r="N3759" s="5"/>
      <c r="O3759" s="5"/>
    </row>
    <row r="3760" spans="2:15" x14ac:dyDescent="0.55000000000000004">
      <c r="B3760" s="5"/>
      <c r="C3760" s="5"/>
      <c r="D3760" s="5"/>
      <c r="E3760" s="5"/>
      <c r="F3760" s="5"/>
      <c r="G3760" s="5"/>
      <c r="H3760" s="5"/>
      <c r="I3760" s="5"/>
      <c r="J3760" s="5"/>
      <c r="K3760" s="5"/>
      <c r="L3760" s="5"/>
      <c r="M3760" s="5"/>
      <c r="N3760" s="5"/>
      <c r="O3760" s="5"/>
    </row>
    <row r="3761" spans="2:15" x14ac:dyDescent="0.55000000000000004">
      <c r="B3761" s="5"/>
      <c r="C3761" s="5"/>
      <c r="D3761" s="5"/>
      <c r="E3761" s="5"/>
      <c r="F3761" s="5"/>
      <c r="G3761" s="5"/>
      <c r="H3761" s="5"/>
      <c r="I3761" s="5"/>
      <c r="J3761" s="5"/>
      <c r="K3761" s="5"/>
      <c r="L3761" s="5"/>
      <c r="M3761" s="5"/>
      <c r="N3761" s="5"/>
      <c r="O3761" s="5"/>
    </row>
    <row r="3762" spans="2:15" x14ac:dyDescent="0.55000000000000004">
      <c r="B3762" s="5"/>
      <c r="C3762" s="5"/>
      <c r="D3762" s="5"/>
      <c r="E3762" s="5"/>
      <c r="F3762" s="5"/>
      <c r="G3762" s="5"/>
      <c r="H3762" s="5"/>
      <c r="I3762" s="5"/>
      <c r="J3762" s="5"/>
      <c r="K3762" s="5"/>
      <c r="L3762" s="5"/>
      <c r="M3762" s="5"/>
      <c r="N3762" s="5"/>
      <c r="O3762" s="5"/>
    </row>
    <row r="3763" spans="2:15" x14ac:dyDescent="0.55000000000000004">
      <c r="B3763" s="5"/>
      <c r="C3763" s="5"/>
      <c r="D3763" s="5"/>
      <c r="E3763" s="5"/>
      <c r="F3763" s="5"/>
      <c r="G3763" s="5"/>
      <c r="H3763" s="5"/>
      <c r="I3763" s="5"/>
      <c r="J3763" s="5"/>
      <c r="K3763" s="5"/>
      <c r="L3763" s="5"/>
      <c r="M3763" s="5"/>
      <c r="N3763" s="5"/>
      <c r="O3763" s="5"/>
    </row>
    <row r="3764" spans="2:15" x14ac:dyDescent="0.55000000000000004">
      <c r="B3764" s="5"/>
      <c r="C3764" s="5"/>
      <c r="D3764" s="5"/>
      <c r="E3764" s="5"/>
      <c r="F3764" s="5"/>
      <c r="G3764" s="5"/>
      <c r="H3764" s="5"/>
      <c r="I3764" s="5"/>
      <c r="J3764" s="5"/>
      <c r="K3764" s="5"/>
      <c r="L3764" s="5"/>
      <c r="M3764" s="5"/>
      <c r="N3764" s="5"/>
      <c r="O3764" s="5"/>
    </row>
    <row r="3765" spans="2:15" x14ac:dyDescent="0.55000000000000004">
      <c r="B3765" s="5"/>
      <c r="C3765" s="5"/>
      <c r="D3765" s="5"/>
      <c r="E3765" s="5"/>
      <c r="F3765" s="5"/>
      <c r="G3765" s="5"/>
      <c r="H3765" s="5"/>
      <c r="I3765" s="5"/>
      <c r="J3765" s="5"/>
      <c r="K3765" s="5"/>
      <c r="L3765" s="5"/>
      <c r="M3765" s="5"/>
      <c r="N3765" s="5"/>
      <c r="O3765" s="5"/>
    </row>
    <row r="3766" spans="2:15" x14ac:dyDescent="0.55000000000000004">
      <c r="B3766" s="5"/>
      <c r="C3766" s="5"/>
      <c r="D3766" s="5"/>
      <c r="E3766" s="5"/>
      <c r="F3766" s="5"/>
      <c r="G3766" s="5"/>
      <c r="H3766" s="5"/>
      <c r="I3766" s="5"/>
      <c r="J3766" s="5"/>
      <c r="K3766" s="5"/>
      <c r="L3766" s="5"/>
      <c r="M3766" s="5"/>
      <c r="N3766" s="5"/>
      <c r="O3766" s="5"/>
    </row>
    <row r="3767" spans="2:15" x14ac:dyDescent="0.55000000000000004">
      <c r="B3767" s="5"/>
      <c r="C3767" s="5"/>
      <c r="D3767" s="5"/>
      <c r="E3767" s="5"/>
      <c r="F3767" s="5"/>
      <c r="G3767" s="5"/>
      <c r="H3767" s="5"/>
      <c r="I3767" s="5"/>
      <c r="J3767" s="5"/>
      <c r="K3767" s="5"/>
      <c r="L3767" s="5"/>
      <c r="M3767" s="5"/>
      <c r="N3767" s="5"/>
      <c r="O3767" s="5"/>
    </row>
    <row r="3768" spans="2:15" x14ac:dyDescent="0.55000000000000004">
      <c r="B3768" s="5"/>
      <c r="C3768" s="5"/>
      <c r="D3768" s="5"/>
      <c r="E3768" s="5"/>
      <c r="F3768" s="5"/>
      <c r="G3768" s="5"/>
      <c r="H3768" s="5"/>
      <c r="I3768" s="5"/>
      <c r="J3768" s="5"/>
      <c r="K3768" s="5"/>
      <c r="L3768" s="5"/>
      <c r="M3768" s="5"/>
      <c r="N3768" s="5"/>
      <c r="O3768" s="5"/>
    </row>
    <row r="3769" spans="2:15" x14ac:dyDescent="0.55000000000000004">
      <c r="B3769" s="5"/>
      <c r="C3769" s="5"/>
      <c r="D3769" s="5"/>
      <c r="E3769" s="5"/>
      <c r="F3769" s="5"/>
      <c r="G3769" s="5"/>
      <c r="H3769" s="5"/>
      <c r="I3769" s="5"/>
      <c r="J3769" s="5"/>
      <c r="K3769" s="5"/>
      <c r="L3769" s="5"/>
      <c r="M3769" s="5"/>
      <c r="N3769" s="5"/>
      <c r="O3769" s="5"/>
    </row>
    <row r="3770" spans="2:15" x14ac:dyDescent="0.55000000000000004">
      <c r="B3770" s="5"/>
      <c r="C3770" s="5"/>
      <c r="D3770" s="5"/>
      <c r="E3770" s="5"/>
      <c r="F3770" s="5"/>
      <c r="G3770" s="5"/>
      <c r="H3770" s="5"/>
      <c r="I3770" s="5"/>
      <c r="J3770" s="5"/>
      <c r="K3770" s="5"/>
      <c r="L3770" s="5"/>
      <c r="M3770" s="5"/>
      <c r="N3770" s="5"/>
      <c r="O3770" s="5"/>
    </row>
    <row r="3771" spans="2:15" x14ac:dyDescent="0.55000000000000004">
      <c r="B3771" s="5"/>
      <c r="C3771" s="5"/>
      <c r="D3771" s="5"/>
      <c r="E3771" s="5"/>
      <c r="F3771" s="5"/>
      <c r="G3771" s="5"/>
      <c r="H3771" s="5"/>
      <c r="I3771" s="5"/>
      <c r="J3771" s="5"/>
      <c r="K3771" s="5"/>
      <c r="L3771" s="5"/>
      <c r="M3771" s="5"/>
      <c r="N3771" s="5"/>
      <c r="O3771" s="5"/>
    </row>
    <row r="3772" spans="2:15" x14ac:dyDescent="0.55000000000000004">
      <c r="B3772" s="5"/>
      <c r="C3772" s="5"/>
      <c r="D3772" s="5"/>
      <c r="E3772" s="5"/>
      <c r="F3772" s="5"/>
      <c r="G3772" s="5"/>
      <c r="H3772" s="5"/>
      <c r="I3772" s="5"/>
      <c r="J3772" s="5"/>
      <c r="K3772" s="5"/>
      <c r="L3772" s="5"/>
      <c r="M3772" s="5"/>
      <c r="N3772" s="5"/>
      <c r="O3772" s="5"/>
    </row>
    <row r="3773" spans="2:15" x14ac:dyDescent="0.55000000000000004">
      <c r="B3773" s="5"/>
      <c r="C3773" s="5"/>
      <c r="D3773" s="5"/>
      <c r="E3773" s="5"/>
      <c r="F3773" s="5"/>
      <c r="G3773" s="5"/>
      <c r="H3773" s="5"/>
      <c r="I3773" s="5"/>
      <c r="J3773" s="5"/>
      <c r="K3773" s="5"/>
      <c r="L3773" s="5"/>
      <c r="M3773" s="5"/>
      <c r="N3773" s="5"/>
      <c r="O3773" s="5"/>
    </row>
    <row r="3774" spans="2:15" x14ac:dyDescent="0.55000000000000004">
      <c r="B3774" s="5"/>
      <c r="C3774" s="5"/>
      <c r="D3774" s="5"/>
      <c r="E3774" s="5"/>
      <c r="F3774" s="5"/>
      <c r="G3774" s="5"/>
      <c r="H3774" s="5"/>
      <c r="I3774" s="5"/>
      <c r="J3774" s="5"/>
      <c r="K3774" s="5"/>
      <c r="L3774" s="5"/>
      <c r="M3774" s="5"/>
      <c r="N3774" s="5"/>
      <c r="O3774" s="5"/>
    </row>
    <row r="3775" spans="2:15" x14ac:dyDescent="0.55000000000000004">
      <c r="B3775" s="5"/>
      <c r="C3775" s="5"/>
      <c r="D3775" s="5"/>
      <c r="E3775" s="5"/>
      <c r="F3775" s="5"/>
      <c r="G3775" s="5"/>
      <c r="H3775" s="5"/>
      <c r="I3775" s="5"/>
      <c r="J3775" s="5"/>
      <c r="K3775" s="5"/>
      <c r="L3775" s="5"/>
      <c r="M3775" s="5"/>
      <c r="N3775" s="5"/>
      <c r="O3775" s="5"/>
    </row>
    <row r="3776" spans="2:15" x14ac:dyDescent="0.55000000000000004">
      <c r="B3776" s="5"/>
      <c r="C3776" s="5"/>
      <c r="D3776" s="5"/>
      <c r="E3776" s="5"/>
      <c r="F3776" s="5"/>
      <c r="G3776" s="5"/>
      <c r="H3776" s="5"/>
      <c r="I3776" s="5"/>
      <c r="J3776" s="5"/>
      <c r="K3776" s="5"/>
      <c r="L3776" s="5"/>
      <c r="M3776" s="5"/>
      <c r="N3776" s="5"/>
      <c r="O3776" s="5"/>
    </row>
    <row r="3777" spans="2:15" x14ac:dyDescent="0.55000000000000004">
      <c r="B3777" s="5"/>
      <c r="C3777" s="5"/>
      <c r="D3777" s="5"/>
      <c r="E3777" s="5"/>
      <c r="F3777" s="5"/>
      <c r="G3777" s="5"/>
      <c r="H3777" s="5"/>
      <c r="I3777" s="5"/>
      <c r="J3777" s="5"/>
      <c r="K3777" s="5"/>
      <c r="L3777" s="5"/>
      <c r="M3777" s="5"/>
      <c r="N3777" s="5"/>
      <c r="O3777" s="5"/>
    </row>
    <row r="3778" spans="2:15" x14ac:dyDescent="0.55000000000000004">
      <c r="B3778" s="5"/>
      <c r="C3778" s="5"/>
      <c r="D3778" s="5"/>
      <c r="E3778" s="5"/>
      <c r="F3778" s="5"/>
      <c r="G3778" s="5"/>
      <c r="H3778" s="5"/>
      <c r="I3778" s="5"/>
      <c r="J3778" s="5"/>
      <c r="K3778" s="5"/>
      <c r="L3778" s="5"/>
      <c r="M3778" s="5"/>
      <c r="N3778" s="5"/>
      <c r="O3778" s="5"/>
    </row>
    <row r="3779" spans="2:15" x14ac:dyDescent="0.55000000000000004">
      <c r="B3779" s="5"/>
      <c r="C3779" s="5"/>
      <c r="D3779" s="5"/>
      <c r="E3779" s="5"/>
      <c r="F3779" s="5"/>
      <c r="G3779" s="5"/>
      <c r="H3779" s="5"/>
      <c r="I3779" s="5"/>
      <c r="J3779" s="5"/>
      <c r="K3779" s="5"/>
      <c r="L3779" s="5"/>
      <c r="M3779" s="5"/>
      <c r="N3779" s="5"/>
      <c r="O3779" s="5"/>
    </row>
    <row r="3780" spans="2:15" x14ac:dyDescent="0.55000000000000004">
      <c r="B3780" s="5"/>
      <c r="C3780" s="5"/>
      <c r="D3780" s="5"/>
      <c r="E3780" s="5"/>
      <c r="F3780" s="5"/>
      <c r="G3780" s="5"/>
      <c r="H3780" s="5"/>
      <c r="I3780" s="5"/>
      <c r="J3780" s="5"/>
      <c r="K3780" s="5"/>
      <c r="L3780" s="5"/>
      <c r="M3780" s="5"/>
      <c r="N3780" s="5"/>
      <c r="O3780" s="5"/>
    </row>
    <row r="3781" spans="2:15" x14ac:dyDescent="0.55000000000000004">
      <c r="B3781" s="5"/>
      <c r="C3781" s="5"/>
      <c r="D3781" s="5"/>
      <c r="E3781" s="5"/>
      <c r="F3781" s="5"/>
      <c r="G3781" s="5"/>
      <c r="H3781" s="5"/>
      <c r="I3781" s="5"/>
      <c r="J3781" s="5"/>
      <c r="K3781" s="5"/>
      <c r="L3781" s="5"/>
      <c r="M3781" s="5"/>
      <c r="N3781" s="5"/>
      <c r="O3781" s="5"/>
    </row>
    <row r="3782" spans="2:15" x14ac:dyDescent="0.55000000000000004">
      <c r="B3782" s="5"/>
      <c r="C3782" s="5"/>
      <c r="D3782" s="5"/>
      <c r="E3782" s="5"/>
      <c r="F3782" s="5"/>
      <c r="G3782" s="5"/>
      <c r="H3782" s="5"/>
      <c r="I3782" s="5"/>
      <c r="J3782" s="5"/>
      <c r="K3782" s="5"/>
      <c r="L3782" s="5"/>
      <c r="M3782" s="5"/>
      <c r="N3782" s="5"/>
      <c r="O3782" s="5"/>
    </row>
    <row r="3783" spans="2:15" x14ac:dyDescent="0.55000000000000004">
      <c r="B3783" s="5"/>
      <c r="C3783" s="5"/>
      <c r="D3783" s="5"/>
      <c r="E3783" s="5"/>
      <c r="F3783" s="5"/>
      <c r="G3783" s="5"/>
      <c r="H3783" s="5"/>
      <c r="I3783" s="5"/>
      <c r="J3783" s="5"/>
      <c r="K3783" s="5"/>
      <c r="L3783" s="5"/>
      <c r="M3783" s="5"/>
      <c r="N3783" s="5"/>
      <c r="O3783" s="5"/>
    </row>
    <row r="3784" spans="2:15" x14ac:dyDescent="0.55000000000000004">
      <c r="B3784" s="5"/>
      <c r="C3784" s="5"/>
      <c r="D3784" s="5"/>
      <c r="E3784" s="5"/>
      <c r="F3784" s="5"/>
      <c r="G3784" s="5"/>
      <c r="H3784" s="5"/>
      <c r="I3784" s="5"/>
      <c r="J3784" s="5"/>
      <c r="K3784" s="5"/>
      <c r="L3784" s="5"/>
      <c r="M3784" s="5"/>
      <c r="N3784" s="5"/>
      <c r="O3784" s="5"/>
    </row>
    <row r="3785" spans="2:15" x14ac:dyDescent="0.55000000000000004">
      <c r="B3785" s="5"/>
      <c r="C3785" s="5"/>
      <c r="D3785" s="5"/>
      <c r="E3785" s="5"/>
      <c r="F3785" s="5"/>
      <c r="G3785" s="5"/>
      <c r="H3785" s="5"/>
      <c r="I3785" s="5"/>
      <c r="J3785" s="5"/>
      <c r="K3785" s="5"/>
      <c r="L3785" s="5"/>
      <c r="M3785" s="5"/>
      <c r="N3785" s="5"/>
      <c r="O3785" s="5"/>
    </row>
    <row r="3786" spans="2:15" x14ac:dyDescent="0.55000000000000004">
      <c r="B3786" s="5"/>
      <c r="C3786" s="5"/>
      <c r="D3786" s="5"/>
      <c r="E3786" s="5"/>
      <c r="F3786" s="5"/>
      <c r="G3786" s="5"/>
      <c r="H3786" s="5"/>
      <c r="I3786" s="5"/>
      <c r="J3786" s="5"/>
      <c r="K3786" s="5"/>
      <c r="L3786" s="5"/>
      <c r="M3786" s="5"/>
      <c r="N3786" s="5"/>
      <c r="O3786" s="5"/>
    </row>
    <row r="3787" spans="2:15" x14ac:dyDescent="0.55000000000000004">
      <c r="B3787" s="5"/>
      <c r="C3787" s="5"/>
      <c r="D3787" s="5"/>
      <c r="E3787" s="5"/>
      <c r="F3787" s="5"/>
      <c r="G3787" s="5"/>
      <c r="H3787" s="5"/>
      <c r="I3787" s="5"/>
      <c r="J3787" s="5"/>
      <c r="K3787" s="5"/>
      <c r="L3787" s="5"/>
      <c r="M3787" s="5"/>
      <c r="N3787" s="5"/>
      <c r="O3787" s="5"/>
    </row>
    <row r="3788" spans="2:15" x14ac:dyDescent="0.55000000000000004">
      <c r="B3788" s="5"/>
      <c r="C3788" s="5"/>
      <c r="D3788" s="5"/>
      <c r="E3788" s="5"/>
      <c r="F3788" s="5"/>
      <c r="G3788" s="5"/>
      <c r="H3788" s="5"/>
      <c r="I3788" s="5"/>
      <c r="J3788" s="5"/>
      <c r="K3788" s="5"/>
      <c r="L3788" s="5"/>
      <c r="M3788" s="5"/>
      <c r="N3788" s="5"/>
      <c r="O3788" s="5"/>
    </row>
    <row r="3789" spans="2:15" x14ac:dyDescent="0.55000000000000004">
      <c r="B3789" s="5"/>
      <c r="C3789" s="5"/>
      <c r="D3789" s="5"/>
      <c r="E3789" s="5"/>
      <c r="F3789" s="5"/>
      <c r="G3789" s="5"/>
      <c r="H3789" s="5"/>
      <c r="I3789" s="5"/>
      <c r="J3789" s="5"/>
      <c r="K3789" s="5"/>
      <c r="L3789" s="5"/>
      <c r="M3789" s="5"/>
      <c r="N3789" s="5"/>
      <c r="O3789" s="5"/>
    </row>
    <row r="3790" spans="2:15" x14ac:dyDescent="0.55000000000000004">
      <c r="B3790" s="5"/>
      <c r="C3790" s="5"/>
      <c r="D3790" s="5"/>
      <c r="E3790" s="5"/>
      <c r="F3790" s="5"/>
      <c r="G3790" s="5"/>
      <c r="H3790" s="5"/>
      <c r="I3790" s="5"/>
      <c r="J3790" s="5"/>
      <c r="K3790" s="5"/>
      <c r="L3790" s="5"/>
      <c r="M3790" s="5"/>
      <c r="N3790" s="5"/>
      <c r="O3790" s="5"/>
    </row>
    <row r="3791" spans="2:15" x14ac:dyDescent="0.55000000000000004">
      <c r="B3791" s="5"/>
      <c r="C3791" s="5"/>
      <c r="D3791" s="5"/>
      <c r="E3791" s="5"/>
      <c r="F3791" s="5"/>
      <c r="G3791" s="5"/>
      <c r="H3791" s="5"/>
      <c r="I3791" s="5"/>
      <c r="J3791" s="5"/>
      <c r="K3791" s="5"/>
      <c r="L3791" s="5"/>
      <c r="M3791" s="5"/>
      <c r="N3791" s="5"/>
      <c r="O3791" s="5"/>
    </row>
    <row r="3792" spans="2:15" x14ac:dyDescent="0.55000000000000004">
      <c r="B3792" s="5"/>
      <c r="C3792" s="5"/>
      <c r="D3792" s="5"/>
      <c r="E3792" s="5"/>
      <c r="F3792" s="5"/>
      <c r="G3792" s="5"/>
      <c r="H3792" s="5"/>
      <c r="I3792" s="5"/>
      <c r="J3792" s="5"/>
      <c r="K3792" s="5"/>
      <c r="L3792" s="5"/>
      <c r="M3792" s="5"/>
      <c r="N3792" s="5"/>
      <c r="O3792" s="5"/>
    </row>
    <row r="3793" spans="2:15" x14ac:dyDescent="0.55000000000000004">
      <c r="B3793" s="5"/>
      <c r="C3793" s="5"/>
      <c r="D3793" s="5"/>
      <c r="E3793" s="5"/>
      <c r="F3793" s="5"/>
      <c r="G3793" s="5"/>
      <c r="H3793" s="5"/>
      <c r="I3793" s="5"/>
      <c r="J3793" s="5"/>
      <c r="K3793" s="5"/>
      <c r="L3793" s="5"/>
      <c r="M3793" s="5"/>
      <c r="N3793" s="5"/>
      <c r="O3793" s="5"/>
    </row>
    <row r="3794" spans="2:15" x14ac:dyDescent="0.55000000000000004">
      <c r="B3794" s="5"/>
      <c r="C3794" s="5"/>
      <c r="D3794" s="5"/>
      <c r="E3794" s="5"/>
      <c r="F3794" s="5"/>
      <c r="G3794" s="5"/>
      <c r="H3794" s="5"/>
      <c r="I3794" s="5"/>
      <c r="J3794" s="5"/>
      <c r="K3794" s="5"/>
      <c r="L3794" s="5"/>
      <c r="M3794" s="5"/>
      <c r="N3794" s="5"/>
      <c r="O3794" s="5"/>
    </row>
    <row r="3795" spans="2:15" x14ac:dyDescent="0.55000000000000004">
      <c r="B3795" s="5"/>
      <c r="C3795" s="5"/>
      <c r="D3795" s="5"/>
      <c r="E3795" s="5"/>
      <c r="F3795" s="5"/>
      <c r="G3795" s="5"/>
      <c r="H3795" s="5"/>
      <c r="I3795" s="5"/>
      <c r="J3795" s="5"/>
      <c r="K3795" s="5"/>
      <c r="L3795" s="5"/>
      <c r="M3795" s="5"/>
      <c r="N3795" s="5"/>
      <c r="O3795" s="5"/>
    </row>
    <row r="3796" spans="2:15" x14ac:dyDescent="0.55000000000000004">
      <c r="B3796" s="5"/>
      <c r="C3796" s="5"/>
      <c r="D3796" s="5"/>
      <c r="E3796" s="5"/>
      <c r="F3796" s="5"/>
      <c r="G3796" s="5"/>
      <c r="H3796" s="5"/>
      <c r="I3796" s="5"/>
      <c r="J3796" s="5"/>
      <c r="K3796" s="5"/>
      <c r="L3796" s="5"/>
      <c r="M3796" s="5"/>
      <c r="N3796" s="5"/>
      <c r="O3796" s="5"/>
    </row>
    <row r="3797" spans="2:15" x14ac:dyDescent="0.55000000000000004">
      <c r="B3797" s="5"/>
      <c r="C3797" s="5"/>
      <c r="D3797" s="5"/>
      <c r="E3797" s="5"/>
      <c r="F3797" s="5"/>
      <c r="G3797" s="5"/>
      <c r="H3797" s="5"/>
      <c r="I3797" s="5"/>
      <c r="J3797" s="5"/>
      <c r="K3797" s="5"/>
      <c r="L3797" s="5"/>
      <c r="M3797" s="5"/>
      <c r="N3797" s="5"/>
      <c r="O3797" s="5"/>
    </row>
    <row r="3798" spans="2:15" x14ac:dyDescent="0.55000000000000004">
      <c r="B3798" s="5"/>
      <c r="C3798" s="5"/>
      <c r="D3798" s="5"/>
      <c r="E3798" s="5"/>
      <c r="F3798" s="5"/>
      <c r="G3798" s="5"/>
      <c r="H3798" s="5"/>
      <c r="I3798" s="5"/>
      <c r="J3798" s="5"/>
      <c r="K3798" s="5"/>
      <c r="L3798" s="5"/>
      <c r="M3798" s="5"/>
      <c r="N3798" s="5"/>
      <c r="O3798" s="5"/>
    </row>
    <row r="3799" spans="2:15" x14ac:dyDescent="0.55000000000000004">
      <c r="B3799" s="5"/>
      <c r="C3799" s="5"/>
      <c r="D3799" s="5"/>
      <c r="E3799" s="5"/>
      <c r="F3799" s="5"/>
      <c r="G3799" s="5"/>
      <c r="H3799" s="5"/>
      <c r="I3799" s="5"/>
      <c r="J3799" s="5"/>
      <c r="K3799" s="5"/>
      <c r="L3799" s="5"/>
      <c r="M3799" s="5"/>
      <c r="N3799" s="5"/>
      <c r="O3799" s="5"/>
    </row>
    <row r="3800" spans="2:15" x14ac:dyDescent="0.55000000000000004">
      <c r="B3800" s="5"/>
      <c r="C3800" s="5"/>
      <c r="D3800" s="5"/>
      <c r="E3800" s="5"/>
      <c r="F3800" s="5"/>
      <c r="G3800" s="5"/>
      <c r="H3800" s="5"/>
      <c r="I3800" s="5"/>
      <c r="J3800" s="5"/>
      <c r="K3800" s="5"/>
      <c r="L3800" s="5"/>
      <c r="M3800" s="5"/>
      <c r="N3800" s="5"/>
      <c r="O3800" s="5"/>
    </row>
    <row r="3801" spans="2:15" x14ac:dyDescent="0.55000000000000004">
      <c r="B3801" s="5"/>
      <c r="C3801" s="5"/>
      <c r="D3801" s="5"/>
      <c r="E3801" s="5"/>
      <c r="F3801" s="5"/>
      <c r="G3801" s="5"/>
      <c r="H3801" s="5"/>
      <c r="I3801" s="5"/>
      <c r="J3801" s="5"/>
      <c r="K3801" s="5"/>
      <c r="L3801" s="5"/>
      <c r="M3801" s="5"/>
      <c r="N3801" s="5"/>
      <c r="O3801" s="5"/>
    </row>
    <row r="3802" spans="2:15" x14ac:dyDescent="0.55000000000000004">
      <c r="B3802" s="5"/>
      <c r="C3802" s="5"/>
      <c r="D3802" s="5"/>
      <c r="E3802" s="5"/>
      <c r="F3802" s="5"/>
      <c r="G3802" s="5"/>
      <c r="H3802" s="5"/>
      <c r="I3802" s="5"/>
      <c r="J3802" s="5"/>
      <c r="K3802" s="5"/>
      <c r="L3802" s="5"/>
      <c r="M3802" s="5"/>
      <c r="N3802" s="5"/>
      <c r="O3802" s="5"/>
    </row>
    <row r="3803" spans="2:15" x14ac:dyDescent="0.55000000000000004">
      <c r="B3803" s="5"/>
      <c r="C3803" s="5"/>
      <c r="D3803" s="5"/>
      <c r="E3803" s="5"/>
      <c r="F3803" s="5"/>
      <c r="G3803" s="5"/>
      <c r="H3803" s="5"/>
      <c r="I3803" s="5"/>
      <c r="J3803" s="5"/>
      <c r="K3803" s="5"/>
      <c r="L3803" s="5"/>
      <c r="M3803" s="5"/>
      <c r="N3803" s="5"/>
      <c r="O3803" s="5"/>
    </row>
    <row r="3804" spans="2:15" x14ac:dyDescent="0.55000000000000004">
      <c r="B3804" s="5"/>
      <c r="C3804" s="5"/>
      <c r="D3804" s="5"/>
      <c r="E3804" s="5"/>
      <c r="F3804" s="5"/>
      <c r="G3804" s="5"/>
      <c r="H3804" s="5"/>
      <c r="I3804" s="5"/>
      <c r="J3804" s="5"/>
      <c r="K3804" s="5"/>
      <c r="L3804" s="5"/>
      <c r="M3804" s="5"/>
      <c r="N3804" s="5"/>
      <c r="O3804" s="5"/>
    </row>
    <row r="3805" spans="2:15" x14ac:dyDescent="0.55000000000000004">
      <c r="B3805" s="5"/>
      <c r="C3805" s="5"/>
      <c r="D3805" s="5"/>
      <c r="E3805" s="5"/>
      <c r="F3805" s="5"/>
      <c r="G3805" s="5"/>
      <c r="H3805" s="5"/>
      <c r="I3805" s="5"/>
      <c r="J3805" s="5"/>
      <c r="K3805" s="5"/>
      <c r="L3805" s="5"/>
      <c r="M3805" s="5"/>
      <c r="N3805" s="5"/>
      <c r="O3805" s="5"/>
    </row>
    <row r="3806" spans="2:15" x14ac:dyDescent="0.55000000000000004">
      <c r="B3806" s="5"/>
      <c r="C3806" s="5"/>
      <c r="D3806" s="5"/>
      <c r="E3806" s="5"/>
      <c r="F3806" s="5"/>
      <c r="G3806" s="5"/>
      <c r="H3806" s="5"/>
      <c r="I3806" s="5"/>
      <c r="J3806" s="5"/>
      <c r="K3806" s="5"/>
      <c r="L3806" s="5"/>
      <c r="M3806" s="5"/>
      <c r="N3806" s="5"/>
      <c r="O3806" s="5"/>
    </row>
    <row r="3807" spans="2:15" x14ac:dyDescent="0.55000000000000004">
      <c r="B3807" s="5"/>
      <c r="C3807" s="5"/>
      <c r="D3807" s="5"/>
      <c r="E3807" s="5"/>
      <c r="F3807" s="5"/>
      <c r="G3807" s="5"/>
      <c r="H3807" s="5"/>
      <c r="I3807" s="5"/>
      <c r="J3807" s="5"/>
      <c r="K3807" s="5"/>
      <c r="L3807" s="5"/>
      <c r="M3807" s="5"/>
      <c r="N3807" s="5"/>
      <c r="O3807" s="5"/>
    </row>
    <row r="3808" spans="2:15" x14ac:dyDescent="0.55000000000000004">
      <c r="B3808" s="5"/>
      <c r="C3808" s="5"/>
      <c r="D3808" s="5"/>
      <c r="E3808" s="5"/>
      <c r="F3808" s="5"/>
      <c r="G3808" s="5"/>
      <c r="H3808" s="5"/>
      <c r="I3808" s="5"/>
      <c r="J3808" s="5"/>
      <c r="K3808" s="5"/>
      <c r="L3808" s="5"/>
      <c r="M3808" s="5"/>
      <c r="N3808" s="5"/>
      <c r="O3808" s="5"/>
    </row>
    <row r="3809" spans="2:15" x14ac:dyDescent="0.55000000000000004">
      <c r="B3809" s="5"/>
      <c r="C3809" s="5"/>
      <c r="D3809" s="5"/>
      <c r="E3809" s="5"/>
      <c r="F3809" s="5"/>
      <c r="G3809" s="5"/>
      <c r="H3809" s="5"/>
      <c r="I3809" s="5"/>
      <c r="J3809" s="5"/>
      <c r="K3809" s="5"/>
      <c r="L3809" s="5"/>
      <c r="M3809" s="5"/>
      <c r="N3809" s="5"/>
      <c r="O3809" s="5"/>
    </row>
    <row r="3810" spans="2:15" x14ac:dyDescent="0.55000000000000004">
      <c r="B3810" s="5"/>
      <c r="C3810" s="5"/>
      <c r="D3810" s="5"/>
      <c r="E3810" s="5"/>
      <c r="F3810" s="5"/>
      <c r="G3810" s="5"/>
      <c r="H3810" s="5"/>
      <c r="I3810" s="5"/>
      <c r="J3810" s="5"/>
      <c r="K3810" s="5"/>
      <c r="L3810" s="5"/>
      <c r="M3810" s="5"/>
      <c r="N3810" s="5"/>
      <c r="O3810" s="5"/>
    </row>
    <row r="3811" spans="2:15" x14ac:dyDescent="0.55000000000000004">
      <c r="B3811" s="5"/>
      <c r="C3811" s="5"/>
      <c r="D3811" s="5"/>
      <c r="E3811" s="5"/>
      <c r="F3811" s="5"/>
      <c r="G3811" s="5"/>
      <c r="H3811" s="5"/>
      <c r="I3811" s="5"/>
      <c r="J3811" s="5"/>
      <c r="K3811" s="5"/>
      <c r="L3811" s="5"/>
      <c r="M3811" s="5"/>
      <c r="N3811" s="5"/>
      <c r="O3811" s="5"/>
    </row>
    <row r="3812" spans="2:15" x14ac:dyDescent="0.55000000000000004">
      <c r="B3812" s="5"/>
      <c r="C3812" s="5"/>
      <c r="D3812" s="5"/>
      <c r="E3812" s="5"/>
      <c r="F3812" s="5"/>
      <c r="G3812" s="5"/>
      <c r="H3812" s="5"/>
      <c r="I3812" s="5"/>
      <c r="J3812" s="5"/>
      <c r="K3812" s="5"/>
      <c r="L3812" s="5"/>
      <c r="M3812" s="5"/>
      <c r="N3812" s="5"/>
      <c r="O3812" s="5"/>
    </row>
    <row r="3813" spans="2:15" x14ac:dyDescent="0.55000000000000004">
      <c r="B3813" s="5"/>
      <c r="C3813" s="5"/>
      <c r="D3813" s="5"/>
      <c r="E3813" s="5"/>
      <c r="F3813" s="5"/>
      <c r="G3813" s="5"/>
      <c r="H3813" s="5"/>
      <c r="I3813" s="5"/>
      <c r="J3813" s="5"/>
      <c r="K3813" s="5"/>
      <c r="L3813" s="5"/>
      <c r="M3813" s="5"/>
      <c r="N3813" s="5"/>
      <c r="O3813" s="5"/>
    </row>
    <row r="3814" spans="2:15" x14ac:dyDescent="0.55000000000000004">
      <c r="B3814" s="5"/>
      <c r="C3814" s="5"/>
      <c r="D3814" s="5"/>
      <c r="E3814" s="5"/>
      <c r="F3814" s="5"/>
      <c r="G3814" s="5"/>
      <c r="H3814" s="5"/>
      <c r="I3814" s="5"/>
      <c r="J3814" s="5"/>
      <c r="K3814" s="5"/>
      <c r="L3814" s="5"/>
      <c r="M3814" s="5"/>
      <c r="N3814" s="5"/>
      <c r="O3814" s="5"/>
    </row>
    <row r="3815" spans="2:15" x14ac:dyDescent="0.55000000000000004">
      <c r="B3815" s="5"/>
      <c r="C3815" s="5"/>
      <c r="D3815" s="5"/>
      <c r="E3815" s="5"/>
      <c r="F3815" s="5"/>
      <c r="G3815" s="5"/>
      <c r="H3815" s="5"/>
      <c r="I3815" s="5"/>
      <c r="J3815" s="5"/>
      <c r="K3815" s="5"/>
      <c r="L3815" s="5"/>
      <c r="M3815" s="5"/>
      <c r="N3815" s="5"/>
      <c r="O3815" s="5"/>
    </row>
    <row r="3816" spans="2:15" x14ac:dyDescent="0.55000000000000004">
      <c r="B3816" s="5"/>
      <c r="C3816" s="5"/>
      <c r="D3816" s="5"/>
      <c r="E3816" s="5"/>
      <c r="F3816" s="5"/>
      <c r="G3816" s="5"/>
      <c r="H3816" s="5"/>
      <c r="I3816" s="5"/>
      <c r="J3816" s="5"/>
      <c r="K3816" s="5"/>
      <c r="L3816" s="5"/>
      <c r="M3816" s="5"/>
      <c r="N3816" s="5"/>
      <c r="O3816" s="5"/>
    </row>
    <row r="3817" spans="2:15" x14ac:dyDescent="0.55000000000000004">
      <c r="B3817" s="5"/>
      <c r="C3817" s="5"/>
      <c r="D3817" s="5"/>
      <c r="E3817" s="5"/>
      <c r="F3817" s="5"/>
      <c r="G3817" s="5"/>
      <c r="H3817" s="5"/>
      <c r="I3817" s="5"/>
      <c r="J3817" s="5"/>
      <c r="K3817" s="5"/>
      <c r="L3817" s="5"/>
      <c r="M3817" s="5"/>
      <c r="N3817" s="5"/>
      <c r="O3817" s="5"/>
    </row>
    <row r="3818" spans="2:15" x14ac:dyDescent="0.55000000000000004">
      <c r="B3818" s="5"/>
      <c r="C3818" s="5"/>
      <c r="D3818" s="5"/>
      <c r="E3818" s="5"/>
      <c r="F3818" s="5"/>
      <c r="G3818" s="5"/>
      <c r="H3818" s="5"/>
      <c r="I3818" s="5"/>
      <c r="J3818" s="5"/>
      <c r="K3818" s="5"/>
      <c r="L3818" s="5"/>
      <c r="M3818" s="5"/>
      <c r="N3818" s="5"/>
      <c r="O3818" s="5"/>
    </row>
    <row r="3819" spans="2:15" x14ac:dyDescent="0.55000000000000004">
      <c r="B3819" s="5"/>
      <c r="C3819" s="5"/>
      <c r="D3819" s="5"/>
      <c r="E3819" s="5"/>
      <c r="F3819" s="5"/>
      <c r="G3819" s="5"/>
      <c r="H3819" s="5"/>
      <c r="I3819" s="5"/>
      <c r="J3819" s="5"/>
      <c r="K3819" s="5"/>
      <c r="L3819" s="5"/>
      <c r="M3819" s="5"/>
      <c r="N3819" s="5"/>
      <c r="O3819" s="5"/>
    </row>
    <row r="3820" spans="2:15" x14ac:dyDescent="0.55000000000000004">
      <c r="B3820" s="5"/>
      <c r="C3820" s="5"/>
      <c r="D3820" s="5"/>
      <c r="E3820" s="5"/>
      <c r="F3820" s="5"/>
      <c r="G3820" s="5"/>
      <c r="H3820" s="5"/>
      <c r="I3820" s="5"/>
      <c r="J3820" s="5"/>
      <c r="K3820" s="5"/>
      <c r="L3820" s="5"/>
      <c r="M3820" s="5"/>
      <c r="N3820" s="5"/>
      <c r="O3820" s="5"/>
    </row>
    <row r="3821" spans="2:15" x14ac:dyDescent="0.55000000000000004">
      <c r="B3821" s="5"/>
      <c r="C3821" s="5"/>
      <c r="D3821" s="5"/>
      <c r="E3821" s="5"/>
      <c r="F3821" s="5"/>
      <c r="G3821" s="5"/>
      <c r="H3821" s="5"/>
      <c r="I3821" s="5"/>
      <c r="J3821" s="5"/>
      <c r="K3821" s="5"/>
      <c r="L3821" s="5"/>
      <c r="M3821" s="5"/>
      <c r="N3821" s="5"/>
      <c r="O3821" s="5"/>
    </row>
    <row r="3822" spans="2:15" x14ac:dyDescent="0.55000000000000004">
      <c r="B3822" s="5"/>
      <c r="C3822" s="5"/>
      <c r="D3822" s="5"/>
      <c r="E3822" s="5"/>
      <c r="F3822" s="5"/>
      <c r="G3822" s="5"/>
      <c r="H3822" s="5"/>
      <c r="I3822" s="5"/>
      <c r="J3822" s="5"/>
      <c r="K3822" s="5"/>
      <c r="L3822" s="5"/>
      <c r="M3822" s="5"/>
      <c r="N3822" s="5"/>
      <c r="O3822" s="5"/>
    </row>
    <row r="3823" spans="2:15" x14ac:dyDescent="0.55000000000000004">
      <c r="B3823" s="5"/>
      <c r="C3823" s="5"/>
      <c r="D3823" s="5"/>
      <c r="E3823" s="5"/>
      <c r="F3823" s="5"/>
      <c r="G3823" s="5"/>
      <c r="H3823" s="5"/>
      <c r="I3823" s="5"/>
      <c r="J3823" s="5"/>
      <c r="K3823" s="5"/>
      <c r="L3823" s="5"/>
      <c r="M3823" s="5"/>
      <c r="N3823" s="5"/>
      <c r="O3823" s="5"/>
    </row>
    <row r="3824" spans="2:15" x14ac:dyDescent="0.55000000000000004">
      <c r="B3824" s="5"/>
      <c r="C3824" s="5"/>
      <c r="D3824" s="5"/>
      <c r="E3824" s="5"/>
      <c r="F3824" s="5"/>
      <c r="G3824" s="5"/>
      <c r="H3824" s="5"/>
      <c r="I3824" s="5"/>
      <c r="J3824" s="5"/>
      <c r="K3824" s="5"/>
      <c r="L3824" s="5"/>
      <c r="M3824" s="5"/>
      <c r="N3824" s="5"/>
      <c r="O3824" s="5"/>
    </row>
    <row r="3825" spans="2:15" x14ac:dyDescent="0.55000000000000004">
      <c r="B3825" s="5"/>
      <c r="C3825" s="5"/>
      <c r="D3825" s="5"/>
      <c r="E3825" s="5"/>
      <c r="F3825" s="5"/>
      <c r="G3825" s="5"/>
      <c r="H3825" s="5"/>
      <c r="I3825" s="5"/>
      <c r="J3825" s="5"/>
      <c r="K3825" s="5"/>
      <c r="L3825" s="5"/>
      <c r="M3825" s="5"/>
      <c r="N3825" s="5"/>
      <c r="O3825" s="5"/>
    </row>
    <row r="3826" spans="2:15" x14ac:dyDescent="0.55000000000000004">
      <c r="B3826" s="5"/>
      <c r="C3826" s="5"/>
      <c r="D3826" s="5"/>
      <c r="E3826" s="5"/>
      <c r="F3826" s="5"/>
      <c r="G3826" s="5"/>
      <c r="H3826" s="5"/>
      <c r="I3826" s="5"/>
      <c r="J3826" s="5"/>
      <c r="K3826" s="5"/>
      <c r="L3826" s="5"/>
      <c r="M3826" s="5"/>
      <c r="N3826" s="5"/>
      <c r="O3826" s="5"/>
    </row>
    <row r="3827" spans="2:15" x14ac:dyDescent="0.55000000000000004">
      <c r="B3827" s="5"/>
      <c r="C3827" s="5"/>
      <c r="D3827" s="5"/>
      <c r="E3827" s="5"/>
      <c r="F3827" s="5"/>
      <c r="G3827" s="5"/>
      <c r="H3827" s="5"/>
      <c r="I3827" s="5"/>
      <c r="J3827" s="5"/>
      <c r="K3827" s="5"/>
      <c r="L3827" s="5"/>
      <c r="M3827" s="5"/>
      <c r="N3827" s="5"/>
      <c r="O3827" s="5"/>
    </row>
    <row r="3828" spans="2:15" x14ac:dyDescent="0.55000000000000004">
      <c r="B3828" s="5"/>
      <c r="C3828" s="5"/>
      <c r="D3828" s="5"/>
      <c r="E3828" s="5"/>
      <c r="F3828" s="5"/>
      <c r="G3828" s="5"/>
      <c r="H3828" s="5"/>
      <c r="I3828" s="5"/>
      <c r="J3828" s="5"/>
      <c r="K3828" s="5"/>
      <c r="L3828" s="5"/>
      <c r="M3828" s="5"/>
      <c r="N3828" s="5"/>
      <c r="O3828" s="5"/>
    </row>
    <row r="3829" spans="2:15" x14ac:dyDescent="0.55000000000000004">
      <c r="B3829" s="5"/>
      <c r="C3829" s="5"/>
      <c r="D3829" s="5"/>
      <c r="E3829" s="5"/>
      <c r="F3829" s="5"/>
      <c r="G3829" s="5"/>
      <c r="H3829" s="5"/>
      <c r="I3829" s="5"/>
      <c r="J3829" s="5"/>
      <c r="K3829" s="5"/>
      <c r="L3829" s="5"/>
      <c r="M3829" s="5"/>
      <c r="N3829" s="5"/>
      <c r="O3829" s="5"/>
    </row>
    <row r="3830" spans="2:15" x14ac:dyDescent="0.55000000000000004">
      <c r="B3830" s="5"/>
      <c r="C3830" s="5"/>
      <c r="D3830" s="5"/>
      <c r="E3830" s="5"/>
      <c r="F3830" s="5"/>
      <c r="G3830" s="5"/>
      <c r="H3830" s="5"/>
      <c r="I3830" s="5"/>
      <c r="J3830" s="5"/>
      <c r="K3830" s="5"/>
      <c r="L3830" s="5"/>
      <c r="M3830" s="5"/>
      <c r="N3830" s="5"/>
      <c r="O3830" s="5"/>
    </row>
    <row r="3831" spans="2:15" x14ac:dyDescent="0.55000000000000004">
      <c r="B3831" s="5"/>
      <c r="C3831" s="5"/>
      <c r="D3831" s="5"/>
      <c r="E3831" s="5"/>
      <c r="F3831" s="5"/>
      <c r="G3831" s="5"/>
      <c r="H3831" s="5"/>
      <c r="I3831" s="5"/>
      <c r="J3831" s="5"/>
      <c r="K3831" s="5"/>
      <c r="L3831" s="5"/>
      <c r="M3831" s="5"/>
      <c r="N3831" s="5"/>
      <c r="O3831" s="5"/>
    </row>
    <row r="3832" spans="2:15" x14ac:dyDescent="0.55000000000000004">
      <c r="B3832" s="5"/>
      <c r="C3832" s="5"/>
      <c r="D3832" s="5"/>
      <c r="E3832" s="5"/>
      <c r="F3832" s="5"/>
      <c r="G3832" s="5"/>
      <c r="H3832" s="5"/>
      <c r="I3832" s="5"/>
      <c r="J3832" s="5"/>
      <c r="K3832" s="5"/>
      <c r="L3832" s="5"/>
      <c r="M3832" s="5"/>
      <c r="N3832" s="5"/>
      <c r="O3832" s="5"/>
    </row>
    <row r="3833" spans="2:15" x14ac:dyDescent="0.55000000000000004">
      <c r="B3833" s="5"/>
      <c r="C3833" s="5"/>
      <c r="D3833" s="5"/>
      <c r="E3833" s="5"/>
      <c r="F3833" s="5"/>
      <c r="G3833" s="5"/>
      <c r="H3833" s="5"/>
      <c r="I3833" s="5"/>
      <c r="J3833" s="5"/>
      <c r="K3833" s="5"/>
      <c r="L3833" s="5"/>
      <c r="M3833" s="5"/>
      <c r="N3833" s="5"/>
      <c r="O3833" s="5"/>
    </row>
    <row r="3834" spans="2:15" x14ac:dyDescent="0.55000000000000004">
      <c r="B3834" s="5"/>
      <c r="C3834" s="5"/>
      <c r="D3834" s="5"/>
      <c r="E3834" s="5"/>
      <c r="F3834" s="5"/>
      <c r="G3834" s="5"/>
      <c r="H3834" s="5"/>
      <c r="I3834" s="5"/>
      <c r="J3834" s="5"/>
      <c r="K3834" s="5"/>
      <c r="L3834" s="5"/>
      <c r="M3834" s="5"/>
      <c r="N3834" s="5"/>
      <c r="O3834" s="5"/>
    </row>
    <row r="3835" spans="2:15" x14ac:dyDescent="0.55000000000000004">
      <c r="B3835" s="5"/>
      <c r="C3835" s="5"/>
      <c r="D3835" s="5"/>
      <c r="E3835" s="5"/>
      <c r="F3835" s="5"/>
      <c r="G3835" s="5"/>
      <c r="H3835" s="5"/>
      <c r="I3835" s="5"/>
      <c r="J3835" s="5"/>
      <c r="K3835" s="5"/>
      <c r="L3835" s="5"/>
      <c r="M3835" s="5"/>
      <c r="N3835" s="5"/>
      <c r="O3835" s="5"/>
    </row>
    <row r="3836" spans="2:15" x14ac:dyDescent="0.55000000000000004">
      <c r="B3836" s="5"/>
      <c r="C3836" s="5"/>
      <c r="D3836" s="5"/>
      <c r="E3836" s="5"/>
      <c r="F3836" s="5"/>
      <c r="G3836" s="5"/>
      <c r="H3836" s="5"/>
      <c r="I3836" s="5"/>
      <c r="J3836" s="5"/>
      <c r="K3836" s="5"/>
      <c r="L3836" s="5"/>
      <c r="M3836" s="5"/>
      <c r="N3836" s="5"/>
      <c r="O3836" s="5"/>
    </row>
    <row r="3837" spans="2:15" x14ac:dyDescent="0.55000000000000004">
      <c r="B3837" s="5"/>
      <c r="C3837" s="5"/>
      <c r="D3837" s="5"/>
      <c r="E3837" s="5"/>
      <c r="F3837" s="5"/>
      <c r="G3837" s="5"/>
      <c r="H3837" s="5"/>
      <c r="I3837" s="5"/>
      <c r="J3837" s="5"/>
      <c r="K3837" s="5"/>
      <c r="L3837" s="5"/>
      <c r="M3837" s="5"/>
      <c r="N3837" s="5"/>
      <c r="O3837" s="5"/>
    </row>
    <row r="3838" spans="2:15" x14ac:dyDescent="0.55000000000000004">
      <c r="B3838" s="5"/>
      <c r="C3838" s="5"/>
      <c r="D3838" s="5"/>
      <c r="E3838" s="5"/>
      <c r="F3838" s="5"/>
      <c r="G3838" s="5"/>
      <c r="H3838" s="5"/>
      <c r="I3838" s="5"/>
      <c r="J3838" s="5"/>
      <c r="K3838" s="5"/>
      <c r="L3838" s="5"/>
      <c r="M3838" s="5"/>
      <c r="N3838" s="5"/>
      <c r="O3838" s="5"/>
    </row>
    <row r="3839" spans="2:15" x14ac:dyDescent="0.55000000000000004">
      <c r="B3839" s="5"/>
      <c r="C3839" s="5"/>
      <c r="D3839" s="5"/>
      <c r="E3839" s="5"/>
      <c r="F3839" s="5"/>
      <c r="G3839" s="5"/>
      <c r="H3839" s="5"/>
      <c r="I3839" s="5"/>
      <c r="J3839" s="5"/>
      <c r="K3839" s="5"/>
      <c r="L3839" s="5"/>
      <c r="M3839" s="5"/>
      <c r="N3839" s="5"/>
      <c r="O3839" s="5"/>
    </row>
    <row r="3840" spans="2:15" x14ac:dyDescent="0.55000000000000004">
      <c r="B3840" s="5"/>
      <c r="C3840" s="5"/>
      <c r="D3840" s="5"/>
      <c r="E3840" s="5"/>
      <c r="F3840" s="5"/>
      <c r="G3840" s="5"/>
      <c r="H3840" s="5"/>
      <c r="I3840" s="5"/>
      <c r="J3840" s="5"/>
      <c r="K3840" s="5"/>
      <c r="L3840" s="5"/>
      <c r="M3840" s="5"/>
      <c r="N3840" s="5"/>
      <c r="O3840" s="5"/>
    </row>
    <row r="3841" spans="2:15" x14ac:dyDescent="0.55000000000000004">
      <c r="B3841" s="5"/>
      <c r="C3841" s="5"/>
      <c r="D3841" s="5"/>
      <c r="E3841" s="5"/>
      <c r="F3841" s="5"/>
      <c r="G3841" s="5"/>
      <c r="H3841" s="5"/>
      <c r="I3841" s="5"/>
      <c r="J3841" s="5"/>
      <c r="K3841" s="5"/>
      <c r="L3841" s="5"/>
      <c r="M3841" s="5"/>
      <c r="N3841" s="5"/>
      <c r="O3841" s="5"/>
    </row>
    <row r="3842" spans="2:15" x14ac:dyDescent="0.55000000000000004">
      <c r="B3842" s="5"/>
      <c r="C3842" s="5"/>
      <c r="D3842" s="5"/>
      <c r="E3842" s="5"/>
      <c r="F3842" s="5"/>
      <c r="G3842" s="5"/>
      <c r="H3842" s="5"/>
      <c r="I3842" s="5"/>
      <c r="J3842" s="5"/>
      <c r="K3842" s="5"/>
      <c r="L3842" s="5"/>
      <c r="M3842" s="5"/>
      <c r="N3842" s="5"/>
      <c r="O3842" s="5"/>
    </row>
    <row r="3843" spans="2:15" x14ac:dyDescent="0.55000000000000004">
      <c r="B3843" s="5"/>
      <c r="C3843" s="5"/>
      <c r="D3843" s="5"/>
      <c r="E3843" s="5"/>
      <c r="F3843" s="5"/>
      <c r="G3843" s="5"/>
      <c r="H3843" s="5"/>
      <c r="I3843" s="5"/>
      <c r="J3843" s="5"/>
      <c r="K3843" s="5"/>
      <c r="L3843" s="5"/>
      <c r="M3843" s="5"/>
      <c r="N3843" s="5"/>
      <c r="O3843" s="5"/>
    </row>
    <row r="3844" spans="2:15" x14ac:dyDescent="0.55000000000000004">
      <c r="B3844" s="5"/>
      <c r="C3844" s="5"/>
      <c r="D3844" s="5"/>
      <c r="E3844" s="5"/>
      <c r="F3844" s="5"/>
      <c r="G3844" s="5"/>
      <c r="H3844" s="5"/>
      <c r="I3844" s="5"/>
      <c r="J3844" s="5"/>
      <c r="K3844" s="5"/>
      <c r="L3844" s="5"/>
      <c r="M3844" s="5"/>
      <c r="N3844" s="5"/>
      <c r="O3844" s="5"/>
    </row>
    <row r="3845" spans="2:15" x14ac:dyDescent="0.55000000000000004">
      <c r="B3845" s="5"/>
      <c r="C3845" s="5"/>
      <c r="D3845" s="5"/>
      <c r="E3845" s="5"/>
      <c r="F3845" s="5"/>
      <c r="G3845" s="5"/>
      <c r="H3845" s="5"/>
      <c r="I3845" s="5"/>
      <c r="J3845" s="5"/>
      <c r="K3845" s="5"/>
      <c r="L3845" s="5"/>
      <c r="M3845" s="5"/>
      <c r="N3845" s="5"/>
      <c r="O3845" s="5"/>
    </row>
    <row r="3846" spans="2:15" x14ac:dyDescent="0.55000000000000004">
      <c r="B3846" s="5"/>
      <c r="C3846" s="5"/>
      <c r="D3846" s="5"/>
      <c r="E3846" s="5"/>
      <c r="F3846" s="5"/>
      <c r="G3846" s="5"/>
      <c r="H3846" s="5"/>
      <c r="I3846" s="5"/>
      <c r="J3846" s="5"/>
      <c r="K3846" s="5"/>
      <c r="L3846" s="5"/>
      <c r="M3846" s="5"/>
      <c r="N3846" s="5"/>
      <c r="O3846" s="5"/>
    </row>
    <row r="3847" spans="2:15" x14ac:dyDescent="0.55000000000000004">
      <c r="B3847" s="5"/>
      <c r="C3847" s="5"/>
      <c r="D3847" s="5"/>
      <c r="E3847" s="5"/>
      <c r="F3847" s="5"/>
      <c r="G3847" s="5"/>
      <c r="H3847" s="5"/>
      <c r="I3847" s="5"/>
      <c r="J3847" s="5"/>
      <c r="K3847" s="5"/>
      <c r="L3847" s="5"/>
      <c r="M3847" s="5"/>
      <c r="N3847" s="5"/>
      <c r="O3847" s="5"/>
    </row>
    <row r="3848" spans="2:15" x14ac:dyDescent="0.55000000000000004">
      <c r="B3848" s="5"/>
      <c r="C3848" s="5"/>
      <c r="D3848" s="5"/>
      <c r="E3848" s="5"/>
      <c r="F3848" s="5"/>
      <c r="G3848" s="5"/>
      <c r="H3848" s="5"/>
      <c r="I3848" s="5"/>
      <c r="J3848" s="5"/>
      <c r="K3848" s="5"/>
      <c r="L3848" s="5"/>
      <c r="M3848" s="5"/>
      <c r="N3848" s="5"/>
      <c r="O3848" s="5"/>
    </row>
    <row r="3849" spans="2:15" x14ac:dyDescent="0.55000000000000004">
      <c r="B3849" s="5"/>
      <c r="C3849" s="5"/>
      <c r="D3849" s="5"/>
      <c r="E3849" s="5"/>
      <c r="F3849" s="5"/>
      <c r="G3849" s="5"/>
      <c r="H3849" s="5"/>
      <c r="I3849" s="5"/>
      <c r="J3849" s="5"/>
      <c r="K3849" s="5"/>
      <c r="L3849" s="5"/>
      <c r="M3849" s="5"/>
      <c r="N3849" s="5"/>
      <c r="O3849" s="5"/>
    </row>
    <row r="3850" spans="2:15" x14ac:dyDescent="0.55000000000000004">
      <c r="B3850" s="5"/>
      <c r="C3850" s="5"/>
      <c r="D3850" s="5"/>
      <c r="E3850" s="5"/>
      <c r="F3850" s="5"/>
      <c r="G3850" s="5"/>
      <c r="H3850" s="5"/>
      <c r="I3850" s="5"/>
      <c r="J3850" s="5"/>
      <c r="K3850" s="5"/>
      <c r="L3850" s="5"/>
      <c r="M3850" s="5"/>
      <c r="N3850" s="5"/>
      <c r="O3850" s="5"/>
    </row>
    <row r="3851" spans="2:15" x14ac:dyDescent="0.55000000000000004">
      <c r="B3851" s="5"/>
      <c r="C3851" s="5"/>
      <c r="D3851" s="5"/>
      <c r="E3851" s="5"/>
      <c r="F3851" s="5"/>
      <c r="G3851" s="5"/>
      <c r="H3851" s="5"/>
      <c r="I3851" s="5"/>
      <c r="J3851" s="5"/>
      <c r="K3851" s="5"/>
      <c r="L3851" s="5"/>
      <c r="M3851" s="5"/>
      <c r="N3851" s="5"/>
      <c r="O3851" s="5"/>
    </row>
    <row r="3852" spans="2:15" x14ac:dyDescent="0.55000000000000004">
      <c r="B3852" s="5"/>
      <c r="C3852" s="5"/>
      <c r="D3852" s="5"/>
      <c r="E3852" s="5"/>
      <c r="F3852" s="5"/>
      <c r="G3852" s="5"/>
      <c r="H3852" s="5"/>
      <c r="I3852" s="5"/>
      <c r="J3852" s="5"/>
      <c r="K3852" s="5"/>
      <c r="L3852" s="5"/>
      <c r="M3852" s="5"/>
      <c r="N3852" s="5"/>
      <c r="O3852" s="5"/>
    </row>
    <row r="3853" spans="2:15" x14ac:dyDescent="0.55000000000000004">
      <c r="B3853" s="5"/>
      <c r="C3853" s="5"/>
      <c r="D3853" s="5"/>
      <c r="E3853" s="5"/>
      <c r="F3853" s="5"/>
      <c r="G3853" s="5"/>
      <c r="H3853" s="5"/>
      <c r="I3853" s="5"/>
      <c r="J3853" s="5"/>
      <c r="K3853" s="5"/>
      <c r="L3853" s="5"/>
      <c r="M3853" s="5"/>
      <c r="N3853" s="5"/>
      <c r="O3853" s="5"/>
    </row>
    <row r="3854" spans="2:15" x14ac:dyDescent="0.55000000000000004">
      <c r="B3854" s="5"/>
      <c r="C3854" s="5"/>
      <c r="D3854" s="5"/>
      <c r="E3854" s="5"/>
      <c r="F3854" s="5"/>
      <c r="G3854" s="5"/>
      <c r="H3854" s="5"/>
      <c r="I3854" s="5"/>
      <c r="J3854" s="5"/>
      <c r="K3854" s="5"/>
      <c r="L3854" s="5"/>
      <c r="M3854" s="5"/>
      <c r="N3854" s="5"/>
      <c r="O3854" s="5"/>
    </row>
    <row r="3855" spans="2:15" x14ac:dyDescent="0.55000000000000004">
      <c r="B3855" s="5"/>
      <c r="C3855" s="5"/>
      <c r="D3855" s="5"/>
      <c r="E3855" s="5"/>
      <c r="F3855" s="5"/>
      <c r="G3855" s="5"/>
      <c r="H3855" s="5"/>
      <c r="I3855" s="5"/>
      <c r="J3855" s="5"/>
      <c r="K3855" s="5"/>
      <c r="L3855" s="5"/>
      <c r="M3855" s="5"/>
      <c r="N3855" s="5"/>
      <c r="O3855" s="5"/>
    </row>
    <row r="3856" spans="2:15" x14ac:dyDescent="0.55000000000000004">
      <c r="B3856" s="5"/>
      <c r="C3856" s="5"/>
      <c r="D3856" s="5"/>
      <c r="E3856" s="5"/>
      <c r="F3856" s="5"/>
      <c r="G3856" s="5"/>
      <c r="H3856" s="5"/>
      <c r="I3856" s="5"/>
      <c r="J3856" s="5"/>
      <c r="K3856" s="5"/>
      <c r="L3856" s="5"/>
      <c r="M3856" s="5"/>
      <c r="N3856" s="5"/>
      <c r="O3856" s="5"/>
    </row>
    <row r="3857" spans="2:15" x14ac:dyDescent="0.55000000000000004">
      <c r="B3857" s="5"/>
      <c r="C3857" s="5"/>
      <c r="D3857" s="5"/>
      <c r="E3857" s="5"/>
      <c r="F3857" s="5"/>
      <c r="G3857" s="5"/>
      <c r="H3857" s="5"/>
      <c r="I3857" s="5"/>
      <c r="J3857" s="5"/>
      <c r="K3857" s="5"/>
      <c r="L3857" s="5"/>
      <c r="M3857" s="5"/>
      <c r="N3857" s="5"/>
      <c r="O3857" s="5"/>
    </row>
    <row r="3858" spans="2:15" x14ac:dyDescent="0.55000000000000004">
      <c r="B3858" s="5"/>
      <c r="C3858" s="5"/>
      <c r="D3858" s="5"/>
      <c r="E3858" s="5"/>
      <c r="F3858" s="5"/>
      <c r="G3858" s="5"/>
      <c r="H3858" s="5"/>
      <c r="I3858" s="5"/>
      <c r="J3858" s="5"/>
      <c r="K3858" s="5"/>
      <c r="L3858" s="5"/>
      <c r="M3858" s="5"/>
      <c r="N3858" s="5"/>
      <c r="O3858" s="5"/>
    </row>
    <row r="3859" spans="2:15" x14ac:dyDescent="0.55000000000000004">
      <c r="B3859" s="5"/>
      <c r="C3859" s="5"/>
      <c r="D3859" s="5"/>
      <c r="E3859" s="5"/>
      <c r="F3859" s="5"/>
      <c r="G3859" s="5"/>
      <c r="H3859" s="5"/>
      <c r="I3859" s="5"/>
      <c r="J3859" s="5"/>
      <c r="K3859" s="5"/>
      <c r="L3859" s="5"/>
      <c r="M3859" s="5"/>
      <c r="N3859" s="5"/>
      <c r="O3859" s="5"/>
    </row>
    <row r="3860" spans="2:15" x14ac:dyDescent="0.55000000000000004">
      <c r="B3860" s="5"/>
      <c r="C3860" s="5"/>
      <c r="D3860" s="5"/>
      <c r="E3860" s="5"/>
      <c r="F3860" s="5"/>
      <c r="G3860" s="5"/>
      <c r="H3860" s="5"/>
      <c r="I3860" s="5"/>
      <c r="J3860" s="5"/>
      <c r="K3860" s="5"/>
      <c r="L3860" s="5"/>
      <c r="M3860" s="5"/>
      <c r="N3860" s="5"/>
      <c r="O3860" s="5"/>
    </row>
    <row r="3861" spans="2:15" x14ac:dyDescent="0.55000000000000004">
      <c r="B3861" s="5"/>
      <c r="C3861" s="5"/>
      <c r="D3861" s="5"/>
      <c r="E3861" s="5"/>
      <c r="F3861" s="5"/>
      <c r="G3861" s="5"/>
      <c r="H3861" s="5"/>
      <c r="I3861" s="5"/>
      <c r="J3861" s="5"/>
      <c r="K3861" s="5"/>
      <c r="L3861" s="5"/>
      <c r="M3861" s="5"/>
      <c r="N3861" s="5"/>
      <c r="O3861" s="5"/>
    </row>
    <row r="3862" spans="2:15" x14ac:dyDescent="0.55000000000000004">
      <c r="B3862" s="5"/>
      <c r="C3862" s="5"/>
      <c r="D3862" s="5"/>
      <c r="E3862" s="5"/>
      <c r="F3862" s="5"/>
      <c r="G3862" s="5"/>
      <c r="H3862" s="5"/>
      <c r="I3862" s="5"/>
      <c r="J3862" s="5"/>
      <c r="K3862" s="5"/>
      <c r="L3862" s="5"/>
      <c r="M3862" s="5"/>
      <c r="N3862" s="5"/>
      <c r="O3862" s="5"/>
    </row>
    <row r="3863" spans="2:15" x14ac:dyDescent="0.55000000000000004">
      <c r="B3863" s="5"/>
      <c r="C3863" s="5"/>
      <c r="D3863" s="5"/>
      <c r="E3863" s="5"/>
      <c r="F3863" s="5"/>
      <c r="G3863" s="5"/>
      <c r="H3863" s="5"/>
      <c r="I3863" s="5"/>
      <c r="J3863" s="5"/>
      <c r="K3863" s="5"/>
      <c r="L3863" s="5"/>
      <c r="M3863" s="5"/>
      <c r="N3863" s="5"/>
      <c r="O3863" s="5"/>
    </row>
    <row r="3864" spans="2:15" x14ac:dyDescent="0.55000000000000004">
      <c r="B3864" s="5"/>
      <c r="C3864" s="5"/>
      <c r="D3864" s="5"/>
      <c r="E3864" s="5"/>
      <c r="F3864" s="5"/>
      <c r="G3864" s="5"/>
      <c r="H3864" s="5"/>
      <c r="I3864" s="5"/>
      <c r="J3864" s="5"/>
      <c r="K3864" s="5"/>
      <c r="L3864" s="5"/>
      <c r="M3864" s="5"/>
      <c r="N3864" s="5"/>
      <c r="O3864" s="5"/>
    </row>
    <row r="3865" spans="2:15" x14ac:dyDescent="0.55000000000000004">
      <c r="B3865" s="5"/>
      <c r="C3865" s="5"/>
      <c r="D3865" s="5"/>
      <c r="E3865" s="5"/>
      <c r="F3865" s="5"/>
      <c r="G3865" s="5"/>
      <c r="H3865" s="5"/>
      <c r="I3865" s="5"/>
      <c r="J3865" s="5"/>
      <c r="K3865" s="5"/>
      <c r="L3865" s="5"/>
      <c r="M3865" s="5"/>
      <c r="N3865" s="5"/>
      <c r="O3865" s="5"/>
    </row>
    <row r="3866" spans="2:15" x14ac:dyDescent="0.55000000000000004">
      <c r="B3866" s="5"/>
      <c r="C3866" s="5"/>
      <c r="D3866" s="5"/>
      <c r="E3866" s="5"/>
      <c r="F3866" s="5"/>
      <c r="G3866" s="5"/>
      <c r="H3866" s="5"/>
      <c r="I3866" s="5"/>
      <c r="J3866" s="5"/>
      <c r="K3866" s="5"/>
      <c r="L3866" s="5"/>
      <c r="M3866" s="5"/>
      <c r="N3866" s="5"/>
      <c r="O3866" s="5"/>
    </row>
    <row r="3867" spans="2:15" x14ac:dyDescent="0.55000000000000004">
      <c r="B3867" s="5"/>
      <c r="C3867" s="5"/>
      <c r="D3867" s="5"/>
      <c r="E3867" s="5"/>
      <c r="F3867" s="5"/>
      <c r="G3867" s="5"/>
      <c r="H3867" s="5"/>
      <c r="I3867" s="5"/>
      <c r="J3867" s="5"/>
      <c r="K3867" s="5"/>
      <c r="L3867" s="5"/>
      <c r="M3867" s="5"/>
      <c r="N3867" s="5"/>
      <c r="O3867" s="5"/>
    </row>
    <row r="3868" spans="2:15" x14ac:dyDescent="0.55000000000000004">
      <c r="B3868" s="5"/>
      <c r="C3868" s="5"/>
      <c r="D3868" s="5"/>
      <c r="E3868" s="5"/>
      <c r="F3868" s="5"/>
      <c r="G3868" s="5"/>
      <c r="H3868" s="5"/>
      <c r="I3868" s="5"/>
      <c r="J3868" s="5"/>
      <c r="K3868" s="5"/>
      <c r="L3868" s="5"/>
      <c r="M3868" s="5"/>
      <c r="N3868" s="5"/>
      <c r="O3868" s="5"/>
    </row>
    <row r="3869" spans="2:15" x14ac:dyDescent="0.55000000000000004">
      <c r="B3869" s="5"/>
      <c r="C3869" s="5"/>
      <c r="D3869" s="5"/>
      <c r="E3869" s="5"/>
      <c r="F3869" s="5"/>
      <c r="G3869" s="5"/>
      <c r="H3869" s="5"/>
      <c r="I3869" s="5"/>
      <c r="J3869" s="5"/>
      <c r="K3869" s="5"/>
      <c r="L3869" s="5"/>
      <c r="M3869" s="5"/>
      <c r="N3869" s="5"/>
      <c r="O3869" s="5"/>
    </row>
    <row r="3870" spans="2:15" x14ac:dyDescent="0.55000000000000004">
      <c r="B3870" s="5"/>
      <c r="C3870" s="5"/>
      <c r="D3870" s="5"/>
      <c r="E3870" s="5"/>
      <c r="F3870" s="5"/>
      <c r="G3870" s="5"/>
      <c r="H3870" s="5"/>
      <c r="I3870" s="5"/>
      <c r="J3870" s="5"/>
      <c r="K3870" s="5"/>
      <c r="L3870" s="5"/>
      <c r="M3870" s="5"/>
      <c r="N3870" s="5"/>
      <c r="O3870" s="5"/>
    </row>
    <row r="3871" spans="2:15" x14ac:dyDescent="0.55000000000000004">
      <c r="B3871" s="5"/>
      <c r="C3871" s="5"/>
      <c r="D3871" s="5"/>
      <c r="E3871" s="5"/>
      <c r="F3871" s="5"/>
      <c r="G3871" s="5"/>
      <c r="H3871" s="5"/>
      <c r="I3871" s="5"/>
      <c r="J3871" s="5"/>
      <c r="K3871" s="5"/>
      <c r="L3871" s="5"/>
      <c r="M3871" s="5"/>
      <c r="N3871" s="5"/>
      <c r="O3871" s="5"/>
    </row>
    <row r="3872" spans="2:15" x14ac:dyDescent="0.55000000000000004">
      <c r="B3872" s="5"/>
      <c r="C3872" s="5"/>
      <c r="D3872" s="5"/>
      <c r="E3872" s="5"/>
      <c r="F3872" s="5"/>
      <c r="G3872" s="5"/>
      <c r="H3872" s="5"/>
      <c r="I3872" s="5"/>
      <c r="J3872" s="5"/>
      <c r="K3872" s="5"/>
      <c r="L3872" s="5"/>
      <c r="M3872" s="5"/>
      <c r="N3872" s="5"/>
      <c r="O3872" s="5"/>
    </row>
    <row r="3873" spans="2:15" x14ac:dyDescent="0.55000000000000004">
      <c r="B3873" s="5"/>
      <c r="C3873" s="5"/>
      <c r="D3873" s="5"/>
      <c r="E3873" s="5"/>
      <c r="F3873" s="5"/>
      <c r="G3873" s="5"/>
      <c r="H3873" s="5"/>
      <c r="I3873" s="5"/>
      <c r="J3873" s="5"/>
      <c r="K3873" s="5"/>
      <c r="L3873" s="5"/>
      <c r="M3873" s="5"/>
      <c r="N3873" s="5"/>
      <c r="O3873" s="5"/>
    </row>
    <row r="3874" spans="2:15" x14ac:dyDescent="0.55000000000000004">
      <c r="B3874" s="5"/>
      <c r="C3874" s="5"/>
      <c r="D3874" s="5"/>
      <c r="E3874" s="5"/>
      <c r="F3874" s="5"/>
      <c r="G3874" s="5"/>
      <c r="H3874" s="5"/>
      <c r="I3874" s="5"/>
      <c r="J3874" s="5"/>
      <c r="K3874" s="5"/>
      <c r="L3874" s="5"/>
      <c r="M3874" s="5"/>
      <c r="N3874" s="5"/>
      <c r="O3874" s="5"/>
    </row>
    <row r="3875" spans="2:15" x14ac:dyDescent="0.55000000000000004">
      <c r="B3875" s="5"/>
      <c r="C3875" s="5"/>
      <c r="D3875" s="5"/>
      <c r="E3875" s="5"/>
      <c r="F3875" s="5"/>
      <c r="G3875" s="5"/>
      <c r="H3875" s="5"/>
      <c r="I3875" s="5"/>
      <c r="J3875" s="5"/>
      <c r="K3875" s="5"/>
      <c r="L3875" s="5"/>
      <c r="M3875" s="5"/>
      <c r="N3875" s="5"/>
      <c r="O3875" s="5"/>
    </row>
    <row r="3876" spans="2:15" x14ac:dyDescent="0.55000000000000004">
      <c r="B3876" s="5"/>
      <c r="C3876" s="5"/>
      <c r="D3876" s="5"/>
      <c r="E3876" s="5"/>
      <c r="F3876" s="5"/>
      <c r="G3876" s="5"/>
      <c r="H3876" s="5"/>
      <c r="I3876" s="5"/>
      <c r="J3876" s="5"/>
      <c r="K3876" s="5"/>
      <c r="L3876" s="5"/>
      <c r="M3876" s="5"/>
      <c r="N3876" s="5"/>
      <c r="O3876" s="5"/>
    </row>
    <row r="3877" spans="2:15" x14ac:dyDescent="0.55000000000000004">
      <c r="B3877" s="5"/>
      <c r="C3877" s="5"/>
      <c r="D3877" s="5"/>
      <c r="E3877" s="5"/>
      <c r="F3877" s="5"/>
      <c r="G3877" s="5"/>
      <c r="H3877" s="5"/>
      <c r="I3877" s="5"/>
      <c r="J3877" s="5"/>
      <c r="K3877" s="5"/>
      <c r="L3877" s="5"/>
      <c r="M3877" s="5"/>
      <c r="N3877" s="5"/>
      <c r="O3877" s="5"/>
    </row>
    <row r="3878" spans="2:15" x14ac:dyDescent="0.55000000000000004">
      <c r="B3878" s="5"/>
      <c r="C3878" s="5"/>
      <c r="D3878" s="5"/>
      <c r="E3878" s="5"/>
      <c r="F3878" s="5"/>
      <c r="G3878" s="5"/>
      <c r="H3878" s="5"/>
      <c r="I3878" s="5"/>
      <c r="J3878" s="5"/>
      <c r="K3878" s="5"/>
      <c r="L3878" s="5"/>
      <c r="M3878" s="5"/>
      <c r="N3878" s="5"/>
      <c r="O3878" s="5"/>
    </row>
    <row r="3879" spans="2:15" x14ac:dyDescent="0.55000000000000004">
      <c r="B3879" s="5"/>
      <c r="C3879" s="5"/>
      <c r="D3879" s="5"/>
      <c r="E3879" s="5"/>
      <c r="F3879" s="5"/>
      <c r="G3879" s="5"/>
      <c r="H3879" s="5"/>
      <c r="I3879" s="5"/>
      <c r="J3879" s="5"/>
      <c r="K3879" s="5"/>
      <c r="L3879" s="5"/>
      <c r="M3879" s="5"/>
      <c r="N3879" s="5"/>
      <c r="O3879" s="5"/>
    </row>
    <row r="3880" spans="2:15" x14ac:dyDescent="0.55000000000000004">
      <c r="B3880" s="5"/>
      <c r="C3880" s="5"/>
      <c r="D3880" s="5"/>
      <c r="E3880" s="5"/>
      <c r="F3880" s="5"/>
      <c r="G3880" s="5"/>
      <c r="H3880" s="5"/>
      <c r="I3880" s="5"/>
      <c r="J3880" s="5"/>
      <c r="K3880" s="5"/>
      <c r="L3880" s="5"/>
      <c r="M3880" s="5"/>
      <c r="N3880" s="5"/>
      <c r="O3880" s="5"/>
    </row>
    <row r="3881" spans="2:15" x14ac:dyDescent="0.55000000000000004">
      <c r="B3881" s="5"/>
      <c r="C3881" s="5"/>
      <c r="D3881" s="5"/>
      <c r="E3881" s="5"/>
      <c r="F3881" s="5"/>
      <c r="G3881" s="5"/>
      <c r="H3881" s="5"/>
      <c r="I3881" s="5"/>
      <c r="J3881" s="5"/>
      <c r="K3881" s="5"/>
      <c r="L3881" s="5"/>
      <c r="M3881" s="5"/>
      <c r="N3881" s="5"/>
      <c r="O3881" s="5"/>
    </row>
    <row r="3882" spans="2:15" x14ac:dyDescent="0.55000000000000004">
      <c r="B3882" s="5"/>
      <c r="C3882" s="5"/>
      <c r="D3882" s="5"/>
      <c r="E3882" s="5"/>
      <c r="F3882" s="5"/>
      <c r="G3882" s="5"/>
      <c r="H3882" s="5"/>
      <c r="I3882" s="5"/>
      <c r="J3882" s="5"/>
      <c r="K3882" s="5"/>
      <c r="L3882" s="5"/>
      <c r="M3882" s="5"/>
      <c r="N3882" s="5"/>
      <c r="O3882" s="5"/>
    </row>
    <row r="3883" spans="2:15" x14ac:dyDescent="0.55000000000000004">
      <c r="B3883" s="5"/>
      <c r="C3883" s="5"/>
      <c r="D3883" s="5"/>
      <c r="E3883" s="5"/>
      <c r="F3883" s="5"/>
      <c r="G3883" s="5"/>
      <c r="H3883" s="5"/>
      <c r="I3883" s="5"/>
      <c r="J3883" s="5"/>
      <c r="K3883" s="5"/>
      <c r="L3883" s="5"/>
      <c r="M3883" s="5"/>
      <c r="N3883" s="5"/>
      <c r="O3883" s="5"/>
    </row>
    <row r="3884" spans="2:15" x14ac:dyDescent="0.55000000000000004">
      <c r="B3884" s="5"/>
      <c r="C3884" s="5"/>
      <c r="D3884" s="5"/>
      <c r="E3884" s="5"/>
      <c r="F3884" s="5"/>
      <c r="G3884" s="5"/>
      <c r="H3884" s="5"/>
      <c r="I3884" s="5"/>
      <c r="J3884" s="5"/>
      <c r="K3884" s="5"/>
      <c r="L3884" s="5"/>
      <c r="M3884" s="5"/>
      <c r="N3884" s="5"/>
      <c r="O3884" s="5"/>
    </row>
    <row r="3885" spans="2:15" x14ac:dyDescent="0.55000000000000004">
      <c r="B3885" s="5"/>
      <c r="C3885" s="5"/>
      <c r="D3885" s="5"/>
      <c r="E3885" s="5"/>
      <c r="F3885" s="5"/>
      <c r="G3885" s="5"/>
      <c r="H3885" s="5"/>
      <c r="I3885" s="5"/>
      <c r="J3885" s="5"/>
      <c r="K3885" s="5"/>
      <c r="L3885" s="5"/>
      <c r="M3885" s="5"/>
      <c r="N3885" s="5"/>
      <c r="O3885" s="5"/>
    </row>
    <row r="3886" spans="2:15" x14ac:dyDescent="0.55000000000000004">
      <c r="B3886" s="5"/>
      <c r="C3886" s="5"/>
      <c r="D3886" s="5"/>
      <c r="E3886" s="5"/>
      <c r="F3886" s="5"/>
      <c r="G3886" s="5"/>
      <c r="H3886" s="5"/>
      <c r="I3886" s="5"/>
      <c r="J3886" s="5"/>
      <c r="K3886" s="5"/>
      <c r="L3886" s="5"/>
      <c r="M3886" s="5"/>
      <c r="N3886" s="5"/>
      <c r="O3886" s="5"/>
    </row>
    <row r="3887" spans="2:15" x14ac:dyDescent="0.55000000000000004">
      <c r="B3887" s="5"/>
      <c r="C3887" s="5"/>
      <c r="D3887" s="5"/>
      <c r="E3887" s="5"/>
      <c r="F3887" s="5"/>
      <c r="G3887" s="5"/>
      <c r="H3887" s="5"/>
      <c r="I3887" s="5"/>
      <c r="J3887" s="5"/>
      <c r="K3887" s="5"/>
      <c r="L3887" s="5"/>
      <c r="M3887" s="5"/>
      <c r="N3887" s="5"/>
      <c r="O3887" s="5"/>
    </row>
    <row r="3888" spans="2:15" x14ac:dyDescent="0.55000000000000004">
      <c r="B3888" s="5"/>
      <c r="C3888" s="5"/>
      <c r="D3888" s="5"/>
      <c r="E3888" s="5"/>
      <c r="F3888" s="5"/>
      <c r="G3888" s="5"/>
      <c r="H3888" s="5"/>
      <c r="I3888" s="5"/>
      <c r="J3888" s="5"/>
      <c r="K3888" s="5"/>
      <c r="L3888" s="5"/>
      <c r="M3888" s="5"/>
      <c r="N3888" s="5"/>
      <c r="O3888" s="5"/>
    </row>
    <row r="3889" spans="2:15" x14ac:dyDescent="0.55000000000000004">
      <c r="B3889" s="5"/>
      <c r="C3889" s="5"/>
      <c r="D3889" s="5"/>
      <c r="E3889" s="5"/>
      <c r="F3889" s="5"/>
      <c r="G3889" s="5"/>
      <c r="H3889" s="5"/>
      <c r="I3889" s="5"/>
      <c r="J3889" s="5"/>
      <c r="K3889" s="5"/>
      <c r="L3889" s="5"/>
      <c r="M3889" s="5"/>
      <c r="N3889" s="5"/>
      <c r="O3889" s="5"/>
    </row>
    <row r="3890" spans="2:15" x14ac:dyDescent="0.55000000000000004">
      <c r="B3890" s="5"/>
      <c r="C3890" s="5"/>
      <c r="D3890" s="5"/>
      <c r="E3890" s="5"/>
      <c r="F3890" s="5"/>
      <c r="G3890" s="5"/>
      <c r="H3890" s="5"/>
      <c r="I3890" s="5"/>
      <c r="J3890" s="5"/>
      <c r="K3890" s="5"/>
      <c r="L3890" s="5"/>
      <c r="M3890" s="5"/>
      <c r="N3890" s="5"/>
      <c r="O3890" s="5"/>
    </row>
    <row r="3891" spans="2:15" x14ac:dyDescent="0.55000000000000004">
      <c r="B3891" s="5"/>
      <c r="C3891" s="5"/>
      <c r="D3891" s="5"/>
      <c r="E3891" s="5"/>
      <c r="F3891" s="5"/>
      <c r="G3891" s="5"/>
      <c r="H3891" s="5"/>
      <c r="I3891" s="5"/>
      <c r="J3891" s="5"/>
      <c r="K3891" s="5"/>
      <c r="L3891" s="5"/>
      <c r="M3891" s="5"/>
      <c r="N3891" s="5"/>
      <c r="O3891" s="5"/>
    </row>
    <row r="3892" spans="2:15" x14ac:dyDescent="0.55000000000000004">
      <c r="B3892" s="5"/>
      <c r="C3892" s="5"/>
      <c r="D3892" s="5"/>
      <c r="E3892" s="5"/>
      <c r="F3892" s="5"/>
      <c r="G3892" s="5"/>
      <c r="H3892" s="5"/>
      <c r="I3892" s="5"/>
      <c r="J3892" s="5"/>
      <c r="K3892" s="5"/>
      <c r="L3892" s="5"/>
      <c r="M3892" s="5"/>
      <c r="N3892" s="5"/>
      <c r="O3892" s="5"/>
    </row>
    <row r="3893" spans="2:15" x14ac:dyDescent="0.55000000000000004">
      <c r="B3893" s="5"/>
      <c r="C3893" s="5"/>
      <c r="D3893" s="5"/>
      <c r="E3893" s="5"/>
      <c r="F3893" s="5"/>
      <c r="G3893" s="5"/>
      <c r="H3893" s="5"/>
      <c r="I3893" s="5"/>
      <c r="J3893" s="5"/>
      <c r="K3893" s="5"/>
      <c r="L3893" s="5"/>
      <c r="M3893" s="5"/>
      <c r="N3893" s="5"/>
      <c r="O3893" s="5"/>
    </row>
    <row r="3894" spans="2:15" x14ac:dyDescent="0.55000000000000004">
      <c r="B3894" s="5"/>
      <c r="C3894" s="5"/>
      <c r="D3894" s="5"/>
      <c r="E3894" s="5"/>
      <c r="F3894" s="5"/>
      <c r="G3894" s="5"/>
      <c r="H3894" s="5"/>
      <c r="I3894" s="5"/>
      <c r="J3894" s="5"/>
      <c r="K3894" s="5"/>
      <c r="L3894" s="5"/>
      <c r="M3894" s="5"/>
      <c r="N3894" s="5"/>
      <c r="O3894" s="5"/>
    </row>
    <row r="3895" spans="2:15" x14ac:dyDescent="0.55000000000000004">
      <c r="B3895" s="5"/>
      <c r="C3895" s="5"/>
      <c r="D3895" s="5"/>
      <c r="E3895" s="5"/>
      <c r="F3895" s="5"/>
      <c r="G3895" s="5"/>
      <c r="H3895" s="5"/>
      <c r="I3895" s="5"/>
      <c r="J3895" s="5"/>
      <c r="K3895" s="5"/>
      <c r="L3895" s="5"/>
      <c r="M3895" s="5"/>
      <c r="N3895" s="5"/>
      <c r="O3895" s="5"/>
    </row>
    <row r="3896" spans="2:15" x14ac:dyDescent="0.55000000000000004">
      <c r="B3896" s="5"/>
      <c r="C3896" s="5"/>
      <c r="D3896" s="5"/>
      <c r="E3896" s="5"/>
      <c r="F3896" s="5"/>
      <c r="G3896" s="5"/>
      <c r="H3896" s="5"/>
      <c r="I3896" s="5"/>
      <c r="J3896" s="5"/>
      <c r="K3896" s="5"/>
      <c r="L3896" s="5"/>
      <c r="M3896" s="5"/>
      <c r="N3896" s="5"/>
      <c r="O3896" s="5"/>
    </row>
    <row r="3897" spans="2:15" x14ac:dyDescent="0.55000000000000004">
      <c r="B3897" s="5"/>
      <c r="C3897" s="5"/>
      <c r="D3897" s="5"/>
      <c r="E3897" s="5"/>
      <c r="F3897" s="5"/>
      <c r="G3897" s="5"/>
      <c r="H3897" s="5"/>
      <c r="I3897" s="5"/>
      <c r="J3897" s="5"/>
      <c r="K3897" s="5"/>
      <c r="L3897" s="5"/>
      <c r="M3897" s="5"/>
      <c r="N3897" s="5"/>
      <c r="O3897" s="5"/>
    </row>
    <row r="3898" spans="2:15" x14ac:dyDescent="0.55000000000000004">
      <c r="B3898" s="5"/>
      <c r="C3898" s="5"/>
      <c r="D3898" s="5"/>
      <c r="E3898" s="5"/>
      <c r="F3898" s="5"/>
      <c r="G3898" s="5"/>
      <c r="H3898" s="5"/>
      <c r="I3898" s="5"/>
      <c r="J3898" s="5"/>
      <c r="K3898" s="5"/>
      <c r="L3898" s="5"/>
      <c r="M3898" s="5"/>
      <c r="N3898" s="5"/>
      <c r="O3898" s="5"/>
    </row>
    <row r="3899" spans="2:15" x14ac:dyDescent="0.55000000000000004">
      <c r="B3899" s="5"/>
      <c r="C3899" s="5"/>
      <c r="D3899" s="5"/>
      <c r="E3899" s="5"/>
      <c r="F3899" s="5"/>
      <c r="G3899" s="5"/>
      <c r="H3899" s="5"/>
      <c r="I3899" s="5"/>
      <c r="J3899" s="5"/>
      <c r="K3899" s="5"/>
      <c r="L3899" s="5"/>
      <c r="M3899" s="5"/>
      <c r="N3899" s="5"/>
      <c r="O3899" s="5"/>
    </row>
    <row r="3900" spans="2:15" x14ac:dyDescent="0.55000000000000004">
      <c r="B3900" s="5"/>
      <c r="C3900" s="5"/>
      <c r="D3900" s="5"/>
      <c r="E3900" s="5"/>
      <c r="F3900" s="5"/>
      <c r="G3900" s="5"/>
      <c r="H3900" s="5"/>
      <c r="I3900" s="5"/>
      <c r="J3900" s="5"/>
      <c r="K3900" s="5"/>
      <c r="L3900" s="5"/>
      <c r="M3900" s="5"/>
      <c r="N3900" s="5"/>
      <c r="O3900" s="5"/>
    </row>
    <row r="3901" spans="2:15" x14ac:dyDescent="0.55000000000000004">
      <c r="B3901" s="5"/>
      <c r="C3901" s="5"/>
      <c r="D3901" s="5"/>
      <c r="E3901" s="5"/>
      <c r="F3901" s="5"/>
      <c r="G3901" s="5"/>
      <c r="H3901" s="5"/>
      <c r="I3901" s="5"/>
      <c r="J3901" s="5"/>
      <c r="K3901" s="5"/>
      <c r="L3901" s="5"/>
      <c r="M3901" s="5"/>
      <c r="N3901" s="5"/>
      <c r="O3901" s="5"/>
    </row>
    <row r="3902" spans="2:15" x14ac:dyDescent="0.55000000000000004">
      <c r="B3902" s="5"/>
      <c r="C3902" s="5"/>
      <c r="D3902" s="5"/>
      <c r="E3902" s="5"/>
      <c r="F3902" s="5"/>
      <c r="G3902" s="5"/>
      <c r="H3902" s="5"/>
      <c r="I3902" s="5"/>
      <c r="J3902" s="5"/>
      <c r="K3902" s="5"/>
      <c r="L3902" s="5"/>
      <c r="M3902" s="5"/>
      <c r="N3902" s="5"/>
      <c r="O3902" s="5"/>
    </row>
    <row r="3903" spans="2:15" x14ac:dyDescent="0.55000000000000004">
      <c r="B3903" s="5"/>
      <c r="C3903" s="5"/>
      <c r="D3903" s="5"/>
      <c r="E3903" s="5"/>
      <c r="F3903" s="5"/>
      <c r="G3903" s="5"/>
      <c r="H3903" s="5"/>
      <c r="I3903" s="5"/>
      <c r="J3903" s="5"/>
      <c r="K3903" s="5"/>
      <c r="L3903" s="5"/>
      <c r="M3903" s="5"/>
      <c r="N3903" s="5"/>
      <c r="O3903" s="5"/>
    </row>
    <row r="3904" spans="2:15" x14ac:dyDescent="0.55000000000000004">
      <c r="B3904" s="5"/>
      <c r="C3904" s="5"/>
      <c r="D3904" s="5"/>
      <c r="E3904" s="5"/>
      <c r="F3904" s="5"/>
      <c r="G3904" s="5"/>
      <c r="H3904" s="5"/>
      <c r="I3904" s="5"/>
      <c r="J3904" s="5"/>
      <c r="K3904" s="5"/>
      <c r="L3904" s="5"/>
      <c r="M3904" s="5"/>
      <c r="N3904" s="5"/>
      <c r="O3904" s="5"/>
    </row>
    <row r="3905" spans="2:15" x14ac:dyDescent="0.55000000000000004">
      <c r="B3905" s="5"/>
      <c r="C3905" s="5"/>
      <c r="D3905" s="5"/>
      <c r="E3905" s="5"/>
      <c r="F3905" s="5"/>
      <c r="G3905" s="5"/>
      <c r="H3905" s="5"/>
      <c r="I3905" s="5"/>
      <c r="J3905" s="5"/>
      <c r="K3905" s="5"/>
      <c r="L3905" s="5"/>
      <c r="M3905" s="5"/>
      <c r="N3905" s="5"/>
      <c r="O3905" s="5"/>
    </row>
    <row r="3906" spans="2:15" x14ac:dyDescent="0.55000000000000004">
      <c r="B3906" s="5"/>
      <c r="C3906" s="5"/>
      <c r="D3906" s="5"/>
      <c r="E3906" s="5"/>
      <c r="F3906" s="5"/>
      <c r="G3906" s="5"/>
      <c r="H3906" s="5"/>
      <c r="I3906" s="5"/>
      <c r="J3906" s="5"/>
      <c r="K3906" s="5"/>
      <c r="L3906" s="5"/>
      <c r="M3906" s="5"/>
      <c r="N3906" s="5"/>
      <c r="O3906" s="5"/>
    </row>
    <row r="3907" spans="2:15" x14ac:dyDescent="0.55000000000000004">
      <c r="B3907" s="5"/>
      <c r="C3907" s="5"/>
      <c r="D3907" s="5"/>
      <c r="E3907" s="5"/>
      <c r="F3907" s="5"/>
      <c r="G3907" s="5"/>
      <c r="H3907" s="5"/>
      <c r="I3907" s="5"/>
      <c r="J3907" s="5"/>
      <c r="K3907" s="5"/>
      <c r="L3907" s="5"/>
      <c r="M3907" s="5"/>
      <c r="N3907" s="5"/>
      <c r="O3907" s="5"/>
    </row>
    <row r="3908" spans="2:15" x14ac:dyDescent="0.55000000000000004">
      <c r="B3908" s="5"/>
      <c r="C3908" s="5"/>
      <c r="D3908" s="5"/>
      <c r="E3908" s="5"/>
      <c r="F3908" s="5"/>
      <c r="G3908" s="5"/>
      <c r="H3908" s="5"/>
      <c r="I3908" s="5"/>
      <c r="J3908" s="5"/>
      <c r="K3908" s="5"/>
      <c r="L3908" s="5"/>
      <c r="M3908" s="5"/>
      <c r="N3908" s="5"/>
      <c r="O3908" s="5"/>
    </row>
    <row r="3909" spans="2:15" x14ac:dyDescent="0.55000000000000004">
      <c r="B3909" s="5"/>
      <c r="C3909" s="5"/>
      <c r="D3909" s="5"/>
      <c r="E3909" s="5"/>
      <c r="F3909" s="5"/>
      <c r="G3909" s="5"/>
      <c r="H3909" s="5"/>
      <c r="I3909" s="5"/>
      <c r="J3909" s="5"/>
      <c r="K3909" s="5"/>
      <c r="L3909" s="5"/>
      <c r="M3909" s="5"/>
      <c r="N3909" s="5"/>
      <c r="O3909" s="5"/>
    </row>
    <row r="3910" spans="2:15" x14ac:dyDescent="0.55000000000000004">
      <c r="B3910" s="5"/>
      <c r="C3910" s="5"/>
      <c r="D3910" s="5"/>
      <c r="E3910" s="5"/>
      <c r="F3910" s="5"/>
      <c r="G3910" s="5"/>
      <c r="H3910" s="5"/>
      <c r="I3910" s="5"/>
      <c r="J3910" s="5"/>
      <c r="K3910" s="5"/>
      <c r="L3910" s="5"/>
      <c r="M3910" s="5"/>
      <c r="N3910" s="5"/>
      <c r="O3910" s="5"/>
    </row>
    <row r="3911" spans="2:15" x14ac:dyDescent="0.55000000000000004">
      <c r="B3911" s="5"/>
      <c r="C3911" s="5"/>
      <c r="D3911" s="5"/>
      <c r="E3911" s="5"/>
      <c r="F3911" s="5"/>
      <c r="G3911" s="5"/>
      <c r="H3911" s="5"/>
      <c r="I3911" s="5"/>
      <c r="J3911" s="5"/>
      <c r="K3911" s="5"/>
      <c r="L3911" s="5"/>
      <c r="M3911" s="5"/>
      <c r="N3911" s="5"/>
      <c r="O3911" s="5"/>
    </row>
    <row r="3912" spans="2:15" x14ac:dyDescent="0.55000000000000004">
      <c r="B3912" s="5"/>
      <c r="C3912" s="5"/>
      <c r="D3912" s="5"/>
      <c r="E3912" s="5"/>
      <c r="F3912" s="5"/>
      <c r="G3912" s="5"/>
      <c r="H3912" s="5"/>
      <c r="I3912" s="5"/>
      <c r="J3912" s="5"/>
      <c r="K3912" s="5"/>
      <c r="L3912" s="5"/>
      <c r="M3912" s="5"/>
      <c r="N3912" s="5"/>
      <c r="O3912" s="5"/>
    </row>
    <row r="3913" spans="2:15" x14ac:dyDescent="0.55000000000000004">
      <c r="B3913" s="5"/>
      <c r="C3913" s="5"/>
      <c r="D3913" s="5"/>
      <c r="E3913" s="5"/>
      <c r="F3913" s="5"/>
      <c r="G3913" s="5"/>
      <c r="H3913" s="5"/>
      <c r="I3913" s="5"/>
      <c r="J3913" s="5"/>
      <c r="K3913" s="5"/>
      <c r="L3913" s="5"/>
      <c r="M3913" s="5"/>
      <c r="N3913" s="5"/>
      <c r="O3913" s="5"/>
    </row>
    <row r="3914" spans="2:15" x14ac:dyDescent="0.55000000000000004">
      <c r="B3914" s="5"/>
      <c r="C3914" s="5"/>
      <c r="D3914" s="5"/>
      <c r="E3914" s="5"/>
      <c r="F3914" s="5"/>
      <c r="G3914" s="5"/>
      <c r="H3914" s="5"/>
      <c r="I3914" s="5"/>
      <c r="J3914" s="5"/>
      <c r="K3914" s="5"/>
      <c r="L3914" s="5"/>
      <c r="M3914" s="5"/>
      <c r="N3914" s="5"/>
      <c r="O3914" s="5"/>
    </row>
    <row r="3915" spans="2:15" x14ac:dyDescent="0.55000000000000004">
      <c r="B3915" s="5"/>
      <c r="C3915" s="5"/>
      <c r="D3915" s="5"/>
      <c r="E3915" s="5"/>
      <c r="F3915" s="5"/>
      <c r="G3915" s="5"/>
      <c r="H3915" s="5"/>
      <c r="I3915" s="5"/>
      <c r="J3915" s="5"/>
      <c r="K3915" s="5"/>
      <c r="L3915" s="5"/>
      <c r="M3915" s="5"/>
      <c r="N3915" s="5"/>
      <c r="O3915" s="5"/>
    </row>
    <row r="3916" spans="2:15" x14ac:dyDescent="0.55000000000000004">
      <c r="B3916" s="5"/>
      <c r="C3916" s="5"/>
      <c r="D3916" s="5"/>
      <c r="E3916" s="5"/>
      <c r="F3916" s="5"/>
      <c r="G3916" s="5"/>
      <c r="H3916" s="5"/>
      <c r="I3916" s="5"/>
      <c r="J3916" s="5"/>
      <c r="K3916" s="5"/>
      <c r="L3916" s="5"/>
      <c r="M3916" s="5"/>
      <c r="N3916" s="5"/>
      <c r="O3916" s="5"/>
    </row>
    <row r="3917" spans="2:15" x14ac:dyDescent="0.55000000000000004">
      <c r="B3917" s="5"/>
      <c r="C3917" s="5"/>
      <c r="D3917" s="5"/>
      <c r="E3917" s="5"/>
      <c r="F3917" s="5"/>
      <c r="G3917" s="5"/>
      <c r="H3917" s="5"/>
      <c r="I3917" s="5"/>
      <c r="J3917" s="5"/>
      <c r="K3917" s="5"/>
      <c r="L3917" s="5"/>
      <c r="M3917" s="5"/>
      <c r="N3917" s="5"/>
      <c r="O3917" s="5"/>
    </row>
    <row r="3918" spans="2:15" x14ac:dyDescent="0.55000000000000004">
      <c r="B3918" s="5"/>
      <c r="C3918" s="5"/>
      <c r="D3918" s="5"/>
      <c r="E3918" s="5"/>
      <c r="F3918" s="5"/>
      <c r="G3918" s="5"/>
      <c r="H3918" s="5"/>
      <c r="I3918" s="5"/>
      <c r="J3918" s="5"/>
      <c r="K3918" s="5"/>
      <c r="L3918" s="5"/>
      <c r="M3918" s="5"/>
      <c r="N3918" s="5"/>
      <c r="O3918" s="5"/>
    </row>
    <row r="3919" spans="2:15" x14ac:dyDescent="0.55000000000000004">
      <c r="B3919" s="5"/>
      <c r="C3919" s="5"/>
      <c r="D3919" s="5"/>
      <c r="E3919" s="5"/>
      <c r="F3919" s="5"/>
      <c r="G3919" s="5"/>
      <c r="H3919" s="5"/>
      <c r="I3919" s="5"/>
      <c r="J3919" s="5"/>
      <c r="K3919" s="5"/>
      <c r="L3919" s="5"/>
      <c r="M3919" s="5"/>
      <c r="N3919" s="5"/>
      <c r="O3919" s="5"/>
    </row>
    <row r="3920" spans="2:15" x14ac:dyDescent="0.55000000000000004">
      <c r="B3920" s="5"/>
      <c r="C3920" s="5"/>
      <c r="D3920" s="5"/>
      <c r="E3920" s="5"/>
      <c r="F3920" s="5"/>
      <c r="G3920" s="5"/>
      <c r="H3920" s="5"/>
      <c r="I3920" s="5"/>
      <c r="J3920" s="5"/>
      <c r="K3920" s="5"/>
      <c r="L3920" s="5"/>
      <c r="M3920" s="5"/>
      <c r="N3920" s="5"/>
      <c r="O3920" s="5"/>
    </row>
    <row r="3921" spans="2:15" x14ac:dyDescent="0.55000000000000004">
      <c r="B3921" s="5"/>
      <c r="C3921" s="5"/>
      <c r="D3921" s="5"/>
      <c r="E3921" s="5"/>
      <c r="F3921" s="5"/>
      <c r="G3921" s="5"/>
      <c r="H3921" s="5"/>
      <c r="I3921" s="5"/>
      <c r="J3921" s="5"/>
      <c r="K3921" s="5"/>
      <c r="L3921" s="5"/>
      <c r="M3921" s="5"/>
      <c r="N3921" s="5"/>
      <c r="O3921" s="5"/>
    </row>
    <row r="3922" spans="2:15" x14ac:dyDescent="0.55000000000000004">
      <c r="B3922" s="5"/>
      <c r="C3922" s="5"/>
      <c r="D3922" s="5"/>
      <c r="E3922" s="5"/>
      <c r="F3922" s="5"/>
      <c r="G3922" s="5"/>
      <c r="H3922" s="5"/>
      <c r="I3922" s="5"/>
      <c r="J3922" s="5"/>
      <c r="K3922" s="5"/>
      <c r="L3922" s="5"/>
      <c r="M3922" s="5"/>
      <c r="N3922" s="5"/>
      <c r="O3922" s="5"/>
    </row>
    <row r="3923" spans="2:15" x14ac:dyDescent="0.55000000000000004">
      <c r="B3923" s="5"/>
      <c r="C3923" s="5"/>
      <c r="D3923" s="5"/>
      <c r="E3923" s="5"/>
      <c r="F3923" s="5"/>
      <c r="G3923" s="5"/>
      <c r="H3923" s="5"/>
      <c r="I3923" s="5"/>
      <c r="J3923" s="5"/>
      <c r="K3923" s="5"/>
      <c r="L3923" s="5"/>
      <c r="M3923" s="5"/>
      <c r="N3923" s="5"/>
      <c r="O3923" s="5"/>
    </row>
    <row r="3924" spans="2:15" x14ac:dyDescent="0.55000000000000004">
      <c r="B3924" s="5"/>
      <c r="C3924" s="5"/>
      <c r="D3924" s="5"/>
      <c r="E3924" s="5"/>
      <c r="F3924" s="5"/>
      <c r="G3924" s="5"/>
      <c r="H3924" s="5"/>
      <c r="I3924" s="5"/>
      <c r="J3924" s="5"/>
      <c r="K3924" s="5"/>
      <c r="L3924" s="5"/>
      <c r="M3924" s="5"/>
      <c r="N3924" s="5"/>
      <c r="O3924" s="5"/>
    </row>
    <row r="3925" spans="2:15" x14ac:dyDescent="0.55000000000000004">
      <c r="B3925" s="5"/>
      <c r="C3925" s="5"/>
      <c r="D3925" s="5"/>
      <c r="E3925" s="5"/>
      <c r="F3925" s="5"/>
      <c r="G3925" s="5"/>
      <c r="H3925" s="5"/>
      <c r="I3925" s="5"/>
      <c r="J3925" s="5"/>
      <c r="K3925" s="5"/>
      <c r="L3925" s="5"/>
      <c r="M3925" s="5"/>
      <c r="N3925" s="5"/>
      <c r="O3925" s="5"/>
    </row>
    <row r="3926" spans="2:15" x14ac:dyDescent="0.55000000000000004">
      <c r="B3926" s="5"/>
      <c r="C3926" s="5"/>
      <c r="D3926" s="5"/>
      <c r="E3926" s="5"/>
      <c r="F3926" s="5"/>
      <c r="G3926" s="5"/>
      <c r="H3926" s="5"/>
      <c r="I3926" s="5"/>
      <c r="J3926" s="5"/>
      <c r="K3926" s="5"/>
      <c r="L3926" s="5"/>
      <c r="M3926" s="5"/>
      <c r="N3926" s="5"/>
      <c r="O3926" s="5"/>
    </row>
    <row r="3927" spans="2:15" x14ac:dyDescent="0.55000000000000004">
      <c r="B3927" s="5"/>
      <c r="C3927" s="5"/>
      <c r="D3927" s="5"/>
      <c r="E3927" s="5"/>
      <c r="F3927" s="5"/>
      <c r="G3927" s="5"/>
      <c r="H3927" s="5"/>
      <c r="I3927" s="5"/>
      <c r="J3927" s="5"/>
      <c r="K3927" s="5"/>
      <c r="L3927" s="5"/>
      <c r="M3927" s="5"/>
      <c r="N3927" s="5"/>
      <c r="O3927" s="5"/>
    </row>
    <row r="3928" spans="2:15" x14ac:dyDescent="0.55000000000000004">
      <c r="B3928" s="5"/>
      <c r="C3928" s="5"/>
      <c r="D3928" s="5"/>
      <c r="E3928" s="5"/>
      <c r="F3928" s="5"/>
      <c r="G3928" s="5"/>
      <c r="H3928" s="5"/>
      <c r="I3928" s="5"/>
      <c r="J3928" s="5"/>
      <c r="K3928" s="5"/>
      <c r="L3928" s="5"/>
      <c r="M3928" s="5"/>
      <c r="N3928" s="5"/>
      <c r="O3928" s="5"/>
    </row>
    <row r="3929" spans="2:15" x14ac:dyDescent="0.55000000000000004">
      <c r="B3929" s="5"/>
      <c r="C3929" s="5"/>
      <c r="D3929" s="5"/>
      <c r="E3929" s="5"/>
      <c r="F3929" s="5"/>
      <c r="G3929" s="5"/>
      <c r="H3929" s="5"/>
      <c r="I3929" s="5"/>
      <c r="J3929" s="5"/>
      <c r="K3929" s="5"/>
      <c r="L3929" s="5"/>
      <c r="M3929" s="5"/>
      <c r="N3929" s="5"/>
      <c r="O3929" s="5"/>
    </row>
    <row r="3930" spans="2:15" x14ac:dyDescent="0.55000000000000004">
      <c r="B3930" s="5"/>
      <c r="C3930" s="5"/>
      <c r="D3930" s="5"/>
      <c r="E3930" s="5"/>
      <c r="F3930" s="5"/>
      <c r="G3930" s="5"/>
      <c r="H3930" s="5"/>
      <c r="I3930" s="5"/>
      <c r="J3930" s="5"/>
      <c r="K3930" s="5"/>
      <c r="L3930" s="5"/>
      <c r="M3930" s="5"/>
      <c r="N3930" s="5"/>
      <c r="O3930" s="5"/>
    </row>
    <row r="3931" spans="2:15" x14ac:dyDescent="0.55000000000000004">
      <c r="B3931" s="5"/>
      <c r="C3931" s="5"/>
      <c r="D3931" s="5"/>
      <c r="E3931" s="5"/>
      <c r="F3931" s="5"/>
      <c r="G3931" s="5"/>
      <c r="H3931" s="5"/>
      <c r="I3931" s="5"/>
      <c r="J3931" s="5"/>
      <c r="K3931" s="5"/>
      <c r="L3931" s="5"/>
      <c r="M3931" s="5"/>
      <c r="N3931" s="5"/>
      <c r="O3931" s="5"/>
    </row>
    <row r="3932" spans="2:15" x14ac:dyDescent="0.55000000000000004">
      <c r="B3932" s="5"/>
      <c r="C3932" s="5"/>
      <c r="D3932" s="5"/>
      <c r="E3932" s="5"/>
      <c r="F3932" s="5"/>
      <c r="G3932" s="5"/>
      <c r="H3932" s="5"/>
      <c r="I3932" s="5"/>
      <c r="J3932" s="5"/>
      <c r="K3932" s="5"/>
      <c r="L3932" s="5"/>
      <c r="M3932" s="5"/>
      <c r="N3932" s="5"/>
      <c r="O3932" s="5"/>
    </row>
    <row r="3933" spans="2:15" x14ac:dyDescent="0.55000000000000004">
      <c r="B3933" s="5"/>
      <c r="C3933" s="5"/>
      <c r="D3933" s="5"/>
      <c r="E3933" s="5"/>
      <c r="F3933" s="5"/>
      <c r="G3933" s="5"/>
      <c r="H3933" s="5"/>
      <c r="I3933" s="5"/>
      <c r="J3933" s="5"/>
      <c r="K3933" s="5"/>
      <c r="L3933" s="5"/>
      <c r="M3933" s="5"/>
      <c r="N3933" s="5"/>
      <c r="O3933" s="5"/>
    </row>
    <row r="3934" spans="2:15" x14ac:dyDescent="0.55000000000000004">
      <c r="B3934" s="5"/>
      <c r="C3934" s="5"/>
      <c r="D3934" s="5"/>
      <c r="E3934" s="5"/>
      <c r="F3934" s="5"/>
      <c r="G3934" s="5"/>
      <c r="H3934" s="5"/>
      <c r="I3934" s="5"/>
      <c r="J3934" s="5"/>
      <c r="K3934" s="5"/>
      <c r="L3934" s="5"/>
      <c r="M3934" s="5"/>
      <c r="N3934" s="5"/>
      <c r="O3934" s="5"/>
    </row>
    <row r="3935" spans="2:15" x14ac:dyDescent="0.55000000000000004">
      <c r="B3935" s="5"/>
      <c r="C3935" s="5"/>
      <c r="D3935" s="5"/>
      <c r="E3935" s="5"/>
      <c r="F3935" s="5"/>
      <c r="G3935" s="5"/>
      <c r="H3935" s="5"/>
      <c r="I3935" s="5"/>
      <c r="J3935" s="5"/>
      <c r="K3935" s="5"/>
      <c r="L3935" s="5"/>
      <c r="M3935" s="5"/>
      <c r="N3935" s="5"/>
      <c r="O3935" s="5"/>
    </row>
    <row r="3936" spans="2:15" x14ac:dyDescent="0.55000000000000004">
      <c r="B3936" s="5"/>
      <c r="C3936" s="5"/>
      <c r="D3936" s="5"/>
      <c r="E3936" s="5"/>
      <c r="F3936" s="5"/>
      <c r="G3936" s="5"/>
      <c r="H3936" s="5"/>
      <c r="I3936" s="5"/>
      <c r="J3936" s="5"/>
      <c r="K3936" s="5"/>
      <c r="L3936" s="5"/>
      <c r="M3936" s="5"/>
      <c r="N3936" s="5"/>
      <c r="O3936" s="5"/>
    </row>
    <row r="3937" spans="2:15" x14ac:dyDescent="0.55000000000000004">
      <c r="B3937" s="5"/>
      <c r="C3937" s="5"/>
      <c r="D3937" s="5"/>
      <c r="E3937" s="5"/>
      <c r="F3937" s="5"/>
      <c r="G3937" s="5"/>
      <c r="H3937" s="5"/>
      <c r="I3937" s="5"/>
      <c r="J3937" s="5"/>
      <c r="K3937" s="5"/>
      <c r="L3937" s="5"/>
      <c r="M3937" s="5"/>
      <c r="N3937" s="5"/>
      <c r="O3937" s="5"/>
    </row>
    <row r="3938" spans="2:15" x14ac:dyDescent="0.55000000000000004">
      <c r="B3938" s="5"/>
      <c r="C3938" s="5"/>
      <c r="D3938" s="5"/>
      <c r="E3938" s="5"/>
      <c r="F3938" s="5"/>
      <c r="G3938" s="5"/>
      <c r="H3938" s="5"/>
      <c r="I3938" s="5"/>
      <c r="J3938" s="5"/>
      <c r="K3938" s="5"/>
      <c r="L3938" s="5"/>
      <c r="M3938" s="5"/>
      <c r="N3938" s="5"/>
      <c r="O3938" s="5"/>
    </row>
    <row r="3939" spans="2:15" x14ac:dyDescent="0.55000000000000004">
      <c r="B3939" s="5"/>
      <c r="C3939" s="5"/>
      <c r="D3939" s="5"/>
      <c r="E3939" s="5"/>
      <c r="F3939" s="5"/>
      <c r="G3939" s="5"/>
      <c r="H3939" s="5"/>
      <c r="I3939" s="5"/>
      <c r="J3939" s="5"/>
      <c r="K3939" s="5"/>
      <c r="L3939" s="5"/>
      <c r="M3939" s="5"/>
      <c r="N3939" s="5"/>
      <c r="O3939" s="5"/>
    </row>
    <row r="3940" spans="2:15" x14ac:dyDescent="0.55000000000000004">
      <c r="B3940" s="5"/>
      <c r="C3940" s="5"/>
      <c r="D3940" s="5"/>
      <c r="E3940" s="5"/>
      <c r="F3940" s="5"/>
      <c r="G3940" s="5"/>
      <c r="H3940" s="5"/>
      <c r="I3940" s="5"/>
      <c r="J3940" s="5"/>
      <c r="K3940" s="5"/>
      <c r="L3940" s="5"/>
      <c r="M3940" s="5"/>
      <c r="N3940" s="5"/>
      <c r="O3940" s="5"/>
    </row>
    <row r="3941" spans="2:15" x14ac:dyDescent="0.55000000000000004">
      <c r="B3941" s="5"/>
      <c r="C3941" s="5"/>
      <c r="D3941" s="5"/>
      <c r="E3941" s="5"/>
      <c r="F3941" s="5"/>
      <c r="G3941" s="5"/>
      <c r="H3941" s="5"/>
      <c r="I3941" s="5"/>
      <c r="J3941" s="5"/>
      <c r="K3941" s="5"/>
      <c r="L3941" s="5"/>
      <c r="M3941" s="5"/>
      <c r="N3941" s="5"/>
      <c r="O3941" s="5"/>
    </row>
    <row r="3942" spans="2:15" x14ac:dyDescent="0.55000000000000004">
      <c r="B3942" s="5"/>
      <c r="C3942" s="5"/>
      <c r="D3942" s="5"/>
      <c r="E3942" s="5"/>
      <c r="F3942" s="5"/>
      <c r="G3942" s="5"/>
      <c r="H3942" s="5"/>
      <c r="I3942" s="5"/>
      <c r="J3942" s="5"/>
      <c r="K3942" s="5"/>
      <c r="L3942" s="5"/>
      <c r="M3942" s="5"/>
      <c r="N3942" s="5"/>
      <c r="O3942" s="5"/>
    </row>
    <row r="3943" spans="2:15" x14ac:dyDescent="0.55000000000000004">
      <c r="B3943" s="5"/>
      <c r="C3943" s="5"/>
      <c r="D3943" s="5"/>
      <c r="E3943" s="5"/>
      <c r="F3943" s="5"/>
      <c r="G3943" s="5"/>
      <c r="H3943" s="5"/>
      <c r="I3943" s="5"/>
      <c r="J3943" s="5"/>
      <c r="K3943" s="5"/>
      <c r="L3943" s="5"/>
      <c r="M3943" s="5"/>
      <c r="N3943" s="5"/>
      <c r="O3943" s="5"/>
    </row>
    <row r="3944" spans="2:15" x14ac:dyDescent="0.55000000000000004">
      <c r="B3944" s="5"/>
      <c r="C3944" s="5"/>
      <c r="D3944" s="5"/>
      <c r="E3944" s="5"/>
      <c r="F3944" s="5"/>
      <c r="G3944" s="5"/>
      <c r="H3944" s="5"/>
      <c r="I3944" s="5"/>
      <c r="J3944" s="5"/>
      <c r="K3944" s="5"/>
      <c r="L3944" s="5"/>
      <c r="M3944" s="5"/>
      <c r="N3944" s="5"/>
      <c r="O3944" s="5"/>
    </row>
    <row r="3945" spans="2:15" x14ac:dyDescent="0.55000000000000004">
      <c r="B3945" s="5"/>
      <c r="C3945" s="5"/>
      <c r="D3945" s="5"/>
      <c r="E3945" s="5"/>
      <c r="F3945" s="5"/>
      <c r="G3945" s="5"/>
      <c r="H3945" s="5"/>
      <c r="I3945" s="5"/>
      <c r="J3945" s="5"/>
      <c r="K3945" s="5"/>
      <c r="L3945" s="5"/>
      <c r="M3945" s="5"/>
      <c r="N3945" s="5"/>
      <c r="O3945" s="5"/>
    </row>
    <row r="3946" spans="2:15" x14ac:dyDescent="0.55000000000000004">
      <c r="B3946" s="5"/>
      <c r="C3946" s="5"/>
      <c r="D3946" s="5"/>
      <c r="E3946" s="5"/>
      <c r="F3946" s="5"/>
      <c r="G3946" s="5"/>
      <c r="H3946" s="5"/>
      <c r="I3946" s="5"/>
      <c r="J3946" s="5"/>
      <c r="K3946" s="5"/>
      <c r="L3946" s="5"/>
      <c r="M3946" s="5"/>
      <c r="N3946" s="5"/>
      <c r="O3946" s="5"/>
    </row>
    <row r="3947" spans="2:15" x14ac:dyDescent="0.55000000000000004">
      <c r="B3947" s="5"/>
      <c r="C3947" s="5"/>
      <c r="D3947" s="5"/>
      <c r="E3947" s="5"/>
      <c r="F3947" s="5"/>
      <c r="G3947" s="5"/>
      <c r="H3947" s="5"/>
      <c r="I3947" s="5"/>
      <c r="J3947" s="5"/>
      <c r="K3947" s="5"/>
      <c r="L3947" s="5"/>
      <c r="M3947" s="5"/>
      <c r="N3947" s="5"/>
      <c r="O3947" s="5"/>
    </row>
    <row r="3948" spans="2:15" x14ac:dyDescent="0.55000000000000004">
      <c r="B3948" s="5"/>
      <c r="C3948" s="5"/>
      <c r="D3948" s="5"/>
      <c r="E3948" s="5"/>
      <c r="F3948" s="5"/>
      <c r="G3948" s="5"/>
      <c r="H3948" s="5"/>
      <c r="I3948" s="5"/>
      <c r="J3948" s="5"/>
      <c r="K3948" s="5"/>
      <c r="L3948" s="5"/>
      <c r="M3948" s="5"/>
      <c r="N3948" s="5"/>
      <c r="O3948" s="5"/>
    </row>
    <row r="3949" spans="2:15" x14ac:dyDescent="0.55000000000000004">
      <c r="B3949" s="5"/>
      <c r="C3949" s="5"/>
      <c r="D3949" s="5"/>
      <c r="E3949" s="5"/>
      <c r="F3949" s="5"/>
      <c r="G3949" s="5"/>
      <c r="H3949" s="5"/>
      <c r="I3949" s="5"/>
      <c r="J3949" s="5"/>
      <c r="K3949" s="5"/>
      <c r="L3949" s="5"/>
      <c r="M3949" s="5"/>
      <c r="N3949" s="5"/>
      <c r="O3949" s="5"/>
    </row>
    <row r="3950" spans="2:15" x14ac:dyDescent="0.55000000000000004">
      <c r="B3950" s="5"/>
      <c r="C3950" s="5"/>
      <c r="D3950" s="5"/>
      <c r="E3950" s="5"/>
      <c r="F3950" s="5"/>
      <c r="G3950" s="5"/>
      <c r="H3950" s="5"/>
      <c r="I3950" s="5"/>
      <c r="J3950" s="5"/>
      <c r="K3950" s="5"/>
      <c r="L3950" s="5"/>
      <c r="M3950" s="5"/>
      <c r="N3950" s="5"/>
      <c r="O3950" s="5"/>
    </row>
    <row r="3951" spans="2:15" x14ac:dyDescent="0.55000000000000004">
      <c r="B3951" s="5"/>
      <c r="C3951" s="5"/>
      <c r="D3951" s="5"/>
      <c r="E3951" s="5"/>
      <c r="F3951" s="5"/>
      <c r="G3951" s="5"/>
      <c r="H3951" s="5"/>
      <c r="I3951" s="5"/>
      <c r="J3951" s="5"/>
      <c r="K3951" s="5"/>
      <c r="L3951" s="5"/>
      <c r="M3951" s="5"/>
      <c r="N3951" s="5"/>
      <c r="O3951" s="5"/>
    </row>
    <row r="3952" spans="2:15" x14ac:dyDescent="0.55000000000000004">
      <c r="B3952" s="5"/>
      <c r="C3952" s="5"/>
      <c r="D3952" s="5"/>
      <c r="E3952" s="5"/>
      <c r="F3952" s="5"/>
      <c r="G3952" s="5"/>
      <c r="H3952" s="5"/>
      <c r="I3952" s="5"/>
      <c r="J3952" s="5"/>
      <c r="K3952" s="5"/>
      <c r="L3952" s="5"/>
      <c r="M3952" s="5"/>
      <c r="N3952" s="5"/>
      <c r="O3952" s="5"/>
    </row>
    <row r="3953" spans="2:15" x14ac:dyDescent="0.55000000000000004">
      <c r="B3953" s="5"/>
      <c r="C3953" s="5"/>
      <c r="D3953" s="5"/>
      <c r="E3953" s="5"/>
      <c r="F3953" s="5"/>
      <c r="G3953" s="5"/>
      <c r="H3953" s="5"/>
      <c r="I3953" s="5"/>
      <c r="J3953" s="5"/>
      <c r="K3953" s="5"/>
      <c r="L3953" s="5"/>
      <c r="M3953" s="5"/>
      <c r="N3953" s="5"/>
      <c r="O3953" s="5"/>
    </row>
    <row r="3954" spans="2:15" x14ac:dyDescent="0.55000000000000004">
      <c r="B3954" s="5"/>
      <c r="C3954" s="5"/>
      <c r="D3954" s="5"/>
      <c r="E3954" s="5"/>
      <c r="F3954" s="5"/>
      <c r="G3954" s="5"/>
      <c r="H3954" s="5"/>
      <c r="I3954" s="5"/>
      <c r="J3954" s="5"/>
      <c r="K3954" s="5"/>
      <c r="L3954" s="5"/>
      <c r="M3954" s="5"/>
      <c r="N3954" s="5"/>
      <c r="O3954" s="5"/>
    </row>
    <row r="3955" spans="2:15" x14ac:dyDescent="0.55000000000000004">
      <c r="B3955" s="5"/>
      <c r="C3955" s="5"/>
      <c r="D3955" s="5"/>
      <c r="E3955" s="5"/>
      <c r="F3955" s="5"/>
      <c r="G3955" s="5"/>
      <c r="H3955" s="5"/>
      <c r="I3955" s="5"/>
      <c r="J3955" s="5"/>
      <c r="K3955" s="5"/>
      <c r="L3955" s="5"/>
      <c r="M3955" s="5"/>
      <c r="N3955" s="5"/>
      <c r="O3955" s="5"/>
    </row>
    <row r="3956" spans="2:15" x14ac:dyDescent="0.55000000000000004">
      <c r="B3956" s="5"/>
      <c r="C3956" s="5"/>
      <c r="D3956" s="5"/>
      <c r="E3956" s="5"/>
      <c r="F3956" s="5"/>
      <c r="G3956" s="5"/>
      <c r="H3956" s="5"/>
      <c r="I3956" s="5"/>
      <c r="J3956" s="5"/>
      <c r="K3956" s="5"/>
      <c r="L3956" s="5"/>
      <c r="M3956" s="5"/>
      <c r="N3956" s="5"/>
      <c r="O3956" s="5"/>
    </row>
    <row r="3957" spans="2:15" x14ac:dyDescent="0.55000000000000004">
      <c r="B3957" s="5"/>
      <c r="C3957" s="5"/>
      <c r="D3957" s="5"/>
      <c r="E3957" s="5"/>
      <c r="F3957" s="5"/>
      <c r="G3957" s="5"/>
      <c r="H3957" s="5"/>
      <c r="I3957" s="5"/>
      <c r="J3957" s="5"/>
      <c r="K3957" s="5"/>
      <c r="L3957" s="5"/>
      <c r="M3957" s="5"/>
      <c r="N3957" s="5"/>
      <c r="O3957" s="5"/>
    </row>
    <row r="3958" spans="2:15" x14ac:dyDescent="0.55000000000000004">
      <c r="B3958" s="5"/>
      <c r="C3958" s="5"/>
      <c r="D3958" s="5"/>
      <c r="E3958" s="5"/>
      <c r="F3958" s="5"/>
      <c r="G3958" s="5"/>
      <c r="H3958" s="5"/>
      <c r="I3958" s="5"/>
      <c r="J3958" s="5"/>
      <c r="K3958" s="5"/>
      <c r="L3958" s="5"/>
      <c r="M3958" s="5"/>
      <c r="N3958" s="5"/>
      <c r="O3958" s="5"/>
    </row>
    <row r="3959" spans="2:15" x14ac:dyDescent="0.55000000000000004">
      <c r="B3959" s="5"/>
      <c r="C3959" s="5"/>
      <c r="D3959" s="5"/>
      <c r="E3959" s="5"/>
      <c r="F3959" s="5"/>
      <c r="G3959" s="5"/>
      <c r="H3959" s="5"/>
      <c r="I3959" s="5"/>
      <c r="J3959" s="5"/>
      <c r="K3959" s="5"/>
      <c r="L3959" s="5"/>
      <c r="M3959" s="5"/>
      <c r="N3959" s="5"/>
      <c r="O3959" s="5"/>
    </row>
    <row r="3960" spans="2:15" x14ac:dyDescent="0.55000000000000004">
      <c r="B3960" s="5"/>
      <c r="C3960" s="5"/>
      <c r="D3960" s="5"/>
      <c r="E3960" s="5"/>
      <c r="F3960" s="5"/>
      <c r="G3960" s="5"/>
      <c r="H3960" s="5"/>
      <c r="I3960" s="5"/>
      <c r="J3960" s="5"/>
      <c r="K3960" s="5"/>
      <c r="L3960" s="5"/>
      <c r="M3960" s="5"/>
      <c r="N3960" s="5"/>
      <c r="O3960" s="5"/>
    </row>
    <row r="3961" spans="2:15" x14ac:dyDescent="0.55000000000000004">
      <c r="B3961" s="5"/>
      <c r="C3961" s="5"/>
      <c r="D3961" s="5"/>
      <c r="E3961" s="5"/>
      <c r="F3961" s="5"/>
      <c r="G3961" s="5"/>
      <c r="H3961" s="5"/>
      <c r="I3961" s="5"/>
      <c r="J3961" s="5"/>
      <c r="K3961" s="5"/>
      <c r="L3961" s="5"/>
      <c r="M3961" s="5"/>
      <c r="N3961" s="5"/>
      <c r="O3961" s="5"/>
    </row>
    <row r="3962" spans="2:15" x14ac:dyDescent="0.55000000000000004">
      <c r="B3962" s="5"/>
      <c r="C3962" s="5"/>
      <c r="D3962" s="5"/>
      <c r="E3962" s="5"/>
      <c r="F3962" s="5"/>
      <c r="G3962" s="5"/>
      <c r="H3962" s="5"/>
      <c r="I3962" s="5"/>
      <c r="J3962" s="5"/>
      <c r="K3962" s="5"/>
      <c r="L3962" s="5"/>
      <c r="M3962" s="5"/>
      <c r="N3962" s="5"/>
      <c r="O3962" s="5"/>
    </row>
    <row r="3963" spans="2:15" x14ac:dyDescent="0.55000000000000004">
      <c r="B3963" s="5"/>
      <c r="C3963" s="5"/>
      <c r="D3963" s="5"/>
      <c r="E3963" s="5"/>
      <c r="F3963" s="5"/>
      <c r="G3963" s="5"/>
      <c r="H3963" s="5"/>
      <c r="I3963" s="5"/>
      <c r="J3963" s="5"/>
      <c r="K3963" s="5"/>
      <c r="L3963" s="5"/>
      <c r="M3963" s="5"/>
      <c r="N3963" s="5"/>
      <c r="O3963" s="5"/>
    </row>
    <row r="3964" spans="2:15" x14ac:dyDescent="0.55000000000000004">
      <c r="B3964" s="5"/>
      <c r="C3964" s="5"/>
      <c r="D3964" s="5"/>
      <c r="E3964" s="5"/>
      <c r="F3964" s="5"/>
      <c r="G3964" s="5"/>
      <c r="H3964" s="5"/>
      <c r="I3964" s="5"/>
      <c r="J3964" s="5"/>
      <c r="K3964" s="5"/>
      <c r="L3964" s="5"/>
      <c r="M3964" s="5"/>
      <c r="N3964" s="5"/>
      <c r="O3964" s="5"/>
    </row>
    <row r="3965" spans="2:15" x14ac:dyDescent="0.55000000000000004">
      <c r="B3965" s="5"/>
      <c r="C3965" s="5"/>
      <c r="D3965" s="5"/>
      <c r="E3965" s="5"/>
      <c r="F3965" s="5"/>
      <c r="G3965" s="5"/>
      <c r="H3965" s="5"/>
      <c r="I3965" s="5"/>
      <c r="J3965" s="5"/>
      <c r="K3965" s="5"/>
      <c r="L3965" s="5"/>
      <c r="M3965" s="5"/>
      <c r="N3965" s="5"/>
      <c r="O3965" s="5"/>
    </row>
    <row r="3966" spans="2:15" x14ac:dyDescent="0.55000000000000004">
      <c r="B3966" s="5"/>
      <c r="C3966" s="5"/>
      <c r="D3966" s="5"/>
      <c r="E3966" s="5"/>
      <c r="F3966" s="5"/>
      <c r="G3966" s="5"/>
      <c r="H3966" s="5"/>
      <c r="I3966" s="5"/>
      <c r="J3966" s="5"/>
      <c r="K3966" s="5"/>
      <c r="L3966" s="5"/>
      <c r="M3966" s="5"/>
      <c r="N3966" s="5"/>
      <c r="O3966" s="5"/>
    </row>
    <row r="3967" spans="2:15" x14ac:dyDescent="0.55000000000000004">
      <c r="B3967" s="5"/>
      <c r="C3967" s="5"/>
      <c r="D3967" s="5"/>
      <c r="E3967" s="5"/>
      <c r="F3967" s="5"/>
      <c r="G3967" s="5"/>
      <c r="H3967" s="5"/>
      <c r="I3967" s="5"/>
      <c r="J3967" s="5"/>
      <c r="K3967" s="5"/>
      <c r="L3967" s="5"/>
      <c r="M3967" s="5"/>
      <c r="N3967" s="5"/>
      <c r="O3967" s="5"/>
    </row>
    <row r="3968" spans="2:15" x14ac:dyDescent="0.55000000000000004">
      <c r="B3968" s="5"/>
      <c r="C3968" s="5"/>
      <c r="D3968" s="5"/>
      <c r="E3968" s="5"/>
      <c r="F3968" s="5"/>
      <c r="G3968" s="5"/>
      <c r="H3968" s="5"/>
      <c r="I3968" s="5"/>
      <c r="J3968" s="5"/>
      <c r="K3968" s="5"/>
      <c r="L3968" s="5"/>
      <c r="M3968" s="5"/>
      <c r="N3968" s="5"/>
      <c r="O3968" s="5"/>
    </row>
    <row r="3969" spans="2:15" x14ac:dyDescent="0.55000000000000004">
      <c r="B3969" s="5"/>
      <c r="C3969" s="5"/>
      <c r="D3969" s="5"/>
      <c r="E3969" s="5"/>
      <c r="F3969" s="5"/>
      <c r="G3969" s="5"/>
      <c r="H3969" s="5"/>
      <c r="I3969" s="5"/>
      <c r="J3969" s="5"/>
      <c r="K3969" s="5"/>
      <c r="L3969" s="5"/>
      <c r="M3969" s="5"/>
      <c r="N3969" s="5"/>
      <c r="O3969" s="5"/>
    </row>
    <row r="3970" spans="2:15" x14ac:dyDescent="0.55000000000000004">
      <c r="B3970" s="5"/>
      <c r="C3970" s="5"/>
      <c r="D3970" s="5"/>
      <c r="E3970" s="5"/>
      <c r="F3970" s="5"/>
      <c r="G3970" s="5"/>
      <c r="H3970" s="5"/>
      <c r="I3970" s="5"/>
      <c r="J3970" s="5"/>
      <c r="K3970" s="5"/>
      <c r="L3970" s="5"/>
      <c r="M3970" s="5"/>
      <c r="N3970" s="5"/>
      <c r="O3970" s="5"/>
    </row>
    <row r="3971" spans="2:15" x14ac:dyDescent="0.55000000000000004">
      <c r="B3971" s="5"/>
      <c r="C3971" s="5"/>
      <c r="D3971" s="5"/>
      <c r="E3971" s="5"/>
      <c r="F3971" s="5"/>
      <c r="G3971" s="5"/>
      <c r="H3971" s="5"/>
      <c r="I3971" s="5"/>
      <c r="J3971" s="5"/>
      <c r="K3971" s="5"/>
      <c r="L3971" s="5"/>
      <c r="M3971" s="5"/>
      <c r="N3971" s="5"/>
      <c r="O3971" s="5"/>
    </row>
    <row r="3972" spans="2:15" x14ac:dyDescent="0.55000000000000004">
      <c r="B3972" s="5"/>
      <c r="C3972" s="5"/>
      <c r="D3972" s="5"/>
      <c r="E3972" s="5"/>
      <c r="F3972" s="5"/>
      <c r="G3972" s="5"/>
      <c r="H3972" s="5"/>
      <c r="I3972" s="5"/>
      <c r="J3972" s="5"/>
      <c r="K3972" s="5"/>
      <c r="L3972" s="5"/>
      <c r="M3972" s="5"/>
      <c r="N3972" s="5"/>
      <c r="O3972" s="5"/>
    </row>
    <row r="3973" spans="2:15" x14ac:dyDescent="0.55000000000000004">
      <c r="B3973" s="5"/>
      <c r="C3973" s="5"/>
      <c r="D3973" s="5"/>
      <c r="E3973" s="5"/>
      <c r="F3973" s="5"/>
      <c r="G3973" s="5"/>
      <c r="H3973" s="5"/>
      <c r="I3973" s="5"/>
      <c r="J3973" s="5"/>
      <c r="K3973" s="5"/>
      <c r="L3973" s="5"/>
      <c r="M3973" s="5"/>
      <c r="N3973" s="5"/>
      <c r="O3973" s="5"/>
    </row>
    <row r="3974" spans="2:15" x14ac:dyDescent="0.55000000000000004">
      <c r="B3974" s="5"/>
      <c r="C3974" s="5"/>
      <c r="D3974" s="5"/>
      <c r="E3974" s="5"/>
      <c r="F3974" s="5"/>
      <c r="G3974" s="5"/>
      <c r="H3974" s="5"/>
      <c r="I3974" s="5"/>
      <c r="J3974" s="5"/>
      <c r="K3974" s="5"/>
      <c r="L3974" s="5"/>
      <c r="M3974" s="5"/>
      <c r="N3974" s="5"/>
      <c r="O3974" s="5"/>
    </row>
    <row r="3975" spans="2:15" x14ac:dyDescent="0.55000000000000004">
      <c r="B3975" s="5"/>
      <c r="C3975" s="5"/>
      <c r="D3975" s="5"/>
      <c r="E3975" s="5"/>
      <c r="F3975" s="5"/>
      <c r="G3975" s="5"/>
      <c r="H3975" s="5"/>
      <c r="I3975" s="5"/>
      <c r="J3975" s="5"/>
      <c r="K3975" s="5"/>
      <c r="L3975" s="5"/>
      <c r="M3975" s="5"/>
      <c r="N3975" s="5"/>
      <c r="O3975" s="5"/>
    </row>
    <row r="3976" spans="2:15" x14ac:dyDescent="0.55000000000000004">
      <c r="B3976" s="5"/>
      <c r="C3976" s="5"/>
      <c r="D3976" s="5"/>
      <c r="E3976" s="5"/>
      <c r="F3976" s="5"/>
      <c r="G3976" s="5"/>
      <c r="H3976" s="5"/>
      <c r="I3976" s="5"/>
      <c r="J3976" s="5"/>
      <c r="K3976" s="5"/>
      <c r="L3976" s="5"/>
      <c r="M3976" s="5"/>
      <c r="N3976" s="5"/>
      <c r="O3976" s="5"/>
    </row>
    <row r="3977" spans="2:15" x14ac:dyDescent="0.55000000000000004">
      <c r="B3977" s="5"/>
      <c r="C3977" s="5"/>
      <c r="D3977" s="5"/>
      <c r="E3977" s="5"/>
      <c r="F3977" s="5"/>
      <c r="G3977" s="5"/>
      <c r="H3977" s="5"/>
      <c r="I3977" s="5"/>
      <c r="J3977" s="5"/>
      <c r="K3977" s="5"/>
      <c r="L3977" s="5"/>
      <c r="M3977" s="5"/>
      <c r="N3977" s="5"/>
      <c r="O3977" s="5"/>
    </row>
    <row r="3978" spans="2:15" x14ac:dyDescent="0.55000000000000004">
      <c r="B3978" s="5"/>
      <c r="C3978" s="5"/>
      <c r="D3978" s="5"/>
      <c r="E3978" s="5"/>
      <c r="F3978" s="5"/>
      <c r="G3978" s="5"/>
      <c r="H3978" s="5"/>
      <c r="I3978" s="5"/>
      <c r="J3978" s="5"/>
      <c r="K3978" s="5"/>
      <c r="L3978" s="5"/>
      <c r="M3978" s="5"/>
      <c r="N3978" s="5"/>
      <c r="O3978" s="5"/>
    </row>
    <row r="3979" spans="2:15" x14ac:dyDescent="0.55000000000000004">
      <c r="B3979" s="5"/>
      <c r="C3979" s="5"/>
      <c r="D3979" s="5"/>
      <c r="E3979" s="5"/>
      <c r="F3979" s="5"/>
      <c r="G3979" s="5"/>
      <c r="H3979" s="5"/>
      <c r="I3979" s="5"/>
      <c r="J3979" s="5"/>
      <c r="K3979" s="5"/>
      <c r="L3979" s="5"/>
      <c r="M3979" s="5"/>
      <c r="N3979" s="5"/>
      <c r="O3979" s="5"/>
    </row>
    <row r="3980" spans="2:15" x14ac:dyDescent="0.55000000000000004">
      <c r="B3980" s="5"/>
      <c r="C3980" s="5"/>
      <c r="D3980" s="5"/>
      <c r="E3980" s="5"/>
      <c r="F3980" s="5"/>
      <c r="G3980" s="5"/>
      <c r="H3980" s="5"/>
      <c r="I3980" s="5"/>
      <c r="J3980" s="5"/>
      <c r="K3980" s="5"/>
      <c r="L3980" s="5"/>
      <c r="M3980" s="5"/>
      <c r="N3980" s="5"/>
      <c r="O3980" s="5"/>
    </row>
    <row r="3981" spans="2:15" x14ac:dyDescent="0.55000000000000004">
      <c r="B3981" s="5"/>
      <c r="C3981" s="5"/>
      <c r="D3981" s="5"/>
      <c r="E3981" s="5"/>
      <c r="F3981" s="5"/>
      <c r="G3981" s="5"/>
      <c r="H3981" s="5"/>
      <c r="I3981" s="5"/>
      <c r="J3981" s="5"/>
      <c r="K3981" s="5"/>
      <c r="L3981" s="5"/>
      <c r="M3981" s="5"/>
      <c r="N3981" s="5"/>
      <c r="O3981" s="5"/>
    </row>
    <row r="3982" spans="2:15" x14ac:dyDescent="0.55000000000000004">
      <c r="B3982" s="5"/>
      <c r="C3982" s="5"/>
      <c r="D3982" s="5"/>
      <c r="E3982" s="5"/>
      <c r="F3982" s="5"/>
      <c r="G3982" s="5"/>
      <c r="H3982" s="5"/>
      <c r="I3982" s="5"/>
      <c r="J3982" s="5"/>
      <c r="K3982" s="5"/>
      <c r="L3982" s="5"/>
      <c r="M3982" s="5"/>
      <c r="N3982" s="5"/>
      <c r="O3982" s="5"/>
    </row>
    <row r="3983" spans="2:15" x14ac:dyDescent="0.55000000000000004">
      <c r="B3983" s="5"/>
      <c r="C3983" s="5"/>
      <c r="D3983" s="5"/>
      <c r="E3983" s="5"/>
      <c r="F3983" s="5"/>
      <c r="G3983" s="5"/>
      <c r="H3983" s="5"/>
      <c r="I3983" s="5"/>
      <c r="J3983" s="5"/>
      <c r="K3983" s="5"/>
      <c r="L3983" s="5"/>
      <c r="M3983" s="5"/>
      <c r="N3983" s="5"/>
      <c r="O3983" s="5"/>
    </row>
    <row r="3984" spans="2:15" x14ac:dyDescent="0.55000000000000004">
      <c r="B3984" s="5"/>
      <c r="C3984" s="5"/>
      <c r="D3984" s="5"/>
      <c r="E3984" s="5"/>
      <c r="F3984" s="5"/>
      <c r="G3984" s="5"/>
      <c r="H3984" s="5"/>
      <c r="I3984" s="5"/>
      <c r="J3984" s="5"/>
      <c r="K3984" s="5"/>
      <c r="L3984" s="5"/>
      <c r="M3984" s="5"/>
      <c r="N3984" s="5"/>
      <c r="O3984" s="5"/>
    </row>
    <row r="3985" spans="2:15" x14ac:dyDescent="0.55000000000000004">
      <c r="B3985" s="5"/>
      <c r="C3985" s="5"/>
      <c r="D3985" s="5"/>
      <c r="E3985" s="5"/>
      <c r="F3985" s="5"/>
      <c r="G3985" s="5"/>
      <c r="H3985" s="5"/>
      <c r="I3985" s="5"/>
      <c r="J3985" s="5"/>
      <c r="K3985" s="5"/>
      <c r="L3985" s="5"/>
      <c r="M3985" s="5"/>
      <c r="N3985" s="5"/>
      <c r="O3985" s="5"/>
    </row>
    <row r="3986" spans="2:15" x14ac:dyDescent="0.55000000000000004">
      <c r="B3986" s="5"/>
      <c r="C3986" s="5"/>
      <c r="D3986" s="5"/>
      <c r="E3986" s="5"/>
      <c r="F3986" s="5"/>
      <c r="G3986" s="5"/>
      <c r="H3986" s="5"/>
      <c r="I3986" s="5"/>
      <c r="J3986" s="5"/>
      <c r="K3986" s="5"/>
      <c r="L3986" s="5"/>
      <c r="M3986" s="5"/>
      <c r="N3986" s="5"/>
      <c r="O3986" s="5"/>
    </row>
    <row r="3987" spans="2:15" x14ac:dyDescent="0.55000000000000004">
      <c r="B3987" s="5"/>
      <c r="C3987" s="5"/>
      <c r="D3987" s="5"/>
      <c r="E3987" s="5"/>
      <c r="F3987" s="5"/>
      <c r="G3987" s="5"/>
      <c r="H3987" s="5"/>
      <c r="I3987" s="5"/>
      <c r="J3987" s="5"/>
      <c r="K3987" s="5"/>
      <c r="L3987" s="5"/>
      <c r="M3987" s="5"/>
      <c r="N3987" s="5"/>
      <c r="O3987" s="5"/>
    </row>
    <row r="3988" spans="2:15" x14ac:dyDescent="0.55000000000000004">
      <c r="B3988" s="5"/>
      <c r="C3988" s="5"/>
      <c r="D3988" s="5"/>
      <c r="E3988" s="5"/>
      <c r="F3988" s="5"/>
      <c r="G3988" s="5"/>
      <c r="H3988" s="5"/>
      <c r="I3988" s="5"/>
      <c r="J3988" s="5"/>
      <c r="K3988" s="5"/>
      <c r="L3988" s="5"/>
      <c r="M3988" s="5"/>
      <c r="N3988" s="5"/>
      <c r="O3988" s="5"/>
    </row>
    <row r="3989" spans="2:15" x14ac:dyDescent="0.55000000000000004">
      <c r="B3989" s="5"/>
      <c r="C3989" s="5"/>
      <c r="D3989" s="5"/>
      <c r="E3989" s="5"/>
      <c r="F3989" s="5"/>
      <c r="G3989" s="5"/>
      <c r="H3989" s="5"/>
      <c r="I3989" s="5"/>
      <c r="J3989" s="5"/>
      <c r="K3989" s="5"/>
      <c r="L3989" s="5"/>
      <c r="M3989" s="5"/>
      <c r="N3989" s="5"/>
      <c r="O3989" s="5"/>
    </row>
    <row r="3990" spans="2:15" x14ac:dyDescent="0.55000000000000004">
      <c r="B3990" s="5"/>
      <c r="C3990" s="5"/>
      <c r="D3990" s="5"/>
      <c r="E3990" s="5"/>
      <c r="F3990" s="5"/>
      <c r="G3990" s="5"/>
      <c r="H3990" s="5"/>
      <c r="I3990" s="5"/>
      <c r="J3990" s="5"/>
      <c r="K3990" s="5"/>
      <c r="L3990" s="5"/>
      <c r="M3990" s="5"/>
      <c r="N3990" s="5"/>
      <c r="O3990" s="5"/>
    </row>
    <row r="3991" spans="2:15" x14ac:dyDescent="0.55000000000000004">
      <c r="B3991" s="5"/>
      <c r="C3991" s="5"/>
      <c r="D3991" s="5"/>
      <c r="E3991" s="5"/>
      <c r="F3991" s="5"/>
      <c r="G3991" s="5"/>
      <c r="H3991" s="5"/>
      <c r="I3991" s="5"/>
      <c r="J3991" s="5"/>
      <c r="K3991" s="5"/>
      <c r="L3991" s="5"/>
      <c r="M3991" s="5"/>
      <c r="N3991" s="5"/>
      <c r="O3991" s="5"/>
    </row>
    <row r="3992" spans="2:15" x14ac:dyDescent="0.55000000000000004">
      <c r="B3992" s="5"/>
      <c r="C3992" s="5"/>
      <c r="D3992" s="5"/>
      <c r="E3992" s="5"/>
      <c r="F3992" s="5"/>
      <c r="G3992" s="5"/>
      <c r="H3992" s="5"/>
      <c r="I3992" s="5"/>
      <c r="J3992" s="5"/>
      <c r="K3992" s="5"/>
      <c r="L3992" s="5"/>
      <c r="M3992" s="5"/>
      <c r="N3992" s="5"/>
      <c r="O3992" s="5"/>
    </row>
    <row r="3993" spans="2:15" x14ac:dyDescent="0.55000000000000004">
      <c r="B3993" s="5"/>
      <c r="C3993" s="5"/>
      <c r="D3993" s="5"/>
      <c r="E3993" s="5"/>
      <c r="F3993" s="5"/>
      <c r="G3993" s="5"/>
      <c r="H3993" s="5"/>
      <c r="I3993" s="5"/>
      <c r="J3993" s="5"/>
      <c r="K3993" s="5"/>
      <c r="L3993" s="5"/>
      <c r="M3993" s="5"/>
      <c r="N3993" s="5"/>
      <c r="O3993" s="5"/>
    </row>
    <row r="3994" spans="2:15" x14ac:dyDescent="0.55000000000000004">
      <c r="B3994" s="5"/>
      <c r="C3994" s="5"/>
      <c r="D3994" s="5"/>
      <c r="E3994" s="5"/>
      <c r="F3994" s="5"/>
      <c r="G3994" s="5"/>
      <c r="H3994" s="5"/>
      <c r="I3994" s="5"/>
      <c r="J3994" s="5"/>
      <c r="K3994" s="5"/>
      <c r="L3994" s="5"/>
      <c r="M3994" s="5"/>
      <c r="N3994" s="5"/>
      <c r="O3994" s="5"/>
    </row>
    <row r="3995" spans="2:15" x14ac:dyDescent="0.55000000000000004">
      <c r="B3995" s="5"/>
      <c r="C3995" s="5"/>
      <c r="D3995" s="5"/>
      <c r="E3995" s="5"/>
      <c r="F3995" s="5"/>
      <c r="G3995" s="5"/>
      <c r="H3995" s="5"/>
      <c r="I3995" s="5"/>
      <c r="J3995" s="5"/>
      <c r="K3995" s="5"/>
      <c r="L3995" s="5"/>
      <c r="M3995" s="5"/>
      <c r="N3995" s="5"/>
      <c r="O3995" s="5"/>
    </row>
    <row r="3996" spans="2:15" x14ac:dyDescent="0.55000000000000004">
      <c r="B3996" s="5"/>
      <c r="C3996" s="5"/>
      <c r="D3996" s="5"/>
      <c r="E3996" s="5"/>
      <c r="F3996" s="5"/>
      <c r="G3996" s="5"/>
      <c r="H3996" s="5"/>
      <c r="I3996" s="5"/>
      <c r="J3996" s="5"/>
      <c r="K3996" s="5"/>
      <c r="L3996" s="5"/>
      <c r="M3996" s="5"/>
      <c r="N3996" s="5"/>
      <c r="O3996" s="5"/>
    </row>
    <row r="3997" spans="2:15" x14ac:dyDescent="0.55000000000000004">
      <c r="B3997" s="5"/>
      <c r="C3997" s="5"/>
      <c r="D3997" s="5"/>
      <c r="E3997" s="5"/>
      <c r="F3997" s="5"/>
      <c r="G3997" s="5"/>
      <c r="H3997" s="5"/>
      <c r="I3997" s="5"/>
      <c r="J3997" s="5"/>
      <c r="K3997" s="5"/>
      <c r="L3997" s="5"/>
      <c r="M3997" s="5"/>
      <c r="N3997" s="5"/>
      <c r="O3997" s="5"/>
    </row>
    <row r="3998" spans="2:15" x14ac:dyDescent="0.55000000000000004">
      <c r="B3998" s="5"/>
      <c r="C3998" s="5"/>
      <c r="D3998" s="5"/>
      <c r="E3998" s="5"/>
      <c r="F3998" s="5"/>
      <c r="G3998" s="5"/>
      <c r="H3998" s="5"/>
      <c r="I3998" s="5"/>
      <c r="J3998" s="5"/>
      <c r="K3998" s="5"/>
      <c r="L3998" s="5"/>
      <c r="M3998" s="5"/>
      <c r="N3998" s="5"/>
      <c r="O3998" s="5"/>
    </row>
    <row r="3999" spans="2:15" x14ac:dyDescent="0.55000000000000004">
      <c r="B3999" s="5"/>
      <c r="C3999" s="5"/>
      <c r="D3999" s="5"/>
      <c r="E3999" s="5"/>
      <c r="F3999" s="5"/>
      <c r="G3999" s="5"/>
      <c r="H3999" s="5"/>
      <c r="I3999" s="5"/>
      <c r="J3999" s="5"/>
      <c r="K3999" s="5"/>
      <c r="L3999" s="5"/>
      <c r="M3999" s="5"/>
      <c r="N3999" s="5"/>
      <c r="O3999" s="5"/>
    </row>
    <row r="4000" spans="2:15" x14ac:dyDescent="0.55000000000000004">
      <c r="B4000" s="5"/>
      <c r="C4000" s="5"/>
      <c r="D4000" s="5"/>
      <c r="E4000" s="5"/>
      <c r="F4000" s="5"/>
      <c r="G4000" s="5"/>
      <c r="H4000" s="5"/>
      <c r="I4000" s="5"/>
      <c r="J4000" s="5"/>
      <c r="K4000" s="5"/>
      <c r="L4000" s="5"/>
      <c r="M4000" s="5"/>
      <c r="N4000" s="5"/>
      <c r="O4000" s="5"/>
    </row>
    <row r="4001" spans="2:15" x14ac:dyDescent="0.55000000000000004">
      <c r="B4001" s="5"/>
      <c r="C4001" s="5"/>
      <c r="D4001" s="5"/>
      <c r="E4001" s="5"/>
      <c r="F4001" s="5"/>
      <c r="G4001" s="5"/>
      <c r="H4001" s="5"/>
      <c r="I4001" s="5"/>
      <c r="J4001" s="5"/>
      <c r="K4001" s="5"/>
      <c r="L4001" s="5"/>
      <c r="M4001" s="5"/>
      <c r="N4001" s="5"/>
      <c r="O4001" s="5"/>
    </row>
    <row r="4002" spans="2:15" x14ac:dyDescent="0.55000000000000004">
      <c r="B4002" s="5"/>
      <c r="C4002" s="5"/>
      <c r="D4002" s="5"/>
      <c r="E4002" s="5"/>
      <c r="F4002" s="5"/>
      <c r="G4002" s="5"/>
      <c r="H4002" s="5"/>
      <c r="I4002" s="5"/>
      <c r="J4002" s="5"/>
      <c r="K4002" s="5"/>
      <c r="L4002" s="5"/>
      <c r="M4002" s="5"/>
      <c r="N4002" s="5"/>
      <c r="O4002" s="5"/>
    </row>
    <row r="4003" spans="2:15" x14ac:dyDescent="0.55000000000000004">
      <c r="B4003" s="5"/>
      <c r="C4003" s="5"/>
      <c r="D4003" s="5"/>
      <c r="E4003" s="5"/>
      <c r="F4003" s="5"/>
      <c r="G4003" s="5"/>
      <c r="H4003" s="5"/>
      <c r="I4003" s="5"/>
      <c r="J4003" s="5"/>
      <c r="K4003" s="5"/>
      <c r="L4003" s="5"/>
      <c r="M4003" s="5"/>
      <c r="N4003" s="5"/>
      <c r="O4003" s="5"/>
    </row>
    <row r="4004" spans="2:15" x14ac:dyDescent="0.55000000000000004">
      <c r="B4004" s="5"/>
      <c r="C4004" s="5"/>
      <c r="D4004" s="5"/>
      <c r="E4004" s="5"/>
      <c r="F4004" s="5"/>
      <c r="G4004" s="5"/>
      <c r="H4004" s="5"/>
      <c r="I4004" s="5"/>
      <c r="J4004" s="5"/>
      <c r="K4004" s="5"/>
      <c r="L4004" s="5"/>
      <c r="M4004" s="5"/>
      <c r="N4004" s="5"/>
      <c r="O4004" s="5"/>
    </row>
    <row r="4005" spans="2:15" x14ac:dyDescent="0.55000000000000004">
      <c r="B4005" s="5"/>
      <c r="C4005" s="5"/>
      <c r="D4005" s="5"/>
      <c r="E4005" s="5"/>
      <c r="F4005" s="5"/>
      <c r="G4005" s="5"/>
      <c r="H4005" s="5"/>
      <c r="I4005" s="5"/>
      <c r="J4005" s="5"/>
      <c r="K4005" s="5"/>
      <c r="L4005" s="5"/>
      <c r="M4005" s="5"/>
      <c r="N4005" s="5"/>
      <c r="O4005" s="5"/>
    </row>
    <row r="4006" spans="2:15" x14ac:dyDescent="0.55000000000000004">
      <c r="B4006" s="5"/>
      <c r="C4006" s="5"/>
      <c r="D4006" s="5"/>
      <c r="E4006" s="5"/>
      <c r="F4006" s="5"/>
      <c r="G4006" s="5"/>
      <c r="H4006" s="5"/>
      <c r="I4006" s="5"/>
      <c r="J4006" s="5"/>
      <c r="K4006" s="5"/>
      <c r="L4006" s="5"/>
      <c r="M4006" s="5"/>
      <c r="N4006" s="5"/>
      <c r="O4006" s="5"/>
    </row>
    <row r="4007" spans="2:15" x14ac:dyDescent="0.55000000000000004">
      <c r="B4007" s="5"/>
      <c r="C4007" s="5"/>
      <c r="D4007" s="5"/>
      <c r="E4007" s="5"/>
      <c r="F4007" s="5"/>
      <c r="G4007" s="5"/>
      <c r="H4007" s="5"/>
      <c r="I4007" s="5"/>
      <c r="J4007" s="5"/>
      <c r="K4007" s="5"/>
      <c r="L4007" s="5"/>
      <c r="M4007" s="5"/>
      <c r="N4007" s="5"/>
      <c r="O4007" s="5"/>
    </row>
    <row r="4008" spans="2:15" x14ac:dyDescent="0.55000000000000004">
      <c r="B4008" s="5"/>
      <c r="C4008" s="5"/>
      <c r="D4008" s="5"/>
      <c r="E4008" s="5"/>
      <c r="F4008" s="5"/>
      <c r="G4008" s="5"/>
      <c r="H4008" s="5"/>
      <c r="I4008" s="5"/>
      <c r="J4008" s="5"/>
      <c r="K4008" s="5"/>
      <c r="L4008" s="5"/>
      <c r="M4008" s="5"/>
      <c r="N4008" s="5"/>
      <c r="O4008" s="5"/>
    </row>
    <row r="4009" spans="2:15" x14ac:dyDescent="0.55000000000000004">
      <c r="B4009" s="5"/>
      <c r="C4009" s="5"/>
      <c r="D4009" s="5"/>
      <c r="E4009" s="5"/>
      <c r="F4009" s="5"/>
      <c r="G4009" s="5"/>
      <c r="H4009" s="5"/>
      <c r="I4009" s="5"/>
      <c r="J4009" s="5"/>
      <c r="K4009" s="5"/>
      <c r="L4009" s="5"/>
      <c r="M4009" s="5"/>
      <c r="N4009" s="5"/>
      <c r="O4009" s="5"/>
    </row>
    <row r="4010" spans="2:15" x14ac:dyDescent="0.55000000000000004">
      <c r="B4010" s="5"/>
      <c r="C4010" s="5"/>
      <c r="D4010" s="5"/>
      <c r="E4010" s="5"/>
      <c r="F4010" s="5"/>
      <c r="G4010" s="5"/>
      <c r="H4010" s="5"/>
      <c r="I4010" s="5"/>
      <c r="J4010" s="5"/>
      <c r="K4010" s="5"/>
      <c r="L4010" s="5"/>
      <c r="M4010" s="5"/>
      <c r="N4010" s="5"/>
      <c r="O4010" s="5"/>
    </row>
    <row r="4011" spans="2:15" x14ac:dyDescent="0.55000000000000004">
      <c r="B4011" s="5"/>
      <c r="C4011" s="5"/>
      <c r="D4011" s="5"/>
      <c r="E4011" s="5"/>
      <c r="F4011" s="5"/>
      <c r="G4011" s="5"/>
      <c r="H4011" s="5"/>
      <c r="I4011" s="5"/>
      <c r="J4011" s="5"/>
      <c r="K4011" s="5"/>
      <c r="L4011" s="5"/>
      <c r="M4011" s="5"/>
      <c r="N4011" s="5"/>
      <c r="O4011" s="5"/>
    </row>
    <row r="4012" spans="2:15" x14ac:dyDescent="0.55000000000000004">
      <c r="B4012" s="5"/>
      <c r="C4012" s="5"/>
      <c r="D4012" s="5"/>
      <c r="E4012" s="5"/>
      <c r="F4012" s="5"/>
      <c r="G4012" s="5"/>
      <c r="H4012" s="5"/>
      <c r="I4012" s="5"/>
      <c r="J4012" s="5"/>
      <c r="K4012" s="5"/>
      <c r="L4012" s="5"/>
      <c r="M4012" s="5"/>
      <c r="N4012" s="5"/>
      <c r="O4012" s="5"/>
    </row>
    <row r="4013" spans="2:15" x14ac:dyDescent="0.55000000000000004">
      <c r="B4013" s="5"/>
      <c r="C4013" s="5"/>
      <c r="D4013" s="5"/>
      <c r="E4013" s="5"/>
      <c r="F4013" s="5"/>
      <c r="G4013" s="5"/>
      <c r="H4013" s="5"/>
      <c r="I4013" s="5"/>
      <c r="J4013" s="5"/>
      <c r="K4013" s="5"/>
      <c r="L4013" s="5"/>
      <c r="M4013" s="5"/>
      <c r="N4013" s="5"/>
      <c r="O4013" s="5"/>
    </row>
    <row r="4014" spans="2:15" x14ac:dyDescent="0.55000000000000004">
      <c r="B4014" s="5"/>
      <c r="C4014" s="5"/>
      <c r="D4014" s="5"/>
      <c r="E4014" s="5"/>
      <c r="F4014" s="5"/>
      <c r="G4014" s="5"/>
      <c r="H4014" s="5"/>
      <c r="I4014" s="5"/>
      <c r="J4014" s="5"/>
      <c r="K4014" s="5"/>
      <c r="L4014" s="5"/>
      <c r="M4014" s="5"/>
      <c r="N4014" s="5"/>
      <c r="O4014" s="5"/>
    </row>
    <row r="4015" spans="2:15" x14ac:dyDescent="0.55000000000000004">
      <c r="B4015" s="5"/>
      <c r="C4015" s="5"/>
      <c r="D4015" s="5"/>
      <c r="E4015" s="5"/>
      <c r="F4015" s="5"/>
      <c r="G4015" s="5"/>
      <c r="H4015" s="5"/>
      <c r="I4015" s="5"/>
      <c r="J4015" s="5"/>
      <c r="K4015" s="5"/>
      <c r="L4015" s="5"/>
      <c r="M4015" s="5"/>
      <c r="N4015" s="5"/>
      <c r="O4015" s="5"/>
    </row>
    <row r="4016" spans="2:15" x14ac:dyDescent="0.55000000000000004">
      <c r="B4016" s="5"/>
      <c r="C4016" s="5"/>
      <c r="D4016" s="5"/>
      <c r="E4016" s="5"/>
      <c r="F4016" s="5"/>
      <c r="G4016" s="5"/>
      <c r="H4016" s="5"/>
      <c r="I4016" s="5"/>
      <c r="J4016" s="5"/>
      <c r="K4016" s="5"/>
      <c r="L4016" s="5"/>
      <c r="M4016" s="5"/>
      <c r="N4016" s="5"/>
      <c r="O4016" s="5"/>
    </row>
    <row r="4017" spans="2:15" x14ac:dyDescent="0.55000000000000004">
      <c r="B4017" s="5"/>
      <c r="C4017" s="5"/>
      <c r="D4017" s="5"/>
      <c r="E4017" s="5"/>
      <c r="F4017" s="5"/>
      <c r="G4017" s="5"/>
      <c r="H4017" s="5"/>
      <c r="I4017" s="5"/>
      <c r="J4017" s="5"/>
      <c r="K4017" s="5"/>
      <c r="L4017" s="5"/>
      <c r="M4017" s="5"/>
      <c r="N4017" s="5"/>
      <c r="O4017" s="5"/>
    </row>
    <row r="4018" spans="2:15" x14ac:dyDescent="0.55000000000000004">
      <c r="B4018" s="5"/>
      <c r="C4018" s="5"/>
      <c r="D4018" s="5"/>
      <c r="E4018" s="5"/>
      <c r="F4018" s="5"/>
      <c r="G4018" s="5"/>
      <c r="H4018" s="5"/>
      <c r="I4018" s="5"/>
      <c r="J4018" s="5"/>
      <c r="K4018" s="5"/>
      <c r="L4018" s="5"/>
      <c r="M4018" s="5"/>
      <c r="N4018" s="5"/>
      <c r="O4018" s="5"/>
    </row>
    <row r="4019" spans="2:15" x14ac:dyDescent="0.55000000000000004">
      <c r="B4019" s="5"/>
      <c r="C4019" s="5"/>
      <c r="D4019" s="5"/>
      <c r="E4019" s="5"/>
      <c r="F4019" s="5"/>
      <c r="G4019" s="5"/>
      <c r="H4019" s="5"/>
      <c r="I4019" s="5"/>
      <c r="J4019" s="5"/>
      <c r="K4019" s="5"/>
      <c r="L4019" s="5"/>
      <c r="M4019" s="5"/>
      <c r="N4019" s="5"/>
      <c r="O4019" s="5"/>
    </row>
    <row r="4020" spans="2:15" x14ac:dyDescent="0.55000000000000004">
      <c r="B4020" s="5"/>
      <c r="C4020" s="5"/>
      <c r="D4020" s="5"/>
      <c r="E4020" s="5"/>
      <c r="F4020" s="5"/>
      <c r="G4020" s="5"/>
      <c r="H4020" s="5"/>
      <c r="I4020" s="5"/>
      <c r="J4020" s="5"/>
      <c r="K4020" s="5"/>
      <c r="L4020" s="5"/>
      <c r="M4020" s="5"/>
      <c r="N4020" s="5"/>
      <c r="O4020" s="5"/>
    </row>
    <row r="4021" spans="2:15" x14ac:dyDescent="0.55000000000000004">
      <c r="B4021" s="5"/>
      <c r="C4021" s="5"/>
      <c r="D4021" s="5"/>
      <c r="E4021" s="5"/>
      <c r="F4021" s="5"/>
      <c r="G4021" s="5"/>
      <c r="H4021" s="5"/>
      <c r="I4021" s="5"/>
      <c r="J4021" s="5"/>
      <c r="K4021" s="5"/>
      <c r="L4021" s="5"/>
      <c r="M4021" s="5"/>
      <c r="N4021" s="5"/>
      <c r="O4021" s="5"/>
    </row>
    <row r="4022" spans="2:15" x14ac:dyDescent="0.55000000000000004">
      <c r="B4022" s="5"/>
      <c r="C4022" s="5"/>
      <c r="D4022" s="5"/>
      <c r="E4022" s="5"/>
      <c r="F4022" s="5"/>
      <c r="G4022" s="5"/>
      <c r="H4022" s="5"/>
      <c r="I4022" s="5"/>
      <c r="J4022" s="5"/>
      <c r="K4022" s="5"/>
      <c r="L4022" s="5"/>
      <c r="M4022" s="5"/>
      <c r="N4022" s="5"/>
      <c r="O4022" s="5"/>
    </row>
    <row r="4023" spans="2:15" x14ac:dyDescent="0.55000000000000004">
      <c r="B4023" s="5"/>
      <c r="C4023" s="5"/>
      <c r="D4023" s="5"/>
      <c r="E4023" s="5"/>
      <c r="F4023" s="5"/>
      <c r="G4023" s="5"/>
      <c r="H4023" s="5"/>
      <c r="I4023" s="5"/>
      <c r="J4023" s="5"/>
      <c r="K4023" s="5"/>
      <c r="L4023" s="5"/>
      <c r="M4023" s="5"/>
      <c r="N4023" s="5"/>
      <c r="O4023" s="5"/>
    </row>
    <row r="4024" spans="2:15" x14ac:dyDescent="0.55000000000000004">
      <c r="B4024" s="5"/>
      <c r="C4024" s="5"/>
      <c r="D4024" s="5"/>
      <c r="E4024" s="5"/>
      <c r="F4024" s="5"/>
      <c r="G4024" s="5"/>
      <c r="H4024" s="5"/>
      <c r="I4024" s="5"/>
      <c r="J4024" s="5"/>
      <c r="K4024" s="5"/>
      <c r="L4024" s="5"/>
      <c r="M4024" s="5"/>
      <c r="N4024" s="5"/>
      <c r="O4024" s="5"/>
    </row>
    <row r="4025" spans="2:15" x14ac:dyDescent="0.55000000000000004">
      <c r="B4025" s="5"/>
      <c r="C4025" s="5"/>
      <c r="D4025" s="5"/>
      <c r="E4025" s="5"/>
      <c r="F4025" s="5"/>
      <c r="G4025" s="5"/>
      <c r="H4025" s="5"/>
      <c r="I4025" s="5"/>
      <c r="J4025" s="5"/>
      <c r="K4025" s="5"/>
      <c r="L4025" s="5"/>
      <c r="M4025" s="5"/>
      <c r="N4025" s="5"/>
      <c r="O4025" s="5"/>
    </row>
    <row r="4026" spans="2:15" x14ac:dyDescent="0.55000000000000004">
      <c r="B4026" s="5"/>
      <c r="C4026" s="5"/>
      <c r="D4026" s="5"/>
      <c r="E4026" s="5"/>
      <c r="F4026" s="5"/>
      <c r="G4026" s="5"/>
      <c r="H4026" s="5"/>
      <c r="I4026" s="5"/>
      <c r="J4026" s="5"/>
      <c r="K4026" s="5"/>
      <c r="L4026" s="5"/>
      <c r="M4026" s="5"/>
      <c r="N4026" s="5"/>
      <c r="O4026" s="5"/>
    </row>
    <row r="4027" spans="2:15" x14ac:dyDescent="0.55000000000000004">
      <c r="B4027" s="5"/>
      <c r="C4027" s="5"/>
      <c r="D4027" s="5"/>
      <c r="E4027" s="5"/>
      <c r="F4027" s="5"/>
      <c r="G4027" s="5"/>
      <c r="H4027" s="5"/>
      <c r="I4027" s="5"/>
      <c r="J4027" s="5"/>
      <c r="K4027" s="5"/>
      <c r="L4027" s="5"/>
      <c r="M4027" s="5"/>
      <c r="N4027" s="5"/>
      <c r="O4027" s="5"/>
    </row>
    <row r="4028" spans="2:15" x14ac:dyDescent="0.55000000000000004">
      <c r="B4028" s="5"/>
      <c r="C4028" s="5"/>
      <c r="D4028" s="5"/>
      <c r="E4028" s="5"/>
      <c r="F4028" s="5"/>
      <c r="G4028" s="5"/>
      <c r="H4028" s="5"/>
      <c r="I4028" s="5"/>
      <c r="J4028" s="5"/>
      <c r="K4028" s="5"/>
      <c r="L4028" s="5"/>
      <c r="M4028" s="5"/>
      <c r="N4028" s="5"/>
      <c r="O4028" s="5"/>
    </row>
    <row r="4029" spans="2:15" x14ac:dyDescent="0.55000000000000004">
      <c r="B4029" s="5"/>
      <c r="C4029" s="5"/>
      <c r="D4029" s="5"/>
      <c r="E4029" s="5"/>
      <c r="F4029" s="5"/>
      <c r="G4029" s="5"/>
      <c r="H4029" s="5"/>
      <c r="I4029" s="5"/>
      <c r="J4029" s="5"/>
      <c r="K4029" s="5"/>
      <c r="L4029" s="5"/>
      <c r="M4029" s="5"/>
      <c r="N4029" s="5"/>
      <c r="O4029" s="5"/>
    </row>
    <row r="4030" spans="2:15" x14ac:dyDescent="0.55000000000000004">
      <c r="B4030" s="5"/>
      <c r="C4030" s="5"/>
      <c r="D4030" s="5"/>
      <c r="E4030" s="5"/>
      <c r="F4030" s="5"/>
      <c r="G4030" s="5"/>
      <c r="H4030" s="5"/>
      <c r="I4030" s="5"/>
      <c r="J4030" s="5"/>
      <c r="K4030" s="5"/>
      <c r="L4030" s="5"/>
      <c r="M4030" s="5"/>
      <c r="N4030" s="5"/>
      <c r="O4030" s="5"/>
    </row>
    <row r="4031" spans="2:15" x14ac:dyDescent="0.55000000000000004">
      <c r="B4031" s="5"/>
      <c r="C4031" s="5"/>
      <c r="D4031" s="5"/>
      <c r="E4031" s="5"/>
      <c r="F4031" s="5"/>
      <c r="G4031" s="5"/>
      <c r="H4031" s="5"/>
      <c r="I4031" s="5"/>
      <c r="J4031" s="5"/>
      <c r="K4031" s="5"/>
      <c r="L4031" s="5"/>
      <c r="M4031" s="5"/>
      <c r="N4031" s="5"/>
      <c r="O4031" s="5"/>
    </row>
    <row r="4032" spans="2:15" x14ac:dyDescent="0.55000000000000004">
      <c r="B4032" s="5"/>
      <c r="C4032" s="5"/>
      <c r="D4032" s="5"/>
      <c r="E4032" s="5"/>
      <c r="F4032" s="5"/>
      <c r="G4032" s="5"/>
      <c r="H4032" s="5"/>
      <c r="I4032" s="5"/>
      <c r="J4032" s="5"/>
      <c r="K4032" s="5"/>
      <c r="L4032" s="5"/>
      <c r="M4032" s="5"/>
      <c r="N4032" s="5"/>
      <c r="O4032" s="5"/>
    </row>
    <row r="4033" spans="2:15" x14ac:dyDescent="0.55000000000000004">
      <c r="B4033" s="5"/>
      <c r="C4033" s="5"/>
      <c r="D4033" s="5"/>
      <c r="E4033" s="5"/>
      <c r="F4033" s="5"/>
      <c r="G4033" s="5"/>
      <c r="H4033" s="5"/>
      <c r="I4033" s="5"/>
      <c r="J4033" s="5"/>
      <c r="K4033" s="5"/>
      <c r="L4033" s="5"/>
      <c r="M4033" s="5"/>
      <c r="N4033" s="5"/>
      <c r="O4033" s="5"/>
    </row>
    <row r="4034" spans="2:15" x14ac:dyDescent="0.55000000000000004">
      <c r="B4034" s="5"/>
      <c r="C4034" s="5"/>
      <c r="D4034" s="5"/>
      <c r="E4034" s="5"/>
      <c r="F4034" s="5"/>
      <c r="G4034" s="5"/>
      <c r="H4034" s="5"/>
      <c r="I4034" s="5"/>
      <c r="J4034" s="5"/>
      <c r="K4034" s="5"/>
      <c r="L4034" s="5"/>
      <c r="M4034" s="5"/>
      <c r="N4034" s="5"/>
      <c r="O4034" s="5"/>
    </row>
    <row r="4035" spans="2:15" x14ac:dyDescent="0.55000000000000004">
      <c r="B4035" s="5"/>
      <c r="C4035" s="5"/>
      <c r="D4035" s="5"/>
      <c r="E4035" s="5"/>
      <c r="F4035" s="5"/>
      <c r="G4035" s="5"/>
      <c r="H4035" s="5"/>
      <c r="I4035" s="5"/>
      <c r="J4035" s="5"/>
      <c r="K4035" s="5"/>
      <c r="L4035" s="5"/>
      <c r="M4035" s="5"/>
      <c r="N4035" s="5"/>
      <c r="O4035" s="5"/>
    </row>
    <row r="4036" spans="2:15" x14ac:dyDescent="0.55000000000000004">
      <c r="B4036" s="5"/>
      <c r="C4036" s="5"/>
      <c r="D4036" s="5"/>
      <c r="E4036" s="5"/>
      <c r="F4036" s="5"/>
      <c r="G4036" s="5"/>
      <c r="H4036" s="5"/>
      <c r="I4036" s="5"/>
      <c r="J4036" s="5"/>
      <c r="K4036" s="5"/>
      <c r="L4036" s="5"/>
      <c r="M4036" s="5"/>
      <c r="N4036" s="5"/>
      <c r="O4036" s="5"/>
    </row>
    <row r="4037" spans="2:15" x14ac:dyDescent="0.55000000000000004">
      <c r="B4037" s="5"/>
      <c r="C4037" s="5"/>
      <c r="D4037" s="5"/>
      <c r="E4037" s="5"/>
      <c r="F4037" s="5"/>
      <c r="G4037" s="5"/>
      <c r="H4037" s="5"/>
      <c r="I4037" s="5"/>
      <c r="J4037" s="5"/>
      <c r="K4037" s="5"/>
      <c r="L4037" s="5"/>
      <c r="M4037" s="5"/>
      <c r="N4037" s="5"/>
      <c r="O4037" s="5"/>
    </row>
    <row r="4038" spans="2:15" x14ac:dyDescent="0.55000000000000004">
      <c r="B4038" s="5"/>
      <c r="C4038" s="5"/>
      <c r="D4038" s="5"/>
      <c r="E4038" s="5"/>
      <c r="F4038" s="5"/>
      <c r="G4038" s="5"/>
      <c r="H4038" s="5"/>
      <c r="I4038" s="5"/>
      <c r="J4038" s="5"/>
      <c r="K4038" s="5"/>
      <c r="L4038" s="5"/>
      <c r="M4038" s="5"/>
      <c r="N4038" s="5"/>
      <c r="O4038" s="5"/>
    </row>
    <row r="4039" spans="2:15" x14ac:dyDescent="0.55000000000000004">
      <c r="B4039" s="5"/>
      <c r="C4039" s="5"/>
      <c r="D4039" s="5"/>
      <c r="E4039" s="5"/>
      <c r="F4039" s="5"/>
      <c r="G4039" s="5"/>
      <c r="H4039" s="5"/>
      <c r="I4039" s="5"/>
      <c r="J4039" s="5"/>
      <c r="K4039" s="5"/>
      <c r="L4039" s="5"/>
      <c r="M4039" s="5"/>
      <c r="N4039" s="5"/>
      <c r="O4039" s="5"/>
    </row>
    <row r="4040" spans="2:15" x14ac:dyDescent="0.55000000000000004">
      <c r="B4040" s="5"/>
      <c r="C4040" s="5"/>
      <c r="D4040" s="5"/>
      <c r="E4040" s="5"/>
      <c r="F4040" s="5"/>
      <c r="G4040" s="5"/>
      <c r="H4040" s="5"/>
      <c r="I4040" s="5"/>
      <c r="J4040" s="5"/>
      <c r="K4040" s="5"/>
      <c r="L4040" s="5"/>
      <c r="M4040" s="5"/>
      <c r="N4040" s="5"/>
      <c r="O4040" s="5"/>
    </row>
    <row r="4041" spans="2:15" x14ac:dyDescent="0.55000000000000004">
      <c r="B4041" s="5"/>
      <c r="C4041" s="5"/>
      <c r="D4041" s="5"/>
      <c r="E4041" s="5"/>
      <c r="F4041" s="5"/>
      <c r="G4041" s="5"/>
      <c r="H4041" s="5"/>
      <c r="I4041" s="5"/>
      <c r="J4041" s="5"/>
      <c r="K4041" s="5"/>
      <c r="L4041" s="5"/>
      <c r="M4041" s="5"/>
      <c r="N4041" s="5"/>
      <c r="O4041" s="5"/>
    </row>
    <row r="4042" spans="2:15" x14ac:dyDescent="0.55000000000000004">
      <c r="B4042" s="5"/>
      <c r="C4042" s="5"/>
      <c r="D4042" s="5"/>
      <c r="E4042" s="5"/>
      <c r="F4042" s="5"/>
      <c r="G4042" s="5"/>
      <c r="H4042" s="5"/>
      <c r="I4042" s="5"/>
      <c r="J4042" s="5"/>
      <c r="K4042" s="5"/>
      <c r="L4042" s="5"/>
      <c r="M4042" s="5"/>
      <c r="N4042" s="5"/>
      <c r="O4042" s="5"/>
    </row>
    <row r="4043" spans="2:15" x14ac:dyDescent="0.55000000000000004">
      <c r="B4043" s="5"/>
      <c r="C4043" s="5"/>
      <c r="D4043" s="5"/>
      <c r="E4043" s="5"/>
      <c r="F4043" s="5"/>
      <c r="G4043" s="5"/>
      <c r="H4043" s="5"/>
      <c r="I4043" s="5"/>
      <c r="J4043" s="5"/>
      <c r="K4043" s="5"/>
      <c r="L4043" s="5"/>
      <c r="M4043" s="5"/>
      <c r="N4043" s="5"/>
      <c r="O4043" s="5"/>
    </row>
    <row r="4044" spans="2:15" x14ac:dyDescent="0.55000000000000004">
      <c r="B4044" s="5"/>
      <c r="C4044" s="5"/>
      <c r="D4044" s="5"/>
      <c r="E4044" s="5"/>
      <c r="F4044" s="5"/>
      <c r="G4044" s="5"/>
      <c r="H4044" s="5"/>
      <c r="I4044" s="5"/>
      <c r="J4044" s="5"/>
      <c r="K4044" s="5"/>
      <c r="L4044" s="5"/>
      <c r="M4044" s="5"/>
      <c r="N4044" s="5"/>
      <c r="O4044" s="5"/>
    </row>
    <row r="4045" spans="2:15" x14ac:dyDescent="0.55000000000000004">
      <c r="B4045" s="5"/>
      <c r="C4045" s="5"/>
      <c r="D4045" s="5"/>
      <c r="E4045" s="5"/>
      <c r="F4045" s="5"/>
      <c r="G4045" s="5"/>
      <c r="H4045" s="5"/>
      <c r="I4045" s="5"/>
      <c r="J4045" s="5"/>
      <c r="K4045" s="5"/>
      <c r="L4045" s="5"/>
      <c r="M4045" s="5"/>
      <c r="N4045" s="5"/>
      <c r="O4045" s="5"/>
    </row>
    <row r="4046" spans="2:15" x14ac:dyDescent="0.55000000000000004">
      <c r="B4046" s="5"/>
      <c r="C4046" s="5"/>
      <c r="D4046" s="5"/>
      <c r="E4046" s="5"/>
      <c r="F4046" s="5"/>
      <c r="G4046" s="5"/>
      <c r="H4046" s="5"/>
      <c r="I4046" s="5"/>
      <c r="J4046" s="5"/>
      <c r="K4046" s="5"/>
      <c r="L4046" s="5"/>
      <c r="M4046" s="5"/>
      <c r="N4046" s="5"/>
      <c r="O4046" s="5"/>
    </row>
    <row r="4047" spans="2:15" x14ac:dyDescent="0.55000000000000004">
      <c r="B4047" s="5"/>
      <c r="C4047" s="5"/>
      <c r="D4047" s="5"/>
      <c r="E4047" s="5"/>
      <c r="F4047" s="5"/>
      <c r="G4047" s="5"/>
      <c r="H4047" s="5"/>
      <c r="I4047" s="5"/>
      <c r="J4047" s="5"/>
      <c r="K4047" s="5"/>
      <c r="L4047" s="5"/>
      <c r="M4047" s="5"/>
      <c r="N4047" s="5"/>
      <c r="O4047" s="5"/>
    </row>
    <row r="4048" spans="2:15" x14ac:dyDescent="0.55000000000000004">
      <c r="B4048" s="5"/>
      <c r="C4048" s="5"/>
      <c r="D4048" s="5"/>
      <c r="E4048" s="5"/>
      <c r="F4048" s="5"/>
      <c r="G4048" s="5"/>
      <c r="H4048" s="5"/>
      <c r="I4048" s="5"/>
      <c r="J4048" s="5"/>
      <c r="K4048" s="5"/>
      <c r="L4048" s="5"/>
      <c r="M4048" s="5"/>
      <c r="N4048" s="5"/>
      <c r="O4048" s="5"/>
    </row>
    <row r="4049" spans="2:15" x14ac:dyDescent="0.55000000000000004">
      <c r="B4049" s="5"/>
      <c r="C4049" s="5"/>
      <c r="D4049" s="5"/>
      <c r="E4049" s="5"/>
      <c r="F4049" s="5"/>
      <c r="G4049" s="5"/>
      <c r="H4049" s="5"/>
      <c r="I4049" s="5"/>
      <c r="J4049" s="5"/>
      <c r="K4049" s="5"/>
      <c r="L4049" s="5"/>
      <c r="M4049" s="5"/>
      <c r="N4049" s="5"/>
      <c r="O4049" s="5"/>
    </row>
    <row r="4050" spans="2:15" x14ac:dyDescent="0.55000000000000004">
      <c r="B4050" s="5"/>
      <c r="C4050" s="5"/>
      <c r="D4050" s="5"/>
      <c r="E4050" s="5"/>
      <c r="F4050" s="5"/>
      <c r="G4050" s="5"/>
      <c r="H4050" s="5"/>
      <c r="I4050" s="5"/>
      <c r="J4050" s="5"/>
      <c r="K4050" s="5"/>
      <c r="L4050" s="5"/>
      <c r="M4050" s="5"/>
      <c r="N4050" s="5"/>
      <c r="O4050" s="5"/>
    </row>
    <row r="4051" spans="2:15" x14ac:dyDescent="0.55000000000000004">
      <c r="B4051" s="5"/>
      <c r="C4051" s="5"/>
      <c r="D4051" s="5"/>
      <c r="E4051" s="5"/>
      <c r="F4051" s="5"/>
      <c r="G4051" s="5"/>
      <c r="H4051" s="5"/>
      <c r="I4051" s="5"/>
      <c r="J4051" s="5"/>
      <c r="K4051" s="5"/>
      <c r="L4051" s="5"/>
      <c r="M4051" s="5"/>
      <c r="N4051" s="5"/>
      <c r="O4051" s="5"/>
    </row>
    <row r="4052" spans="2:15" x14ac:dyDescent="0.55000000000000004">
      <c r="B4052" s="5"/>
      <c r="C4052" s="5"/>
      <c r="D4052" s="5"/>
      <c r="E4052" s="5"/>
      <c r="F4052" s="5"/>
      <c r="G4052" s="5"/>
      <c r="H4052" s="5"/>
      <c r="I4052" s="5"/>
      <c r="J4052" s="5"/>
      <c r="K4052" s="5"/>
      <c r="L4052" s="5"/>
      <c r="M4052" s="5"/>
      <c r="N4052" s="5"/>
      <c r="O4052" s="5"/>
    </row>
    <row r="4053" spans="2:15" x14ac:dyDescent="0.55000000000000004">
      <c r="B4053" s="5"/>
      <c r="C4053" s="5"/>
      <c r="D4053" s="5"/>
      <c r="E4053" s="5"/>
      <c r="F4053" s="5"/>
      <c r="G4053" s="5"/>
      <c r="H4053" s="5"/>
      <c r="I4053" s="5"/>
      <c r="J4053" s="5"/>
      <c r="K4053" s="5"/>
      <c r="L4053" s="5"/>
      <c r="M4053" s="5"/>
      <c r="N4053" s="5"/>
      <c r="O4053" s="5"/>
    </row>
    <row r="4054" spans="2:15" x14ac:dyDescent="0.55000000000000004">
      <c r="B4054" s="5"/>
      <c r="C4054" s="5"/>
      <c r="D4054" s="5"/>
      <c r="E4054" s="5"/>
      <c r="F4054" s="5"/>
      <c r="G4054" s="5"/>
      <c r="H4054" s="5"/>
      <c r="I4054" s="5"/>
      <c r="J4054" s="5"/>
      <c r="K4054" s="5"/>
      <c r="L4054" s="5"/>
      <c r="M4054" s="5"/>
      <c r="N4054" s="5"/>
      <c r="O4054" s="5"/>
    </row>
    <row r="4055" spans="2:15" x14ac:dyDescent="0.55000000000000004">
      <c r="B4055" s="5"/>
      <c r="C4055" s="5"/>
      <c r="D4055" s="5"/>
      <c r="E4055" s="5"/>
      <c r="F4055" s="5"/>
      <c r="G4055" s="5"/>
      <c r="H4055" s="5"/>
      <c r="I4055" s="5"/>
      <c r="J4055" s="5"/>
      <c r="K4055" s="5"/>
      <c r="L4055" s="5"/>
      <c r="M4055" s="5"/>
      <c r="N4055" s="5"/>
      <c r="O4055" s="5"/>
    </row>
    <row r="4056" spans="2:15" x14ac:dyDescent="0.55000000000000004">
      <c r="B4056" s="5"/>
      <c r="C4056" s="5"/>
      <c r="D4056" s="5"/>
      <c r="E4056" s="5"/>
      <c r="F4056" s="5"/>
      <c r="G4056" s="5"/>
      <c r="H4056" s="5"/>
      <c r="I4056" s="5"/>
      <c r="J4056" s="5"/>
      <c r="K4056" s="5"/>
      <c r="L4056" s="5"/>
      <c r="M4056" s="5"/>
      <c r="N4056" s="5"/>
      <c r="O4056" s="5"/>
    </row>
    <row r="4057" spans="2:15" x14ac:dyDescent="0.55000000000000004">
      <c r="B4057" s="5"/>
      <c r="C4057" s="5"/>
      <c r="D4057" s="5"/>
      <c r="E4057" s="5"/>
      <c r="F4057" s="5"/>
      <c r="G4057" s="5"/>
      <c r="H4057" s="5"/>
      <c r="I4057" s="5"/>
      <c r="J4057" s="5"/>
      <c r="K4057" s="5"/>
      <c r="L4057" s="5"/>
      <c r="M4057" s="5"/>
      <c r="N4057" s="5"/>
      <c r="O4057" s="5"/>
    </row>
    <row r="4058" spans="2:15" x14ac:dyDescent="0.55000000000000004">
      <c r="B4058" s="5"/>
      <c r="C4058" s="5"/>
      <c r="D4058" s="5"/>
      <c r="E4058" s="5"/>
      <c r="F4058" s="5"/>
      <c r="G4058" s="5"/>
      <c r="H4058" s="5"/>
      <c r="I4058" s="5"/>
      <c r="J4058" s="5"/>
      <c r="K4058" s="5"/>
      <c r="L4058" s="5"/>
      <c r="M4058" s="5"/>
      <c r="N4058" s="5"/>
      <c r="O4058" s="5"/>
    </row>
    <row r="4059" spans="2:15" x14ac:dyDescent="0.55000000000000004">
      <c r="B4059" s="5"/>
      <c r="C4059" s="5"/>
      <c r="D4059" s="5"/>
      <c r="E4059" s="5"/>
      <c r="F4059" s="5"/>
      <c r="G4059" s="5"/>
      <c r="H4059" s="5"/>
      <c r="I4059" s="5"/>
      <c r="J4059" s="5"/>
      <c r="K4059" s="5"/>
      <c r="L4059" s="5"/>
      <c r="M4059" s="5"/>
      <c r="N4059" s="5"/>
      <c r="O4059" s="5"/>
    </row>
    <row r="4060" spans="2:15" x14ac:dyDescent="0.55000000000000004">
      <c r="B4060" s="5"/>
      <c r="C4060" s="5"/>
      <c r="D4060" s="5"/>
      <c r="E4060" s="5"/>
      <c r="F4060" s="5"/>
      <c r="G4060" s="5"/>
      <c r="H4060" s="5"/>
      <c r="I4060" s="5"/>
      <c r="J4060" s="5"/>
      <c r="K4060" s="5"/>
      <c r="L4060" s="5"/>
      <c r="M4060" s="5"/>
      <c r="N4060" s="5"/>
      <c r="O4060" s="5"/>
    </row>
    <row r="4061" spans="2:15" x14ac:dyDescent="0.55000000000000004">
      <c r="B4061" s="5"/>
      <c r="C4061" s="5"/>
      <c r="D4061" s="5"/>
      <c r="E4061" s="5"/>
      <c r="F4061" s="5"/>
      <c r="G4061" s="5"/>
      <c r="H4061" s="5"/>
      <c r="I4061" s="5"/>
      <c r="J4061" s="5"/>
      <c r="K4061" s="5"/>
      <c r="L4061" s="5"/>
      <c r="M4061" s="5"/>
      <c r="N4061" s="5"/>
      <c r="O4061" s="5"/>
    </row>
    <row r="4062" spans="2:15" x14ac:dyDescent="0.55000000000000004">
      <c r="B4062" s="5"/>
      <c r="C4062" s="5"/>
      <c r="D4062" s="5"/>
      <c r="E4062" s="5"/>
      <c r="F4062" s="5"/>
      <c r="G4062" s="5"/>
      <c r="H4062" s="5"/>
      <c r="I4062" s="5"/>
      <c r="J4062" s="5"/>
      <c r="K4062" s="5"/>
      <c r="L4062" s="5"/>
      <c r="M4062" s="5"/>
      <c r="N4062" s="5"/>
      <c r="O4062" s="5"/>
    </row>
    <row r="4063" spans="2:15" x14ac:dyDescent="0.55000000000000004">
      <c r="B4063" s="5"/>
      <c r="C4063" s="5"/>
      <c r="D4063" s="5"/>
      <c r="E4063" s="5"/>
      <c r="F4063" s="5"/>
      <c r="G4063" s="5"/>
      <c r="H4063" s="5"/>
      <c r="I4063" s="5"/>
      <c r="J4063" s="5"/>
      <c r="K4063" s="5"/>
      <c r="L4063" s="5"/>
      <c r="M4063" s="5"/>
      <c r="N4063" s="5"/>
      <c r="O4063" s="5"/>
    </row>
    <row r="4064" spans="2:15" x14ac:dyDescent="0.55000000000000004">
      <c r="B4064" s="5"/>
      <c r="C4064" s="5"/>
      <c r="D4064" s="5"/>
      <c r="E4064" s="5"/>
      <c r="F4064" s="5"/>
      <c r="G4064" s="5"/>
      <c r="H4064" s="5"/>
      <c r="I4064" s="5"/>
      <c r="J4064" s="5"/>
      <c r="K4064" s="5"/>
      <c r="L4064" s="5"/>
      <c r="M4064" s="5"/>
      <c r="N4064" s="5"/>
      <c r="O4064" s="5"/>
    </row>
    <row r="4065" spans="2:15" x14ac:dyDescent="0.55000000000000004">
      <c r="B4065" s="5"/>
      <c r="C4065" s="5"/>
      <c r="D4065" s="5"/>
      <c r="E4065" s="5"/>
      <c r="F4065" s="5"/>
      <c r="G4065" s="5"/>
      <c r="H4065" s="5"/>
      <c r="I4065" s="5"/>
      <c r="J4065" s="5"/>
      <c r="K4065" s="5"/>
      <c r="L4065" s="5"/>
      <c r="M4065" s="5"/>
      <c r="N4065" s="5"/>
      <c r="O4065" s="5"/>
    </row>
    <row r="4066" spans="2:15" x14ac:dyDescent="0.55000000000000004">
      <c r="B4066" s="5"/>
      <c r="C4066" s="5"/>
      <c r="D4066" s="5"/>
      <c r="E4066" s="5"/>
      <c r="F4066" s="5"/>
      <c r="G4066" s="5"/>
      <c r="H4066" s="5"/>
      <c r="I4066" s="5"/>
      <c r="J4066" s="5"/>
      <c r="K4066" s="5"/>
      <c r="L4066" s="5"/>
      <c r="M4066" s="5"/>
      <c r="N4066" s="5"/>
      <c r="O4066" s="5"/>
    </row>
    <row r="4067" spans="2:15" x14ac:dyDescent="0.55000000000000004">
      <c r="B4067" s="5"/>
      <c r="C4067" s="5"/>
      <c r="D4067" s="5"/>
      <c r="E4067" s="5"/>
      <c r="F4067" s="5"/>
      <c r="G4067" s="5"/>
      <c r="H4067" s="5"/>
      <c r="I4067" s="5"/>
      <c r="J4067" s="5"/>
      <c r="K4067" s="5"/>
      <c r="L4067" s="5"/>
      <c r="M4067" s="5"/>
      <c r="N4067" s="5"/>
      <c r="O4067" s="5"/>
    </row>
    <row r="4068" spans="2:15" x14ac:dyDescent="0.55000000000000004">
      <c r="B4068" s="5"/>
      <c r="C4068" s="5"/>
      <c r="D4068" s="5"/>
      <c r="E4068" s="5"/>
      <c r="F4068" s="5"/>
      <c r="G4068" s="5"/>
      <c r="H4068" s="5"/>
      <c r="I4068" s="5"/>
      <c r="J4068" s="5"/>
      <c r="K4068" s="5"/>
      <c r="L4068" s="5"/>
      <c r="M4068" s="5"/>
      <c r="N4068" s="5"/>
      <c r="O4068" s="5"/>
    </row>
    <row r="4069" spans="2:15" x14ac:dyDescent="0.55000000000000004">
      <c r="B4069" s="5"/>
      <c r="C4069" s="5"/>
      <c r="D4069" s="5"/>
      <c r="E4069" s="5"/>
      <c r="F4069" s="5"/>
      <c r="G4069" s="5"/>
      <c r="H4069" s="5"/>
      <c r="I4069" s="5"/>
      <c r="J4069" s="5"/>
      <c r="K4069" s="5"/>
      <c r="L4069" s="5"/>
      <c r="M4069" s="5"/>
      <c r="N4069" s="5"/>
      <c r="O4069" s="5"/>
    </row>
    <row r="4070" spans="2:15" x14ac:dyDescent="0.55000000000000004">
      <c r="B4070" s="5"/>
      <c r="C4070" s="5"/>
      <c r="D4070" s="5"/>
      <c r="E4070" s="5"/>
      <c r="F4070" s="5"/>
      <c r="G4070" s="5"/>
      <c r="H4070" s="5"/>
      <c r="I4070" s="5"/>
      <c r="J4070" s="5"/>
      <c r="K4070" s="5"/>
      <c r="L4070" s="5"/>
      <c r="M4070" s="5"/>
      <c r="N4070" s="5"/>
      <c r="O4070" s="5"/>
    </row>
    <row r="4071" spans="2:15" x14ac:dyDescent="0.55000000000000004">
      <c r="B4071" s="5"/>
      <c r="C4071" s="5"/>
      <c r="D4071" s="5"/>
      <c r="E4071" s="5"/>
      <c r="F4071" s="5"/>
      <c r="G4071" s="5"/>
      <c r="H4071" s="5"/>
      <c r="I4071" s="5"/>
      <c r="J4071" s="5"/>
      <c r="K4071" s="5"/>
      <c r="L4071" s="5"/>
      <c r="M4071" s="5"/>
      <c r="N4071" s="5"/>
      <c r="O4071" s="5"/>
    </row>
    <row r="4072" spans="2:15" x14ac:dyDescent="0.55000000000000004">
      <c r="B4072" s="5"/>
      <c r="C4072" s="5"/>
      <c r="D4072" s="5"/>
      <c r="E4072" s="5"/>
      <c r="F4072" s="5"/>
      <c r="G4072" s="5"/>
      <c r="H4072" s="5"/>
      <c r="I4072" s="5"/>
      <c r="J4072" s="5"/>
      <c r="K4072" s="5"/>
      <c r="L4072" s="5"/>
      <c r="M4072" s="5"/>
      <c r="N4072" s="5"/>
      <c r="O4072" s="5"/>
    </row>
    <row r="4073" spans="2:15" x14ac:dyDescent="0.55000000000000004">
      <c r="B4073" s="5"/>
      <c r="C4073" s="5"/>
      <c r="D4073" s="5"/>
      <c r="E4073" s="5"/>
      <c r="F4073" s="5"/>
      <c r="G4073" s="5"/>
      <c r="H4073" s="5"/>
      <c r="I4073" s="5"/>
      <c r="J4073" s="5"/>
      <c r="K4073" s="5"/>
      <c r="L4073" s="5"/>
      <c r="M4073" s="5"/>
      <c r="N4073" s="5"/>
      <c r="O4073" s="5"/>
    </row>
    <row r="4074" spans="2:15" x14ac:dyDescent="0.55000000000000004">
      <c r="B4074" s="5"/>
      <c r="C4074" s="5"/>
      <c r="D4074" s="5"/>
      <c r="E4074" s="5"/>
      <c r="F4074" s="5"/>
      <c r="G4074" s="5"/>
      <c r="H4074" s="5"/>
      <c r="I4074" s="5"/>
      <c r="J4074" s="5"/>
      <c r="K4074" s="5"/>
      <c r="L4074" s="5"/>
      <c r="M4074" s="5"/>
      <c r="N4074" s="5"/>
      <c r="O4074" s="5"/>
    </row>
    <row r="4075" spans="2:15" x14ac:dyDescent="0.55000000000000004">
      <c r="B4075" s="5"/>
      <c r="C4075" s="5"/>
      <c r="D4075" s="5"/>
      <c r="E4075" s="5"/>
      <c r="F4075" s="5"/>
      <c r="G4075" s="5"/>
      <c r="H4075" s="5"/>
      <c r="I4075" s="5"/>
      <c r="J4075" s="5"/>
      <c r="K4075" s="5"/>
      <c r="L4075" s="5"/>
      <c r="M4075" s="5"/>
      <c r="N4075" s="5"/>
      <c r="O4075" s="5"/>
    </row>
    <row r="4076" spans="2:15" x14ac:dyDescent="0.55000000000000004">
      <c r="B4076" s="5"/>
      <c r="C4076" s="5"/>
      <c r="D4076" s="5"/>
      <c r="E4076" s="5"/>
      <c r="F4076" s="5"/>
      <c r="G4076" s="5"/>
      <c r="H4076" s="5"/>
      <c r="I4076" s="5"/>
      <c r="J4076" s="5"/>
      <c r="K4076" s="5"/>
      <c r="L4076" s="5"/>
      <c r="M4076" s="5"/>
      <c r="N4076" s="5"/>
      <c r="O4076" s="5"/>
    </row>
    <row r="4077" spans="2:15" x14ac:dyDescent="0.55000000000000004">
      <c r="B4077" s="5"/>
      <c r="C4077" s="5"/>
      <c r="D4077" s="5"/>
      <c r="E4077" s="5"/>
      <c r="F4077" s="5"/>
      <c r="G4077" s="5"/>
      <c r="H4077" s="5"/>
      <c r="I4077" s="5"/>
      <c r="J4077" s="5"/>
      <c r="K4077" s="5"/>
      <c r="L4077" s="5"/>
      <c r="M4077" s="5"/>
      <c r="N4077" s="5"/>
      <c r="O4077" s="5"/>
    </row>
    <row r="4078" spans="2:15" x14ac:dyDescent="0.55000000000000004">
      <c r="B4078" s="5"/>
      <c r="C4078" s="5"/>
      <c r="D4078" s="5"/>
      <c r="E4078" s="5"/>
      <c r="F4078" s="5"/>
      <c r="G4078" s="5"/>
      <c r="H4078" s="5"/>
      <c r="I4078" s="5"/>
      <c r="J4078" s="5"/>
      <c r="K4078" s="5"/>
      <c r="L4078" s="5"/>
      <c r="M4078" s="5"/>
      <c r="N4078" s="5"/>
      <c r="O4078" s="5"/>
    </row>
    <row r="4079" spans="2:15" x14ac:dyDescent="0.55000000000000004">
      <c r="B4079" s="5"/>
      <c r="C4079" s="5"/>
      <c r="D4079" s="5"/>
      <c r="E4079" s="5"/>
      <c r="F4079" s="5"/>
      <c r="G4079" s="5"/>
      <c r="H4079" s="5"/>
      <c r="I4079" s="5"/>
      <c r="J4079" s="5"/>
      <c r="K4079" s="5"/>
      <c r="L4079" s="5"/>
      <c r="M4079" s="5"/>
      <c r="N4079" s="5"/>
      <c r="O4079" s="5"/>
    </row>
    <row r="4080" spans="2:15" x14ac:dyDescent="0.55000000000000004">
      <c r="B4080" s="5"/>
      <c r="C4080" s="5"/>
      <c r="D4080" s="5"/>
      <c r="E4080" s="5"/>
      <c r="F4080" s="5"/>
      <c r="G4080" s="5"/>
      <c r="H4080" s="5"/>
      <c r="I4080" s="5"/>
      <c r="J4080" s="5"/>
      <c r="K4080" s="5"/>
      <c r="L4080" s="5"/>
      <c r="M4080" s="5"/>
      <c r="N4080" s="5"/>
      <c r="O4080" s="5"/>
    </row>
    <row r="4081" spans="2:15" x14ac:dyDescent="0.55000000000000004">
      <c r="B4081" s="5"/>
      <c r="C4081" s="5"/>
      <c r="D4081" s="5"/>
      <c r="E4081" s="5"/>
      <c r="F4081" s="5"/>
      <c r="G4081" s="5"/>
      <c r="H4081" s="5"/>
      <c r="I4081" s="5"/>
      <c r="J4081" s="5"/>
      <c r="K4081" s="5"/>
      <c r="L4081" s="5"/>
      <c r="M4081" s="5"/>
      <c r="N4081" s="5"/>
      <c r="O4081" s="5"/>
    </row>
    <row r="4082" spans="2:15" x14ac:dyDescent="0.55000000000000004">
      <c r="B4082" s="5"/>
      <c r="C4082" s="5"/>
      <c r="D4082" s="5"/>
      <c r="E4082" s="5"/>
      <c r="F4082" s="5"/>
      <c r="G4082" s="5"/>
      <c r="H4082" s="5"/>
      <c r="I4082" s="5"/>
      <c r="J4082" s="5"/>
      <c r="K4082" s="5"/>
      <c r="L4082" s="5"/>
      <c r="M4082" s="5"/>
      <c r="N4082" s="5"/>
      <c r="O4082" s="5"/>
    </row>
    <row r="4083" spans="2:15" x14ac:dyDescent="0.55000000000000004">
      <c r="B4083" s="5"/>
      <c r="C4083" s="5"/>
      <c r="D4083" s="5"/>
      <c r="E4083" s="5"/>
      <c r="F4083" s="5"/>
      <c r="G4083" s="5"/>
      <c r="H4083" s="5"/>
      <c r="I4083" s="5"/>
      <c r="J4083" s="5"/>
      <c r="K4083" s="5"/>
      <c r="L4083" s="5"/>
      <c r="M4083" s="5"/>
      <c r="N4083" s="5"/>
      <c r="O4083" s="5"/>
    </row>
    <row r="4084" spans="2:15" x14ac:dyDescent="0.55000000000000004">
      <c r="B4084" s="5"/>
      <c r="C4084" s="5"/>
      <c r="D4084" s="5"/>
      <c r="E4084" s="5"/>
      <c r="F4084" s="5"/>
      <c r="G4084" s="5"/>
      <c r="H4084" s="5"/>
      <c r="I4084" s="5"/>
      <c r="J4084" s="5"/>
      <c r="K4084" s="5"/>
      <c r="L4084" s="5"/>
      <c r="M4084" s="5"/>
      <c r="N4084" s="5"/>
      <c r="O4084" s="5"/>
    </row>
    <row r="4085" spans="2:15" x14ac:dyDescent="0.55000000000000004">
      <c r="B4085" s="5"/>
      <c r="C4085" s="5"/>
      <c r="D4085" s="5"/>
      <c r="E4085" s="5"/>
      <c r="F4085" s="5"/>
      <c r="G4085" s="5"/>
      <c r="H4085" s="5"/>
      <c r="I4085" s="5"/>
      <c r="J4085" s="5"/>
      <c r="K4085" s="5"/>
      <c r="L4085" s="5"/>
      <c r="M4085" s="5"/>
      <c r="N4085" s="5"/>
      <c r="O4085" s="5"/>
    </row>
    <row r="4086" spans="2:15" x14ac:dyDescent="0.55000000000000004">
      <c r="B4086" s="5"/>
      <c r="C4086" s="5"/>
      <c r="D4086" s="5"/>
      <c r="E4086" s="5"/>
      <c r="F4086" s="5"/>
      <c r="G4086" s="5"/>
      <c r="H4086" s="5"/>
      <c r="I4086" s="5"/>
      <c r="J4086" s="5"/>
      <c r="K4086" s="5"/>
      <c r="L4086" s="5"/>
      <c r="M4086" s="5"/>
      <c r="N4086" s="5"/>
      <c r="O4086" s="5"/>
    </row>
    <row r="4087" spans="2:15" x14ac:dyDescent="0.55000000000000004">
      <c r="B4087" s="5"/>
      <c r="C4087" s="5"/>
      <c r="D4087" s="5"/>
      <c r="E4087" s="5"/>
      <c r="F4087" s="5"/>
      <c r="G4087" s="5"/>
      <c r="H4087" s="5"/>
      <c r="I4087" s="5"/>
      <c r="J4087" s="5"/>
      <c r="K4087" s="5"/>
      <c r="L4087" s="5"/>
      <c r="M4087" s="5"/>
      <c r="N4087" s="5"/>
      <c r="O4087" s="5"/>
    </row>
    <row r="4088" spans="2:15" x14ac:dyDescent="0.55000000000000004">
      <c r="B4088" s="5"/>
      <c r="C4088" s="5"/>
      <c r="D4088" s="5"/>
      <c r="E4088" s="5"/>
      <c r="F4088" s="5"/>
      <c r="G4088" s="5"/>
      <c r="H4088" s="5"/>
      <c r="I4088" s="5"/>
      <c r="J4088" s="5"/>
      <c r="K4088" s="5"/>
      <c r="L4088" s="5"/>
      <c r="M4088" s="5"/>
      <c r="N4088" s="5"/>
      <c r="O4088" s="5"/>
    </row>
    <row r="4089" spans="2:15" x14ac:dyDescent="0.55000000000000004">
      <c r="B4089" s="5"/>
      <c r="C4089" s="5"/>
      <c r="D4089" s="5"/>
      <c r="E4089" s="5"/>
      <c r="F4089" s="5"/>
      <c r="G4089" s="5"/>
      <c r="H4089" s="5"/>
      <c r="I4089" s="5"/>
      <c r="J4089" s="5"/>
      <c r="K4089" s="5"/>
      <c r="L4089" s="5"/>
      <c r="M4089" s="5"/>
      <c r="N4089" s="5"/>
      <c r="O4089" s="5"/>
    </row>
    <row r="4090" spans="2:15" x14ac:dyDescent="0.55000000000000004">
      <c r="B4090" s="5"/>
      <c r="C4090" s="5"/>
      <c r="D4090" s="5"/>
      <c r="E4090" s="5"/>
      <c r="F4090" s="5"/>
      <c r="G4090" s="5"/>
      <c r="H4090" s="5"/>
      <c r="I4090" s="5"/>
      <c r="J4090" s="5"/>
      <c r="K4090" s="5"/>
      <c r="L4090" s="5"/>
      <c r="M4090" s="5"/>
      <c r="N4090" s="5"/>
      <c r="O4090" s="5"/>
    </row>
    <row r="4091" spans="2:15" x14ac:dyDescent="0.55000000000000004">
      <c r="B4091" s="5"/>
      <c r="C4091" s="5"/>
      <c r="D4091" s="5"/>
      <c r="E4091" s="5"/>
      <c r="F4091" s="5"/>
      <c r="G4091" s="5"/>
      <c r="H4091" s="5"/>
      <c r="I4091" s="5"/>
      <c r="J4091" s="5"/>
      <c r="K4091" s="5"/>
      <c r="L4091" s="5"/>
      <c r="M4091" s="5"/>
      <c r="N4091" s="5"/>
      <c r="O4091" s="5"/>
    </row>
    <row r="4092" spans="2:15" x14ac:dyDescent="0.55000000000000004">
      <c r="B4092" s="5"/>
      <c r="C4092" s="5"/>
      <c r="D4092" s="5"/>
      <c r="E4092" s="5"/>
      <c r="F4092" s="5"/>
      <c r="G4092" s="5"/>
      <c r="H4092" s="5"/>
      <c r="I4092" s="5"/>
      <c r="J4092" s="5"/>
      <c r="K4092" s="5"/>
      <c r="L4092" s="5"/>
      <c r="M4092" s="5"/>
      <c r="N4092" s="5"/>
      <c r="O4092" s="5"/>
    </row>
    <row r="4093" spans="2:15" x14ac:dyDescent="0.55000000000000004">
      <c r="B4093" s="5"/>
      <c r="C4093" s="5"/>
      <c r="D4093" s="5"/>
      <c r="E4093" s="5"/>
      <c r="F4093" s="5"/>
      <c r="G4093" s="5"/>
      <c r="H4093" s="5"/>
      <c r="I4093" s="5"/>
      <c r="J4093" s="5"/>
      <c r="K4093" s="5"/>
      <c r="L4093" s="5"/>
      <c r="M4093" s="5"/>
      <c r="N4093" s="5"/>
      <c r="O4093" s="5"/>
    </row>
    <row r="4094" spans="2:15" x14ac:dyDescent="0.55000000000000004">
      <c r="B4094" s="5"/>
      <c r="C4094" s="5"/>
      <c r="D4094" s="5"/>
      <c r="E4094" s="5"/>
      <c r="F4094" s="5"/>
      <c r="G4094" s="5"/>
      <c r="H4094" s="5"/>
      <c r="I4094" s="5"/>
      <c r="J4094" s="5"/>
      <c r="K4094" s="5"/>
      <c r="L4094" s="5"/>
      <c r="M4094" s="5"/>
      <c r="N4094" s="5"/>
      <c r="O4094" s="5"/>
    </row>
    <row r="4095" spans="2:15" x14ac:dyDescent="0.55000000000000004">
      <c r="B4095" s="5"/>
      <c r="C4095" s="5"/>
      <c r="D4095" s="5"/>
      <c r="E4095" s="5"/>
      <c r="F4095" s="5"/>
      <c r="G4095" s="5"/>
      <c r="H4095" s="5"/>
      <c r="I4095" s="5"/>
      <c r="J4095" s="5"/>
      <c r="K4095" s="5"/>
      <c r="L4095" s="5"/>
      <c r="M4095" s="5"/>
      <c r="N4095" s="5"/>
      <c r="O4095" s="5"/>
    </row>
    <row r="4096" spans="2:15" x14ac:dyDescent="0.55000000000000004">
      <c r="B4096" s="5"/>
      <c r="C4096" s="5"/>
      <c r="D4096" s="5"/>
      <c r="E4096" s="5"/>
      <c r="F4096" s="5"/>
      <c r="G4096" s="5"/>
      <c r="H4096" s="5"/>
      <c r="I4096" s="5"/>
      <c r="J4096" s="5"/>
      <c r="K4096" s="5"/>
      <c r="L4096" s="5"/>
      <c r="M4096" s="5"/>
      <c r="N4096" s="5"/>
      <c r="O4096" s="5"/>
    </row>
    <row r="4097" spans="2:15" x14ac:dyDescent="0.55000000000000004">
      <c r="B4097" s="5"/>
      <c r="C4097" s="5"/>
      <c r="D4097" s="5"/>
      <c r="E4097" s="5"/>
      <c r="F4097" s="5"/>
      <c r="G4097" s="5"/>
      <c r="H4097" s="5"/>
      <c r="I4097" s="5"/>
      <c r="J4097" s="5"/>
      <c r="K4097" s="5"/>
      <c r="L4097" s="5"/>
      <c r="M4097" s="5"/>
      <c r="N4097" s="5"/>
      <c r="O4097" s="5"/>
    </row>
    <row r="4098" spans="2:15" x14ac:dyDescent="0.55000000000000004">
      <c r="B4098" s="5"/>
      <c r="C4098" s="5"/>
      <c r="D4098" s="5"/>
      <c r="E4098" s="5"/>
      <c r="F4098" s="5"/>
      <c r="G4098" s="5"/>
      <c r="H4098" s="5"/>
      <c r="I4098" s="5"/>
      <c r="J4098" s="5"/>
      <c r="K4098" s="5"/>
      <c r="L4098" s="5"/>
      <c r="M4098" s="5"/>
      <c r="N4098" s="5"/>
      <c r="O4098" s="5"/>
    </row>
    <row r="4099" spans="2:15" x14ac:dyDescent="0.55000000000000004">
      <c r="B4099" s="5"/>
      <c r="C4099" s="5"/>
      <c r="D4099" s="5"/>
      <c r="E4099" s="5"/>
      <c r="F4099" s="5"/>
      <c r="G4099" s="5"/>
      <c r="H4099" s="5"/>
      <c r="I4099" s="5"/>
      <c r="J4099" s="5"/>
      <c r="K4099" s="5"/>
      <c r="L4099" s="5"/>
      <c r="M4099" s="5"/>
      <c r="N4099" s="5"/>
      <c r="O4099" s="5"/>
    </row>
    <row r="4100" spans="2:15" x14ac:dyDescent="0.55000000000000004">
      <c r="B4100" s="5"/>
      <c r="C4100" s="5"/>
      <c r="D4100" s="5"/>
      <c r="E4100" s="5"/>
      <c r="F4100" s="5"/>
      <c r="G4100" s="5"/>
      <c r="H4100" s="5"/>
      <c r="I4100" s="5"/>
      <c r="J4100" s="5"/>
      <c r="K4100" s="5"/>
      <c r="L4100" s="5"/>
      <c r="M4100" s="5"/>
      <c r="N4100" s="5"/>
      <c r="O4100" s="5"/>
    </row>
    <row r="4101" spans="2:15" x14ac:dyDescent="0.55000000000000004">
      <c r="B4101" s="5"/>
      <c r="C4101" s="5"/>
      <c r="D4101" s="5"/>
      <c r="E4101" s="5"/>
      <c r="F4101" s="5"/>
      <c r="G4101" s="5"/>
      <c r="H4101" s="5"/>
      <c r="I4101" s="5"/>
      <c r="J4101" s="5"/>
      <c r="K4101" s="5"/>
      <c r="L4101" s="5"/>
      <c r="M4101" s="5"/>
      <c r="N4101" s="5"/>
      <c r="O4101" s="5"/>
    </row>
    <row r="4102" spans="2:15" x14ac:dyDescent="0.55000000000000004">
      <c r="B4102" s="5"/>
      <c r="C4102" s="5"/>
      <c r="D4102" s="5"/>
      <c r="E4102" s="5"/>
      <c r="F4102" s="5"/>
      <c r="G4102" s="5"/>
      <c r="H4102" s="5"/>
      <c r="I4102" s="5"/>
      <c r="J4102" s="5"/>
      <c r="K4102" s="5"/>
      <c r="L4102" s="5"/>
      <c r="M4102" s="5"/>
      <c r="N4102" s="5"/>
      <c r="O4102" s="5"/>
    </row>
    <row r="4103" spans="2:15" x14ac:dyDescent="0.55000000000000004">
      <c r="B4103" s="5"/>
      <c r="C4103" s="5"/>
      <c r="D4103" s="5"/>
      <c r="E4103" s="5"/>
      <c r="F4103" s="5"/>
      <c r="G4103" s="5"/>
      <c r="H4103" s="5"/>
      <c r="I4103" s="5"/>
      <c r="J4103" s="5"/>
      <c r="K4103" s="5"/>
      <c r="L4103" s="5"/>
      <c r="M4103" s="5"/>
      <c r="N4103" s="5"/>
      <c r="O4103" s="5"/>
    </row>
    <row r="4104" spans="2:15" x14ac:dyDescent="0.55000000000000004">
      <c r="B4104" s="5"/>
      <c r="C4104" s="5"/>
      <c r="D4104" s="5"/>
      <c r="E4104" s="5"/>
      <c r="F4104" s="5"/>
      <c r="G4104" s="5"/>
      <c r="H4104" s="5"/>
      <c r="I4104" s="5"/>
      <c r="J4104" s="5"/>
      <c r="K4104" s="5"/>
      <c r="L4104" s="5"/>
      <c r="M4104" s="5"/>
      <c r="N4104" s="5"/>
      <c r="O4104" s="5"/>
    </row>
    <row r="4105" spans="2:15" x14ac:dyDescent="0.55000000000000004">
      <c r="B4105" s="5"/>
      <c r="C4105" s="5"/>
      <c r="D4105" s="5"/>
      <c r="E4105" s="5"/>
      <c r="F4105" s="5"/>
      <c r="G4105" s="5"/>
      <c r="H4105" s="5"/>
      <c r="I4105" s="5"/>
      <c r="J4105" s="5"/>
      <c r="K4105" s="5"/>
      <c r="L4105" s="5"/>
      <c r="M4105" s="5"/>
      <c r="N4105" s="5"/>
      <c r="O4105" s="5"/>
    </row>
    <row r="4106" spans="2:15" x14ac:dyDescent="0.55000000000000004">
      <c r="B4106" s="5"/>
      <c r="C4106" s="5"/>
      <c r="D4106" s="5"/>
      <c r="E4106" s="5"/>
      <c r="F4106" s="5"/>
      <c r="G4106" s="5"/>
      <c r="H4106" s="5"/>
      <c r="I4106" s="5"/>
      <c r="J4106" s="5"/>
      <c r="K4106" s="5"/>
      <c r="L4106" s="5"/>
      <c r="M4106" s="5"/>
      <c r="N4106" s="5"/>
      <c r="O4106" s="5"/>
    </row>
    <row r="4107" spans="2:15" x14ac:dyDescent="0.55000000000000004">
      <c r="B4107" s="5"/>
      <c r="C4107" s="5"/>
      <c r="D4107" s="5"/>
      <c r="E4107" s="5"/>
      <c r="F4107" s="5"/>
      <c r="G4107" s="5"/>
      <c r="H4107" s="5"/>
      <c r="I4107" s="5"/>
      <c r="J4107" s="5"/>
      <c r="K4107" s="5"/>
      <c r="L4107" s="5"/>
      <c r="M4107" s="5"/>
      <c r="N4107" s="5"/>
      <c r="O4107" s="5"/>
    </row>
    <row r="4108" spans="2:15" x14ac:dyDescent="0.55000000000000004">
      <c r="B4108" s="5"/>
      <c r="C4108" s="5"/>
      <c r="D4108" s="5"/>
      <c r="E4108" s="5"/>
      <c r="F4108" s="5"/>
      <c r="G4108" s="5"/>
      <c r="H4108" s="5"/>
      <c r="I4108" s="5"/>
      <c r="J4108" s="5"/>
      <c r="K4108" s="5"/>
      <c r="L4108" s="5"/>
      <c r="M4108" s="5"/>
      <c r="N4108" s="5"/>
      <c r="O4108" s="5"/>
    </row>
    <row r="4109" spans="2:15" x14ac:dyDescent="0.55000000000000004">
      <c r="B4109" s="5"/>
      <c r="C4109" s="5"/>
      <c r="D4109" s="5"/>
      <c r="E4109" s="5"/>
      <c r="F4109" s="5"/>
      <c r="G4109" s="5"/>
      <c r="H4109" s="5"/>
      <c r="I4109" s="5"/>
      <c r="J4109" s="5"/>
      <c r="K4109" s="5"/>
      <c r="L4109" s="5"/>
      <c r="M4109" s="5"/>
      <c r="N4109" s="5"/>
      <c r="O4109" s="5"/>
    </row>
    <row r="4110" spans="2:15" x14ac:dyDescent="0.55000000000000004">
      <c r="B4110" s="5"/>
      <c r="C4110" s="5"/>
      <c r="D4110" s="5"/>
      <c r="E4110" s="5"/>
      <c r="F4110" s="5"/>
      <c r="G4110" s="5"/>
      <c r="H4110" s="5"/>
      <c r="I4110" s="5"/>
      <c r="J4110" s="5"/>
      <c r="K4110" s="5"/>
      <c r="L4110" s="5"/>
      <c r="M4110" s="5"/>
      <c r="N4110" s="5"/>
      <c r="O4110" s="5"/>
    </row>
    <row r="4111" spans="2:15" x14ac:dyDescent="0.55000000000000004">
      <c r="B4111" s="5"/>
      <c r="C4111" s="5"/>
      <c r="D4111" s="5"/>
      <c r="E4111" s="5"/>
      <c r="F4111" s="5"/>
      <c r="G4111" s="5"/>
      <c r="H4111" s="5"/>
      <c r="I4111" s="5"/>
      <c r="J4111" s="5"/>
      <c r="K4111" s="5"/>
      <c r="L4111" s="5"/>
      <c r="M4111" s="5"/>
      <c r="N4111" s="5"/>
      <c r="O4111" s="5"/>
    </row>
    <row r="4112" spans="2:15" x14ac:dyDescent="0.55000000000000004">
      <c r="B4112" s="5"/>
      <c r="C4112" s="5"/>
      <c r="D4112" s="5"/>
      <c r="E4112" s="5"/>
      <c r="F4112" s="5"/>
      <c r="G4112" s="5"/>
      <c r="H4112" s="5"/>
      <c r="I4112" s="5"/>
      <c r="J4112" s="5"/>
      <c r="K4112" s="5"/>
      <c r="L4112" s="5"/>
      <c r="M4112" s="5"/>
      <c r="N4112" s="5"/>
      <c r="O4112" s="5"/>
    </row>
    <row r="4113" spans="2:15" x14ac:dyDescent="0.55000000000000004">
      <c r="B4113" s="5"/>
      <c r="C4113" s="5"/>
      <c r="D4113" s="5"/>
      <c r="E4113" s="5"/>
      <c r="F4113" s="5"/>
      <c r="G4113" s="5"/>
      <c r="H4113" s="5"/>
      <c r="I4113" s="5"/>
      <c r="J4113" s="5"/>
      <c r="K4113" s="5"/>
      <c r="L4113" s="5"/>
      <c r="M4113" s="5"/>
      <c r="N4113" s="5"/>
      <c r="O4113" s="5"/>
    </row>
    <row r="4114" spans="2:15" x14ac:dyDescent="0.55000000000000004">
      <c r="B4114" s="5"/>
      <c r="C4114" s="5"/>
      <c r="D4114" s="5"/>
      <c r="E4114" s="5"/>
      <c r="F4114" s="5"/>
      <c r="G4114" s="5"/>
      <c r="H4114" s="5"/>
      <c r="I4114" s="5"/>
      <c r="J4114" s="5"/>
      <c r="K4114" s="5"/>
      <c r="L4114" s="5"/>
      <c r="M4114" s="5"/>
      <c r="N4114" s="5"/>
      <c r="O4114" s="5"/>
    </row>
    <row r="4115" spans="2:15" x14ac:dyDescent="0.55000000000000004">
      <c r="B4115" s="5"/>
      <c r="C4115" s="5"/>
      <c r="D4115" s="5"/>
      <c r="E4115" s="5"/>
      <c r="F4115" s="5"/>
      <c r="G4115" s="5"/>
      <c r="H4115" s="5"/>
      <c r="I4115" s="5"/>
      <c r="J4115" s="5"/>
      <c r="K4115" s="5"/>
      <c r="L4115" s="5"/>
      <c r="M4115" s="5"/>
      <c r="N4115" s="5"/>
      <c r="O4115" s="5"/>
    </row>
    <row r="4116" spans="2:15" x14ac:dyDescent="0.55000000000000004">
      <c r="B4116" s="5"/>
      <c r="C4116" s="5"/>
      <c r="D4116" s="5"/>
      <c r="E4116" s="5"/>
      <c r="F4116" s="5"/>
      <c r="G4116" s="5"/>
      <c r="H4116" s="5"/>
      <c r="I4116" s="5"/>
      <c r="J4116" s="5"/>
      <c r="K4116" s="5"/>
      <c r="L4116" s="5"/>
      <c r="M4116" s="5"/>
      <c r="N4116" s="5"/>
      <c r="O4116" s="5"/>
    </row>
    <row r="4117" spans="2:15" x14ac:dyDescent="0.55000000000000004">
      <c r="B4117" s="5"/>
      <c r="C4117" s="5"/>
      <c r="D4117" s="5"/>
      <c r="E4117" s="5"/>
      <c r="F4117" s="5"/>
      <c r="G4117" s="5"/>
      <c r="H4117" s="5"/>
      <c r="I4117" s="5"/>
      <c r="J4117" s="5"/>
      <c r="K4117" s="5"/>
      <c r="L4117" s="5"/>
      <c r="M4117" s="5"/>
      <c r="N4117" s="5"/>
      <c r="O4117" s="5"/>
    </row>
    <row r="4118" spans="2:15" x14ac:dyDescent="0.55000000000000004">
      <c r="B4118" s="5"/>
      <c r="C4118" s="5"/>
      <c r="D4118" s="5"/>
      <c r="E4118" s="5"/>
      <c r="F4118" s="5"/>
      <c r="G4118" s="5"/>
      <c r="H4118" s="5"/>
      <c r="I4118" s="5"/>
      <c r="J4118" s="5"/>
      <c r="K4118" s="5"/>
      <c r="L4118" s="5"/>
      <c r="M4118" s="5"/>
      <c r="N4118" s="5"/>
      <c r="O4118" s="5"/>
    </row>
    <row r="4119" spans="2:15" x14ac:dyDescent="0.55000000000000004">
      <c r="B4119" s="5"/>
      <c r="C4119" s="5"/>
      <c r="D4119" s="5"/>
      <c r="E4119" s="5"/>
      <c r="F4119" s="5"/>
      <c r="G4119" s="5"/>
      <c r="H4119" s="5"/>
      <c r="I4119" s="5"/>
      <c r="J4119" s="5"/>
      <c r="K4119" s="5"/>
      <c r="L4119" s="5"/>
      <c r="M4119" s="5"/>
      <c r="N4119" s="5"/>
      <c r="O4119" s="5"/>
    </row>
    <row r="4120" spans="2:15" x14ac:dyDescent="0.55000000000000004">
      <c r="B4120" s="5"/>
      <c r="C4120" s="5"/>
      <c r="D4120" s="5"/>
      <c r="E4120" s="5"/>
      <c r="F4120" s="5"/>
      <c r="G4120" s="5"/>
      <c r="H4120" s="5"/>
      <c r="I4120" s="5"/>
      <c r="J4120" s="5"/>
      <c r="K4120" s="5"/>
      <c r="L4120" s="5"/>
      <c r="M4120" s="5"/>
      <c r="N4120" s="5"/>
      <c r="O4120" s="5"/>
    </row>
    <row r="4121" spans="2:15" x14ac:dyDescent="0.55000000000000004">
      <c r="B4121" s="5"/>
      <c r="C4121" s="5"/>
      <c r="D4121" s="5"/>
      <c r="E4121" s="5"/>
      <c r="F4121" s="5"/>
      <c r="G4121" s="5"/>
      <c r="H4121" s="5"/>
      <c r="I4121" s="5"/>
      <c r="J4121" s="5"/>
      <c r="K4121" s="5"/>
      <c r="L4121" s="5"/>
      <c r="M4121" s="5"/>
      <c r="N4121" s="5"/>
      <c r="O4121" s="5"/>
    </row>
    <row r="4122" spans="2:15" x14ac:dyDescent="0.55000000000000004">
      <c r="B4122" s="5"/>
      <c r="C4122" s="5"/>
      <c r="D4122" s="5"/>
      <c r="E4122" s="5"/>
      <c r="F4122" s="5"/>
      <c r="G4122" s="5"/>
      <c r="H4122" s="5"/>
      <c r="I4122" s="5"/>
      <c r="J4122" s="5"/>
      <c r="K4122" s="5"/>
      <c r="L4122" s="5"/>
      <c r="M4122" s="5"/>
      <c r="N4122" s="5"/>
      <c r="O4122" s="5"/>
    </row>
    <row r="4123" spans="2:15" x14ac:dyDescent="0.55000000000000004">
      <c r="B4123" s="5"/>
      <c r="C4123" s="5"/>
      <c r="D4123" s="5"/>
      <c r="E4123" s="5"/>
      <c r="F4123" s="5"/>
      <c r="G4123" s="5"/>
      <c r="H4123" s="5"/>
      <c r="I4123" s="5"/>
      <c r="J4123" s="5"/>
      <c r="K4123" s="5"/>
      <c r="L4123" s="5"/>
      <c r="M4123" s="5"/>
      <c r="N4123" s="5"/>
      <c r="O4123" s="5"/>
    </row>
    <row r="4124" spans="2:15" x14ac:dyDescent="0.55000000000000004">
      <c r="B4124" s="5"/>
      <c r="C4124" s="5"/>
      <c r="D4124" s="5"/>
      <c r="E4124" s="5"/>
      <c r="F4124" s="5"/>
      <c r="G4124" s="5"/>
      <c r="H4124" s="5"/>
      <c r="I4124" s="5"/>
      <c r="J4124" s="5"/>
      <c r="K4124" s="5"/>
      <c r="L4124" s="5"/>
      <c r="M4124" s="5"/>
      <c r="N4124" s="5"/>
      <c r="O4124" s="5"/>
    </row>
    <row r="4125" spans="2:15" x14ac:dyDescent="0.55000000000000004">
      <c r="B4125" s="5"/>
      <c r="C4125" s="5"/>
      <c r="D4125" s="5"/>
      <c r="E4125" s="5"/>
      <c r="F4125" s="5"/>
      <c r="G4125" s="5"/>
      <c r="H4125" s="5"/>
      <c r="I4125" s="5"/>
      <c r="J4125" s="5"/>
      <c r="K4125" s="5"/>
      <c r="L4125" s="5"/>
      <c r="M4125" s="5"/>
      <c r="N4125" s="5"/>
      <c r="O4125" s="5"/>
    </row>
    <row r="4126" spans="2:15" x14ac:dyDescent="0.55000000000000004">
      <c r="B4126" s="5"/>
      <c r="C4126" s="5"/>
      <c r="D4126" s="5"/>
      <c r="E4126" s="5"/>
      <c r="F4126" s="5"/>
      <c r="G4126" s="5"/>
      <c r="H4126" s="5"/>
      <c r="I4126" s="5"/>
      <c r="J4126" s="5"/>
      <c r="K4126" s="5"/>
      <c r="L4126" s="5"/>
      <c r="M4126" s="5"/>
      <c r="N4126" s="5"/>
      <c r="O4126" s="5"/>
    </row>
    <row r="4127" spans="2:15" x14ac:dyDescent="0.55000000000000004">
      <c r="B4127" s="5"/>
      <c r="C4127" s="5"/>
      <c r="D4127" s="5"/>
      <c r="E4127" s="5"/>
      <c r="F4127" s="5"/>
      <c r="G4127" s="5"/>
      <c r="H4127" s="5"/>
      <c r="I4127" s="5"/>
      <c r="J4127" s="5"/>
      <c r="K4127" s="5"/>
      <c r="L4127" s="5"/>
      <c r="M4127" s="5"/>
      <c r="N4127" s="5"/>
      <c r="O4127" s="5"/>
    </row>
    <row r="4128" spans="2:15" x14ac:dyDescent="0.55000000000000004">
      <c r="B4128" s="5"/>
      <c r="C4128" s="5"/>
      <c r="D4128" s="5"/>
      <c r="E4128" s="5"/>
      <c r="F4128" s="5"/>
      <c r="G4128" s="5"/>
      <c r="H4128" s="5"/>
      <c r="I4128" s="5"/>
      <c r="J4128" s="5"/>
      <c r="K4128" s="5"/>
      <c r="L4128" s="5"/>
      <c r="M4128" s="5"/>
      <c r="N4128" s="5"/>
      <c r="O4128" s="5"/>
    </row>
    <row r="4129" spans="2:15" x14ac:dyDescent="0.55000000000000004">
      <c r="B4129" s="5"/>
      <c r="C4129" s="5"/>
      <c r="D4129" s="5"/>
      <c r="E4129" s="5"/>
      <c r="F4129" s="5"/>
      <c r="G4129" s="5"/>
      <c r="H4129" s="5"/>
      <c r="I4129" s="5"/>
      <c r="J4129" s="5"/>
      <c r="K4129" s="5"/>
      <c r="L4129" s="5"/>
      <c r="M4129" s="5"/>
      <c r="N4129" s="5"/>
      <c r="O4129" s="5"/>
    </row>
    <row r="4130" spans="2:15" x14ac:dyDescent="0.55000000000000004">
      <c r="B4130" s="5"/>
      <c r="C4130" s="5"/>
      <c r="D4130" s="5"/>
      <c r="E4130" s="5"/>
      <c r="F4130" s="5"/>
      <c r="G4130" s="5"/>
      <c r="H4130" s="5"/>
      <c r="I4130" s="5"/>
      <c r="J4130" s="5"/>
      <c r="K4130" s="5"/>
      <c r="L4130" s="5"/>
      <c r="M4130" s="5"/>
      <c r="N4130" s="5"/>
      <c r="O4130" s="5"/>
    </row>
    <row r="4131" spans="2:15" x14ac:dyDescent="0.55000000000000004">
      <c r="B4131" s="5"/>
      <c r="C4131" s="5"/>
      <c r="D4131" s="5"/>
      <c r="E4131" s="5"/>
      <c r="F4131" s="5"/>
      <c r="G4131" s="5"/>
      <c r="H4131" s="5"/>
      <c r="I4131" s="5"/>
      <c r="J4131" s="5"/>
      <c r="K4131" s="5"/>
      <c r="L4131" s="5"/>
      <c r="M4131" s="5"/>
      <c r="N4131" s="5"/>
      <c r="O4131" s="5"/>
    </row>
    <row r="4132" spans="2:15" x14ac:dyDescent="0.55000000000000004">
      <c r="B4132" s="5"/>
      <c r="C4132" s="5"/>
      <c r="D4132" s="5"/>
      <c r="E4132" s="5"/>
      <c r="F4132" s="5"/>
      <c r="G4132" s="5"/>
      <c r="H4132" s="5"/>
      <c r="I4132" s="5"/>
      <c r="J4132" s="5"/>
      <c r="K4132" s="5"/>
      <c r="L4132" s="5"/>
      <c r="M4132" s="5"/>
      <c r="N4132" s="5"/>
      <c r="O4132" s="5"/>
    </row>
    <row r="4133" spans="2:15" x14ac:dyDescent="0.55000000000000004">
      <c r="B4133" s="5"/>
      <c r="C4133" s="5"/>
      <c r="D4133" s="5"/>
      <c r="E4133" s="5"/>
      <c r="F4133" s="5"/>
      <c r="G4133" s="5"/>
      <c r="H4133" s="5"/>
      <c r="I4133" s="5"/>
      <c r="J4133" s="5"/>
      <c r="K4133" s="5"/>
      <c r="L4133" s="5"/>
      <c r="M4133" s="5"/>
      <c r="N4133" s="5"/>
      <c r="O4133" s="5"/>
    </row>
    <row r="4134" spans="2:15" x14ac:dyDescent="0.55000000000000004">
      <c r="B4134" s="5"/>
      <c r="C4134" s="5"/>
      <c r="D4134" s="5"/>
      <c r="E4134" s="5"/>
      <c r="F4134" s="5"/>
      <c r="G4134" s="5"/>
      <c r="H4134" s="5"/>
      <c r="I4134" s="5"/>
      <c r="J4134" s="5"/>
      <c r="K4134" s="5"/>
      <c r="L4134" s="5"/>
      <c r="M4134" s="5"/>
      <c r="N4134" s="5"/>
      <c r="O4134" s="5"/>
    </row>
    <row r="4135" spans="2:15" x14ac:dyDescent="0.55000000000000004">
      <c r="B4135" s="5"/>
      <c r="C4135" s="5"/>
      <c r="D4135" s="5"/>
      <c r="E4135" s="5"/>
      <c r="F4135" s="5"/>
      <c r="G4135" s="5"/>
      <c r="H4135" s="5"/>
      <c r="I4135" s="5"/>
      <c r="J4135" s="5"/>
      <c r="K4135" s="5"/>
      <c r="L4135" s="5"/>
      <c r="M4135" s="5"/>
      <c r="N4135" s="5"/>
      <c r="O4135" s="5"/>
    </row>
    <row r="4136" spans="2:15" x14ac:dyDescent="0.55000000000000004">
      <c r="B4136" s="5"/>
      <c r="C4136" s="5"/>
      <c r="D4136" s="5"/>
      <c r="E4136" s="5"/>
      <c r="F4136" s="5"/>
      <c r="G4136" s="5"/>
      <c r="H4136" s="5"/>
      <c r="I4136" s="5"/>
      <c r="J4136" s="5"/>
      <c r="K4136" s="5"/>
      <c r="L4136" s="5"/>
      <c r="M4136" s="5"/>
      <c r="N4136" s="5"/>
      <c r="O4136" s="5"/>
    </row>
    <row r="4137" spans="2:15" x14ac:dyDescent="0.55000000000000004">
      <c r="B4137" s="5"/>
      <c r="C4137" s="5"/>
      <c r="D4137" s="5"/>
      <c r="E4137" s="5"/>
      <c r="F4137" s="5"/>
      <c r="G4137" s="5"/>
      <c r="H4137" s="5"/>
      <c r="I4137" s="5"/>
      <c r="J4137" s="5"/>
      <c r="K4137" s="5"/>
      <c r="L4137" s="5"/>
      <c r="M4137" s="5"/>
      <c r="N4137" s="5"/>
      <c r="O4137" s="5"/>
    </row>
    <row r="4138" spans="2:15" x14ac:dyDescent="0.55000000000000004">
      <c r="B4138" s="5"/>
      <c r="C4138" s="5"/>
      <c r="D4138" s="5"/>
      <c r="E4138" s="5"/>
      <c r="F4138" s="5"/>
      <c r="G4138" s="5"/>
      <c r="H4138" s="5"/>
      <c r="I4138" s="5"/>
      <c r="J4138" s="5"/>
      <c r="K4138" s="5"/>
      <c r="L4138" s="5"/>
      <c r="M4138" s="5"/>
      <c r="N4138" s="5"/>
      <c r="O4138" s="5"/>
    </row>
    <row r="4139" spans="2:15" x14ac:dyDescent="0.55000000000000004">
      <c r="B4139" s="5"/>
      <c r="C4139" s="5"/>
      <c r="D4139" s="5"/>
      <c r="E4139" s="5"/>
      <c r="F4139" s="5"/>
      <c r="G4139" s="5"/>
      <c r="H4139" s="5"/>
      <c r="I4139" s="5"/>
      <c r="J4139" s="5"/>
      <c r="K4139" s="5"/>
      <c r="L4139" s="5"/>
      <c r="M4139" s="5"/>
      <c r="N4139" s="5"/>
      <c r="O4139" s="5"/>
    </row>
    <row r="4140" spans="2:15" x14ac:dyDescent="0.55000000000000004">
      <c r="B4140" s="5"/>
      <c r="C4140" s="5"/>
      <c r="D4140" s="5"/>
      <c r="E4140" s="5"/>
      <c r="F4140" s="5"/>
      <c r="G4140" s="5"/>
      <c r="H4140" s="5"/>
      <c r="I4140" s="5"/>
      <c r="J4140" s="5"/>
      <c r="K4140" s="5"/>
      <c r="L4140" s="5"/>
      <c r="M4140" s="5"/>
      <c r="N4140" s="5"/>
      <c r="O4140" s="5"/>
    </row>
    <row r="4141" spans="2:15" x14ac:dyDescent="0.55000000000000004">
      <c r="B4141" s="5"/>
      <c r="C4141" s="5"/>
      <c r="D4141" s="5"/>
      <c r="E4141" s="5"/>
      <c r="F4141" s="5"/>
      <c r="G4141" s="5"/>
      <c r="H4141" s="5"/>
      <c r="I4141" s="5"/>
      <c r="J4141" s="5"/>
      <c r="K4141" s="5"/>
      <c r="L4141" s="5"/>
      <c r="M4141" s="5"/>
      <c r="N4141" s="5"/>
      <c r="O4141" s="5"/>
    </row>
    <row r="4142" spans="2:15" x14ac:dyDescent="0.55000000000000004">
      <c r="B4142" s="5"/>
      <c r="C4142" s="5"/>
      <c r="D4142" s="5"/>
      <c r="E4142" s="5"/>
      <c r="F4142" s="5"/>
      <c r="G4142" s="5"/>
      <c r="H4142" s="5"/>
      <c r="I4142" s="5"/>
      <c r="J4142" s="5"/>
      <c r="K4142" s="5"/>
      <c r="L4142" s="5"/>
      <c r="M4142" s="5"/>
      <c r="N4142" s="5"/>
      <c r="O4142" s="5"/>
    </row>
    <row r="4143" spans="2:15" x14ac:dyDescent="0.55000000000000004">
      <c r="B4143" s="5"/>
      <c r="C4143" s="5"/>
      <c r="D4143" s="5"/>
      <c r="E4143" s="5"/>
      <c r="F4143" s="5"/>
      <c r="G4143" s="5"/>
      <c r="H4143" s="5"/>
      <c r="I4143" s="5"/>
      <c r="J4143" s="5"/>
      <c r="K4143" s="5"/>
      <c r="L4143" s="5"/>
      <c r="M4143" s="5"/>
      <c r="N4143" s="5"/>
      <c r="O4143" s="5"/>
    </row>
    <row r="4144" spans="2:15" x14ac:dyDescent="0.55000000000000004">
      <c r="B4144" s="5"/>
      <c r="C4144" s="5"/>
      <c r="D4144" s="5"/>
      <c r="E4144" s="5"/>
      <c r="F4144" s="5"/>
      <c r="G4144" s="5"/>
      <c r="H4144" s="5"/>
      <c r="I4144" s="5"/>
      <c r="J4144" s="5"/>
      <c r="K4144" s="5"/>
      <c r="L4144" s="5"/>
      <c r="M4144" s="5"/>
      <c r="N4144" s="5"/>
      <c r="O4144" s="5"/>
    </row>
    <row r="4145" spans="2:15" x14ac:dyDescent="0.55000000000000004">
      <c r="B4145" s="5"/>
      <c r="C4145" s="5"/>
      <c r="D4145" s="5"/>
      <c r="E4145" s="5"/>
      <c r="F4145" s="5"/>
      <c r="G4145" s="5"/>
      <c r="H4145" s="5"/>
      <c r="I4145" s="5"/>
      <c r="J4145" s="5"/>
      <c r="K4145" s="5"/>
      <c r="L4145" s="5"/>
      <c r="M4145" s="5"/>
      <c r="N4145" s="5"/>
      <c r="O4145" s="5"/>
    </row>
    <row r="4146" spans="2:15" x14ac:dyDescent="0.55000000000000004">
      <c r="B4146" s="5"/>
      <c r="C4146" s="5"/>
      <c r="D4146" s="5"/>
      <c r="E4146" s="5"/>
      <c r="F4146" s="5"/>
      <c r="G4146" s="5"/>
      <c r="H4146" s="5"/>
      <c r="I4146" s="5"/>
      <c r="J4146" s="5"/>
      <c r="K4146" s="5"/>
      <c r="L4146" s="5"/>
      <c r="M4146" s="5"/>
      <c r="N4146" s="5"/>
      <c r="O4146" s="5"/>
    </row>
    <row r="4147" spans="2:15" x14ac:dyDescent="0.55000000000000004">
      <c r="B4147" s="5"/>
      <c r="C4147" s="5"/>
      <c r="D4147" s="5"/>
      <c r="E4147" s="5"/>
      <c r="F4147" s="5"/>
      <c r="G4147" s="5"/>
      <c r="H4147" s="5"/>
      <c r="I4147" s="5"/>
      <c r="J4147" s="5"/>
      <c r="K4147" s="5"/>
      <c r="L4147" s="5"/>
      <c r="M4147" s="5"/>
      <c r="N4147" s="5"/>
      <c r="O4147" s="5"/>
    </row>
    <row r="4148" spans="2:15" x14ac:dyDescent="0.55000000000000004">
      <c r="B4148" s="5"/>
      <c r="C4148" s="5"/>
      <c r="D4148" s="5"/>
      <c r="E4148" s="5"/>
      <c r="F4148" s="5"/>
      <c r="G4148" s="5"/>
      <c r="H4148" s="5"/>
      <c r="I4148" s="5"/>
      <c r="J4148" s="5"/>
      <c r="K4148" s="5"/>
      <c r="L4148" s="5"/>
      <c r="M4148" s="5"/>
      <c r="N4148" s="5"/>
      <c r="O4148" s="5"/>
    </row>
    <row r="4149" spans="2:15" x14ac:dyDescent="0.55000000000000004">
      <c r="B4149" s="5"/>
      <c r="C4149" s="5"/>
      <c r="D4149" s="5"/>
      <c r="E4149" s="5"/>
      <c r="F4149" s="5"/>
      <c r="G4149" s="5"/>
      <c r="H4149" s="5"/>
      <c r="I4149" s="5"/>
      <c r="J4149" s="5"/>
      <c r="K4149" s="5"/>
      <c r="L4149" s="5"/>
      <c r="M4149" s="5"/>
      <c r="N4149" s="5"/>
      <c r="O4149" s="5"/>
    </row>
    <row r="4150" spans="2:15" x14ac:dyDescent="0.55000000000000004">
      <c r="B4150" s="5"/>
      <c r="C4150" s="5"/>
      <c r="D4150" s="5"/>
      <c r="E4150" s="5"/>
      <c r="F4150" s="5"/>
      <c r="G4150" s="5"/>
      <c r="H4150" s="5"/>
      <c r="I4150" s="5"/>
      <c r="J4150" s="5"/>
      <c r="K4150" s="5"/>
      <c r="L4150" s="5"/>
      <c r="M4150" s="5"/>
      <c r="N4150" s="5"/>
      <c r="O4150" s="5"/>
    </row>
    <row r="4151" spans="2:15" x14ac:dyDescent="0.55000000000000004">
      <c r="B4151" s="5"/>
      <c r="C4151" s="5"/>
      <c r="D4151" s="5"/>
      <c r="E4151" s="5"/>
      <c r="F4151" s="5"/>
      <c r="G4151" s="5"/>
      <c r="H4151" s="5"/>
      <c r="I4151" s="5"/>
      <c r="J4151" s="5"/>
      <c r="K4151" s="5"/>
      <c r="L4151" s="5"/>
      <c r="M4151" s="5"/>
      <c r="N4151" s="5"/>
      <c r="O4151" s="5"/>
    </row>
    <row r="4152" spans="2:15" x14ac:dyDescent="0.55000000000000004">
      <c r="B4152" s="5"/>
      <c r="C4152" s="5"/>
      <c r="D4152" s="5"/>
      <c r="E4152" s="5"/>
      <c r="F4152" s="5"/>
      <c r="G4152" s="5"/>
      <c r="H4152" s="5"/>
      <c r="I4152" s="5"/>
      <c r="J4152" s="5"/>
      <c r="K4152" s="5"/>
      <c r="L4152" s="5"/>
      <c r="M4152" s="5"/>
      <c r="N4152" s="5"/>
      <c r="O4152" s="5"/>
    </row>
    <row r="4153" spans="2:15" x14ac:dyDescent="0.55000000000000004">
      <c r="B4153" s="5"/>
      <c r="C4153" s="5"/>
      <c r="D4153" s="5"/>
      <c r="E4153" s="5"/>
      <c r="F4153" s="5"/>
      <c r="G4153" s="5"/>
      <c r="H4153" s="5"/>
      <c r="I4153" s="5"/>
      <c r="J4153" s="5"/>
      <c r="K4153" s="5"/>
      <c r="L4153" s="5"/>
      <c r="M4153" s="5"/>
      <c r="N4153" s="5"/>
      <c r="O4153" s="5"/>
    </row>
    <row r="4154" spans="2:15" x14ac:dyDescent="0.55000000000000004">
      <c r="B4154" s="5"/>
      <c r="C4154" s="5"/>
      <c r="D4154" s="5"/>
      <c r="E4154" s="5"/>
      <c r="F4154" s="5"/>
      <c r="G4154" s="5"/>
      <c r="H4154" s="5"/>
      <c r="I4154" s="5"/>
      <c r="J4154" s="5"/>
      <c r="K4154" s="5"/>
      <c r="L4154" s="5"/>
      <c r="M4154" s="5"/>
      <c r="N4154" s="5"/>
      <c r="O4154" s="5"/>
    </row>
    <row r="4155" spans="2:15" x14ac:dyDescent="0.55000000000000004">
      <c r="B4155" s="5"/>
      <c r="C4155" s="5"/>
      <c r="D4155" s="5"/>
      <c r="E4155" s="5"/>
      <c r="F4155" s="5"/>
      <c r="G4155" s="5"/>
      <c r="H4155" s="5"/>
      <c r="I4155" s="5"/>
      <c r="J4155" s="5"/>
      <c r="K4155" s="5"/>
      <c r="L4155" s="5"/>
      <c r="M4155" s="5"/>
      <c r="N4155" s="5"/>
      <c r="O4155" s="5"/>
    </row>
    <row r="4156" spans="2:15" x14ac:dyDescent="0.55000000000000004">
      <c r="B4156" s="5"/>
      <c r="C4156" s="5"/>
      <c r="D4156" s="5"/>
      <c r="E4156" s="5"/>
      <c r="F4156" s="5"/>
      <c r="G4156" s="5"/>
      <c r="H4156" s="5"/>
      <c r="I4156" s="5"/>
      <c r="J4156" s="5"/>
      <c r="K4156" s="5"/>
      <c r="L4156" s="5"/>
      <c r="M4156" s="5"/>
      <c r="N4156" s="5"/>
      <c r="O4156" s="5"/>
    </row>
    <row r="4157" spans="2:15" x14ac:dyDescent="0.55000000000000004">
      <c r="B4157" s="5"/>
      <c r="C4157" s="5"/>
      <c r="D4157" s="5"/>
      <c r="E4157" s="5"/>
      <c r="F4157" s="5"/>
      <c r="G4157" s="5"/>
      <c r="H4157" s="5"/>
      <c r="I4157" s="5"/>
      <c r="J4157" s="5"/>
      <c r="K4157" s="5"/>
      <c r="L4157" s="5"/>
      <c r="M4157" s="5"/>
      <c r="N4157" s="5"/>
      <c r="O4157" s="5"/>
    </row>
    <row r="4158" spans="2:15" x14ac:dyDescent="0.55000000000000004">
      <c r="B4158" s="5"/>
      <c r="C4158" s="5"/>
      <c r="D4158" s="5"/>
      <c r="E4158" s="5"/>
      <c r="F4158" s="5"/>
      <c r="G4158" s="5"/>
      <c r="H4158" s="5"/>
      <c r="I4158" s="5"/>
      <c r="J4158" s="5"/>
      <c r="K4158" s="5"/>
      <c r="L4158" s="5"/>
      <c r="M4158" s="5"/>
      <c r="N4158" s="5"/>
      <c r="O4158" s="5"/>
    </row>
    <row r="4159" spans="2:15" x14ac:dyDescent="0.55000000000000004">
      <c r="B4159" s="5"/>
      <c r="C4159" s="5"/>
      <c r="D4159" s="5"/>
      <c r="E4159" s="5"/>
      <c r="F4159" s="5"/>
      <c r="G4159" s="5"/>
      <c r="H4159" s="5"/>
      <c r="I4159" s="5"/>
      <c r="J4159" s="5"/>
      <c r="K4159" s="5"/>
      <c r="L4159" s="5"/>
      <c r="M4159" s="5"/>
      <c r="N4159" s="5"/>
      <c r="O4159" s="5"/>
    </row>
    <row r="4160" spans="2:15" x14ac:dyDescent="0.55000000000000004">
      <c r="B4160" s="5"/>
      <c r="C4160" s="5"/>
      <c r="D4160" s="5"/>
      <c r="E4160" s="5"/>
      <c r="F4160" s="5"/>
      <c r="G4160" s="5"/>
      <c r="H4160" s="5"/>
      <c r="I4160" s="5"/>
      <c r="J4160" s="5"/>
      <c r="K4160" s="5"/>
      <c r="L4160" s="5"/>
      <c r="M4160" s="5"/>
      <c r="N4160" s="5"/>
      <c r="O4160" s="5"/>
    </row>
    <row r="4161" spans="2:15" x14ac:dyDescent="0.55000000000000004">
      <c r="B4161" s="5"/>
      <c r="C4161" s="5"/>
      <c r="D4161" s="5"/>
      <c r="E4161" s="5"/>
      <c r="F4161" s="5"/>
      <c r="G4161" s="5"/>
      <c r="H4161" s="5"/>
      <c r="I4161" s="5"/>
      <c r="J4161" s="5"/>
      <c r="K4161" s="5"/>
      <c r="L4161" s="5"/>
      <c r="M4161" s="5"/>
      <c r="N4161" s="5"/>
      <c r="O4161" s="5"/>
    </row>
    <row r="4162" spans="2:15" x14ac:dyDescent="0.55000000000000004">
      <c r="B4162" s="5"/>
      <c r="C4162" s="5"/>
      <c r="D4162" s="5"/>
      <c r="E4162" s="5"/>
      <c r="F4162" s="5"/>
      <c r="G4162" s="5"/>
      <c r="H4162" s="5"/>
      <c r="I4162" s="5"/>
      <c r="J4162" s="5"/>
      <c r="K4162" s="5"/>
      <c r="L4162" s="5"/>
      <c r="M4162" s="5"/>
      <c r="N4162" s="5"/>
      <c r="O4162" s="5"/>
    </row>
    <row r="4163" spans="2:15" x14ac:dyDescent="0.55000000000000004">
      <c r="B4163" s="5"/>
      <c r="C4163" s="5"/>
      <c r="D4163" s="5"/>
      <c r="E4163" s="5"/>
      <c r="F4163" s="5"/>
      <c r="G4163" s="5"/>
      <c r="H4163" s="5"/>
      <c r="I4163" s="5"/>
      <c r="J4163" s="5"/>
      <c r="K4163" s="5"/>
      <c r="L4163" s="5"/>
      <c r="M4163" s="5"/>
      <c r="N4163" s="5"/>
      <c r="O4163" s="5"/>
    </row>
    <row r="4164" spans="2:15" x14ac:dyDescent="0.55000000000000004">
      <c r="B4164" s="5"/>
      <c r="C4164" s="5"/>
      <c r="D4164" s="5"/>
      <c r="E4164" s="5"/>
      <c r="F4164" s="5"/>
      <c r="G4164" s="5"/>
      <c r="H4164" s="5"/>
      <c r="I4164" s="5"/>
      <c r="J4164" s="5"/>
      <c r="K4164" s="5"/>
      <c r="L4164" s="5"/>
      <c r="M4164" s="5"/>
      <c r="N4164" s="5"/>
      <c r="O4164" s="5"/>
    </row>
    <row r="4165" spans="2:15" x14ac:dyDescent="0.55000000000000004">
      <c r="B4165" s="5"/>
      <c r="C4165" s="5"/>
      <c r="D4165" s="5"/>
      <c r="E4165" s="5"/>
      <c r="F4165" s="5"/>
      <c r="G4165" s="5"/>
      <c r="H4165" s="5"/>
      <c r="I4165" s="5"/>
      <c r="J4165" s="5"/>
      <c r="K4165" s="5"/>
      <c r="L4165" s="5"/>
      <c r="M4165" s="5"/>
      <c r="N4165" s="5"/>
      <c r="O4165" s="5"/>
    </row>
    <row r="4166" spans="2:15" x14ac:dyDescent="0.55000000000000004">
      <c r="B4166" s="5"/>
      <c r="C4166" s="5"/>
      <c r="D4166" s="5"/>
      <c r="E4166" s="5"/>
      <c r="F4166" s="5"/>
      <c r="G4166" s="5"/>
      <c r="H4166" s="5"/>
      <c r="I4166" s="5"/>
      <c r="J4166" s="5"/>
      <c r="K4166" s="5"/>
      <c r="L4166" s="5"/>
      <c r="M4166" s="5"/>
      <c r="N4166" s="5"/>
      <c r="O4166" s="5"/>
    </row>
    <row r="4167" spans="2:15" x14ac:dyDescent="0.55000000000000004">
      <c r="B4167" s="5"/>
      <c r="C4167" s="5"/>
      <c r="D4167" s="5"/>
      <c r="E4167" s="5"/>
      <c r="F4167" s="5"/>
      <c r="G4167" s="5"/>
      <c r="H4167" s="5"/>
      <c r="I4167" s="5"/>
      <c r="J4167" s="5"/>
      <c r="K4167" s="5"/>
      <c r="L4167" s="5"/>
      <c r="M4167" s="5"/>
      <c r="N4167" s="5"/>
      <c r="O4167" s="5"/>
    </row>
    <row r="4168" spans="2:15" x14ac:dyDescent="0.55000000000000004">
      <c r="B4168" s="5"/>
      <c r="C4168" s="5"/>
      <c r="D4168" s="5"/>
      <c r="E4168" s="5"/>
      <c r="F4168" s="5"/>
      <c r="G4168" s="5"/>
      <c r="H4168" s="5"/>
      <c r="I4168" s="5"/>
      <c r="J4168" s="5"/>
      <c r="K4168" s="5"/>
      <c r="L4168" s="5"/>
      <c r="M4168" s="5"/>
      <c r="N4168" s="5"/>
      <c r="O4168" s="5"/>
    </row>
    <row r="4169" spans="2:15" x14ac:dyDescent="0.55000000000000004">
      <c r="B4169" s="5"/>
      <c r="C4169" s="5"/>
      <c r="D4169" s="5"/>
      <c r="E4169" s="5"/>
      <c r="F4169" s="5"/>
      <c r="G4169" s="5"/>
      <c r="H4169" s="5"/>
      <c r="I4169" s="5"/>
      <c r="J4169" s="5"/>
      <c r="K4169" s="5"/>
      <c r="L4169" s="5"/>
      <c r="M4169" s="5"/>
      <c r="N4169" s="5"/>
      <c r="O4169" s="5"/>
    </row>
    <row r="4170" spans="2:15" x14ac:dyDescent="0.55000000000000004">
      <c r="B4170" s="5"/>
      <c r="C4170" s="5"/>
      <c r="D4170" s="5"/>
      <c r="E4170" s="5"/>
      <c r="F4170" s="5"/>
      <c r="G4170" s="5"/>
      <c r="H4170" s="5"/>
      <c r="I4170" s="5"/>
      <c r="J4170" s="5"/>
      <c r="K4170" s="5"/>
      <c r="L4170" s="5"/>
      <c r="M4170" s="5"/>
      <c r="N4170" s="5"/>
      <c r="O4170" s="5"/>
    </row>
    <row r="4171" spans="2:15" x14ac:dyDescent="0.55000000000000004">
      <c r="B4171" s="5"/>
      <c r="C4171" s="5"/>
      <c r="D4171" s="5"/>
      <c r="E4171" s="5"/>
      <c r="F4171" s="5"/>
      <c r="G4171" s="5"/>
      <c r="H4171" s="5"/>
      <c r="I4171" s="5"/>
      <c r="J4171" s="5"/>
      <c r="K4171" s="5"/>
      <c r="L4171" s="5"/>
      <c r="M4171" s="5"/>
      <c r="N4171" s="5"/>
      <c r="O4171" s="5"/>
    </row>
    <row r="4172" spans="2:15" x14ac:dyDescent="0.55000000000000004">
      <c r="B4172" s="5"/>
      <c r="C4172" s="5"/>
      <c r="D4172" s="5"/>
      <c r="E4172" s="5"/>
      <c r="F4172" s="5"/>
      <c r="G4172" s="5"/>
      <c r="H4172" s="5"/>
      <c r="I4172" s="5"/>
      <c r="J4172" s="5"/>
      <c r="K4172" s="5"/>
      <c r="L4172" s="5"/>
      <c r="M4172" s="5"/>
      <c r="N4172" s="5"/>
      <c r="O4172" s="5"/>
    </row>
    <row r="4173" spans="2:15" x14ac:dyDescent="0.55000000000000004">
      <c r="B4173" s="5"/>
      <c r="C4173" s="5"/>
      <c r="D4173" s="5"/>
      <c r="E4173" s="5"/>
      <c r="F4173" s="5"/>
      <c r="G4173" s="5"/>
      <c r="H4173" s="5"/>
      <c r="I4173" s="5"/>
      <c r="J4173" s="5"/>
      <c r="K4173" s="5"/>
      <c r="L4173" s="5"/>
      <c r="M4173" s="5"/>
      <c r="N4173" s="5"/>
      <c r="O4173" s="5"/>
    </row>
    <row r="4174" spans="2:15" x14ac:dyDescent="0.55000000000000004">
      <c r="B4174" s="5"/>
      <c r="C4174" s="5"/>
      <c r="D4174" s="5"/>
      <c r="E4174" s="5"/>
      <c r="F4174" s="5"/>
      <c r="G4174" s="5"/>
      <c r="H4174" s="5"/>
      <c r="I4174" s="5"/>
      <c r="J4174" s="5"/>
      <c r="K4174" s="5"/>
      <c r="L4174" s="5"/>
      <c r="M4174" s="5"/>
      <c r="N4174" s="5"/>
      <c r="O4174" s="5"/>
    </row>
    <row r="4175" spans="2:15" x14ac:dyDescent="0.55000000000000004">
      <c r="B4175" s="5"/>
      <c r="C4175" s="5"/>
      <c r="D4175" s="5"/>
      <c r="E4175" s="5"/>
      <c r="F4175" s="5"/>
      <c r="G4175" s="5"/>
      <c r="H4175" s="5"/>
      <c r="I4175" s="5"/>
      <c r="J4175" s="5"/>
      <c r="K4175" s="5"/>
      <c r="L4175" s="5"/>
      <c r="M4175" s="5"/>
      <c r="N4175" s="5"/>
      <c r="O4175" s="5"/>
    </row>
    <row r="4176" spans="2:15" x14ac:dyDescent="0.55000000000000004">
      <c r="B4176" s="5"/>
      <c r="C4176" s="5"/>
      <c r="D4176" s="5"/>
      <c r="E4176" s="5"/>
      <c r="F4176" s="5"/>
      <c r="G4176" s="5"/>
      <c r="H4176" s="5"/>
      <c r="I4176" s="5"/>
      <c r="J4176" s="5"/>
      <c r="K4176" s="5"/>
      <c r="L4176" s="5"/>
      <c r="M4176" s="5"/>
      <c r="N4176" s="5"/>
      <c r="O4176" s="5"/>
    </row>
    <row r="4177" spans="2:15" x14ac:dyDescent="0.55000000000000004">
      <c r="B4177" s="5"/>
      <c r="C4177" s="5"/>
      <c r="D4177" s="5"/>
      <c r="E4177" s="5"/>
      <c r="F4177" s="5"/>
      <c r="G4177" s="5"/>
      <c r="H4177" s="5"/>
      <c r="I4177" s="5"/>
      <c r="J4177" s="5"/>
      <c r="K4177" s="5"/>
      <c r="L4177" s="5"/>
      <c r="M4177" s="5"/>
      <c r="N4177" s="5"/>
      <c r="O4177" s="5"/>
    </row>
    <row r="4178" spans="2:15" x14ac:dyDescent="0.55000000000000004">
      <c r="B4178" s="5"/>
      <c r="C4178" s="5"/>
      <c r="D4178" s="5"/>
      <c r="E4178" s="5"/>
      <c r="F4178" s="5"/>
      <c r="G4178" s="5"/>
      <c r="H4178" s="5"/>
      <c r="I4178" s="5"/>
      <c r="J4178" s="5"/>
      <c r="K4178" s="5"/>
      <c r="L4178" s="5"/>
      <c r="M4178" s="5"/>
      <c r="N4178" s="5"/>
      <c r="O4178" s="5"/>
    </row>
    <row r="4179" spans="2:15" x14ac:dyDescent="0.55000000000000004">
      <c r="B4179" s="5"/>
      <c r="C4179" s="5"/>
      <c r="D4179" s="5"/>
      <c r="E4179" s="5"/>
      <c r="F4179" s="5"/>
      <c r="G4179" s="5"/>
      <c r="H4179" s="5"/>
      <c r="I4179" s="5"/>
      <c r="J4179" s="5"/>
      <c r="K4179" s="5"/>
      <c r="L4179" s="5"/>
      <c r="M4179" s="5"/>
      <c r="N4179" s="5"/>
      <c r="O4179" s="5"/>
    </row>
    <row r="4180" spans="2:15" x14ac:dyDescent="0.55000000000000004">
      <c r="B4180" s="5"/>
      <c r="C4180" s="5"/>
      <c r="D4180" s="5"/>
      <c r="E4180" s="5"/>
      <c r="F4180" s="5"/>
      <c r="G4180" s="5"/>
      <c r="H4180" s="5"/>
      <c r="I4180" s="5"/>
      <c r="J4180" s="5"/>
      <c r="K4180" s="5"/>
      <c r="L4180" s="5"/>
      <c r="M4180" s="5"/>
      <c r="N4180" s="5"/>
      <c r="O4180" s="5"/>
    </row>
    <row r="4181" spans="2:15" x14ac:dyDescent="0.55000000000000004">
      <c r="B4181" s="5"/>
      <c r="C4181" s="5"/>
      <c r="D4181" s="5"/>
      <c r="E4181" s="5"/>
      <c r="F4181" s="5"/>
      <c r="G4181" s="5"/>
      <c r="H4181" s="5"/>
      <c r="I4181" s="5"/>
      <c r="J4181" s="5"/>
      <c r="K4181" s="5"/>
      <c r="L4181" s="5"/>
      <c r="M4181" s="5"/>
      <c r="N4181" s="5"/>
      <c r="O4181" s="5"/>
    </row>
    <row r="4182" spans="2:15" x14ac:dyDescent="0.55000000000000004">
      <c r="B4182" s="5"/>
      <c r="C4182" s="5"/>
      <c r="D4182" s="5"/>
      <c r="E4182" s="5"/>
      <c r="F4182" s="5"/>
      <c r="G4182" s="5"/>
      <c r="H4182" s="5"/>
      <c r="I4182" s="5"/>
      <c r="J4182" s="5"/>
      <c r="K4182" s="5"/>
      <c r="L4182" s="5"/>
      <c r="M4182" s="5"/>
      <c r="N4182" s="5"/>
      <c r="O4182" s="5"/>
    </row>
    <row r="4183" spans="2:15" x14ac:dyDescent="0.55000000000000004">
      <c r="B4183" s="5"/>
      <c r="C4183" s="5"/>
      <c r="D4183" s="5"/>
      <c r="E4183" s="5"/>
      <c r="F4183" s="5"/>
      <c r="G4183" s="5"/>
      <c r="H4183" s="5"/>
      <c r="I4183" s="5"/>
      <c r="J4183" s="5"/>
      <c r="K4183" s="5"/>
      <c r="L4183" s="5"/>
      <c r="M4183" s="5"/>
      <c r="N4183" s="5"/>
      <c r="O4183" s="5"/>
    </row>
    <row r="4184" spans="2:15" x14ac:dyDescent="0.55000000000000004">
      <c r="B4184" s="5"/>
      <c r="C4184" s="5"/>
      <c r="D4184" s="5"/>
      <c r="E4184" s="5"/>
      <c r="F4184" s="5"/>
      <c r="G4184" s="5"/>
      <c r="H4184" s="5"/>
      <c r="I4184" s="5"/>
      <c r="J4184" s="5"/>
      <c r="K4184" s="5"/>
      <c r="L4184" s="5"/>
      <c r="M4184" s="5"/>
      <c r="N4184" s="5"/>
      <c r="O4184" s="5"/>
    </row>
    <row r="4185" spans="2:15" x14ac:dyDescent="0.55000000000000004">
      <c r="B4185" s="5"/>
      <c r="C4185" s="5"/>
      <c r="D4185" s="5"/>
      <c r="E4185" s="5"/>
      <c r="F4185" s="5"/>
      <c r="G4185" s="5"/>
      <c r="H4185" s="5"/>
      <c r="I4185" s="5"/>
      <c r="J4185" s="5"/>
      <c r="K4185" s="5"/>
      <c r="L4185" s="5"/>
      <c r="M4185" s="5"/>
      <c r="N4185" s="5"/>
      <c r="O4185" s="5"/>
    </row>
    <row r="4186" spans="2:15" x14ac:dyDescent="0.55000000000000004">
      <c r="B4186" s="5"/>
      <c r="C4186" s="5"/>
      <c r="D4186" s="5"/>
      <c r="E4186" s="5"/>
      <c r="F4186" s="5"/>
      <c r="G4186" s="5"/>
      <c r="H4186" s="5"/>
      <c r="I4186" s="5"/>
      <c r="J4186" s="5"/>
      <c r="K4186" s="5"/>
      <c r="L4186" s="5"/>
      <c r="M4186" s="5"/>
      <c r="N4186" s="5"/>
      <c r="O4186" s="5"/>
    </row>
    <row r="4187" spans="2:15" x14ac:dyDescent="0.55000000000000004">
      <c r="B4187" s="5"/>
      <c r="C4187" s="5"/>
      <c r="D4187" s="5"/>
      <c r="E4187" s="5"/>
      <c r="F4187" s="5"/>
      <c r="G4187" s="5"/>
      <c r="H4187" s="5"/>
      <c r="I4187" s="5"/>
      <c r="J4187" s="5"/>
      <c r="K4187" s="5"/>
      <c r="L4187" s="5"/>
      <c r="M4187" s="5"/>
      <c r="N4187" s="5"/>
      <c r="O4187" s="5"/>
    </row>
    <row r="4188" spans="2:15" x14ac:dyDescent="0.55000000000000004">
      <c r="B4188" s="5"/>
      <c r="C4188" s="5"/>
      <c r="D4188" s="5"/>
      <c r="E4188" s="5"/>
      <c r="F4188" s="5"/>
      <c r="G4188" s="5"/>
      <c r="H4188" s="5"/>
      <c r="I4188" s="5"/>
      <c r="J4188" s="5"/>
      <c r="K4188" s="5"/>
      <c r="L4188" s="5"/>
      <c r="M4188" s="5"/>
      <c r="N4188" s="5"/>
      <c r="O4188" s="5"/>
    </row>
    <row r="4189" spans="2:15" x14ac:dyDescent="0.55000000000000004">
      <c r="B4189" s="5"/>
      <c r="C4189" s="5"/>
      <c r="D4189" s="5"/>
      <c r="E4189" s="5"/>
      <c r="F4189" s="5"/>
      <c r="G4189" s="5"/>
      <c r="H4189" s="5"/>
      <c r="I4189" s="5"/>
      <c r="J4189" s="5"/>
      <c r="K4189" s="5"/>
      <c r="L4189" s="5"/>
      <c r="M4189" s="5"/>
      <c r="N4189" s="5"/>
      <c r="O4189" s="5"/>
    </row>
    <row r="4190" spans="2:15" x14ac:dyDescent="0.55000000000000004">
      <c r="B4190" s="5"/>
      <c r="C4190" s="5"/>
      <c r="D4190" s="5"/>
      <c r="E4190" s="5"/>
      <c r="F4190" s="5"/>
      <c r="G4190" s="5"/>
      <c r="H4190" s="5"/>
      <c r="I4190" s="5"/>
      <c r="J4190" s="5"/>
      <c r="K4190" s="5"/>
      <c r="L4190" s="5"/>
      <c r="M4190" s="5"/>
      <c r="N4190" s="5"/>
      <c r="O4190" s="5"/>
    </row>
    <row r="4191" spans="2:15" x14ac:dyDescent="0.55000000000000004">
      <c r="B4191" s="5"/>
      <c r="C4191" s="5"/>
      <c r="D4191" s="5"/>
      <c r="E4191" s="5"/>
      <c r="F4191" s="5"/>
      <c r="G4191" s="5"/>
      <c r="H4191" s="5"/>
      <c r="I4191" s="5"/>
      <c r="J4191" s="5"/>
      <c r="K4191" s="5"/>
      <c r="L4191" s="5"/>
      <c r="M4191" s="5"/>
      <c r="N4191" s="5"/>
      <c r="O4191" s="5"/>
    </row>
    <row r="4192" spans="2:15" x14ac:dyDescent="0.55000000000000004">
      <c r="B4192" s="5"/>
      <c r="C4192" s="5"/>
      <c r="D4192" s="5"/>
      <c r="E4192" s="5"/>
      <c r="F4192" s="5"/>
      <c r="G4192" s="5"/>
      <c r="H4192" s="5"/>
      <c r="I4192" s="5"/>
      <c r="J4192" s="5"/>
      <c r="K4192" s="5"/>
      <c r="L4192" s="5"/>
      <c r="M4192" s="5"/>
      <c r="N4192" s="5"/>
      <c r="O4192" s="5"/>
    </row>
    <row r="4193" spans="2:15" x14ac:dyDescent="0.55000000000000004">
      <c r="B4193" s="5"/>
      <c r="C4193" s="5"/>
      <c r="D4193" s="5"/>
      <c r="E4193" s="5"/>
      <c r="F4193" s="5"/>
      <c r="G4193" s="5"/>
      <c r="H4193" s="5"/>
      <c r="I4193" s="5"/>
      <c r="J4193" s="5"/>
      <c r="K4193" s="5"/>
      <c r="L4193" s="5"/>
      <c r="M4193" s="5"/>
      <c r="N4193" s="5"/>
      <c r="O4193" s="5"/>
    </row>
    <row r="4194" spans="2:15" x14ac:dyDescent="0.55000000000000004">
      <c r="B4194" s="5"/>
      <c r="C4194" s="5"/>
      <c r="D4194" s="5"/>
      <c r="E4194" s="5"/>
      <c r="F4194" s="5"/>
      <c r="G4194" s="5"/>
      <c r="H4194" s="5"/>
      <c r="I4194" s="5"/>
      <c r="J4194" s="5"/>
      <c r="K4194" s="5"/>
      <c r="L4194" s="5"/>
      <c r="M4194" s="5"/>
      <c r="N4194" s="5"/>
      <c r="O4194" s="5"/>
    </row>
    <row r="4195" spans="2:15" x14ac:dyDescent="0.55000000000000004">
      <c r="B4195" s="5"/>
      <c r="C4195" s="5"/>
      <c r="D4195" s="5"/>
      <c r="E4195" s="5"/>
      <c r="F4195" s="5"/>
      <c r="G4195" s="5"/>
      <c r="H4195" s="5"/>
      <c r="I4195" s="5"/>
      <c r="J4195" s="5"/>
      <c r="K4195" s="5"/>
      <c r="L4195" s="5"/>
      <c r="M4195" s="5"/>
      <c r="N4195" s="5"/>
      <c r="O4195" s="5"/>
    </row>
    <row r="4196" spans="2:15" x14ac:dyDescent="0.55000000000000004">
      <c r="B4196" s="5"/>
      <c r="C4196" s="5"/>
      <c r="D4196" s="5"/>
      <c r="E4196" s="5"/>
      <c r="F4196" s="5"/>
      <c r="G4196" s="5"/>
      <c r="H4196" s="5"/>
      <c r="I4196" s="5"/>
      <c r="J4196" s="5"/>
      <c r="K4196" s="5"/>
      <c r="L4196" s="5"/>
      <c r="M4196" s="5"/>
      <c r="N4196" s="5"/>
      <c r="O4196" s="5"/>
    </row>
    <row r="4197" spans="2:15" x14ac:dyDescent="0.55000000000000004">
      <c r="B4197" s="5"/>
      <c r="C4197" s="5"/>
      <c r="D4197" s="5"/>
      <c r="E4197" s="5"/>
      <c r="F4197" s="5"/>
      <c r="G4197" s="5"/>
      <c r="H4197" s="5"/>
      <c r="I4197" s="5"/>
      <c r="J4197" s="5"/>
      <c r="K4197" s="5"/>
      <c r="L4197" s="5"/>
      <c r="M4197" s="5"/>
      <c r="N4197" s="5"/>
      <c r="O4197" s="5"/>
    </row>
    <row r="4198" spans="2:15" x14ac:dyDescent="0.55000000000000004">
      <c r="B4198" s="5"/>
      <c r="C4198" s="5"/>
      <c r="D4198" s="5"/>
      <c r="E4198" s="5"/>
      <c r="F4198" s="5"/>
      <c r="G4198" s="5"/>
      <c r="H4198" s="5"/>
      <c r="I4198" s="5"/>
      <c r="J4198" s="5"/>
      <c r="K4198" s="5"/>
      <c r="L4198" s="5"/>
      <c r="M4198" s="5"/>
      <c r="N4198" s="5"/>
      <c r="O4198" s="5"/>
    </row>
    <row r="4199" spans="2:15" x14ac:dyDescent="0.55000000000000004">
      <c r="B4199" s="5"/>
      <c r="C4199" s="5"/>
      <c r="D4199" s="5"/>
      <c r="E4199" s="5"/>
      <c r="F4199" s="5"/>
      <c r="G4199" s="5"/>
      <c r="H4199" s="5"/>
      <c r="I4199" s="5"/>
      <c r="J4199" s="5"/>
      <c r="K4199" s="5"/>
      <c r="L4199" s="5"/>
      <c r="M4199" s="5"/>
      <c r="N4199" s="5"/>
      <c r="O4199" s="5"/>
    </row>
    <row r="4200" spans="2:15" x14ac:dyDescent="0.55000000000000004">
      <c r="B4200" s="5"/>
      <c r="C4200" s="5"/>
      <c r="D4200" s="5"/>
      <c r="E4200" s="5"/>
      <c r="F4200" s="5"/>
      <c r="G4200" s="5"/>
      <c r="H4200" s="5"/>
      <c r="I4200" s="5"/>
      <c r="J4200" s="5"/>
      <c r="K4200" s="5"/>
      <c r="L4200" s="5"/>
      <c r="M4200" s="5"/>
      <c r="N4200" s="5"/>
      <c r="O4200" s="5"/>
    </row>
    <row r="4201" spans="2:15" x14ac:dyDescent="0.55000000000000004">
      <c r="B4201" s="5"/>
      <c r="C4201" s="5"/>
      <c r="D4201" s="5"/>
      <c r="E4201" s="5"/>
      <c r="F4201" s="5"/>
      <c r="G4201" s="5"/>
      <c r="H4201" s="5"/>
      <c r="I4201" s="5"/>
      <c r="J4201" s="5"/>
      <c r="K4201" s="5"/>
      <c r="L4201" s="5"/>
      <c r="M4201" s="5"/>
      <c r="N4201" s="5"/>
      <c r="O4201" s="5"/>
    </row>
    <row r="4202" spans="2:15" x14ac:dyDescent="0.55000000000000004">
      <c r="B4202" s="5"/>
      <c r="C4202" s="5"/>
      <c r="D4202" s="5"/>
      <c r="E4202" s="5"/>
      <c r="F4202" s="5"/>
      <c r="G4202" s="5"/>
      <c r="H4202" s="5"/>
      <c r="I4202" s="5"/>
      <c r="J4202" s="5"/>
      <c r="K4202" s="5"/>
      <c r="L4202" s="5"/>
      <c r="M4202" s="5"/>
      <c r="N4202" s="5"/>
      <c r="O4202" s="5"/>
    </row>
    <row r="4203" spans="2:15" x14ac:dyDescent="0.55000000000000004">
      <c r="B4203" s="5"/>
      <c r="C4203" s="5"/>
      <c r="D4203" s="5"/>
      <c r="E4203" s="5"/>
      <c r="F4203" s="5"/>
      <c r="G4203" s="5"/>
      <c r="H4203" s="5"/>
      <c r="I4203" s="5"/>
      <c r="J4203" s="5"/>
      <c r="K4203" s="5"/>
      <c r="L4203" s="5"/>
      <c r="M4203" s="5"/>
      <c r="N4203" s="5"/>
      <c r="O4203" s="5"/>
    </row>
    <row r="4204" spans="2:15" x14ac:dyDescent="0.55000000000000004">
      <c r="B4204" s="5"/>
      <c r="C4204" s="5"/>
      <c r="D4204" s="5"/>
      <c r="E4204" s="5"/>
      <c r="F4204" s="5"/>
      <c r="G4204" s="5"/>
      <c r="H4204" s="5"/>
      <c r="I4204" s="5"/>
      <c r="J4204" s="5"/>
      <c r="K4204" s="5"/>
      <c r="L4204" s="5"/>
      <c r="M4204" s="5"/>
      <c r="N4204" s="5"/>
      <c r="O4204" s="5"/>
    </row>
    <row r="4205" spans="2:15" x14ac:dyDescent="0.55000000000000004">
      <c r="B4205" s="5"/>
      <c r="C4205" s="5"/>
      <c r="D4205" s="5"/>
      <c r="E4205" s="5"/>
      <c r="F4205" s="5"/>
      <c r="G4205" s="5"/>
      <c r="H4205" s="5"/>
      <c r="I4205" s="5"/>
      <c r="J4205" s="5"/>
      <c r="K4205" s="5"/>
      <c r="L4205" s="5"/>
      <c r="M4205" s="5"/>
      <c r="N4205" s="5"/>
      <c r="O4205" s="5"/>
    </row>
    <row r="4206" spans="2:15" x14ac:dyDescent="0.55000000000000004">
      <c r="B4206" s="5"/>
      <c r="C4206" s="5"/>
      <c r="D4206" s="5"/>
      <c r="E4206" s="5"/>
      <c r="F4206" s="5"/>
      <c r="G4206" s="5"/>
      <c r="H4206" s="5"/>
      <c r="I4206" s="5"/>
      <c r="J4206" s="5"/>
      <c r="K4206" s="5"/>
      <c r="L4206" s="5"/>
      <c r="M4206" s="5"/>
      <c r="N4206" s="5"/>
      <c r="O4206" s="5"/>
    </row>
    <row r="4207" spans="2:15" x14ac:dyDescent="0.55000000000000004">
      <c r="B4207" s="5"/>
      <c r="C4207" s="5"/>
      <c r="D4207" s="5"/>
      <c r="E4207" s="5"/>
      <c r="F4207" s="5"/>
      <c r="G4207" s="5"/>
      <c r="H4207" s="5"/>
      <c r="I4207" s="5"/>
      <c r="J4207" s="5"/>
      <c r="K4207" s="5"/>
      <c r="L4207" s="5"/>
      <c r="M4207" s="5"/>
      <c r="N4207" s="5"/>
      <c r="O4207" s="5"/>
    </row>
    <row r="4208" spans="2:15" x14ac:dyDescent="0.55000000000000004">
      <c r="B4208" s="5"/>
      <c r="C4208" s="5"/>
      <c r="D4208" s="5"/>
      <c r="E4208" s="5"/>
      <c r="F4208" s="5"/>
      <c r="G4208" s="5"/>
      <c r="H4208" s="5"/>
      <c r="I4208" s="5"/>
      <c r="J4208" s="5"/>
      <c r="K4208" s="5"/>
      <c r="L4208" s="5"/>
      <c r="M4208" s="5"/>
      <c r="N4208" s="5"/>
      <c r="O4208" s="5"/>
    </row>
    <row r="4209" spans="2:15" x14ac:dyDescent="0.55000000000000004">
      <c r="B4209" s="5"/>
      <c r="C4209" s="5"/>
      <c r="D4209" s="5"/>
      <c r="E4209" s="5"/>
      <c r="F4209" s="5"/>
      <c r="G4209" s="5"/>
      <c r="H4209" s="5"/>
      <c r="I4209" s="5"/>
      <c r="J4209" s="5"/>
      <c r="K4209" s="5"/>
      <c r="L4209" s="5"/>
      <c r="M4209" s="5"/>
      <c r="N4209" s="5"/>
      <c r="O4209" s="5"/>
    </row>
    <row r="4210" spans="2:15" x14ac:dyDescent="0.55000000000000004">
      <c r="B4210" s="5"/>
      <c r="C4210" s="5"/>
      <c r="D4210" s="5"/>
      <c r="E4210" s="5"/>
      <c r="F4210" s="5"/>
      <c r="G4210" s="5"/>
      <c r="H4210" s="5"/>
      <c r="I4210" s="5"/>
      <c r="J4210" s="5"/>
      <c r="K4210" s="5"/>
      <c r="L4210" s="5"/>
      <c r="M4210" s="5"/>
      <c r="N4210" s="5"/>
      <c r="O4210" s="5"/>
    </row>
    <row r="4211" spans="2:15" x14ac:dyDescent="0.55000000000000004">
      <c r="B4211" s="5"/>
      <c r="C4211" s="5"/>
      <c r="D4211" s="5"/>
      <c r="E4211" s="5"/>
      <c r="F4211" s="5"/>
      <c r="G4211" s="5"/>
      <c r="H4211" s="5"/>
      <c r="I4211" s="5"/>
      <c r="J4211" s="5"/>
      <c r="K4211" s="5"/>
      <c r="L4211" s="5"/>
      <c r="M4211" s="5"/>
      <c r="N4211" s="5"/>
      <c r="O4211" s="5"/>
    </row>
    <row r="4212" spans="2:15" x14ac:dyDescent="0.55000000000000004">
      <c r="B4212" s="5"/>
      <c r="C4212" s="5"/>
      <c r="D4212" s="5"/>
      <c r="E4212" s="5"/>
      <c r="F4212" s="5"/>
      <c r="G4212" s="5"/>
      <c r="H4212" s="5"/>
      <c r="I4212" s="5"/>
      <c r="J4212" s="5"/>
      <c r="K4212" s="5"/>
      <c r="L4212" s="5"/>
      <c r="M4212" s="5"/>
      <c r="N4212" s="5"/>
      <c r="O4212" s="5"/>
    </row>
    <row r="4213" spans="2:15" x14ac:dyDescent="0.55000000000000004">
      <c r="B4213" s="5"/>
      <c r="C4213" s="5"/>
      <c r="D4213" s="5"/>
      <c r="E4213" s="5"/>
      <c r="F4213" s="5"/>
      <c r="G4213" s="5"/>
      <c r="H4213" s="5"/>
      <c r="I4213" s="5"/>
      <c r="J4213" s="5"/>
      <c r="K4213" s="5"/>
      <c r="L4213" s="5"/>
      <c r="M4213" s="5"/>
      <c r="N4213" s="5"/>
      <c r="O4213" s="5"/>
    </row>
    <row r="4214" spans="2:15" x14ac:dyDescent="0.55000000000000004">
      <c r="B4214" s="5"/>
      <c r="C4214" s="5"/>
      <c r="D4214" s="5"/>
      <c r="E4214" s="5"/>
      <c r="F4214" s="5"/>
      <c r="G4214" s="5"/>
      <c r="H4214" s="5"/>
      <c r="I4214" s="5"/>
      <c r="J4214" s="5"/>
      <c r="K4214" s="5"/>
      <c r="L4214" s="5"/>
      <c r="M4214" s="5"/>
      <c r="N4214" s="5"/>
      <c r="O4214" s="5"/>
    </row>
    <row r="4215" spans="2:15" x14ac:dyDescent="0.55000000000000004">
      <c r="B4215" s="5"/>
      <c r="C4215" s="5"/>
      <c r="D4215" s="5"/>
      <c r="E4215" s="5"/>
      <c r="F4215" s="5"/>
      <c r="G4215" s="5"/>
      <c r="H4215" s="5"/>
      <c r="I4215" s="5"/>
      <c r="J4215" s="5"/>
      <c r="K4215" s="5"/>
      <c r="L4215" s="5"/>
      <c r="M4215" s="5"/>
      <c r="N4215" s="5"/>
      <c r="O4215" s="5"/>
    </row>
    <row r="4216" spans="2:15" x14ac:dyDescent="0.55000000000000004">
      <c r="B4216" s="5"/>
      <c r="C4216" s="5"/>
      <c r="D4216" s="5"/>
      <c r="E4216" s="5"/>
      <c r="F4216" s="5"/>
      <c r="G4216" s="5"/>
      <c r="H4216" s="5"/>
      <c r="I4216" s="5"/>
      <c r="J4216" s="5"/>
      <c r="K4216" s="5"/>
      <c r="L4216" s="5"/>
      <c r="M4216" s="5"/>
      <c r="N4216" s="5"/>
      <c r="O4216" s="5"/>
    </row>
    <row r="4217" spans="2:15" x14ac:dyDescent="0.55000000000000004">
      <c r="B4217" s="5"/>
      <c r="C4217" s="5"/>
      <c r="D4217" s="5"/>
      <c r="E4217" s="5"/>
      <c r="F4217" s="5"/>
      <c r="G4217" s="5"/>
      <c r="H4217" s="5"/>
      <c r="I4217" s="5"/>
      <c r="J4217" s="5"/>
      <c r="K4217" s="5"/>
      <c r="L4217" s="5"/>
      <c r="M4217" s="5"/>
      <c r="N4217" s="5"/>
      <c r="O4217" s="5"/>
    </row>
    <row r="4218" spans="2:15" x14ac:dyDescent="0.55000000000000004">
      <c r="B4218" s="5"/>
      <c r="C4218" s="5"/>
      <c r="D4218" s="5"/>
      <c r="E4218" s="5"/>
      <c r="F4218" s="5"/>
      <c r="G4218" s="5"/>
      <c r="H4218" s="5"/>
      <c r="I4218" s="5"/>
      <c r="J4218" s="5"/>
      <c r="K4218" s="5"/>
      <c r="L4218" s="5"/>
      <c r="M4218" s="5"/>
      <c r="N4218" s="5"/>
      <c r="O4218" s="5"/>
    </row>
    <row r="4219" spans="2:15" x14ac:dyDescent="0.55000000000000004">
      <c r="B4219" s="5"/>
      <c r="C4219" s="5"/>
      <c r="D4219" s="5"/>
      <c r="E4219" s="5"/>
      <c r="F4219" s="5"/>
      <c r="G4219" s="5"/>
      <c r="H4219" s="5"/>
      <c r="I4219" s="5"/>
      <c r="J4219" s="5"/>
      <c r="K4219" s="5"/>
      <c r="L4219" s="5"/>
      <c r="M4219" s="5"/>
      <c r="N4219" s="5"/>
      <c r="O4219" s="5"/>
    </row>
    <row r="4220" spans="2:15" x14ac:dyDescent="0.55000000000000004">
      <c r="B4220" s="5"/>
      <c r="C4220" s="5"/>
      <c r="D4220" s="5"/>
      <c r="E4220" s="5"/>
      <c r="F4220" s="5"/>
      <c r="G4220" s="5"/>
      <c r="H4220" s="5"/>
      <c r="I4220" s="5"/>
      <c r="J4220" s="5"/>
      <c r="K4220" s="5"/>
      <c r="L4220" s="5"/>
      <c r="M4220" s="5"/>
      <c r="N4220" s="5"/>
      <c r="O4220" s="5"/>
    </row>
    <row r="4221" spans="2:15" x14ac:dyDescent="0.55000000000000004">
      <c r="B4221" s="5"/>
      <c r="C4221" s="5"/>
      <c r="D4221" s="5"/>
      <c r="E4221" s="5"/>
      <c r="F4221" s="5"/>
      <c r="G4221" s="5"/>
      <c r="H4221" s="5"/>
      <c r="I4221" s="5"/>
      <c r="J4221" s="5"/>
      <c r="K4221" s="5"/>
      <c r="L4221" s="5"/>
      <c r="M4221" s="5"/>
      <c r="N4221" s="5"/>
      <c r="O4221" s="5"/>
    </row>
    <row r="4222" spans="2:15" x14ac:dyDescent="0.55000000000000004">
      <c r="B4222" s="5"/>
      <c r="C4222" s="5"/>
      <c r="D4222" s="5"/>
      <c r="E4222" s="5"/>
      <c r="F4222" s="5"/>
      <c r="G4222" s="5"/>
      <c r="H4222" s="5"/>
      <c r="I4222" s="5"/>
      <c r="J4222" s="5"/>
      <c r="K4222" s="5"/>
      <c r="L4222" s="5"/>
      <c r="M4222" s="5"/>
      <c r="N4222" s="5"/>
      <c r="O4222" s="5"/>
    </row>
    <row r="4223" spans="2:15" x14ac:dyDescent="0.55000000000000004">
      <c r="B4223" s="5"/>
      <c r="C4223" s="5"/>
      <c r="D4223" s="5"/>
      <c r="E4223" s="5"/>
      <c r="F4223" s="5"/>
      <c r="G4223" s="5"/>
      <c r="H4223" s="5"/>
      <c r="I4223" s="5"/>
      <c r="J4223" s="5"/>
      <c r="K4223" s="5"/>
      <c r="L4223" s="5"/>
      <c r="M4223" s="5"/>
      <c r="N4223" s="5"/>
      <c r="O4223" s="5"/>
    </row>
    <row r="4224" spans="2:15" x14ac:dyDescent="0.55000000000000004">
      <c r="B4224" s="5"/>
      <c r="C4224" s="5"/>
      <c r="D4224" s="5"/>
      <c r="E4224" s="5"/>
      <c r="F4224" s="5"/>
      <c r="G4224" s="5"/>
      <c r="H4224" s="5"/>
      <c r="I4224" s="5"/>
      <c r="J4224" s="5"/>
      <c r="K4224" s="5"/>
      <c r="L4224" s="5"/>
      <c r="M4224" s="5"/>
      <c r="N4224" s="5"/>
      <c r="O4224" s="5"/>
    </row>
    <row r="4225" spans="2:15" x14ac:dyDescent="0.55000000000000004">
      <c r="B4225" s="5"/>
      <c r="C4225" s="5"/>
      <c r="D4225" s="5"/>
      <c r="E4225" s="5"/>
      <c r="F4225" s="5"/>
      <c r="G4225" s="5"/>
      <c r="H4225" s="5"/>
      <c r="I4225" s="5"/>
      <c r="J4225" s="5"/>
      <c r="K4225" s="5"/>
      <c r="L4225" s="5"/>
      <c r="M4225" s="5"/>
      <c r="N4225" s="5"/>
      <c r="O4225" s="5"/>
    </row>
    <row r="4226" spans="2:15" x14ac:dyDescent="0.55000000000000004">
      <c r="B4226" s="5"/>
      <c r="C4226" s="5"/>
      <c r="D4226" s="5"/>
      <c r="E4226" s="5"/>
      <c r="F4226" s="5"/>
      <c r="G4226" s="5"/>
      <c r="H4226" s="5"/>
      <c r="I4226" s="5"/>
      <c r="J4226" s="5"/>
      <c r="K4226" s="5"/>
      <c r="L4226" s="5"/>
      <c r="M4226" s="5"/>
      <c r="N4226" s="5"/>
      <c r="O4226" s="5"/>
    </row>
    <row r="4227" spans="2:15" x14ac:dyDescent="0.55000000000000004">
      <c r="B4227" s="5"/>
      <c r="C4227" s="5"/>
      <c r="D4227" s="5"/>
      <c r="E4227" s="5"/>
      <c r="F4227" s="5"/>
      <c r="G4227" s="5"/>
      <c r="H4227" s="5"/>
      <c r="I4227" s="5"/>
      <c r="J4227" s="5"/>
      <c r="K4227" s="5"/>
      <c r="L4227" s="5"/>
      <c r="M4227" s="5"/>
      <c r="N4227" s="5"/>
      <c r="O4227" s="5"/>
    </row>
    <row r="4228" spans="2:15" x14ac:dyDescent="0.55000000000000004">
      <c r="B4228" s="5"/>
      <c r="C4228" s="5"/>
      <c r="D4228" s="5"/>
      <c r="E4228" s="5"/>
      <c r="F4228" s="5"/>
      <c r="G4228" s="5"/>
      <c r="H4228" s="5"/>
      <c r="I4228" s="5"/>
      <c r="J4228" s="5"/>
      <c r="K4228" s="5"/>
      <c r="L4228" s="5"/>
      <c r="M4228" s="5"/>
      <c r="N4228" s="5"/>
      <c r="O4228" s="5"/>
    </row>
    <row r="4229" spans="2:15" x14ac:dyDescent="0.55000000000000004">
      <c r="B4229" s="5"/>
      <c r="C4229" s="5"/>
      <c r="D4229" s="5"/>
      <c r="E4229" s="5"/>
      <c r="F4229" s="5"/>
      <c r="G4229" s="5"/>
      <c r="H4229" s="5"/>
      <c r="I4229" s="5"/>
      <c r="J4229" s="5"/>
      <c r="K4229" s="5"/>
      <c r="L4229" s="5"/>
      <c r="M4229" s="5"/>
      <c r="N4229" s="5"/>
      <c r="O4229" s="5"/>
    </row>
    <row r="4230" spans="2:15" x14ac:dyDescent="0.55000000000000004">
      <c r="B4230" s="5"/>
      <c r="C4230" s="5"/>
      <c r="D4230" s="5"/>
      <c r="E4230" s="5"/>
      <c r="F4230" s="5"/>
      <c r="G4230" s="5"/>
      <c r="H4230" s="5"/>
      <c r="I4230" s="5"/>
      <c r="J4230" s="5"/>
      <c r="K4230" s="5"/>
      <c r="L4230" s="5"/>
      <c r="M4230" s="5"/>
      <c r="N4230" s="5"/>
      <c r="O4230" s="5"/>
    </row>
    <row r="4231" spans="2:15" x14ac:dyDescent="0.55000000000000004">
      <c r="B4231" s="5"/>
      <c r="C4231" s="5"/>
      <c r="D4231" s="5"/>
      <c r="E4231" s="5"/>
      <c r="F4231" s="5"/>
      <c r="G4231" s="5"/>
      <c r="H4231" s="5"/>
      <c r="I4231" s="5"/>
      <c r="J4231" s="5"/>
      <c r="K4231" s="5"/>
      <c r="L4231" s="5"/>
      <c r="M4231" s="5"/>
      <c r="N4231" s="5"/>
      <c r="O4231" s="5"/>
    </row>
    <row r="4232" spans="2:15" x14ac:dyDescent="0.55000000000000004">
      <c r="B4232" s="5"/>
      <c r="C4232" s="5"/>
      <c r="D4232" s="5"/>
      <c r="E4232" s="5"/>
      <c r="F4232" s="5"/>
      <c r="G4232" s="5"/>
      <c r="H4232" s="5"/>
      <c r="I4232" s="5"/>
      <c r="J4232" s="5"/>
      <c r="K4232" s="5"/>
      <c r="L4232" s="5"/>
      <c r="M4232" s="5"/>
      <c r="N4232" s="5"/>
      <c r="O4232" s="5"/>
    </row>
    <row r="4233" spans="2:15" x14ac:dyDescent="0.55000000000000004">
      <c r="B4233" s="5"/>
      <c r="C4233" s="5"/>
      <c r="D4233" s="5"/>
      <c r="E4233" s="5"/>
      <c r="F4233" s="5"/>
      <c r="G4233" s="5"/>
      <c r="H4233" s="5"/>
      <c r="I4233" s="5"/>
      <c r="J4233" s="5"/>
      <c r="K4233" s="5"/>
      <c r="L4233" s="5"/>
      <c r="M4233" s="5"/>
      <c r="N4233" s="5"/>
      <c r="O4233" s="5"/>
    </row>
    <row r="4234" spans="2:15" x14ac:dyDescent="0.55000000000000004">
      <c r="B4234" s="5"/>
      <c r="C4234" s="5"/>
      <c r="D4234" s="5"/>
      <c r="E4234" s="5"/>
      <c r="F4234" s="5"/>
      <c r="G4234" s="5"/>
      <c r="H4234" s="5"/>
      <c r="I4234" s="5"/>
      <c r="J4234" s="5"/>
      <c r="K4234" s="5"/>
      <c r="L4234" s="5"/>
      <c r="M4234" s="5"/>
      <c r="N4234" s="5"/>
      <c r="O4234" s="5"/>
    </row>
    <row r="4235" spans="2:15" x14ac:dyDescent="0.55000000000000004">
      <c r="B4235" s="5"/>
      <c r="C4235" s="5"/>
      <c r="D4235" s="5"/>
      <c r="E4235" s="5"/>
      <c r="F4235" s="5"/>
      <c r="G4235" s="5"/>
      <c r="H4235" s="5"/>
      <c r="I4235" s="5"/>
      <c r="J4235" s="5"/>
      <c r="K4235" s="5"/>
      <c r="L4235" s="5"/>
      <c r="M4235" s="5"/>
      <c r="N4235" s="5"/>
      <c r="O4235" s="5"/>
    </row>
    <row r="4236" spans="2:15" x14ac:dyDescent="0.55000000000000004">
      <c r="B4236" s="5"/>
      <c r="C4236" s="5"/>
      <c r="D4236" s="5"/>
      <c r="E4236" s="5"/>
      <c r="F4236" s="5"/>
      <c r="G4236" s="5"/>
      <c r="H4236" s="5"/>
      <c r="I4236" s="5"/>
      <c r="J4236" s="5"/>
      <c r="K4236" s="5"/>
      <c r="L4236" s="5"/>
      <c r="M4236" s="5"/>
      <c r="N4236" s="5"/>
      <c r="O4236" s="5"/>
    </row>
    <row r="4237" spans="2:15" x14ac:dyDescent="0.55000000000000004">
      <c r="B4237" s="5"/>
      <c r="C4237" s="5"/>
      <c r="D4237" s="5"/>
      <c r="E4237" s="5"/>
      <c r="F4237" s="5"/>
      <c r="G4237" s="5"/>
      <c r="H4237" s="5"/>
      <c r="I4237" s="5"/>
      <c r="J4237" s="5"/>
      <c r="K4237" s="5"/>
      <c r="L4237" s="5"/>
      <c r="M4237" s="5"/>
      <c r="N4237" s="5"/>
      <c r="O4237" s="5"/>
    </row>
    <row r="4238" spans="2:15" x14ac:dyDescent="0.55000000000000004">
      <c r="B4238" s="5"/>
      <c r="C4238" s="5"/>
      <c r="D4238" s="5"/>
      <c r="E4238" s="5"/>
      <c r="F4238" s="5"/>
      <c r="G4238" s="5"/>
      <c r="H4238" s="5"/>
      <c r="I4238" s="5"/>
      <c r="J4238" s="5"/>
      <c r="K4238" s="5"/>
      <c r="L4238" s="5"/>
      <c r="M4238" s="5"/>
      <c r="N4238" s="5"/>
      <c r="O4238" s="5"/>
    </row>
    <row r="4239" spans="2:15" x14ac:dyDescent="0.55000000000000004">
      <c r="B4239" s="5"/>
      <c r="C4239" s="5"/>
      <c r="D4239" s="5"/>
      <c r="E4239" s="5"/>
      <c r="F4239" s="5"/>
      <c r="G4239" s="5"/>
      <c r="H4239" s="5"/>
      <c r="I4239" s="5"/>
      <c r="J4239" s="5"/>
      <c r="K4239" s="5"/>
      <c r="L4239" s="5"/>
      <c r="M4239" s="5"/>
      <c r="N4239" s="5"/>
      <c r="O4239" s="5"/>
    </row>
    <row r="4240" spans="2:15" x14ac:dyDescent="0.55000000000000004">
      <c r="B4240" s="5"/>
      <c r="C4240" s="5"/>
      <c r="D4240" s="5"/>
      <c r="E4240" s="5"/>
      <c r="F4240" s="5"/>
      <c r="G4240" s="5"/>
      <c r="H4240" s="5"/>
      <c r="I4240" s="5"/>
      <c r="J4240" s="5"/>
      <c r="K4240" s="5"/>
      <c r="L4240" s="5"/>
      <c r="M4240" s="5"/>
      <c r="N4240" s="5"/>
      <c r="O4240" s="5"/>
    </row>
    <row r="4241" spans="2:15" x14ac:dyDescent="0.55000000000000004">
      <c r="B4241" s="5"/>
      <c r="C4241" s="5"/>
      <c r="D4241" s="5"/>
      <c r="E4241" s="5"/>
      <c r="F4241" s="5"/>
      <c r="G4241" s="5"/>
      <c r="H4241" s="5"/>
      <c r="I4241" s="5"/>
      <c r="J4241" s="5"/>
      <c r="K4241" s="5"/>
      <c r="L4241" s="5"/>
      <c r="M4241" s="5"/>
      <c r="N4241" s="5"/>
      <c r="O4241" s="5"/>
    </row>
    <row r="4242" spans="2:15" x14ac:dyDescent="0.55000000000000004">
      <c r="B4242" s="5"/>
      <c r="C4242" s="5"/>
      <c r="D4242" s="5"/>
      <c r="E4242" s="5"/>
      <c r="F4242" s="5"/>
      <c r="G4242" s="5"/>
      <c r="H4242" s="5"/>
      <c r="I4242" s="5"/>
      <c r="J4242" s="5"/>
      <c r="K4242" s="5"/>
      <c r="L4242" s="5"/>
      <c r="M4242" s="5"/>
      <c r="N4242" s="5"/>
      <c r="O4242" s="5"/>
    </row>
    <row r="4243" spans="2:15" x14ac:dyDescent="0.55000000000000004">
      <c r="B4243" s="5"/>
      <c r="C4243" s="5"/>
      <c r="D4243" s="5"/>
      <c r="E4243" s="5"/>
      <c r="F4243" s="5"/>
      <c r="G4243" s="5"/>
      <c r="H4243" s="5"/>
      <c r="I4243" s="5"/>
      <c r="J4243" s="5"/>
      <c r="K4243" s="5"/>
      <c r="L4243" s="5"/>
      <c r="M4243" s="5"/>
      <c r="N4243" s="5"/>
      <c r="O4243" s="5"/>
    </row>
    <row r="4244" spans="2:15" x14ac:dyDescent="0.55000000000000004">
      <c r="B4244" s="5"/>
      <c r="C4244" s="5"/>
      <c r="D4244" s="5"/>
      <c r="E4244" s="5"/>
      <c r="F4244" s="5"/>
      <c r="G4244" s="5"/>
      <c r="H4244" s="5"/>
      <c r="I4244" s="5"/>
      <c r="J4244" s="5"/>
      <c r="K4244" s="5"/>
      <c r="L4244" s="5"/>
      <c r="M4244" s="5"/>
      <c r="N4244" s="5"/>
      <c r="O4244" s="5"/>
    </row>
    <row r="4245" spans="2:15" x14ac:dyDescent="0.55000000000000004">
      <c r="B4245" s="5"/>
      <c r="C4245" s="5"/>
      <c r="D4245" s="5"/>
      <c r="E4245" s="5"/>
      <c r="F4245" s="5"/>
      <c r="G4245" s="5"/>
      <c r="H4245" s="5"/>
      <c r="I4245" s="5"/>
      <c r="J4245" s="5"/>
      <c r="K4245" s="5"/>
      <c r="L4245" s="5"/>
      <c r="M4245" s="5"/>
      <c r="N4245" s="5"/>
      <c r="O4245" s="5"/>
    </row>
    <row r="4246" spans="2:15" x14ac:dyDescent="0.55000000000000004">
      <c r="B4246" s="5"/>
      <c r="C4246" s="5"/>
      <c r="D4246" s="5"/>
      <c r="E4246" s="5"/>
      <c r="F4246" s="5"/>
      <c r="G4246" s="5"/>
      <c r="H4246" s="5"/>
      <c r="I4246" s="5"/>
      <c r="J4246" s="5"/>
      <c r="K4246" s="5"/>
      <c r="L4246" s="5"/>
      <c r="M4246" s="5"/>
      <c r="N4246" s="5"/>
      <c r="O4246" s="5"/>
    </row>
    <row r="4247" spans="2:15" x14ac:dyDescent="0.55000000000000004">
      <c r="B4247" s="5"/>
      <c r="C4247" s="5"/>
      <c r="D4247" s="5"/>
      <c r="E4247" s="5"/>
      <c r="F4247" s="5"/>
      <c r="G4247" s="5"/>
      <c r="H4247" s="5"/>
      <c r="I4247" s="5"/>
      <c r="J4247" s="5"/>
      <c r="K4247" s="5"/>
      <c r="L4247" s="5"/>
      <c r="M4247" s="5"/>
      <c r="N4247" s="5"/>
      <c r="O4247" s="5"/>
    </row>
    <row r="4248" spans="2:15" x14ac:dyDescent="0.55000000000000004">
      <c r="B4248" s="5"/>
      <c r="C4248" s="5"/>
      <c r="D4248" s="5"/>
      <c r="E4248" s="5"/>
      <c r="F4248" s="5"/>
      <c r="G4248" s="5"/>
      <c r="H4248" s="5"/>
      <c r="I4248" s="5"/>
      <c r="J4248" s="5"/>
      <c r="K4248" s="5"/>
      <c r="L4248" s="5"/>
      <c r="M4248" s="5"/>
      <c r="N4248" s="5"/>
      <c r="O4248" s="5"/>
    </row>
    <row r="4249" spans="2:15" x14ac:dyDescent="0.55000000000000004">
      <c r="B4249" s="5"/>
      <c r="C4249" s="5"/>
      <c r="D4249" s="5"/>
      <c r="E4249" s="5"/>
      <c r="F4249" s="5"/>
      <c r="G4249" s="5"/>
      <c r="H4249" s="5"/>
      <c r="I4249" s="5"/>
      <c r="J4249" s="5"/>
      <c r="K4249" s="5"/>
      <c r="L4249" s="5"/>
      <c r="M4249" s="5"/>
      <c r="N4249" s="5"/>
      <c r="O4249" s="5"/>
    </row>
    <row r="4250" spans="2:15" x14ac:dyDescent="0.55000000000000004">
      <c r="B4250" s="5"/>
      <c r="C4250" s="5"/>
      <c r="D4250" s="5"/>
      <c r="E4250" s="5"/>
      <c r="F4250" s="5"/>
      <c r="G4250" s="5"/>
      <c r="H4250" s="5"/>
      <c r="I4250" s="5"/>
      <c r="J4250" s="5"/>
      <c r="K4250" s="5"/>
      <c r="L4250" s="5"/>
      <c r="M4250" s="5"/>
      <c r="N4250" s="5"/>
      <c r="O4250" s="5"/>
    </row>
    <row r="4251" spans="2:15" x14ac:dyDescent="0.55000000000000004">
      <c r="B4251" s="5"/>
      <c r="C4251" s="5"/>
      <c r="D4251" s="5"/>
      <c r="E4251" s="5"/>
      <c r="F4251" s="5"/>
      <c r="G4251" s="5"/>
      <c r="H4251" s="5"/>
      <c r="I4251" s="5"/>
      <c r="J4251" s="5"/>
      <c r="K4251" s="5"/>
      <c r="L4251" s="5"/>
      <c r="M4251" s="5"/>
      <c r="N4251" s="5"/>
      <c r="O4251" s="5"/>
    </row>
    <row r="4252" spans="2:15" x14ac:dyDescent="0.55000000000000004">
      <c r="B4252" s="5"/>
      <c r="C4252" s="5"/>
      <c r="D4252" s="5"/>
      <c r="E4252" s="5"/>
      <c r="F4252" s="5"/>
      <c r="G4252" s="5"/>
      <c r="H4252" s="5"/>
      <c r="I4252" s="5"/>
      <c r="J4252" s="5"/>
      <c r="K4252" s="5"/>
      <c r="L4252" s="5"/>
      <c r="M4252" s="5"/>
      <c r="N4252" s="5"/>
      <c r="O4252" s="5"/>
    </row>
    <row r="4253" spans="2:15" x14ac:dyDescent="0.55000000000000004">
      <c r="B4253" s="5"/>
      <c r="C4253" s="5"/>
      <c r="D4253" s="5"/>
      <c r="E4253" s="5"/>
      <c r="F4253" s="5"/>
      <c r="G4253" s="5"/>
      <c r="H4253" s="5"/>
      <c r="I4253" s="5"/>
      <c r="J4253" s="5"/>
      <c r="K4253" s="5"/>
      <c r="L4253" s="5"/>
      <c r="M4253" s="5"/>
      <c r="N4253" s="5"/>
      <c r="O4253" s="5"/>
    </row>
    <row r="4254" spans="2:15" x14ac:dyDescent="0.55000000000000004">
      <c r="B4254" s="5"/>
      <c r="C4254" s="5"/>
      <c r="D4254" s="5"/>
      <c r="E4254" s="5"/>
      <c r="F4254" s="5"/>
      <c r="G4254" s="5"/>
      <c r="H4254" s="5"/>
      <c r="I4254" s="5"/>
      <c r="J4254" s="5"/>
      <c r="K4254" s="5"/>
      <c r="L4254" s="5"/>
      <c r="M4254" s="5"/>
      <c r="N4254" s="5"/>
      <c r="O4254" s="5"/>
    </row>
    <row r="4255" spans="2:15" x14ac:dyDescent="0.55000000000000004">
      <c r="B4255" s="5"/>
      <c r="C4255" s="5"/>
      <c r="D4255" s="5"/>
      <c r="E4255" s="5"/>
      <c r="F4255" s="5"/>
      <c r="G4255" s="5"/>
      <c r="H4255" s="5"/>
      <c r="I4255" s="5"/>
      <c r="J4255" s="5"/>
      <c r="K4255" s="5"/>
      <c r="L4255" s="5"/>
      <c r="M4255" s="5"/>
      <c r="N4255" s="5"/>
      <c r="O4255" s="5"/>
    </row>
    <row r="4256" spans="2:15" x14ac:dyDescent="0.55000000000000004">
      <c r="B4256" s="5"/>
      <c r="C4256" s="5"/>
      <c r="D4256" s="5"/>
      <c r="E4256" s="5"/>
      <c r="F4256" s="5"/>
      <c r="G4256" s="5"/>
      <c r="H4256" s="5"/>
      <c r="I4256" s="5"/>
      <c r="J4256" s="5"/>
      <c r="K4256" s="5"/>
      <c r="L4256" s="5"/>
      <c r="M4256" s="5"/>
      <c r="N4256" s="5"/>
      <c r="O4256" s="5"/>
    </row>
    <row r="4257" spans="2:15" x14ac:dyDescent="0.55000000000000004">
      <c r="B4257" s="5"/>
      <c r="C4257" s="5"/>
      <c r="D4257" s="5"/>
      <c r="E4257" s="5"/>
      <c r="F4257" s="5"/>
      <c r="G4257" s="5"/>
      <c r="H4257" s="5"/>
      <c r="I4257" s="5"/>
      <c r="J4257" s="5"/>
      <c r="K4257" s="5"/>
      <c r="L4257" s="5"/>
      <c r="M4257" s="5"/>
      <c r="N4257" s="5"/>
      <c r="O4257" s="5"/>
    </row>
    <row r="4258" spans="2:15" x14ac:dyDescent="0.55000000000000004">
      <c r="B4258" s="5"/>
      <c r="C4258" s="5"/>
      <c r="D4258" s="5"/>
      <c r="E4258" s="5"/>
      <c r="F4258" s="5"/>
      <c r="G4258" s="5"/>
      <c r="H4258" s="5"/>
      <c r="I4258" s="5"/>
      <c r="J4258" s="5"/>
      <c r="K4258" s="5"/>
      <c r="L4258" s="5"/>
      <c r="M4258" s="5"/>
      <c r="N4258" s="5"/>
      <c r="O4258" s="5"/>
    </row>
    <row r="4259" spans="2:15" x14ac:dyDescent="0.55000000000000004">
      <c r="B4259" s="5"/>
      <c r="C4259" s="5"/>
      <c r="D4259" s="5"/>
      <c r="E4259" s="5"/>
      <c r="F4259" s="5"/>
      <c r="G4259" s="5"/>
      <c r="H4259" s="5"/>
      <c r="I4259" s="5"/>
      <c r="J4259" s="5"/>
      <c r="K4259" s="5"/>
      <c r="L4259" s="5"/>
      <c r="M4259" s="5"/>
      <c r="N4259" s="5"/>
      <c r="O4259" s="5"/>
    </row>
    <row r="4260" spans="2:15" x14ac:dyDescent="0.55000000000000004">
      <c r="B4260" s="5"/>
      <c r="C4260" s="5"/>
      <c r="D4260" s="5"/>
      <c r="E4260" s="5"/>
      <c r="F4260" s="5"/>
      <c r="G4260" s="5"/>
      <c r="H4260" s="5"/>
      <c r="I4260" s="5"/>
      <c r="J4260" s="5"/>
      <c r="K4260" s="5"/>
      <c r="L4260" s="5"/>
      <c r="M4260" s="5"/>
      <c r="N4260" s="5"/>
      <c r="O4260" s="5"/>
    </row>
    <row r="4261" spans="2:15" x14ac:dyDescent="0.55000000000000004">
      <c r="B4261" s="5"/>
      <c r="C4261" s="5"/>
      <c r="D4261" s="5"/>
      <c r="E4261" s="5"/>
      <c r="F4261" s="5"/>
      <c r="G4261" s="5"/>
      <c r="H4261" s="5"/>
      <c r="I4261" s="5"/>
      <c r="J4261" s="5"/>
      <c r="K4261" s="5"/>
      <c r="L4261" s="5"/>
      <c r="M4261" s="5"/>
      <c r="N4261" s="5"/>
      <c r="O4261" s="5"/>
    </row>
    <row r="4262" spans="2:15" x14ac:dyDescent="0.55000000000000004">
      <c r="B4262" s="5"/>
      <c r="C4262" s="5"/>
      <c r="D4262" s="5"/>
      <c r="E4262" s="5"/>
      <c r="F4262" s="5"/>
      <c r="G4262" s="5"/>
      <c r="H4262" s="5"/>
      <c r="I4262" s="5"/>
      <c r="J4262" s="5"/>
      <c r="K4262" s="5"/>
      <c r="L4262" s="5"/>
      <c r="M4262" s="5"/>
      <c r="N4262" s="5"/>
      <c r="O4262" s="5"/>
    </row>
    <row r="4263" spans="2:15" x14ac:dyDescent="0.55000000000000004">
      <c r="B4263" s="5"/>
      <c r="C4263" s="5"/>
      <c r="D4263" s="5"/>
      <c r="E4263" s="5"/>
      <c r="F4263" s="5"/>
      <c r="G4263" s="5"/>
      <c r="H4263" s="5"/>
      <c r="I4263" s="5"/>
      <c r="J4263" s="5"/>
      <c r="K4263" s="5"/>
      <c r="L4263" s="5"/>
      <c r="M4263" s="5"/>
      <c r="N4263" s="5"/>
      <c r="O4263" s="5"/>
    </row>
    <row r="4264" spans="2:15" x14ac:dyDescent="0.55000000000000004">
      <c r="B4264" s="5"/>
      <c r="C4264" s="5"/>
      <c r="D4264" s="5"/>
      <c r="E4264" s="5"/>
      <c r="F4264" s="5"/>
      <c r="G4264" s="5"/>
      <c r="H4264" s="5"/>
      <c r="I4264" s="5"/>
      <c r="J4264" s="5"/>
      <c r="K4264" s="5"/>
      <c r="L4264" s="5"/>
      <c r="M4264" s="5"/>
      <c r="N4264" s="5"/>
      <c r="O4264" s="5"/>
    </row>
    <row r="4265" spans="2:15" x14ac:dyDescent="0.55000000000000004">
      <c r="B4265" s="5"/>
      <c r="C4265" s="5"/>
      <c r="D4265" s="5"/>
      <c r="E4265" s="5"/>
      <c r="F4265" s="5"/>
      <c r="G4265" s="5"/>
      <c r="H4265" s="5"/>
      <c r="I4265" s="5"/>
      <c r="J4265" s="5"/>
      <c r="K4265" s="5"/>
      <c r="L4265" s="5"/>
      <c r="M4265" s="5"/>
      <c r="N4265" s="5"/>
      <c r="O4265" s="5"/>
    </row>
    <row r="4266" spans="2:15" x14ac:dyDescent="0.55000000000000004">
      <c r="B4266" s="5"/>
      <c r="C4266" s="5"/>
      <c r="D4266" s="5"/>
      <c r="E4266" s="5"/>
      <c r="F4266" s="5"/>
      <c r="G4266" s="5"/>
      <c r="H4266" s="5"/>
      <c r="I4266" s="5"/>
      <c r="J4266" s="5"/>
      <c r="K4266" s="5"/>
      <c r="L4266" s="5"/>
      <c r="M4266" s="5"/>
      <c r="N4266" s="5"/>
      <c r="O4266" s="5"/>
    </row>
    <row r="4267" spans="2:15" x14ac:dyDescent="0.55000000000000004">
      <c r="B4267" s="5"/>
      <c r="C4267" s="5"/>
      <c r="D4267" s="5"/>
      <c r="E4267" s="5"/>
      <c r="F4267" s="5"/>
      <c r="G4267" s="5"/>
      <c r="H4267" s="5"/>
      <c r="I4267" s="5"/>
      <c r="J4267" s="5"/>
      <c r="K4267" s="5"/>
      <c r="L4267" s="5"/>
      <c r="M4267" s="5"/>
      <c r="N4267" s="5"/>
      <c r="O4267" s="5"/>
    </row>
    <row r="4268" spans="2:15" x14ac:dyDescent="0.55000000000000004">
      <c r="B4268" s="5"/>
      <c r="C4268" s="5"/>
      <c r="D4268" s="5"/>
      <c r="E4268" s="5"/>
      <c r="F4268" s="5"/>
      <c r="G4268" s="5"/>
      <c r="H4268" s="5"/>
      <c r="I4268" s="5"/>
      <c r="J4268" s="5"/>
      <c r="K4268" s="5"/>
      <c r="L4268" s="5"/>
      <c r="M4268" s="5"/>
      <c r="N4268" s="5"/>
      <c r="O4268" s="5"/>
    </row>
    <row r="4269" spans="2:15" x14ac:dyDescent="0.55000000000000004">
      <c r="B4269" s="5"/>
      <c r="C4269" s="5"/>
      <c r="D4269" s="5"/>
      <c r="E4269" s="5"/>
      <c r="F4269" s="5"/>
      <c r="G4269" s="5"/>
      <c r="H4269" s="5"/>
      <c r="I4269" s="5"/>
      <c r="J4269" s="5"/>
      <c r="K4269" s="5"/>
      <c r="L4269" s="5"/>
      <c r="M4269" s="5"/>
      <c r="N4269" s="5"/>
      <c r="O4269" s="5"/>
    </row>
    <row r="4270" spans="2:15" x14ac:dyDescent="0.55000000000000004">
      <c r="B4270" s="5"/>
      <c r="C4270" s="5"/>
      <c r="D4270" s="5"/>
      <c r="E4270" s="5"/>
      <c r="F4270" s="5"/>
      <c r="G4270" s="5"/>
      <c r="H4270" s="5"/>
      <c r="I4270" s="5"/>
      <c r="J4270" s="5"/>
      <c r="K4270" s="5"/>
      <c r="L4270" s="5"/>
      <c r="M4270" s="5"/>
      <c r="N4270" s="5"/>
      <c r="O4270" s="5"/>
    </row>
    <row r="4271" spans="2:15" x14ac:dyDescent="0.55000000000000004">
      <c r="B4271" s="5"/>
      <c r="C4271" s="5"/>
      <c r="D4271" s="5"/>
      <c r="E4271" s="5"/>
      <c r="F4271" s="5"/>
      <c r="G4271" s="5"/>
      <c r="H4271" s="5"/>
      <c r="I4271" s="5"/>
      <c r="J4271" s="5"/>
      <c r="K4271" s="5"/>
      <c r="L4271" s="5"/>
      <c r="M4271" s="5"/>
      <c r="N4271" s="5"/>
      <c r="O4271" s="5"/>
    </row>
    <row r="4272" spans="2:15" x14ac:dyDescent="0.55000000000000004">
      <c r="B4272" s="5"/>
      <c r="C4272" s="5"/>
      <c r="D4272" s="5"/>
      <c r="E4272" s="5"/>
      <c r="F4272" s="5"/>
      <c r="G4272" s="5"/>
      <c r="H4272" s="5"/>
      <c r="I4272" s="5"/>
      <c r="J4272" s="5"/>
      <c r="K4272" s="5"/>
      <c r="L4272" s="5"/>
      <c r="M4272" s="5"/>
      <c r="N4272" s="5"/>
      <c r="O4272" s="5"/>
    </row>
    <row r="4273" spans="2:15" x14ac:dyDescent="0.55000000000000004">
      <c r="B4273" s="5"/>
      <c r="C4273" s="5"/>
      <c r="D4273" s="5"/>
      <c r="E4273" s="5"/>
      <c r="F4273" s="5"/>
      <c r="G4273" s="5"/>
      <c r="H4273" s="5"/>
      <c r="I4273" s="5"/>
      <c r="J4273" s="5"/>
      <c r="K4273" s="5"/>
      <c r="L4273" s="5"/>
      <c r="M4273" s="5"/>
      <c r="N4273" s="5"/>
      <c r="O4273" s="5"/>
    </row>
    <row r="4274" spans="2:15" x14ac:dyDescent="0.55000000000000004">
      <c r="B4274" s="5"/>
      <c r="C4274" s="5"/>
      <c r="D4274" s="5"/>
      <c r="E4274" s="5"/>
      <c r="F4274" s="5"/>
      <c r="G4274" s="5"/>
      <c r="H4274" s="5"/>
      <c r="I4274" s="5"/>
      <c r="J4274" s="5"/>
      <c r="K4274" s="5"/>
      <c r="L4274" s="5"/>
      <c r="M4274" s="5"/>
      <c r="N4274" s="5"/>
      <c r="O4274" s="5"/>
    </row>
    <row r="4275" spans="2:15" x14ac:dyDescent="0.55000000000000004">
      <c r="B4275" s="5"/>
      <c r="C4275" s="5"/>
      <c r="D4275" s="5"/>
      <c r="E4275" s="5"/>
      <c r="F4275" s="5"/>
      <c r="G4275" s="5"/>
      <c r="H4275" s="5"/>
      <c r="I4275" s="5"/>
      <c r="J4275" s="5"/>
      <c r="K4275" s="5"/>
      <c r="L4275" s="5"/>
      <c r="M4275" s="5"/>
      <c r="N4275" s="5"/>
      <c r="O4275" s="5"/>
    </row>
    <row r="4276" spans="2:15" x14ac:dyDescent="0.55000000000000004">
      <c r="B4276" s="5"/>
      <c r="C4276" s="5"/>
      <c r="D4276" s="5"/>
      <c r="E4276" s="5"/>
      <c r="F4276" s="5"/>
      <c r="G4276" s="5"/>
      <c r="H4276" s="5"/>
      <c r="I4276" s="5"/>
      <c r="J4276" s="5"/>
      <c r="K4276" s="5"/>
      <c r="L4276" s="5"/>
      <c r="M4276" s="5"/>
      <c r="N4276" s="5"/>
      <c r="O4276" s="5"/>
    </row>
    <row r="4277" spans="2:15" x14ac:dyDescent="0.55000000000000004">
      <c r="B4277" s="5"/>
      <c r="C4277" s="5"/>
      <c r="D4277" s="5"/>
      <c r="E4277" s="5"/>
      <c r="F4277" s="5"/>
      <c r="G4277" s="5"/>
      <c r="H4277" s="5"/>
      <c r="I4277" s="5"/>
      <c r="J4277" s="5"/>
      <c r="K4277" s="5"/>
      <c r="L4277" s="5"/>
      <c r="M4277" s="5"/>
      <c r="N4277" s="5"/>
      <c r="O4277" s="5"/>
    </row>
    <row r="4278" spans="2:15" x14ac:dyDescent="0.55000000000000004">
      <c r="B4278" s="5"/>
      <c r="C4278" s="5"/>
      <c r="D4278" s="5"/>
      <c r="E4278" s="5"/>
      <c r="F4278" s="5"/>
      <c r="G4278" s="5"/>
      <c r="H4278" s="5"/>
      <c r="I4278" s="5"/>
      <c r="J4278" s="5"/>
      <c r="K4278" s="5"/>
      <c r="L4278" s="5"/>
      <c r="M4278" s="5"/>
      <c r="N4278" s="5"/>
      <c r="O4278" s="5"/>
    </row>
    <row r="4279" spans="2:15" x14ac:dyDescent="0.55000000000000004">
      <c r="B4279" s="5"/>
      <c r="C4279" s="5"/>
      <c r="D4279" s="5"/>
      <c r="E4279" s="5"/>
      <c r="F4279" s="5"/>
      <c r="G4279" s="5"/>
      <c r="H4279" s="5"/>
      <c r="I4279" s="5"/>
      <c r="J4279" s="5"/>
      <c r="K4279" s="5"/>
      <c r="L4279" s="5"/>
      <c r="M4279" s="5"/>
      <c r="N4279" s="5"/>
      <c r="O4279" s="5"/>
    </row>
    <row r="4280" spans="2:15" x14ac:dyDescent="0.55000000000000004">
      <c r="B4280" s="5"/>
      <c r="C4280" s="5"/>
      <c r="D4280" s="5"/>
      <c r="E4280" s="5"/>
      <c r="F4280" s="5"/>
      <c r="G4280" s="5"/>
      <c r="H4280" s="5"/>
      <c r="I4280" s="5"/>
      <c r="J4280" s="5"/>
      <c r="K4280" s="5"/>
      <c r="L4280" s="5"/>
      <c r="M4280" s="5"/>
      <c r="N4280" s="5"/>
      <c r="O4280" s="5"/>
    </row>
    <row r="4281" spans="2:15" x14ac:dyDescent="0.55000000000000004">
      <c r="B4281" s="5"/>
      <c r="C4281" s="5"/>
      <c r="D4281" s="5"/>
      <c r="E4281" s="5"/>
      <c r="F4281" s="5"/>
      <c r="G4281" s="5"/>
      <c r="H4281" s="5"/>
      <c r="I4281" s="5"/>
      <c r="J4281" s="5"/>
      <c r="K4281" s="5"/>
      <c r="L4281" s="5"/>
      <c r="M4281" s="5"/>
      <c r="N4281" s="5"/>
      <c r="O4281" s="5"/>
    </row>
    <row r="4282" spans="2:15" x14ac:dyDescent="0.55000000000000004">
      <c r="B4282" s="5"/>
      <c r="C4282" s="5"/>
      <c r="D4282" s="5"/>
      <c r="E4282" s="5"/>
      <c r="F4282" s="5"/>
      <c r="G4282" s="5"/>
      <c r="H4282" s="5"/>
      <c r="I4282" s="5"/>
      <c r="J4282" s="5"/>
      <c r="K4282" s="5"/>
      <c r="L4282" s="5"/>
      <c r="M4282" s="5"/>
      <c r="N4282" s="5"/>
      <c r="O4282" s="5"/>
    </row>
    <row r="4283" spans="2:15" x14ac:dyDescent="0.55000000000000004">
      <c r="B4283" s="5"/>
      <c r="C4283" s="5"/>
      <c r="D4283" s="5"/>
      <c r="E4283" s="5"/>
      <c r="F4283" s="5"/>
      <c r="G4283" s="5"/>
      <c r="H4283" s="5"/>
      <c r="I4283" s="5"/>
      <c r="J4283" s="5"/>
      <c r="K4283" s="5"/>
      <c r="L4283" s="5"/>
      <c r="M4283" s="5"/>
      <c r="N4283" s="5"/>
      <c r="O4283" s="5"/>
    </row>
    <row r="4284" spans="2:15" x14ac:dyDescent="0.55000000000000004">
      <c r="B4284" s="5"/>
      <c r="C4284" s="5"/>
      <c r="D4284" s="5"/>
      <c r="E4284" s="5"/>
      <c r="F4284" s="5"/>
      <c r="G4284" s="5"/>
      <c r="H4284" s="5"/>
      <c r="I4284" s="5"/>
      <c r="J4284" s="5"/>
      <c r="K4284" s="5"/>
      <c r="L4284" s="5"/>
      <c r="M4284" s="5"/>
      <c r="N4284" s="5"/>
      <c r="O4284" s="5"/>
    </row>
    <row r="4285" spans="2:15" x14ac:dyDescent="0.55000000000000004">
      <c r="B4285" s="5"/>
      <c r="C4285" s="5"/>
      <c r="D4285" s="5"/>
      <c r="E4285" s="5"/>
      <c r="F4285" s="5"/>
      <c r="G4285" s="5"/>
      <c r="H4285" s="5"/>
      <c r="I4285" s="5"/>
      <c r="J4285" s="5"/>
      <c r="K4285" s="5"/>
      <c r="L4285" s="5"/>
      <c r="M4285" s="5"/>
      <c r="N4285" s="5"/>
      <c r="O4285" s="5"/>
    </row>
    <row r="4286" spans="2:15" x14ac:dyDescent="0.55000000000000004">
      <c r="B4286" s="5"/>
      <c r="C4286" s="5"/>
      <c r="D4286" s="5"/>
      <c r="E4286" s="5"/>
      <c r="F4286" s="5"/>
      <c r="G4286" s="5"/>
      <c r="H4286" s="5"/>
      <c r="I4286" s="5"/>
      <c r="J4286" s="5"/>
      <c r="K4286" s="5"/>
      <c r="L4286" s="5"/>
      <c r="M4286" s="5"/>
      <c r="N4286" s="5"/>
      <c r="O4286" s="5"/>
    </row>
    <row r="4287" spans="2:15" x14ac:dyDescent="0.55000000000000004">
      <c r="B4287" s="5"/>
      <c r="C4287" s="5"/>
      <c r="D4287" s="5"/>
      <c r="E4287" s="5"/>
      <c r="F4287" s="5"/>
      <c r="G4287" s="5"/>
      <c r="H4287" s="5"/>
      <c r="I4287" s="5"/>
      <c r="J4287" s="5"/>
      <c r="K4287" s="5"/>
      <c r="L4287" s="5"/>
      <c r="M4287" s="5"/>
      <c r="N4287" s="5"/>
      <c r="O4287" s="5"/>
    </row>
    <row r="4288" spans="2:15" x14ac:dyDescent="0.55000000000000004">
      <c r="B4288" s="5"/>
      <c r="C4288" s="5"/>
      <c r="D4288" s="5"/>
      <c r="E4288" s="5"/>
      <c r="F4288" s="5"/>
      <c r="G4288" s="5"/>
      <c r="H4288" s="5"/>
      <c r="I4288" s="5"/>
      <c r="J4288" s="5"/>
      <c r="K4288" s="5"/>
      <c r="L4288" s="5"/>
      <c r="M4288" s="5"/>
      <c r="N4288" s="5"/>
      <c r="O4288" s="5"/>
    </row>
    <row r="4289" spans="2:15" x14ac:dyDescent="0.55000000000000004">
      <c r="B4289" s="5"/>
      <c r="C4289" s="5"/>
      <c r="D4289" s="5"/>
      <c r="E4289" s="5"/>
      <c r="F4289" s="5"/>
      <c r="G4289" s="5"/>
      <c r="H4289" s="5"/>
      <c r="I4289" s="5"/>
      <c r="J4289" s="5"/>
      <c r="K4289" s="5"/>
      <c r="L4289" s="5"/>
      <c r="M4289" s="5"/>
      <c r="N4289" s="5"/>
      <c r="O4289" s="5"/>
    </row>
    <row r="4290" spans="2:15" x14ac:dyDescent="0.55000000000000004">
      <c r="B4290" s="5"/>
      <c r="C4290" s="5"/>
      <c r="D4290" s="5"/>
      <c r="E4290" s="5"/>
      <c r="F4290" s="5"/>
      <c r="G4290" s="5"/>
      <c r="H4290" s="5"/>
      <c r="I4290" s="5"/>
      <c r="J4290" s="5"/>
      <c r="K4290" s="5"/>
      <c r="L4290" s="5"/>
      <c r="M4290" s="5"/>
      <c r="N4290" s="5"/>
      <c r="O4290" s="5"/>
    </row>
    <row r="4291" spans="2:15" x14ac:dyDescent="0.55000000000000004">
      <c r="B4291" s="5"/>
      <c r="C4291" s="5"/>
      <c r="D4291" s="5"/>
      <c r="E4291" s="5"/>
      <c r="F4291" s="5"/>
      <c r="G4291" s="5"/>
      <c r="H4291" s="5"/>
      <c r="I4291" s="5"/>
      <c r="J4291" s="5"/>
      <c r="K4291" s="5"/>
      <c r="L4291" s="5"/>
      <c r="M4291" s="5"/>
      <c r="N4291" s="5"/>
      <c r="O4291" s="5"/>
    </row>
    <row r="4292" spans="2:15" x14ac:dyDescent="0.55000000000000004">
      <c r="B4292" s="5"/>
      <c r="C4292" s="5"/>
      <c r="D4292" s="5"/>
      <c r="E4292" s="5"/>
      <c r="F4292" s="5"/>
      <c r="G4292" s="5"/>
      <c r="H4292" s="5"/>
      <c r="I4292" s="5"/>
      <c r="J4292" s="5"/>
      <c r="K4292" s="5"/>
      <c r="L4292" s="5"/>
      <c r="M4292" s="5"/>
      <c r="N4292" s="5"/>
      <c r="O4292" s="5"/>
    </row>
    <row r="4293" spans="2:15" x14ac:dyDescent="0.55000000000000004">
      <c r="B4293" s="5"/>
      <c r="C4293" s="5"/>
      <c r="D4293" s="5"/>
      <c r="E4293" s="5"/>
      <c r="F4293" s="5"/>
      <c r="G4293" s="5"/>
      <c r="H4293" s="5"/>
      <c r="I4293" s="5"/>
      <c r="J4293" s="5"/>
      <c r="K4293" s="5"/>
      <c r="L4293" s="5"/>
      <c r="M4293" s="5"/>
      <c r="N4293" s="5"/>
      <c r="O4293" s="5"/>
    </row>
    <row r="4294" spans="2:15" x14ac:dyDescent="0.55000000000000004">
      <c r="B4294" s="5"/>
      <c r="C4294" s="5"/>
      <c r="D4294" s="5"/>
      <c r="E4294" s="5"/>
      <c r="F4294" s="5"/>
      <c r="G4294" s="5"/>
      <c r="H4294" s="5"/>
      <c r="I4294" s="5"/>
      <c r="J4294" s="5"/>
      <c r="K4294" s="5"/>
      <c r="L4294" s="5"/>
      <c r="M4294" s="5"/>
      <c r="N4294" s="5"/>
      <c r="O4294" s="5"/>
    </row>
    <row r="4295" spans="2:15" x14ac:dyDescent="0.55000000000000004">
      <c r="B4295" s="5"/>
      <c r="C4295" s="5"/>
      <c r="D4295" s="5"/>
      <c r="E4295" s="5"/>
      <c r="F4295" s="5"/>
      <c r="G4295" s="5"/>
      <c r="H4295" s="5"/>
      <c r="I4295" s="5"/>
      <c r="J4295" s="5"/>
      <c r="K4295" s="5"/>
      <c r="L4295" s="5"/>
      <c r="M4295" s="5"/>
      <c r="N4295" s="5"/>
      <c r="O4295" s="5"/>
    </row>
    <row r="4296" spans="2:15" x14ac:dyDescent="0.55000000000000004">
      <c r="B4296" s="5"/>
      <c r="C4296" s="5"/>
      <c r="D4296" s="5"/>
      <c r="E4296" s="5"/>
      <c r="F4296" s="5"/>
      <c r="G4296" s="5"/>
      <c r="H4296" s="5"/>
      <c r="I4296" s="5"/>
      <c r="J4296" s="5"/>
      <c r="K4296" s="5"/>
      <c r="L4296" s="5"/>
      <c r="M4296" s="5"/>
      <c r="N4296" s="5"/>
      <c r="O4296" s="5"/>
    </row>
    <row r="4297" spans="2:15" x14ac:dyDescent="0.55000000000000004">
      <c r="B4297" s="5"/>
      <c r="C4297" s="5"/>
      <c r="D4297" s="5"/>
      <c r="E4297" s="5"/>
      <c r="F4297" s="5"/>
      <c r="G4297" s="5"/>
      <c r="H4297" s="5"/>
      <c r="I4297" s="5"/>
      <c r="J4297" s="5"/>
      <c r="K4297" s="5"/>
      <c r="L4297" s="5"/>
      <c r="M4297" s="5"/>
      <c r="N4297" s="5"/>
      <c r="O4297" s="5"/>
    </row>
    <row r="4298" spans="2:15" x14ac:dyDescent="0.55000000000000004">
      <c r="B4298" s="5"/>
      <c r="C4298" s="5"/>
      <c r="D4298" s="5"/>
      <c r="E4298" s="5"/>
      <c r="F4298" s="5"/>
      <c r="G4298" s="5"/>
      <c r="H4298" s="5"/>
      <c r="I4298" s="5"/>
      <c r="J4298" s="5"/>
      <c r="K4298" s="5"/>
      <c r="L4298" s="5"/>
      <c r="M4298" s="5"/>
      <c r="N4298" s="5"/>
      <c r="O4298" s="5"/>
    </row>
    <row r="4299" spans="2:15" x14ac:dyDescent="0.55000000000000004">
      <c r="B4299" s="5"/>
      <c r="C4299" s="5"/>
      <c r="D4299" s="5"/>
      <c r="E4299" s="5"/>
      <c r="F4299" s="5"/>
      <c r="G4299" s="5"/>
      <c r="H4299" s="5"/>
      <c r="I4299" s="5"/>
      <c r="J4299" s="5"/>
      <c r="K4299" s="5"/>
      <c r="L4299" s="5"/>
      <c r="M4299" s="5"/>
      <c r="N4299" s="5"/>
      <c r="O4299" s="5"/>
    </row>
    <row r="4300" spans="2:15" x14ac:dyDescent="0.55000000000000004">
      <c r="B4300" s="5"/>
      <c r="C4300" s="5"/>
      <c r="D4300" s="5"/>
      <c r="E4300" s="5"/>
      <c r="F4300" s="5"/>
      <c r="G4300" s="5"/>
      <c r="H4300" s="5"/>
      <c r="I4300" s="5"/>
      <c r="J4300" s="5"/>
      <c r="K4300" s="5"/>
      <c r="L4300" s="5"/>
      <c r="M4300" s="5"/>
      <c r="N4300" s="5"/>
      <c r="O4300" s="5"/>
    </row>
    <row r="4301" spans="2:15" x14ac:dyDescent="0.55000000000000004">
      <c r="B4301" s="5"/>
      <c r="C4301" s="5"/>
      <c r="D4301" s="5"/>
      <c r="E4301" s="5"/>
      <c r="F4301" s="5"/>
      <c r="G4301" s="5"/>
      <c r="H4301" s="5"/>
      <c r="I4301" s="5"/>
      <c r="J4301" s="5"/>
      <c r="K4301" s="5"/>
      <c r="L4301" s="5"/>
      <c r="M4301" s="5"/>
      <c r="N4301" s="5"/>
      <c r="O4301" s="5"/>
    </row>
    <row r="4302" spans="2:15" x14ac:dyDescent="0.55000000000000004">
      <c r="B4302" s="5"/>
      <c r="C4302" s="5"/>
      <c r="D4302" s="5"/>
      <c r="E4302" s="5"/>
      <c r="F4302" s="5"/>
      <c r="G4302" s="5"/>
      <c r="H4302" s="5"/>
      <c r="I4302" s="5"/>
      <c r="J4302" s="5"/>
      <c r="K4302" s="5"/>
      <c r="L4302" s="5"/>
      <c r="M4302" s="5"/>
      <c r="N4302" s="5"/>
      <c r="O4302" s="5"/>
    </row>
    <row r="4303" spans="2:15" x14ac:dyDescent="0.55000000000000004">
      <c r="B4303" s="5"/>
      <c r="C4303" s="5"/>
      <c r="D4303" s="5"/>
      <c r="E4303" s="5"/>
      <c r="F4303" s="5"/>
      <c r="G4303" s="5"/>
      <c r="H4303" s="5"/>
      <c r="I4303" s="5"/>
      <c r="J4303" s="5"/>
      <c r="K4303" s="5"/>
      <c r="L4303" s="5"/>
      <c r="M4303" s="5"/>
      <c r="N4303" s="5"/>
      <c r="O4303" s="5"/>
    </row>
    <row r="4304" spans="2:15" x14ac:dyDescent="0.55000000000000004">
      <c r="B4304" s="5"/>
      <c r="C4304" s="5"/>
      <c r="D4304" s="5"/>
      <c r="E4304" s="5"/>
      <c r="F4304" s="5"/>
      <c r="G4304" s="5"/>
      <c r="H4304" s="5"/>
      <c r="I4304" s="5"/>
      <c r="J4304" s="5"/>
      <c r="K4304" s="5"/>
      <c r="L4304" s="5"/>
      <c r="M4304" s="5"/>
      <c r="N4304" s="5"/>
      <c r="O4304" s="5"/>
    </row>
    <row r="4305" spans="2:15" x14ac:dyDescent="0.55000000000000004">
      <c r="B4305" s="5"/>
      <c r="C4305" s="5"/>
      <c r="D4305" s="5"/>
      <c r="E4305" s="5"/>
      <c r="F4305" s="5"/>
      <c r="G4305" s="5"/>
      <c r="H4305" s="5"/>
      <c r="I4305" s="5"/>
      <c r="J4305" s="5"/>
      <c r="K4305" s="5"/>
      <c r="L4305" s="5"/>
      <c r="M4305" s="5"/>
      <c r="N4305" s="5"/>
      <c r="O4305" s="5"/>
    </row>
    <row r="4306" spans="2:15" x14ac:dyDescent="0.55000000000000004">
      <c r="B4306" s="5"/>
      <c r="C4306" s="5"/>
      <c r="D4306" s="5"/>
      <c r="E4306" s="5"/>
      <c r="F4306" s="5"/>
      <c r="G4306" s="5"/>
      <c r="H4306" s="5"/>
      <c r="I4306" s="5"/>
      <c r="J4306" s="5"/>
      <c r="K4306" s="5"/>
      <c r="L4306" s="5"/>
      <c r="M4306" s="5"/>
      <c r="N4306" s="5"/>
      <c r="O4306" s="5"/>
    </row>
    <row r="4307" spans="2:15" x14ac:dyDescent="0.55000000000000004">
      <c r="B4307" s="5"/>
      <c r="C4307" s="5"/>
      <c r="D4307" s="5"/>
      <c r="E4307" s="5"/>
      <c r="F4307" s="5"/>
      <c r="G4307" s="5"/>
      <c r="H4307" s="5"/>
      <c r="I4307" s="5"/>
      <c r="J4307" s="5"/>
      <c r="K4307" s="5"/>
      <c r="L4307" s="5"/>
      <c r="M4307" s="5"/>
      <c r="N4307" s="5"/>
      <c r="O4307" s="5"/>
    </row>
    <row r="4308" spans="2:15" x14ac:dyDescent="0.55000000000000004">
      <c r="B4308" s="5"/>
      <c r="C4308" s="5"/>
      <c r="D4308" s="5"/>
      <c r="E4308" s="5"/>
      <c r="F4308" s="5"/>
      <c r="G4308" s="5"/>
      <c r="H4308" s="5"/>
      <c r="I4308" s="5"/>
      <c r="J4308" s="5"/>
      <c r="K4308" s="5"/>
      <c r="L4308" s="5"/>
      <c r="M4308" s="5"/>
      <c r="N4308" s="5"/>
      <c r="O4308" s="5"/>
    </row>
    <row r="4309" spans="2:15" x14ac:dyDescent="0.55000000000000004">
      <c r="B4309" s="5"/>
      <c r="C4309" s="5"/>
      <c r="D4309" s="5"/>
      <c r="E4309" s="5"/>
      <c r="F4309" s="5"/>
      <c r="G4309" s="5"/>
      <c r="H4309" s="5"/>
      <c r="I4309" s="5"/>
      <c r="J4309" s="5"/>
      <c r="K4309" s="5"/>
      <c r="L4309" s="5"/>
      <c r="M4309" s="5"/>
      <c r="N4309" s="5"/>
      <c r="O4309" s="5"/>
    </row>
    <row r="4310" spans="2:15" x14ac:dyDescent="0.55000000000000004">
      <c r="B4310" s="5"/>
      <c r="C4310" s="5"/>
      <c r="D4310" s="5"/>
      <c r="E4310" s="5"/>
      <c r="F4310" s="5"/>
      <c r="G4310" s="5"/>
      <c r="H4310" s="5"/>
      <c r="I4310" s="5"/>
      <c r="J4310" s="5"/>
      <c r="K4310" s="5"/>
      <c r="L4310" s="5"/>
      <c r="M4310" s="5"/>
      <c r="N4310" s="5"/>
      <c r="O4310" s="5"/>
    </row>
    <row r="4311" spans="2:15" x14ac:dyDescent="0.55000000000000004">
      <c r="B4311" s="5"/>
      <c r="C4311" s="5"/>
      <c r="D4311" s="5"/>
      <c r="E4311" s="5"/>
      <c r="F4311" s="5"/>
      <c r="G4311" s="5"/>
      <c r="H4311" s="5"/>
      <c r="I4311" s="5"/>
      <c r="J4311" s="5"/>
      <c r="K4311" s="5"/>
      <c r="L4311" s="5"/>
      <c r="M4311" s="5"/>
      <c r="N4311" s="5"/>
      <c r="O4311" s="5"/>
    </row>
    <row r="4312" spans="2:15" x14ac:dyDescent="0.55000000000000004">
      <c r="B4312" s="5"/>
      <c r="C4312" s="5"/>
      <c r="D4312" s="5"/>
      <c r="E4312" s="5"/>
      <c r="F4312" s="5"/>
      <c r="G4312" s="5"/>
      <c r="H4312" s="5"/>
      <c r="I4312" s="5"/>
      <c r="J4312" s="5"/>
      <c r="K4312" s="5"/>
      <c r="L4312" s="5"/>
      <c r="M4312" s="5"/>
      <c r="N4312" s="5"/>
      <c r="O4312" s="5"/>
    </row>
    <row r="4313" spans="2:15" x14ac:dyDescent="0.55000000000000004">
      <c r="B4313" s="5"/>
      <c r="C4313" s="5"/>
      <c r="D4313" s="5"/>
      <c r="E4313" s="5"/>
      <c r="F4313" s="5"/>
      <c r="G4313" s="5"/>
      <c r="H4313" s="5"/>
      <c r="I4313" s="5"/>
      <c r="J4313" s="5"/>
      <c r="K4313" s="5"/>
      <c r="L4313" s="5"/>
      <c r="M4313" s="5"/>
      <c r="N4313" s="5"/>
      <c r="O4313" s="5"/>
    </row>
    <row r="4314" spans="2:15" x14ac:dyDescent="0.55000000000000004">
      <c r="B4314" s="5"/>
      <c r="C4314" s="5"/>
      <c r="D4314" s="5"/>
      <c r="E4314" s="5"/>
      <c r="F4314" s="5"/>
      <c r="G4314" s="5"/>
      <c r="H4314" s="5"/>
      <c r="I4314" s="5"/>
      <c r="J4314" s="5"/>
      <c r="K4314" s="5"/>
      <c r="L4314" s="5"/>
      <c r="M4314" s="5"/>
      <c r="N4314" s="5"/>
      <c r="O4314" s="5"/>
    </row>
    <row r="4315" spans="2:15" x14ac:dyDescent="0.55000000000000004">
      <c r="B4315" s="5"/>
      <c r="C4315" s="5"/>
      <c r="D4315" s="5"/>
      <c r="E4315" s="5"/>
      <c r="F4315" s="5"/>
      <c r="G4315" s="5"/>
      <c r="H4315" s="5"/>
      <c r="I4315" s="5"/>
      <c r="J4315" s="5"/>
      <c r="K4315" s="5"/>
      <c r="L4315" s="5"/>
      <c r="M4315" s="5"/>
      <c r="N4315" s="5"/>
      <c r="O4315" s="5"/>
    </row>
    <row r="4316" spans="2:15" x14ac:dyDescent="0.55000000000000004">
      <c r="B4316" s="5"/>
      <c r="C4316" s="5"/>
      <c r="D4316" s="5"/>
      <c r="E4316" s="5"/>
      <c r="F4316" s="5"/>
      <c r="G4316" s="5"/>
      <c r="H4316" s="5"/>
      <c r="I4316" s="5"/>
      <c r="J4316" s="5"/>
      <c r="K4316" s="5"/>
      <c r="L4316" s="5"/>
      <c r="M4316" s="5"/>
      <c r="N4316" s="5"/>
      <c r="O4316" s="5"/>
    </row>
    <row r="4317" spans="2:15" x14ac:dyDescent="0.55000000000000004">
      <c r="B4317" s="5"/>
      <c r="C4317" s="5"/>
      <c r="D4317" s="5"/>
      <c r="E4317" s="5"/>
      <c r="F4317" s="5"/>
      <c r="G4317" s="5"/>
      <c r="H4317" s="5"/>
      <c r="I4317" s="5"/>
      <c r="J4317" s="5"/>
      <c r="K4317" s="5"/>
      <c r="L4317" s="5"/>
      <c r="M4317" s="5"/>
      <c r="N4317" s="5"/>
      <c r="O4317" s="5"/>
    </row>
    <row r="4318" spans="2:15" x14ac:dyDescent="0.55000000000000004">
      <c r="B4318" s="5"/>
      <c r="C4318" s="5"/>
      <c r="D4318" s="5"/>
      <c r="E4318" s="5"/>
      <c r="F4318" s="5"/>
      <c r="G4318" s="5"/>
      <c r="H4318" s="5"/>
      <c r="I4318" s="5"/>
      <c r="J4318" s="5"/>
      <c r="K4318" s="5"/>
      <c r="L4318" s="5"/>
      <c r="M4318" s="5"/>
      <c r="N4318" s="5"/>
      <c r="O4318" s="5"/>
    </row>
    <row r="4319" spans="2:15" x14ac:dyDescent="0.55000000000000004">
      <c r="B4319" s="5"/>
      <c r="C4319" s="5"/>
      <c r="D4319" s="5"/>
      <c r="E4319" s="5"/>
      <c r="F4319" s="5"/>
      <c r="G4319" s="5"/>
      <c r="H4319" s="5"/>
      <c r="I4319" s="5"/>
      <c r="J4319" s="5"/>
      <c r="K4319" s="5"/>
      <c r="L4319" s="5"/>
      <c r="M4319" s="5"/>
      <c r="N4319" s="5"/>
      <c r="O4319" s="5"/>
    </row>
    <row r="4320" spans="2:15" x14ac:dyDescent="0.55000000000000004">
      <c r="B4320" s="5"/>
      <c r="C4320" s="5"/>
      <c r="D4320" s="5"/>
      <c r="E4320" s="5"/>
      <c r="F4320" s="5"/>
      <c r="G4320" s="5"/>
      <c r="H4320" s="5"/>
      <c r="I4320" s="5"/>
      <c r="J4320" s="5"/>
      <c r="K4320" s="5"/>
      <c r="L4320" s="5"/>
      <c r="M4320" s="5"/>
      <c r="N4320" s="5"/>
      <c r="O4320" s="5"/>
    </row>
    <row r="4321" spans="2:15" x14ac:dyDescent="0.55000000000000004">
      <c r="B4321" s="5"/>
      <c r="C4321" s="5"/>
      <c r="D4321" s="5"/>
      <c r="E4321" s="5"/>
      <c r="F4321" s="5"/>
      <c r="G4321" s="5"/>
      <c r="H4321" s="5"/>
      <c r="I4321" s="5"/>
      <c r="J4321" s="5"/>
      <c r="K4321" s="5"/>
      <c r="L4321" s="5"/>
      <c r="M4321" s="5"/>
      <c r="N4321" s="5"/>
      <c r="O4321" s="5"/>
    </row>
    <row r="4322" spans="2:15" x14ac:dyDescent="0.55000000000000004">
      <c r="B4322" s="5"/>
      <c r="C4322" s="5"/>
      <c r="D4322" s="5"/>
      <c r="E4322" s="5"/>
      <c r="F4322" s="5"/>
      <c r="G4322" s="5"/>
      <c r="H4322" s="5"/>
      <c r="I4322" s="5"/>
      <c r="J4322" s="5"/>
      <c r="K4322" s="5"/>
      <c r="L4322" s="5"/>
      <c r="M4322" s="5"/>
      <c r="N4322" s="5"/>
      <c r="O4322" s="5"/>
    </row>
    <row r="4323" spans="2:15" x14ac:dyDescent="0.55000000000000004">
      <c r="B4323" s="5"/>
      <c r="C4323" s="5"/>
      <c r="D4323" s="5"/>
      <c r="E4323" s="5"/>
      <c r="F4323" s="5"/>
      <c r="G4323" s="5"/>
      <c r="H4323" s="5"/>
      <c r="I4323" s="5"/>
      <c r="J4323" s="5"/>
      <c r="K4323" s="5"/>
      <c r="L4323" s="5"/>
      <c r="M4323" s="5"/>
      <c r="N4323" s="5"/>
      <c r="O4323" s="5"/>
    </row>
    <row r="4324" spans="2:15" x14ac:dyDescent="0.55000000000000004">
      <c r="B4324" s="5"/>
      <c r="C4324" s="5"/>
      <c r="D4324" s="5"/>
      <c r="E4324" s="5"/>
      <c r="F4324" s="5"/>
      <c r="G4324" s="5"/>
      <c r="H4324" s="5"/>
      <c r="I4324" s="5"/>
      <c r="J4324" s="5"/>
      <c r="K4324" s="5"/>
      <c r="L4324" s="5"/>
      <c r="M4324" s="5"/>
      <c r="N4324" s="5"/>
      <c r="O4324" s="5"/>
    </row>
    <row r="4325" spans="2:15" x14ac:dyDescent="0.55000000000000004">
      <c r="B4325" s="5"/>
      <c r="C4325" s="5"/>
      <c r="D4325" s="5"/>
      <c r="E4325" s="5"/>
      <c r="F4325" s="5"/>
      <c r="G4325" s="5"/>
      <c r="H4325" s="5"/>
      <c r="I4325" s="5"/>
      <c r="J4325" s="5"/>
      <c r="K4325" s="5"/>
      <c r="L4325" s="5"/>
      <c r="M4325" s="5"/>
      <c r="N4325" s="5"/>
      <c r="O4325" s="5"/>
    </row>
    <row r="4326" spans="2:15" x14ac:dyDescent="0.55000000000000004">
      <c r="B4326" s="5"/>
      <c r="C4326" s="5"/>
      <c r="D4326" s="5"/>
      <c r="E4326" s="5"/>
      <c r="F4326" s="5"/>
      <c r="G4326" s="5"/>
      <c r="H4326" s="5"/>
      <c r="I4326" s="5"/>
      <c r="J4326" s="5"/>
      <c r="K4326" s="5"/>
      <c r="L4326" s="5"/>
      <c r="M4326" s="5"/>
      <c r="N4326" s="5"/>
      <c r="O4326" s="5"/>
    </row>
    <row r="4327" spans="2:15" x14ac:dyDescent="0.55000000000000004">
      <c r="B4327" s="5"/>
      <c r="C4327" s="5"/>
      <c r="D4327" s="5"/>
      <c r="E4327" s="5"/>
      <c r="F4327" s="5"/>
      <c r="G4327" s="5"/>
      <c r="H4327" s="5"/>
      <c r="I4327" s="5"/>
      <c r="J4327" s="5"/>
      <c r="K4327" s="5"/>
      <c r="L4327" s="5"/>
      <c r="M4327" s="5"/>
      <c r="N4327" s="5"/>
      <c r="O4327" s="5"/>
    </row>
    <row r="4328" spans="2:15" x14ac:dyDescent="0.55000000000000004">
      <c r="B4328" s="5"/>
      <c r="C4328" s="5"/>
      <c r="D4328" s="5"/>
      <c r="E4328" s="5"/>
      <c r="F4328" s="5"/>
      <c r="G4328" s="5"/>
      <c r="H4328" s="5"/>
      <c r="I4328" s="5"/>
      <c r="J4328" s="5"/>
      <c r="K4328" s="5"/>
      <c r="L4328" s="5"/>
      <c r="M4328" s="5"/>
      <c r="N4328" s="5"/>
      <c r="O4328" s="5"/>
    </row>
    <row r="4329" spans="2:15" x14ac:dyDescent="0.55000000000000004">
      <c r="B4329" s="5"/>
      <c r="C4329" s="5"/>
      <c r="D4329" s="5"/>
      <c r="E4329" s="5"/>
      <c r="F4329" s="5"/>
      <c r="G4329" s="5"/>
      <c r="H4329" s="5"/>
      <c r="I4329" s="5"/>
      <c r="J4329" s="5"/>
      <c r="K4329" s="5"/>
      <c r="L4329" s="5"/>
      <c r="M4329" s="5"/>
      <c r="N4329" s="5"/>
      <c r="O4329" s="5"/>
    </row>
    <row r="4330" spans="2:15" x14ac:dyDescent="0.55000000000000004">
      <c r="B4330" s="5"/>
      <c r="C4330" s="5"/>
      <c r="D4330" s="5"/>
      <c r="E4330" s="5"/>
      <c r="F4330" s="5"/>
      <c r="G4330" s="5"/>
      <c r="H4330" s="5"/>
      <c r="I4330" s="5"/>
      <c r="J4330" s="5"/>
      <c r="K4330" s="5"/>
      <c r="L4330" s="5"/>
      <c r="M4330" s="5"/>
      <c r="N4330" s="5"/>
      <c r="O4330" s="5"/>
    </row>
    <row r="4331" spans="2:15" x14ac:dyDescent="0.55000000000000004">
      <c r="B4331" s="5"/>
      <c r="C4331" s="5"/>
      <c r="D4331" s="5"/>
      <c r="E4331" s="5"/>
      <c r="F4331" s="5"/>
      <c r="G4331" s="5"/>
      <c r="H4331" s="5"/>
      <c r="I4331" s="5"/>
      <c r="J4331" s="5"/>
      <c r="K4331" s="5"/>
      <c r="L4331" s="5"/>
      <c r="M4331" s="5"/>
      <c r="N4331" s="5"/>
      <c r="O4331" s="5"/>
    </row>
    <row r="4332" spans="2:15" x14ac:dyDescent="0.55000000000000004">
      <c r="B4332" s="5"/>
      <c r="C4332" s="5"/>
      <c r="D4332" s="5"/>
      <c r="E4332" s="5"/>
      <c r="F4332" s="5"/>
      <c r="G4332" s="5"/>
      <c r="H4332" s="5"/>
      <c r="I4332" s="5"/>
      <c r="J4332" s="5"/>
      <c r="K4332" s="5"/>
      <c r="L4332" s="5"/>
      <c r="M4332" s="5"/>
      <c r="N4332" s="5"/>
      <c r="O4332" s="5"/>
    </row>
    <row r="4333" spans="2:15" x14ac:dyDescent="0.55000000000000004">
      <c r="B4333" s="5"/>
      <c r="C4333" s="5"/>
      <c r="D4333" s="5"/>
      <c r="E4333" s="5"/>
      <c r="F4333" s="5"/>
      <c r="G4333" s="5"/>
      <c r="H4333" s="5"/>
      <c r="I4333" s="5"/>
      <c r="J4333" s="5"/>
      <c r="K4333" s="5"/>
      <c r="L4333" s="5"/>
      <c r="M4333" s="5"/>
      <c r="N4333" s="5"/>
      <c r="O4333" s="5"/>
    </row>
    <row r="4334" spans="2:15" x14ac:dyDescent="0.55000000000000004">
      <c r="B4334" s="5"/>
      <c r="C4334" s="5"/>
      <c r="D4334" s="5"/>
      <c r="E4334" s="5"/>
      <c r="F4334" s="5"/>
      <c r="G4334" s="5"/>
      <c r="H4334" s="5"/>
      <c r="I4334" s="5"/>
      <c r="J4334" s="5"/>
      <c r="K4334" s="5"/>
      <c r="L4334" s="5"/>
      <c r="M4334" s="5"/>
      <c r="N4334" s="5"/>
      <c r="O4334" s="5"/>
    </row>
    <row r="4335" spans="2:15" x14ac:dyDescent="0.55000000000000004">
      <c r="B4335" s="5"/>
      <c r="C4335" s="5"/>
      <c r="D4335" s="5"/>
      <c r="E4335" s="5"/>
      <c r="F4335" s="5"/>
      <c r="G4335" s="5"/>
      <c r="H4335" s="5"/>
      <c r="I4335" s="5"/>
      <c r="J4335" s="5"/>
      <c r="K4335" s="5"/>
      <c r="L4335" s="5"/>
      <c r="M4335" s="5"/>
      <c r="N4335" s="5"/>
      <c r="O4335" s="5"/>
    </row>
    <row r="4336" spans="2:15" x14ac:dyDescent="0.55000000000000004">
      <c r="B4336" s="5"/>
      <c r="C4336" s="5"/>
      <c r="D4336" s="5"/>
      <c r="E4336" s="5"/>
      <c r="F4336" s="5"/>
      <c r="G4336" s="5"/>
      <c r="H4336" s="5"/>
      <c r="I4336" s="5"/>
      <c r="J4336" s="5"/>
      <c r="K4336" s="5"/>
      <c r="L4336" s="5"/>
      <c r="M4336" s="5"/>
      <c r="N4336" s="5"/>
      <c r="O4336" s="5"/>
    </row>
    <row r="4337" spans="2:15" x14ac:dyDescent="0.55000000000000004">
      <c r="B4337" s="5"/>
      <c r="C4337" s="5"/>
      <c r="D4337" s="5"/>
      <c r="E4337" s="5"/>
      <c r="F4337" s="5"/>
      <c r="G4337" s="5"/>
      <c r="H4337" s="5"/>
      <c r="I4337" s="5"/>
      <c r="J4337" s="5"/>
      <c r="K4337" s="5"/>
      <c r="L4337" s="5"/>
      <c r="M4337" s="5"/>
      <c r="N4337" s="5"/>
      <c r="O4337" s="5"/>
    </row>
    <row r="4338" spans="2:15" x14ac:dyDescent="0.55000000000000004">
      <c r="B4338" s="5"/>
      <c r="C4338" s="5"/>
      <c r="D4338" s="5"/>
      <c r="E4338" s="5"/>
      <c r="F4338" s="5"/>
      <c r="G4338" s="5"/>
      <c r="H4338" s="5"/>
      <c r="I4338" s="5"/>
      <c r="J4338" s="5"/>
      <c r="K4338" s="5"/>
      <c r="L4338" s="5"/>
      <c r="M4338" s="5"/>
      <c r="N4338" s="5"/>
      <c r="O4338" s="5"/>
    </row>
    <row r="4339" spans="2:15" x14ac:dyDescent="0.55000000000000004">
      <c r="B4339" s="5"/>
      <c r="C4339" s="5"/>
      <c r="D4339" s="5"/>
      <c r="E4339" s="5"/>
      <c r="F4339" s="5"/>
      <c r="G4339" s="5"/>
      <c r="H4339" s="5"/>
      <c r="I4339" s="5"/>
      <c r="J4339" s="5"/>
      <c r="K4339" s="5"/>
      <c r="L4339" s="5"/>
      <c r="M4339" s="5"/>
      <c r="N4339" s="5"/>
      <c r="O4339" s="5"/>
    </row>
    <row r="4340" spans="2:15" x14ac:dyDescent="0.55000000000000004">
      <c r="B4340" s="5"/>
      <c r="C4340" s="5"/>
      <c r="D4340" s="5"/>
      <c r="E4340" s="5"/>
      <c r="F4340" s="5"/>
      <c r="G4340" s="5"/>
      <c r="H4340" s="5"/>
      <c r="I4340" s="5"/>
      <c r="J4340" s="5"/>
      <c r="K4340" s="5"/>
      <c r="L4340" s="5"/>
      <c r="M4340" s="5"/>
      <c r="N4340" s="5"/>
      <c r="O4340" s="5"/>
    </row>
    <row r="4341" spans="2:15" x14ac:dyDescent="0.55000000000000004">
      <c r="B4341" s="5"/>
      <c r="C4341" s="5"/>
      <c r="D4341" s="5"/>
      <c r="E4341" s="5"/>
      <c r="F4341" s="5"/>
      <c r="G4341" s="5"/>
      <c r="H4341" s="5"/>
      <c r="I4341" s="5"/>
      <c r="J4341" s="5"/>
      <c r="K4341" s="5"/>
      <c r="L4341" s="5"/>
      <c r="M4341" s="5"/>
      <c r="N4341" s="5"/>
      <c r="O4341" s="5"/>
    </row>
    <row r="4342" spans="2:15" x14ac:dyDescent="0.55000000000000004">
      <c r="B4342" s="5"/>
      <c r="C4342" s="5"/>
      <c r="D4342" s="5"/>
      <c r="E4342" s="5"/>
      <c r="F4342" s="5"/>
      <c r="G4342" s="5"/>
      <c r="H4342" s="5"/>
      <c r="I4342" s="5"/>
      <c r="J4342" s="5"/>
      <c r="K4342" s="5"/>
      <c r="L4342" s="5"/>
      <c r="M4342" s="5"/>
      <c r="N4342" s="5"/>
      <c r="O4342" s="5"/>
    </row>
    <row r="4343" spans="2:15" x14ac:dyDescent="0.55000000000000004">
      <c r="B4343" s="5"/>
      <c r="C4343" s="5"/>
      <c r="D4343" s="5"/>
      <c r="E4343" s="5"/>
      <c r="F4343" s="5"/>
      <c r="G4343" s="5"/>
      <c r="H4343" s="5"/>
      <c r="I4343" s="5"/>
      <c r="J4343" s="5"/>
      <c r="K4343" s="5"/>
      <c r="L4343" s="5"/>
      <c r="M4343" s="5"/>
      <c r="N4343" s="5"/>
      <c r="O4343" s="5"/>
    </row>
    <row r="4344" spans="2:15" x14ac:dyDescent="0.55000000000000004">
      <c r="B4344" s="5"/>
      <c r="C4344" s="5"/>
      <c r="D4344" s="5"/>
      <c r="E4344" s="5"/>
      <c r="F4344" s="5"/>
      <c r="G4344" s="5"/>
      <c r="H4344" s="5"/>
      <c r="I4344" s="5"/>
      <c r="J4344" s="5"/>
      <c r="K4344" s="5"/>
      <c r="L4344" s="5"/>
      <c r="M4344" s="5"/>
      <c r="N4344" s="5"/>
      <c r="O4344" s="5"/>
    </row>
    <row r="4345" spans="2:15" x14ac:dyDescent="0.55000000000000004">
      <c r="B4345" s="5"/>
      <c r="C4345" s="5"/>
      <c r="D4345" s="5"/>
      <c r="E4345" s="5"/>
      <c r="F4345" s="5"/>
      <c r="G4345" s="5"/>
      <c r="H4345" s="5"/>
      <c r="I4345" s="5"/>
      <c r="J4345" s="5"/>
      <c r="K4345" s="5"/>
      <c r="L4345" s="5"/>
      <c r="M4345" s="5"/>
      <c r="N4345" s="5"/>
      <c r="O4345" s="5"/>
    </row>
    <row r="4346" spans="2:15" x14ac:dyDescent="0.55000000000000004">
      <c r="B4346" s="5"/>
      <c r="C4346" s="5"/>
      <c r="D4346" s="5"/>
      <c r="E4346" s="5"/>
      <c r="F4346" s="5"/>
      <c r="G4346" s="5"/>
      <c r="H4346" s="5"/>
      <c r="I4346" s="5"/>
      <c r="J4346" s="5"/>
      <c r="K4346" s="5"/>
      <c r="L4346" s="5"/>
      <c r="M4346" s="5"/>
      <c r="N4346" s="5"/>
      <c r="O4346" s="5"/>
    </row>
    <row r="4347" spans="2:15" x14ac:dyDescent="0.55000000000000004">
      <c r="B4347" s="5"/>
      <c r="C4347" s="5"/>
      <c r="D4347" s="5"/>
      <c r="E4347" s="5"/>
      <c r="F4347" s="5"/>
      <c r="G4347" s="5"/>
      <c r="H4347" s="5"/>
      <c r="I4347" s="5"/>
      <c r="J4347" s="5"/>
      <c r="K4347" s="5"/>
      <c r="L4347" s="5"/>
      <c r="M4347" s="5"/>
      <c r="N4347" s="5"/>
      <c r="O4347" s="5"/>
    </row>
    <row r="4348" spans="2:15" x14ac:dyDescent="0.55000000000000004">
      <c r="B4348" s="5"/>
      <c r="C4348" s="5"/>
      <c r="D4348" s="5"/>
      <c r="E4348" s="5"/>
      <c r="F4348" s="5"/>
      <c r="G4348" s="5"/>
      <c r="H4348" s="5"/>
      <c r="I4348" s="5"/>
      <c r="J4348" s="5"/>
      <c r="K4348" s="5"/>
      <c r="L4348" s="5"/>
      <c r="M4348" s="5"/>
      <c r="N4348" s="5"/>
      <c r="O4348" s="5"/>
    </row>
    <row r="4349" spans="2:15" x14ac:dyDescent="0.55000000000000004">
      <c r="B4349" s="5"/>
      <c r="C4349" s="5"/>
      <c r="D4349" s="5"/>
      <c r="E4349" s="5"/>
      <c r="F4349" s="5"/>
      <c r="G4349" s="5"/>
      <c r="H4349" s="5"/>
      <c r="I4349" s="5"/>
      <c r="J4349" s="5"/>
      <c r="K4349" s="5"/>
      <c r="L4349" s="5"/>
      <c r="M4349" s="5"/>
      <c r="N4349" s="5"/>
      <c r="O4349" s="5"/>
    </row>
    <row r="4350" spans="2:15" x14ac:dyDescent="0.55000000000000004">
      <c r="B4350" s="5"/>
      <c r="C4350" s="5"/>
      <c r="D4350" s="5"/>
      <c r="E4350" s="5"/>
      <c r="F4350" s="5"/>
      <c r="G4350" s="5"/>
      <c r="H4350" s="5"/>
      <c r="I4350" s="5"/>
      <c r="J4350" s="5"/>
      <c r="K4350" s="5"/>
      <c r="L4350" s="5"/>
      <c r="M4350" s="5"/>
      <c r="N4350" s="5"/>
      <c r="O4350" s="5"/>
    </row>
    <row r="4351" spans="2:15" x14ac:dyDescent="0.55000000000000004">
      <c r="B4351" s="5"/>
      <c r="C4351" s="5"/>
      <c r="D4351" s="5"/>
      <c r="E4351" s="5"/>
      <c r="F4351" s="5"/>
      <c r="G4351" s="5"/>
      <c r="H4351" s="5"/>
      <c r="I4351" s="5"/>
      <c r="J4351" s="5"/>
      <c r="K4351" s="5"/>
      <c r="L4351" s="5"/>
      <c r="M4351" s="5"/>
      <c r="N4351" s="5"/>
      <c r="O4351" s="5"/>
    </row>
    <row r="4352" spans="2:15" x14ac:dyDescent="0.55000000000000004">
      <c r="B4352" s="5"/>
      <c r="C4352" s="5"/>
      <c r="D4352" s="5"/>
      <c r="E4352" s="5"/>
      <c r="F4352" s="5"/>
      <c r="G4352" s="5"/>
      <c r="H4352" s="5"/>
      <c r="I4352" s="5"/>
      <c r="J4352" s="5"/>
      <c r="K4352" s="5"/>
      <c r="L4352" s="5"/>
      <c r="M4352" s="5"/>
      <c r="N4352" s="5"/>
      <c r="O4352" s="5"/>
    </row>
    <row r="4353" spans="2:15" x14ac:dyDescent="0.55000000000000004">
      <c r="B4353" s="5"/>
      <c r="C4353" s="5"/>
      <c r="D4353" s="5"/>
      <c r="E4353" s="5"/>
      <c r="F4353" s="5"/>
      <c r="G4353" s="5"/>
      <c r="H4353" s="5"/>
      <c r="I4353" s="5"/>
      <c r="J4353" s="5"/>
      <c r="K4353" s="5"/>
      <c r="L4353" s="5"/>
      <c r="M4353" s="5"/>
      <c r="N4353" s="5"/>
      <c r="O4353" s="5"/>
    </row>
    <row r="4354" spans="2:15" x14ac:dyDescent="0.55000000000000004">
      <c r="B4354" s="5"/>
      <c r="C4354" s="5"/>
      <c r="D4354" s="5"/>
      <c r="E4354" s="5"/>
      <c r="F4354" s="5"/>
      <c r="G4354" s="5"/>
      <c r="H4354" s="5"/>
      <c r="I4354" s="5"/>
      <c r="J4354" s="5"/>
      <c r="K4354" s="5"/>
      <c r="L4354" s="5"/>
      <c r="M4354" s="5"/>
      <c r="N4354" s="5"/>
      <c r="O4354" s="5"/>
    </row>
    <row r="4355" spans="2:15" x14ac:dyDescent="0.55000000000000004">
      <c r="B4355" s="5"/>
      <c r="C4355" s="5"/>
      <c r="D4355" s="5"/>
      <c r="E4355" s="5"/>
      <c r="F4355" s="5"/>
      <c r="G4355" s="5"/>
      <c r="H4355" s="5"/>
      <c r="I4355" s="5"/>
      <c r="J4355" s="5"/>
      <c r="K4355" s="5"/>
      <c r="L4355" s="5"/>
      <c r="M4355" s="5"/>
      <c r="N4355" s="5"/>
      <c r="O4355" s="5"/>
    </row>
    <row r="4356" spans="2:15" x14ac:dyDescent="0.55000000000000004">
      <c r="B4356" s="5"/>
      <c r="C4356" s="5"/>
      <c r="D4356" s="5"/>
      <c r="E4356" s="5"/>
      <c r="F4356" s="5"/>
      <c r="G4356" s="5"/>
      <c r="H4356" s="5"/>
      <c r="I4356" s="5"/>
      <c r="J4356" s="5"/>
      <c r="K4356" s="5"/>
      <c r="L4356" s="5"/>
      <c r="M4356" s="5"/>
      <c r="N4356" s="5"/>
      <c r="O4356" s="5"/>
    </row>
    <row r="4357" spans="2:15" x14ac:dyDescent="0.55000000000000004">
      <c r="B4357" s="5"/>
      <c r="C4357" s="5"/>
      <c r="D4357" s="5"/>
      <c r="E4357" s="5"/>
      <c r="F4357" s="5"/>
      <c r="G4357" s="5"/>
      <c r="H4357" s="5"/>
      <c r="I4357" s="5"/>
      <c r="J4357" s="5"/>
      <c r="K4357" s="5"/>
      <c r="L4357" s="5"/>
      <c r="M4357" s="5"/>
      <c r="N4357" s="5"/>
      <c r="O4357" s="5"/>
    </row>
    <row r="4358" spans="2:15" x14ac:dyDescent="0.55000000000000004">
      <c r="B4358" s="5"/>
      <c r="C4358" s="5"/>
      <c r="D4358" s="5"/>
      <c r="E4358" s="5"/>
      <c r="F4358" s="5"/>
      <c r="G4358" s="5"/>
      <c r="H4358" s="5"/>
      <c r="I4358" s="5"/>
      <c r="J4358" s="5"/>
      <c r="K4358" s="5"/>
      <c r="L4358" s="5"/>
      <c r="M4358" s="5"/>
      <c r="N4358" s="5"/>
      <c r="O4358" s="5"/>
    </row>
    <row r="4359" spans="2:15" x14ac:dyDescent="0.55000000000000004">
      <c r="B4359" s="5"/>
      <c r="C4359" s="5"/>
      <c r="D4359" s="5"/>
      <c r="E4359" s="5"/>
      <c r="F4359" s="5"/>
      <c r="G4359" s="5"/>
      <c r="H4359" s="5"/>
      <c r="I4359" s="5"/>
      <c r="J4359" s="5"/>
      <c r="K4359" s="5"/>
      <c r="L4359" s="5"/>
      <c r="M4359" s="5"/>
      <c r="N4359" s="5"/>
      <c r="O4359" s="5"/>
    </row>
    <row r="4360" spans="2:15" x14ac:dyDescent="0.55000000000000004">
      <c r="B4360" s="5"/>
      <c r="C4360" s="5"/>
      <c r="D4360" s="5"/>
      <c r="E4360" s="5"/>
      <c r="F4360" s="5"/>
      <c r="G4360" s="5"/>
      <c r="H4360" s="5"/>
      <c r="I4360" s="5"/>
      <c r="J4360" s="5"/>
      <c r="K4360" s="5"/>
      <c r="L4360" s="5"/>
      <c r="M4360" s="5"/>
      <c r="N4360" s="5"/>
      <c r="O4360" s="5"/>
    </row>
    <row r="4361" spans="2:15" x14ac:dyDescent="0.55000000000000004">
      <c r="B4361" s="5"/>
      <c r="C4361" s="5"/>
      <c r="D4361" s="5"/>
      <c r="E4361" s="5"/>
      <c r="F4361" s="5"/>
      <c r="G4361" s="5"/>
      <c r="H4361" s="5"/>
      <c r="I4361" s="5"/>
      <c r="J4361" s="5"/>
      <c r="K4361" s="5"/>
      <c r="L4361" s="5"/>
      <c r="M4361" s="5"/>
      <c r="N4361" s="5"/>
      <c r="O4361" s="5"/>
    </row>
    <row r="4362" spans="2:15" x14ac:dyDescent="0.55000000000000004">
      <c r="B4362" s="5"/>
      <c r="C4362" s="5"/>
      <c r="D4362" s="5"/>
      <c r="E4362" s="5"/>
      <c r="F4362" s="5"/>
      <c r="G4362" s="5"/>
      <c r="H4362" s="5"/>
      <c r="I4362" s="5"/>
      <c r="J4362" s="5"/>
      <c r="K4362" s="5"/>
      <c r="L4362" s="5"/>
      <c r="M4362" s="5"/>
      <c r="N4362" s="5"/>
      <c r="O4362" s="5"/>
    </row>
    <row r="4363" spans="2:15" x14ac:dyDescent="0.55000000000000004">
      <c r="B4363" s="5"/>
      <c r="C4363" s="5"/>
      <c r="D4363" s="5"/>
      <c r="E4363" s="5"/>
      <c r="F4363" s="5"/>
      <c r="G4363" s="5"/>
      <c r="H4363" s="5"/>
      <c r="I4363" s="5"/>
      <c r="J4363" s="5"/>
      <c r="K4363" s="5"/>
      <c r="L4363" s="5"/>
      <c r="M4363" s="5"/>
      <c r="N4363" s="5"/>
      <c r="O4363" s="5"/>
    </row>
    <row r="4364" spans="2:15" x14ac:dyDescent="0.55000000000000004">
      <c r="B4364" s="5"/>
      <c r="C4364" s="5"/>
      <c r="D4364" s="5"/>
      <c r="E4364" s="5"/>
      <c r="F4364" s="5"/>
      <c r="G4364" s="5"/>
      <c r="H4364" s="5"/>
      <c r="I4364" s="5"/>
      <c r="J4364" s="5"/>
      <c r="K4364" s="5"/>
      <c r="L4364" s="5"/>
      <c r="M4364" s="5"/>
      <c r="N4364" s="5"/>
      <c r="O4364" s="5"/>
    </row>
    <row r="4365" spans="2:15" x14ac:dyDescent="0.55000000000000004">
      <c r="B4365" s="5"/>
      <c r="C4365" s="5"/>
      <c r="D4365" s="5"/>
      <c r="E4365" s="5"/>
      <c r="F4365" s="5"/>
      <c r="G4365" s="5"/>
      <c r="H4365" s="5"/>
      <c r="I4365" s="5"/>
      <c r="J4365" s="5"/>
      <c r="K4365" s="5"/>
      <c r="L4365" s="5"/>
      <c r="M4365" s="5"/>
      <c r="N4365" s="5"/>
      <c r="O4365" s="5"/>
    </row>
    <row r="4366" spans="2:15" x14ac:dyDescent="0.55000000000000004">
      <c r="B4366" s="5"/>
      <c r="C4366" s="5"/>
      <c r="D4366" s="5"/>
      <c r="E4366" s="5"/>
      <c r="F4366" s="5"/>
      <c r="G4366" s="5"/>
      <c r="H4366" s="5"/>
      <c r="I4366" s="5"/>
      <c r="J4366" s="5"/>
      <c r="K4366" s="5"/>
      <c r="L4366" s="5"/>
      <c r="M4366" s="5"/>
      <c r="N4366" s="5"/>
      <c r="O4366" s="5"/>
    </row>
    <row r="4367" spans="2:15" x14ac:dyDescent="0.55000000000000004">
      <c r="B4367" s="5"/>
      <c r="C4367" s="5"/>
      <c r="D4367" s="5"/>
      <c r="E4367" s="5"/>
      <c r="F4367" s="5"/>
      <c r="G4367" s="5"/>
      <c r="H4367" s="5"/>
      <c r="I4367" s="5"/>
      <c r="J4367" s="5"/>
      <c r="K4367" s="5"/>
      <c r="L4367" s="5"/>
      <c r="M4367" s="5"/>
      <c r="N4367" s="5"/>
      <c r="O4367" s="5"/>
    </row>
    <row r="4368" spans="2:15" x14ac:dyDescent="0.55000000000000004">
      <c r="B4368" s="5"/>
      <c r="C4368" s="5"/>
      <c r="D4368" s="5"/>
      <c r="E4368" s="5"/>
      <c r="F4368" s="5"/>
      <c r="G4368" s="5"/>
      <c r="H4368" s="5"/>
      <c r="I4368" s="5"/>
      <c r="J4368" s="5"/>
      <c r="K4368" s="5"/>
      <c r="L4368" s="5"/>
      <c r="M4368" s="5"/>
      <c r="N4368" s="5"/>
      <c r="O4368" s="5"/>
    </row>
    <row r="4369" spans="2:15" x14ac:dyDescent="0.55000000000000004">
      <c r="B4369" s="5"/>
      <c r="C4369" s="5"/>
      <c r="D4369" s="5"/>
      <c r="E4369" s="5"/>
      <c r="F4369" s="5"/>
      <c r="G4369" s="5"/>
      <c r="H4369" s="5"/>
      <c r="I4369" s="5"/>
      <c r="J4369" s="5"/>
      <c r="K4369" s="5"/>
      <c r="L4369" s="5"/>
      <c r="M4369" s="5"/>
      <c r="N4369" s="5"/>
      <c r="O4369" s="5"/>
    </row>
    <row r="4370" spans="2:15" x14ac:dyDescent="0.55000000000000004">
      <c r="B4370" s="5"/>
      <c r="C4370" s="5"/>
      <c r="D4370" s="5"/>
      <c r="E4370" s="5"/>
      <c r="F4370" s="5"/>
      <c r="G4370" s="5"/>
      <c r="H4370" s="5"/>
      <c r="I4370" s="5"/>
      <c r="J4370" s="5"/>
      <c r="K4370" s="5"/>
      <c r="L4370" s="5"/>
      <c r="M4370" s="5"/>
      <c r="N4370" s="5"/>
      <c r="O4370" s="5"/>
    </row>
    <row r="4371" spans="2:15" x14ac:dyDescent="0.55000000000000004">
      <c r="B4371" s="5"/>
      <c r="C4371" s="5"/>
      <c r="D4371" s="5"/>
      <c r="E4371" s="5"/>
      <c r="F4371" s="5"/>
      <c r="G4371" s="5"/>
      <c r="H4371" s="5"/>
      <c r="I4371" s="5"/>
      <c r="J4371" s="5"/>
      <c r="K4371" s="5"/>
      <c r="L4371" s="5"/>
      <c r="M4371" s="5"/>
      <c r="N4371" s="5"/>
      <c r="O4371" s="5"/>
    </row>
    <row r="4372" spans="2:15" x14ac:dyDescent="0.55000000000000004">
      <c r="B4372" s="5"/>
      <c r="C4372" s="5"/>
      <c r="D4372" s="5"/>
      <c r="E4372" s="5"/>
      <c r="F4372" s="5"/>
      <c r="G4372" s="5"/>
      <c r="H4372" s="5"/>
      <c r="I4372" s="5"/>
      <c r="J4372" s="5"/>
      <c r="K4372" s="5"/>
      <c r="L4372" s="5"/>
      <c r="M4372" s="5"/>
      <c r="N4372" s="5"/>
      <c r="O4372" s="5"/>
    </row>
    <row r="4373" spans="2:15" x14ac:dyDescent="0.55000000000000004">
      <c r="B4373" s="5"/>
      <c r="C4373" s="5"/>
      <c r="D4373" s="5"/>
      <c r="E4373" s="5"/>
      <c r="F4373" s="5"/>
      <c r="G4373" s="5"/>
      <c r="H4373" s="5"/>
      <c r="I4373" s="5"/>
      <c r="J4373" s="5"/>
      <c r="K4373" s="5"/>
      <c r="L4373" s="5"/>
      <c r="M4373" s="5"/>
      <c r="N4373" s="5"/>
      <c r="O4373" s="5"/>
    </row>
    <row r="4374" spans="2:15" x14ac:dyDescent="0.55000000000000004">
      <c r="B4374" s="5"/>
      <c r="C4374" s="5"/>
      <c r="D4374" s="5"/>
      <c r="E4374" s="5"/>
      <c r="F4374" s="5"/>
      <c r="G4374" s="5"/>
      <c r="H4374" s="5"/>
      <c r="I4374" s="5"/>
      <c r="J4374" s="5"/>
      <c r="K4374" s="5"/>
      <c r="L4374" s="5"/>
      <c r="M4374" s="5"/>
      <c r="N4374" s="5"/>
      <c r="O4374" s="5"/>
    </row>
    <row r="4375" spans="2:15" x14ac:dyDescent="0.55000000000000004">
      <c r="B4375" s="5"/>
      <c r="C4375" s="5"/>
      <c r="D4375" s="5"/>
      <c r="E4375" s="5"/>
      <c r="F4375" s="5"/>
      <c r="G4375" s="5"/>
      <c r="H4375" s="5"/>
      <c r="I4375" s="5"/>
      <c r="J4375" s="5"/>
      <c r="K4375" s="5"/>
      <c r="L4375" s="5"/>
      <c r="M4375" s="5"/>
      <c r="N4375" s="5"/>
      <c r="O4375" s="5"/>
    </row>
    <row r="4376" spans="2:15" x14ac:dyDescent="0.55000000000000004">
      <c r="B4376" s="5"/>
      <c r="C4376" s="5"/>
      <c r="D4376" s="5"/>
      <c r="E4376" s="5"/>
      <c r="F4376" s="5"/>
      <c r="G4376" s="5"/>
      <c r="H4376" s="5"/>
      <c r="I4376" s="5"/>
      <c r="J4376" s="5"/>
      <c r="K4376" s="5"/>
      <c r="L4376" s="5"/>
      <c r="M4376" s="5"/>
      <c r="N4376" s="5"/>
      <c r="O4376" s="5"/>
    </row>
    <row r="4377" spans="2:15" x14ac:dyDescent="0.55000000000000004">
      <c r="B4377" s="5"/>
      <c r="C4377" s="5"/>
      <c r="D4377" s="5"/>
      <c r="E4377" s="5"/>
      <c r="F4377" s="5"/>
      <c r="G4377" s="5"/>
      <c r="H4377" s="5"/>
      <c r="I4377" s="5"/>
      <c r="J4377" s="5"/>
      <c r="K4377" s="5"/>
      <c r="L4377" s="5"/>
      <c r="M4377" s="5"/>
      <c r="N4377" s="5"/>
      <c r="O4377" s="5"/>
    </row>
    <row r="4378" spans="2:15" x14ac:dyDescent="0.55000000000000004">
      <c r="B4378" s="5"/>
      <c r="C4378" s="5"/>
      <c r="D4378" s="5"/>
      <c r="E4378" s="5"/>
      <c r="F4378" s="5"/>
      <c r="G4378" s="5"/>
      <c r="H4378" s="5"/>
      <c r="I4378" s="5"/>
      <c r="J4378" s="5"/>
      <c r="K4378" s="5"/>
      <c r="L4378" s="5"/>
      <c r="M4378" s="5"/>
      <c r="N4378" s="5"/>
      <c r="O4378" s="5"/>
    </row>
    <row r="4379" spans="2:15" x14ac:dyDescent="0.55000000000000004">
      <c r="B4379" s="5"/>
      <c r="C4379" s="5"/>
      <c r="D4379" s="5"/>
      <c r="E4379" s="5"/>
      <c r="F4379" s="5"/>
      <c r="G4379" s="5"/>
      <c r="H4379" s="5"/>
      <c r="I4379" s="5"/>
      <c r="J4379" s="5"/>
      <c r="K4379" s="5"/>
      <c r="L4379" s="5"/>
      <c r="M4379" s="5"/>
      <c r="N4379" s="5"/>
      <c r="O4379" s="5"/>
    </row>
    <row r="4380" spans="2:15" x14ac:dyDescent="0.55000000000000004">
      <c r="B4380" s="5"/>
      <c r="C4380" s="5"/>
      <c r="D4380" s="5"/>
      <c r="E4380" s="5"/>
      <c r="F4380" s="5"/>
      <c r="G4380" s="5"/>
      <c r="H4380" s="5"/>
      <c r="I4380" s="5"/>
      <c r="J4380" s="5"/>
      <c r="K4380" s="5"/>
      <c r="L4380" s="5"/>
      <c r="M4380" s="5"/>
      <c r="N4380" s="5"/>
      <c r="O4380" s="5"/>
    </row>
    <row r="4381" spans="2:15" x14ac:dyDescent="0.55000000000000004">
      <c r="B4381" s="5"/>
      <c r="C4381" s="5"/>
      <c r="D4381" s="5"/>
      <c r="E4381" s="5"/>
      <c r="F4381" s="5"/>
      <c r="G4381" s="5"/>
      <c r="H4381" s="5"/>
      <c r="I4381" s="5"/>
      <c r="J4381" s="5"/>
      <c r="K4381" s="5"/>
      <c r="L4381" s="5"/>
      <c r="M4381" s="5"/>
      <c r="N4381" s="5"/>
      <c r="O4381" s="5"/>
    </row>
    <row r="4382" spans="2:15" x14ac:dyDescent="0.55000000000000004">
      <c r="B4382" s="5"/>
      <c r="C4382" s="5"/>
      <c r="D4382" s="5"/>
      <c r="E4382" s="5"/>
      <c r="F4382" s="5"/>
      <c r="G4382" s="5"/>
      <c r="H4382" s="5"/>
      <c r="I4382" s="5"/>
      <c r="J4382" s="5"/>
      <c r="K4382" s="5"/>
      <c r="L4382" s="5"/>
      <c r="M4382" s="5"/>
      <c r="N4382" s="5"/>
      <c r="O4382" s="5"/>
    </row>
    <row r="4383" spans="2:15" x14ac:dyDescent="0.55000000000000004">
      <c r="B4383" s="5"/>
      <c r="C4383" s="5"/>
      <c r="D4383" s="5"/>
      <c r="E4383" s="5"/>
      <c r="F4383" s="5"/>
      <c r="G4383" s="5"/>
      <c r="H4383" s="5"/>
      <c r="I4383" s="5"/>
      <c r="J4383" s="5"/>
      <c r="K4383" s="5"/>
      <c r="L4383" s="5"/>
      <c r="M4383" s="5"/>
      <c r="N4383" s="5"/>
      <c r="O4383" s="5"/>
    </row>
    <row r="4384" spans="2:15" x14ac:dyDescent="0.55000000000000004">
      <c r="B4384" s="5"/>
      <c r="C4384" s="5"/>
      <c r="D4384" s="5"/>
      <c r="E4384" s="5"/>
      <c r="F4384" s="5"/>
      <c r="G4384" s="5"/>
      <c r="H4384" s="5"/>
      <c r="I4384" s="5"/>
      <c r="J4384" s="5"/>
      <c r="K4384" s="5"/>
      <c r="L4384" s="5"/>
      <c r="M4384" s="5"/>
      <c r="N4384" s="5"/>
      <c r="O4384" s="5"/>
    </row>
    <row r="4385" spans="2:15" x14ac:dyDescent="0.55000000000000004">
      <c r="B4385" s="5"/>
      <c r="C4385" s="5"/>
      <c r="D4385" s="5"/>
      <c r="E4385" s="5"/>
      <c r="F4385" s="5"/>
      <c r="G4385" s="5"/>
      <c r="H4385" s="5"/>
      <c r="I4385" s="5"/>
      <c r="J4385" s="5"/>
      <c r="K4385" s="5"/>
      <c r="L4385" s="5"/>
      <c r="M4385" s="5"/>
      <c r="N4385" s="5"/>
      <c r="O4385" s="5"/>
    </row>
    <row r="4386" spans="2:15" x14ac:dyDescent="0.55000000000000004">
      <c r="B4386" s="5"/>
      <c r="C4386" s="5"/>
      <c r="D4386" s="5"/>
      <c r="E4386" s="5"/>
      <c r="F4386" s="5"/>
      <c r="G4386" s="5"/>
      <c r="H4386" s="5"/>
      <c r="I4386" s="5"/>
      <c r="J4386" s="5"/>
      <c r="K4386" s="5"/>
      <c r="L4386" s="5"/>
      <c r="M4386" s="5"/>
      <c r="N4386" s="5"/>
      <c r="O4386" s="5"/>
    </row>
    <row r="4387" spans="2:15" x14ac:dyDescent="0.55000000000000004">
      <c r="B4387" s="5"/>
      <c r="C4387" s="5"/>
      <c r="D4387" s="5"/>
      <c r="E4387" s="5"/>
      <c r="F4387" s="5"/>
      <c r="G4387" s="5"/>
      <c r="H4387" s="5"/>
      <c r="I4387" s="5"/>
      <c r="J4387" s="5"/>
      <c r="K4387" s="5"/>
      <c r="L4387" s="5"/>
      <c r="M4387" s="5"/>
      <c r="N4387" s="5"/>
      <c r="O4387" s="5"/>
    </row>
    <row r="4388" spans="2:15" x14ac:dyDescent="0.55000000000000004">
      <c r="B4388" s="5"/>
      <c r="C4388" s="5"/>
      <c r="D4388" s="5"/>
      <c r="E4388" s="5"/>
      <c r="F4388" s="5"/>
      <c r="G4388" s="5"/>
      <c r="H4388" s="5"/>
      <c r="I4388" s="5"/>
      <c r="J4388" s="5"/>
      <c r="K4388" s="5"/>
      <c r="L4388" s="5"/>
      <c r="M4388" s="5"/>
      <c r="N4388" s="5"/>
      <c r="O4388" s="5"/>
    </row>
    <row r="4389" spans="2:15" x14ac:dyDescent="0.55000000000000004">
      <c r="B4389" s="5"/>
      <c r="C4389" s="5"/>
      <c r="D4389" s="5"/>
      <c r="E4389" s="5"/>
      <c r="F4389" s="5"/>
      <c r="G4389" s="5"/>
      <c r="H4389" s="5"/>
      <c r="I4389" s="5"/>
      <c r="J4389" s="5"/>
      <c r="K4389" s="5"/>
      <c r="L4389" s="5"/>
      <c r="M4389" s="5"/>
      <c r="N4389" s="5"/>
      <c r="O4389" s="5"/>
    </row>
    <row r="4390" spans="2:15" x14ac:dyDescent="0.55000000000000004">
      <c r="B4390" s="5"/>
      <c r="C4390" s="5"/>
      <c r="D4390" s="5"/>
      <c r="E4390" s="5"/>
      <c r="F4390" s="5"/>
      <c r="G4390" s="5"/>
      <c r="H4390" s="5"/>
      <c r="I4390" s="5"/>
      <c r="J4390" s="5"/>
      <c r="K4390" s="5"/>
      <c r="L4390" s="5"/>
      <c r="M4390" s="5"/>
      <c r="N4390" s="5"/>
      <c r="O4390" s="5"/>
    </row>
    <row r="4391" spans="2:15" x14ac:dyDescent="0.55000000000000004">
      <c r="B4391" s="5"/>
      <c r="C4391" s="5"/>
      <c r="D4391" s="5"/>
      <c r="E4391" s="5"/>
      <c r="F4391" s="5"/>
      <c r="G4391" s="5"/>
      <c r="H4391" s="5"/>
      <c r="I4391" s="5"/>
      <c r="J4391" s="5"/>
      <c r="K4391" s="5"/>
      <c r="L4391" s="5"/>
      <c r="M4391" s="5"/>
      <c r="N4391" s="5"/>
      <c r="O4391" s="5"/>
    </row>
    <row r="4392" spans="2:15" x14ac:dyDescent="0.55000000000000004">
      <c r="B4392" s="5"/>
      <c r="C4392" s="5"/>
      <c r="D4392" s="5"/>
      <c r="E4392" s="5"/>
      <c r="F4392" s="5"/>
      <c r="G4392" s="5"/>
      <c r="H4392" s="5"/>
      <c r="I4392" s="5"/>
      <c r="J4392" s="5"/>
      <c r="K4392" s="5"/>
      <c r="L4392" s="5"/>
      <c r="M4392" s="5"/>
      <c r="N4392" s="5"/>
      <c r="O4392" s="5"/>
    </row>
    <row r="4393" spans="2:15" x14ac:dyDescent="0.55000000000000004">
      <c r="B4393" s="5"/>
      <c r="C4393" s="5"/>
      <c r="D4393" s="5"/>
      <c r="E4393" s="5"/>
      <c r="F4393" s="5"/>
      <c r="G4393" s="5"/>
      <c r="H4393" s="5"/>
      <c r="I4393" s="5"/>
      <c r="J4393" s="5"/>
      <c r="K4393" s="5"/>
      <c r="L4393" s="5"/>
      <c r="M4393" s="5"/>
      <c r="N4393" s="5"/>
      <c r="O4393" s="5"/>
    </row>
    <row r="4394" spans="2:15" x14ac:dyDescent="0.55000000000000004">
      <c r="B4394" s="5"/>
      <c r="C4394" s="5"/>
      <c r="D4394" s="5"/>
      <c r="E4394" s="5"/>
      <c r="F4394" s="5"/>
      <c r="G4394" s="5"/>
      <c r="H4394" s="5"/>
      <c r="I4394" s="5"/>
      <c r="J4394" s="5"/>
      <c r="K4394" s="5"/>
      <c r="L4394" s="5"/>
      <c r="M4394" s="5"/>
      <c r="N4394" s="5"/>
      <c r="O4394" s="5"/>
    </row>
    <row r="4395" spans="2:15" x14ac:dyDescent="0.55000000000000004">
      <c r="B4395" s="5"/>
      <c r="C4395" s="5"/>
      <c r="D4395" s="5"/>
      <c r="E4395" s="5"/>
      <c r="F4395" s="5"/>
      <c r="G4395" s="5"/>
      <c r="H4395" s="5"/>
      <c r="I4395" s="5"/>
      <c r="J4395" s="5"/>
      <c r="K4395" s="5"/>
      <c r="L4395" s="5"/>
      <c r="M4395" s="5"/>
      <c r="N4395" s="5"/>
      <c r="O4395" s="5"/>
    </row>
    <row r="4396" spans="2:15" x14ac:dyDescent="0.55000000000000004">
      <c r="B4396" s="5"/>
      <c r="C4396" s="5"/>
      <c r="D4396" s="5"/>
      <c r="E4396" s="5"/>
      <c r="F4396" s="5"/>
      <c r="G4396" s="5"/>
      <c r="H4396" s="5"/>
      <c r="I4396" s="5"/>
      <c r="J4396" s="5"/>
      <c r="K4396" s="5"/>
      <c r="L4396" s="5"/>
      <c r="M4396" s="5"/>
      <c r="N4396" s="5"/>
      <c r="O4396" s="5"/>
    </row>
    <row r="4397" spans="2:15" x14ac:dyDescent="0.55000000000000004">
      <c r="B4397" s="5"/>
      <c r="C4397" s="5"/>
      <c r="D4397" s="5"/>
      <c r="E4397" s="5"/>
      <c r="F4397" s="5"/>
      <c r="G4397" s="5"/>
      <c r="H4397" s="5"/>
      <c r="I4397" s="5"/>
      <c r="J4397" s="5"/>
      <c r="K4397" s="5"/>
      <c r="L4397" s="5"/>
      <c r="M4397" s="5"/>
      <c r="N4397" s="5"/>
      <c r="O4397" s="5"/>
    </row>
    <row r="4398" spans="2:15" x14ac:dyDescent="0.55000000000000004">
      <c r="B4398" s="5"/>
      <c r="C4398" s="5"/>
      <c r="D4398" s="5"/>
      <c r="E4398" s="5"/>
      <c r="F4398" s="5"/>
      <c r="G4398" s="5"/>
      <c r="H4398" s="5"/>
      <c r="I4398" s="5"/>
      <c r="J4398" s="5"/>
      <c r="K4398" s="5"/>
      <c r="L4398" s="5"/>
      <c r="M4398" s="5"/>
      <c r="N4398" s="5"/>
      <c r="O4398" s="5"/>
    </row>
    <row r="4399" spans="2:15" x14ac:dyDescent="0.55000000000000004">
      <c r="B4399" s="5"/>
      <c r="C4399" s="5"/>
      <c r="D4399" s="5"/>
      <c r="E4399" s="5"/>
      <c r="F4399" s="5"/>
      <c r="G4399" s="5"/>
      <c r="H4399" s="5"/>
      <c r="I4399" s="5"/>
      <c r="J4399" s="5"/>
      <c r="K4399" s="5"/>
      <c r="L4399" s="5"/>
      <c r="M4399" s="5"/>
      <c r="N4399" s="5"/>
      <c r="O4399" s="5"/>
    </row>
    <row r="4400" spans="2:15" x14ac:dyDescent="0.55000000000000004">
      <c r="B4400" s="5"/>
      <c r="C4400" s="5"/>
      <c r="D4400" s="5"/>
      <c r="E4400" s="5"/>
      <c r="F4400" s="5"/>
      <c r="G4400" s="5"/>
      <c r="H4400" s="5"/>
      <c r="I4400" s="5"/>
      <c r="J4400" s="5"/>
      <c r="K4400" s="5"/>
      <c r="L4400" s="5"/>
      <c r="M4400" s="5"/>
      <c r="N4400" s="5"/>
      <c r="O4400" s="5"/>
    </row>
    <row r="4401" spans="2:15" x14ac:dyDescent="0.55000000000000004">
      <c r="B4401" s="5"/>
      <c r="C4401" s="5"/>
      <c r="D4401" s="5"/>
      <c r="E4401" s="5"/>
      <c r="F4401" s="5"/>
      <c r="G4401" s="5"/>
      <c r="H4401" s="5"/>
      <c r="I4401" s="5"/>
      <c r="J4401" s="5"/>
      <c r="K4401" s="5"/>
      <c r="L4401" s="5"/>
      <c r="M4401" s="5"/>
      <c r="N4401" s="5"/>
      <c r="O4401" s="5"/>
    </row>
    <row r="4402" spans="2:15" x14ac:dyDescent="0.55000000000000004">
      <c r="B4402" s="5"/>
      <c r="C4402" s="5"/>
      <c r="D4402" s="5"/>
      <c r="E4402" s="5"/>
      <c r="F4402" s="5"/>
      <c r="G4402" s="5"/>
      <c r="H4402" s="5"/>
      <c r="I4402" s="5"/>
      <c r="J4402" s="5"/>
      <c r="K4402" s="5"/>
      <c r="L4402" s="5"/>
      <c r="M4402" s="5"/>
      <c r="N4402" s="5"/>
      <c r="O4402" s="5"/>
    </row>
    <row r="4403" spans="2:15" x14ac:dyDescent="0.55000000000000004">
      <c r="B4403" s="5"/>
      <c r="C4403" s="5"/>
      <c r="D4403" s="5"/>
      <c r="E4403" s="5"/>
      <c r="F4403" s="5"/>
      <c r="G4403" s="5"/>
      <c r="H4403" s="5"/>
      <c r="I4403" s="5"/>
      <c r="J4403" s="5"/>
      <c r="K4403" s="5"/>
      <c r="L4403" s="5"/>
      <c r="M4403" s="5"/>
      <c r="N4403" s="5"/>
      <c r="O4403" s="5"/>
    </row>
    <row r="4404" spans="2:15" x14ac:dyDescent="0.55000000000000004">
      <c r="B4404" s="5"/>
      <c r="C4404" s="5"/>
      <c r="D4404" s="5"/>
      <c r="E4404" s="5"/>
      <c r="F4404" s="5"/>
      <c r="G4404" s="5"/>
      <c r="H4404" s="5"/>
      <c r="I4404" s="5"/>
      <c r="J4404" s="5"/>
      <c r="K4404" s="5"/>
      <c r="L4404" s="5"/>
      <c r="M4404" s="5"/>
      <c r="N4404" s="5"/>
      <c r="O4404" s="5"/>
    </row>
    <row r="4405" spans="2:15" x14ac:dyDescent="0.55000000000000004">
      <c r="B4405" s="5"/>
      <c r="C4405" s="5"/>
      <c r="D4405" s="5"/>
      <c r="E4405" s="5"/>
      <c r="F4405" s="5"/>
      <c r="G4405" s="5"/>
      <c r="H4405" s="5"/>
      <c r="I4405" s="5"/>
      <c r="J4405" s="5"/>
      <c r="K4405" s="5"/>
      <c r="L4405" s="5"/>
      <c r="M4405" s="5"/>
      <c r="N4405" s="5"/>
      <c r="O4405" s="5"/>
    </row>
    <row r="4406" spans="2:15" x14ac:dyDescent="0.55000000000000004">
      <c r="B4406" s="5"/>
      <c r="C4406" s="5"/>
      <c r="D4406" s="5"/>
      <c r="E4406" s="5"/>
      <c r="F4406" s="5"/>
      <c r="G4406" s="5"/>
      <c r="H4406" s="5"/>
      <c r="I4406" s="5"/>
      <c r="J4406" s="5"/>
      <c r="K4406" s="5"/>
      <c r="L4406" s="5"/>
      <c r="M4406" s="5"/>
      <c r="N4406" s="5"/>
      <c r="O4406" s="5"/>
    </row>
    <row r="4407" spans="2:15" x14ac:dyDescent="0.55000000000000004">
      <c r="B4407" s="5"/>
      <c r="C4407" s="5"/>
      <c r="D4407" s="5"/>
      <c r="E4407" s="5"/>
      <c r="F4407" s="5"/>
      <c r="G4407" s="5"/>
      <c r="H4407" s="5"/>
      <c r="I4407" s="5"/>
      <c r="J4407" s="5"/>
      <c r="K4407" s="5"/>
      <c r="L4407" s="5"/>
      <c r="M4407" s="5"/>
      <c r="N4407" s="5"/>
      <c r="O4407" s="5"/>
    </row>
    <row r="4408" spans="2:15" x14ac:dyDescent="0.55000000000000004">
      <c r="B4408" s="5"/>
      <c r="C4408" s="5"/>
      <c r="D4408" s="5"/>
      <c r="E4408" s="5"/>
      <c r="F4408" s="5"/>
      <c r="G4408" s="5"/>
      <c r="H4408" s="5"/>
      <c r="I4408" s="5"/>
      <c r="J4408" s="5"/>
      <c r="K4408" s="5"/>
      <c r="L4408" s="5"/>
      <c r="M4408" s="5"/>
      <c r="N4408" s="5"/>
      <c r="O4408" s="5"/>
    </row>
    <row r="4409" spans="2:15" x14ac:dyDescent="0.55000000000000004">
      <c r="B4409" s="5"/>
      <c r="C4409" s="5"/>
      <c r="D4409" s="5"/>
      <c r="E4409" s="5"/>
      <c r="F4409" s="5"/>
      <c r="G4409" s="5"/>
      <c r="H4409" s="5"/>
      <c r="I4409" s="5"/>
      <c r="J4409" s="5"/>
      <c r="K4409" s="5"/>
      <c r="L4409" s="5"/>
      <c r="M4409" s="5"/>
      <c r="N4409" s="5"/>
      <c r="O4409" s="5"/>
    </row>
    <row r="4410" spans="2:15" x14ac:dyDescent="0.55000000000000004">
      <c r="B4410" s="5"/>
      <c r="C4410" s="5"/>
      <c r="D4410" s="5"/>
      <c r="E4410" s="5"/>
      <c r="F4410" s="5"/>
      <c r="G4410" s="5"/>
      <c r="H4410" s="5"/>
      <c r="I4410" s="5"/>
      <c r="J4410" s="5"/>
      <c r="K4410" s="5"/>
      <c r="L4410" s="5"/>
      <c r="M4410" s="5"/>
      <c r="N4410" s="5"/>
      <c r="O4410" s="5"/>
    </row>
    <row r="4411" spans="2:15" x14ac:dyDescent="0.55000000000000004">
      <c r="B4411" s="5"/>
      <c r="C4411" s="5"/>
      <c r="D4411" s="5"/>
      <c r="E4411" s="5"/>
      <c r="F4411" s="5"/>
      <c r="G4411" s="5"/>
      <c r="H4411" s="5"/>
      <c r="I4411" s="5"/>
      <c r="J4411" s="5"/>
      <c r="K4411" s="5"/>
      <c r="L4411" s="5"/>
      <c r="M4411" s="5"/>
      <c r="N4411" s="5"/>
      <c r="O4411" s="5"/>
    </row>
    <row r="4412" spans="2:15" x14ac:dyDescent="0.55000000000000004">
      <c r="B4412" s="5"/>
      <c r="C4412" s="5"/>
      <c r="D4412" s="5"/>
      <c r="E4412" s="5"/>
      <c r="F4412" s="5"/>
      <c r="G4412" s="5"/>
      <c r="H4412" s="5"/>
      <c r="I4412" s="5"/>
      <c r="J4412" s="5"/>
      <c r="K4412" s="5"/>
      <c r="L4412" s="5"/>
      <c r="M4412" s="5"/>
      <c r="N4412" s="5"/>
      <c r="O4412" s="5"/>
    </row>
  </sheetData>
  <autoFilter ref="C1:D1" xr:uid="{4FC73E35-55B9-454F-8EEF-A66D20C07487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4A0F6-23A6-41A7-A53C-B084C68DEEA4}">
  <dimension ref="A1:B26"/>
  <sheetViews>
    <sheetView zoomScaleNormal="100" workbookViewId="0">
      <selection activeCell="C1" sqref="C1:C1048576"/>
    </sheetView>
  </sheetViews>
  <sheetFormatPr defaultColWidth="8.68359375" defaultRowHeight="14.4" x14ac:dyDescent="0.55000000000000004"/>
  <cols>
    <col min="1" max="16384" width="8.68359375" style="4"/>
  </cols>
  <sheetData>
    <row r="1" spans="1:2" x14ac:dyDescent="0.55000000000000004">
      <c r="A1" s="5">
        <v>0</v>
      </c>
      <c r="B1" s="5" t="s">
        <v>434</v>
      </c>
    </row>
    <row r="2" spans="1:2" x14ac:dyDescent="0.55000000000000004">
      <c r="A2" s="5">
        <v>1</v>
      </c>
      <c r="B2" s="5" t="s">
        <v>435</v>
      </c>
    </row>
    <row r="3" spans="1:2" x14ac:dyDescent="0.55000000000000004">
      <c r="A3" s="5">
        <v>2</v>
      </c>
      <c r="B3" s="5" t="s">
        <v>436</v>
      </c>
    </row>
    <row r="4" spans="1:2" x14ac:dyDescent="0.55000000000000004">
      <c r="A4" s="5">
        <v>3</v>
      </c>
      <c r="B4" s="5" t="s">
        <v>437</v>
      </c>
    </row>
    <row r="5" spans="1:2" x14ac:dyDescent="0.55000000000000004">
      <c r="A5" s="5">
        <v>4</v>
      </c>
      <c r="B5" s="5" t="s">
        <v>438</v>
      </c>
    </row>
    <row r="6" spans="1:2" x14ac:dyDescent="0.55000000000000004">
      <c r="A6" s="5">
        <v>5</v>
      </c>
      <c r="B6" s="5" t="s">
        <v>439</v>
      </c>
    </row>
    <row r="7" spans="1:2" x14ac:dyDescent="0.55000000000000004">
      <c r="A7" s="5">
        <v>13</v>
      </c>
      <c r="B7" s="5" t="s">
        <v>440</v>
      </c>
    </row>
    <row r="8" spans="1:2" x14ac:dyDescent="0.55000000000000004">
      <c r="A8" s="5">
        <v>14</v>
      </c>
      <c r="B8" s="5" t="s">
        <v>441</v>
      </c>
    </row>
    <row r="9" spans="1:2" x14ac:dyDescent="0.55000000000000004">
      <c r="A9" s="5">
        <v>15</v>
      </c>
      <c r="B9" s="5" t="s">
        <v>442</v>
      </c>
    </row>
    <row r="10" spans="1:2" x14ac:dyDescent="0.55000000000000004">
      <c r="A10" s="5">
        <v>16</v>
      </c>
      <c r="B10" s="5" t="s">
        <v>443</v>
      </c>
    </row>
    <row r="11" spans="1:2" x14ac:dyDescent="0.55000000000000004">
      <c r="A11" s="5">
        <v>17</v>
      </c>
      <c r="B11" s="5" t="s">
        <v>444</v>
      </c>
    </row>
    <row r="12" spans="1:2" x14ac:dyDescent="0.55000000000000004">
      <c r="A12" s="5">
        <v>18</v>
      </c>
      <c r="B12" s="5" t="s">
        <v>445</v>
      </c>
    </row>
    <row r="13" spans="1:2" x14ac:dyDescent="0.55000000000000004">
      <c r="A13" s="5">
        <v>19</v>
      </c>
      <c r="B13" s="5" t="s">
        <v>446</v>
      </c>
    </row>
    <row r="14" spans="1:2" x14ac:dyDescent="0.55000000000000004">
      <c r="A14" s="5">
        <v>20</v>
      </c>
      <c r="B14" s="5" t="s">
        <v>447</v>
      </c>
    </row>
    <row r="15" spans="1:2" x14ac:dyDescent="0.55000000000000004">
      <c r="A15" s="5">
        <v>21</v>
      </c>
      <c r="B15" s="5" t="s">
        <v>448</v>
      </c>
    </row>
    <row r="16" spans="1:2" x14ac:dyDescent="0.55000000000000004">
      <c r="A16" s="5">
        <v>22</v>
      </c>
      <c r="B16" s="5" t="s">
        <v>449</v>
      </c>
    </row>
    <row r="17" spans="1:2" x14ac:dyDescent="0.55000000000000004">
      <c r="A17" s="5">
        <v>23</v>
      </c>
      <c r="B17" s="5" t="s">
        <v>450</v>
      </c>
    </row>
    <row r="18" spans="1:2" x14ac:dyDescent="0.55000000000000004">
      <c r="A18" s="5">
        <v>24</v>
      </c>
      <c r="B18" s="5" t="s">
        <v>451</v>
      </c>
    </row>
    <row r="19" spans="1:2" x14ac:dyDescent="0.55000000000000004">
      <c r="A19" s="5">
        <v>25</v>
      </c>
      <c r="B19" s="5" t="s">
        <v>452</v>
      </c>
    </row>
    <row r="20" spans="1:2" x14ac:dyDescent="0.55000000000000004">
      <c r="A20" s="5">
        <v>26</v>
      </c>
      <c r="B20" s="5" t="s">
        <v>453</v>
      </c>
    </row>
    <row r="21" spans="1:2" x14ac:dyDescent="0.55000000000000004">
      <c r="A21" s="5">
        <v>27</v>
      </c>
      <c r="B21" s="5" t="s">
        <v>454</v>
      </c>
    </row>
    <row r="22" spans="1:2" x14ac:dyDescent="0.55000000000000004">
      <c r="A22" s="5">
        <v>28</v>
      </c>
      <c r="B22" s="5" t="s">
        <v>455</v>
      </c>
    </row>
    <row r="23" spans="1:2" x14ac:dyDescent="0.55000000000000004">
      <c r="A23" s="5">
        <v>29</v>
      </c>
      <c r="B23" s="5" t="s">
        <v>456</v>
      </c>
    </row>
    <row r="24" spans="1:2" x14ac:dyDescent="0.55000000000000004">
      <c r="A24" s="5">
        <v>30</v>
      </c>
      <c r="B24" s="5" t="s">
        <v>457</v>
      </c>
    </row>
    <row r="25" spans="1:2" x14ac:dyDescent="0.55000000000000004">
      <c r="A25" s="5">
        <v>31</v>
      </c>
      <c r="B25" s="5" t="s">
        <v>458</v>
      </c>
    </row>
    <row r="26" spans="1:2" x14ac:dyDescent="0.55000000000000004">
      <c r="A26" s="5">
        <v>32</v>
      </c>
      <c r="B26" s="5" t="s">
        <v>440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41000079736_FicheFirst5</vt:lpstr>
      <vt:lpstr>ID</vt:lpstr>
      <vt:lpstr>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Bahret</cp:lastModifiedBy>
  <dcterms:created xsi:type="dcterms:W3CDTF">2026-10-09T17:29:47Z</dcterms:created>
  <dcterms:modified xsi:type="dcterms:W3CDTF">2026-10-09T18:02:27Z</dcterms:modified>
</cp:coreProperties>
</file>