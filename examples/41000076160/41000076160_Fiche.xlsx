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1000076160_Fiche" sheetId="1" state="visible" r:id="rId1"/>
    <sheet name="ID" sheetId="2" state="visible" r:id="rId2"/>
    <sheet name="Index" sheetId="3" state="visible" r:id="rId3"/>
    <sheet name="Initial Study" sheetId="4" state="visible" r:id="rId4"/>
    <sheet name="DetailedFiche" sheetId="5" state="visible" r:id="rId5"/>
  </sheets>
  <definedNames/>
  <calcPr calcId="124519" fullCalcOnLoad="1"/>
</workbook>
</file>

<file path=xl/styles.xml><?xml version="1.0" encoding="utf-8"?>
<styleSheet xmlns="http://schemas.openxmlformats.org/spreadsheetml/2006/main">
  <numFmts count="2">
    <numFmt numFmtId="164" formatCode="m/d/yyyy"/>
    <numFmt numFmtId="165" formatCode="yyyy-mm-dd h:mm:ss"/>
  </numFmts>
  <fonts count="2">
    <font>
      <name val="Calibri"/>
      <family val="2"/>
      <color theme="1"/>
      <sz val="11"/>
      <scheme val="minor"/>
    </font>
    <font>
      <b val="1"/>
    </font>
  </fonts>
  <fills count="4">
    <fill>
      <patternFill/>
    </fill>
    <fill>
      <patternFill patternType="gray125"/>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bottom" wrapText="1"/>
    </xf>
    <xf numFmtId="164" fontId="0" fillId="0" borderId="0" pivotButton="0" quotePrefix="0" xfId="0"/>
    <xf numFmtId="165" fontId="0" fillId="0" borderId="0" pivotButton="0" quotePrefix="0" xfId="0"/>
    <xf numFmtId="21" fontId="0" fillId="0" borderId="0" pivotButton="0" quotePrefix="0" xfId="0"/>
    <xf numFmtId="0" fontId="0" fillId="0" borderId="0" applyAlignment="1" pivotButton="0" quotePrefix="0" xfId="0">
      <alignment wrapText="1"/>
    </xf>
    <xf numFmtId="164" fontId="0" fillId="0" borderId="0" pivotButton="0" quotePrefix="0" xfId="0"/>
    <xf numFmtId="0" fontId="0" fillId="2" borderId="0" pivotButton="0" quotePrefix="0" xfId="0"/>
    <xf numFmtId="164" fontId="0" fillId="2" borderId="0" pivotButton="0" quotePrefix="0" xfId="0"/>
    <xf numFmtId="0" fontId="0" fillId="3" borderId="0" pivotButton="0" quotePrefix="0" xfId="0"/>
    <xf numFmtId="164" fontId="0" fillId="3"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88"/>
  <sheetViews>
    <sheetView workbookViewId="0">
      <pane ySplit="1" topLeftCell="A2" activePane="bottomLeft" state="frozen"/>
      <selection pane="bottomLeft" activeCell="A1" sqref="A1"/>
    </sheetView>
  </sheetViews>
  <sheetFormatPr baseColWidth="8" defaultRowHeight="15"/>
  <cols>
    <col width="6.5" customWidth="1" min="1" max="1"/>
    <col width="16" customWidth="1" min="2" max="2"/>
    <col width="6.5" customWidth="1" min="3" max="3"/>
    <col width="5.5" customWidth="1" min="4" max="4"/>
    <col width="16" customWidth="1" min="5" max="5"/>
    <col width="16" customWidth="1" min="6" max="6"/>
    <col width="14.5" customWidth="1" min="7" max="7"/>
    <col width="8.5" customWidth="1" min="8" max="8"/>
    <col width="4.5" customWidth="1" min="9" max="9"/>
    <col width="7.5" customWidth="1" min="10" max="10"/>
    <col width="3.5" customWidth="1" min="11" max="11"/>
    <col width="10.5" customWidth="1" min="12" max="12"/>
    <col width="11" customWidth="1" min="13" max="13"/>
    <col width="3.5" customWidth="1" min="14" max="14"/>
    <col width="2.5" customWidth="1" min="15" max="15"/>
    <col width="3.5" customWidth="1" min="16" max="16"/>
    <col width="2.5" customWidth="1" min="17" max="17"/>
    <col width="2.5" customWidth="1" min="18" max="18"/>
    <col width="10.5" customWidth="1" min="19" max="19"/>
    <col width="11.5" customWidth="1" min="20" max="20"/>
    <col width="8.5" customWidth="1" min="21" max="21"/>
    <col width="11.5" customWidth="1" min="22" max="22"/>
    <col width="12.5" customWidth="1" min="23" max="23"/>
    <col width="11.5" customWidth="1" min="25" max="25"/>
    <col width="11.5" customWidth="1" min="26" max="26"/>
    <col width="11.5" customWidth="1" min="27" max="27"/>
  </cols>
  <sheetData>
    <row r="1">
      <c r="A1" s="1" t="inlineStr">
        <is>
          <t>Muni.
Code</t>
        </is>
      </c>
      <c r="B1" s="1" t="inlineStr">
        <is>
          <t>On Road</t>
        </is>
      </c>
      <c r="C1" s="1" t="inlineStr">
        <is>
          <t>Miles</t>
        </is>
      </c>
      <c r="D1" s="1" t="inlineStr">
        <is>
          <t>Dir
From</t>
        </is>
      </c>
      <c r="E1" s="1" t="inlineStr">
        <is>
          <t>From Road</t>
        </is>
      </c>
      <c r="F1" s="1" t="inlineStr">
        <is>
          <t>Toward Road</t>
        </is>
      </c>
      <c r="G1" s="1" t="inlineStr">
        <is>
          <t>Milepost Road</t>
        </is>
      </c>
      <c r="H1" s="1" t="inlineStr">
        <is>
          <t>MP</t>
        </is>
      </c>
      <c r="I1" s="1" t="inlineStr">
        <is>
          <t>IS?</t>
        </is>
      </c>
      <c r="J1" s="1" t="inlineStr">
        <is>
          <t>New MP</t>
        </is>
      </c>
      <c r="K1" s="1" t="inlineStr">
        <is>
          <t>MA</t>
        </is>
      </c>
      <c r="L1" s="1" t="inlineStr">
        <is>
          <t>Crash ID</t>
        </is>
      </c>
      <c r="M1" s="1" t="inlineStr">
        <is>
          <t>Date</t>
        </is>
      </c>
      <c r="N1" s="1" t="inlineStr">
        <is>
          <t>T</t>
        </is>
      </c>
      <c r="O1" s="1" t="inlineStr">
        <is>
          <t>C</t>
        </is>
      </c>
      <c r="P1" s="1" t="inlineStr">
        <is>
          <t>F</t>
        </is>
      </c>
      <c r="Q1" s="1" t="inlineStr">
        <is>
          <t>L</t>
        </is>
      </c>
      <c r="R1" s="1" t="inlineStr">
        <is>
          <t>S</t>
        </is>
      </c>
      <c r="S1" s="1" t="inlineStr">
        <is>
          <t>Type</t>
        </is>
      </c>
      <c r="T1" s="1" t="inlineStr">
        <is>
          <t>Dir</t>
        </is>
      </c>
      <c r="U1" s="1" t="inlineStr">
        <is>
          <t>Comment</t>
        </is>
      </c>
      <c r="V1" s="1" t="inlineStr">
        <is>
          <t>Latitude</t>
        </is>
      </c>
      <c r="W1" s="1" t="inlineStr">
        <is>
          <t>Longitude</t>
        </is>
      </c>
    </row>
    <row r="2">
      <c r="A2" t="n">
        <v>558</v>
      </c>
      <c r="B2" t="inlineStr">
        <is>
          <t>LOVE MILL</t>
        </is>
      </c>
      <c r="C2" t="n">
        <v>0.23</v>
      </c>
      <c r="D2" t="inlineStr">
        <is>
          <t>N</t>
        </is>
      </c>
      <c r="E2" t="inlineStr">
        <is>
          <t>*LCL A G R NANCE RD</t>
        </is>
      </c>
      <c r="F2" t="inlineStr">
        <is>
          <t>ZEBULON WILLIAMS</t>
        </is>
      </c>
      <c r="H2" t="n">
        <v>999.999</v>
      </c>
      <c r="I2" t="inlineStr">
        <is>
          <t>NIS</t>
        </is>
      </c>
      <c r="L2" t="n">
        <v>108377465</v>
      </c>
      <c r="M2" s="6" t="n">
        <v>46042</v>
      </c>
      <c r="N2" t="n">
        <v>19</v>
      </c>
      <c r="O2" t="n">
        <v>1</v>
      </c>
      <c r="P2" t="n">
        <v>0</v>
      </c>
      <c r="Q2" t="n">
        <v>1</v>
      </c>
      <c r="R2" t="inlineStr">
        <is>
          <t>O</t>
        </is>
      </c>
      <c r="S2">
        <f>IFERROR(VLOOKUP(N2,Index!$A$1:$B$26,2,FALSE),"")</f>
        <v/>
      </c>
      <c r="T2">
        <f>AA2</f>
        <v/>
      </c>
      <c r="V2">
        <f>IFERROR(INDEX(DetailedFiche!Q:Q,MATCH(L2,DetailedFiche!J:J,0)),"")</f>
        <v/>
      </c>
      <c r="W2">
        <f>IFERROR(INDEX(DetailedFiche!R:R,MATCH(L2,DetailedFiche!J:J,0)),"")</f>
        <v/>
      </c>
      <c r="Y2">
        <f>IFERROR(IF(AND(INDEX('Initial Study'!K:K, MATCH(L2, 'Initial Study'!B:B, 0)+1)&lt;&gt;0,INDEX('Initial Study'!K:K, MATCH(L2, 'Initial Study'!B:B, 0)+1)&lt;&gt;""),INDEX('Initial Study'!K:K, MATCH(L2, 'Initial Study'!B:B, 0)+1),""),"")</f>
        <v/>
      </c>
      <c r="Z2">
        <f>IFERROR(IF(AND(INDEX('Initial Study'!K:K, MATCH(L2, 'Initial Study'!B:B, 0)+2)&lt;&gt;0,INDEX('Initial Study'!K:K, MATCH(L2, 'Initial Study'!B:B, 0)+2)&lt;&gt;"",NOT(ISNUMBER(INDEX('Initial Study'!K:K, MATCH(L2, 'Initial Study'!B:B, 0)+2)))),INDEX('Initial Study'!K:K, MATCH(L2, 'Initial Study'!B:B, 0)+2),"-"),"-")</f>
        <v/>
      </c>
      <c r="AA2">
        <f>IF(S2="RE", Y2 &amp; "BT/" &amp; IF(Z2 &lt;&gt; "-", Z2 &amp; "BT", ""), IF(OR(S2="LTDR", S2="LTSR"), Y2 &amp; "BL" &amp; IF(Z2 &lt;&gt; "-", "/" &amp; Z2 &amp; "BT", ""), IF(OR(S2="RTDR", S2="RTSR"), Y2 &amp; "BR" &amp; IF(Z2 &lt;&gt; "-", "/" &amp; Z2 &amp; "BT", ""), IF(Z2 &lt;&gt; "-", Y2 &amp; "BT/" &amp; Z2 &amp; "BT", Y2 &amp; "BT"))))</f>
        <v/>
      </c>
    </row>
    <row r="3">
      <c r="A3" t="n">
        <v>0</v>
      </c>
      <c r="B3" t="inlineStr">
        <is>
          <t>SR 1606</t>
        </is>
      </c>
      <c r="C3" t="n">
        <v>0.25</v>
      </c>
      <c r="D3" t="inlineStr">
        <is>
          <t>S</t>
        </is>
      </c>
      <c r="E3" t="inlineStr">
        <is>
          <t>*LCL BIGGERS CEMETERY RD</t>
        </is>
      </c>
      <c r="F3" t="inlineStr">
        <is>
          <t>OLD FERRY</t>
        </is>
      </c>
      <c r="H3" t="n">
        <v>999.999</v>
      </c>
      <c r="I3" t="inlineStr">
        <is>
          <t>NIS</t>
        </is>
      </c>
      <c r="L3" t="n">
        <v>105935402</v>
      </c>
      <c r="M3" s="6" t="n">
        <v>43668</v>
      </c>
      <c r="N3" t="n">
        <v>29</v>
      </c>
      <c r="O3" t="n">
        <v>1</v>
      </c>
      <c r="P3" t="n">
        <v>0</v>
      </c>
      <c r="Q3" t="n">
        <v>1</v>
      </c>
      <c r="R3" t="inlineStr">
        <is>
          <t>O</t>
        </is>
      </c>
      <c r="S3">
        <f>IFERROR(VLOOKUP(N3,Index!$A$1:$B$26,2,FALSE),"")</f>
        <v/>
      </c>
      <c r="T3">
        <f>AA3</f>
        <v/>
      </c>
      <c r="V3">
        <f>IFERROR(INDEX(DetailedFiche!Q:Q,MATCH(L3,DetailedFiche!J:J,0)),"")</f>
        <v/>
      </c>
      <c r="W3">
        <f>IFERROR(INDEX(DetailedFiche!R:R,MATCH(L3,DetailedFiche!J:J,0)),"")</f>
        <v/>
      </c>
      <c r="Y3">
        <f>IFERROR(IF(AND(INDEX('Initial Study'!K:K, MATCH(L3, 'Initial Study'!B:B, 0)+1)&lt;&gt;0,INDEX('Initial Study'!K:K, MATCH(L3, 'Initial Study'!B:B, 0)+1)&lt;&gt;""),INDEX('Initial Study'!K:K, MATCH(L3, 'Initial Study'!B:B, 0)+1),""),"")</f>
        <v/>
      </c>
      <c r="Z3">
        <f>IFERROR(IF(AND(INDEX('Initial Study'!K:K, MATCH(L3, 'Initial Study'!B:B, 0)+2)&lt;&gt;0,INDEX('Initial Study'!K:K, MATCH(L3, 'Initial Study'!B:B, 0)+2)&lt;&gt;"",NOT(ISNUMBER(INDEX('Initial Study'!K:K, MATCH(L3, 'Initial Study'!B:B, 0)+2)))),INDEX('Initial Study'!K:K, MATCH(L3, 'Initial Study'!B:B, 0)+2),"-"),"-")</f>
        <v/>
      </c>
      <c r="AA3">
        <f>IF(S3="RE", Y3 &amp; "BT/" &amp; IF(Z3 &lt;&gt; "-", Z3 &amp; "BT", ""), IF(OR(S3="LTDR", S3="LTSR"), Y3 &amp; "BL" &amp; IF(Z3 &lt;&gt; "-", "/" &amp; Z3 &amp; "BT", ""), IF(OR(S3="RTDR", S3="RTSR"), Y3 &amp; "BR" &amp; IF(Z3 &lt;&gt; "-", "/" &amp; Z3 &amp; "BT", ""), IF(Z3 &lt;&gt; "-", Y3 &amp; "BT/" &amp; Z3 &amp; "BT", Y3 &amp; "BT"))))</f>
        <v/>
      </c>
    </row>
    <row r="4">
      <c r="A4" t="n">
        <v>0</v>
      </c>
      <c r="B4" t="inlineStr">
        <is>
          <t>SR 1606</t>
        </is>
      </c>
      <c r="C4" t="n">
        <v>0.3</v>
      </c>
      <c r="D4" t="inlineStr">
        <is>
          <t>E</t>
        </is>
      </c>
      <c r="E4" t="inlineStr">
        <is>
          <t>*LCL CAMDEN OAKS LN</t>
        </is>
      </c>
      <c r="F4" t="inlineStr">
        <is>
          <t>SR 1006</t>
        </is>
      </c>
      <c r="H4" t="n">
        <v>999.999</v>
      </c>
      <c r="I4" t="inlineStr">
        <is>
          <t>NIS</t>
        </is>
      </c>
      <c r="L4" t="n">
        <v>106214571</v>
      </c>
      <c r="M4" s="6" t="n">
        <v>43951</v>
      </c>
      <c r="N4" t="n">
        <v>29</v>
      </c>
      <c r="O4" t="n">
        <v>1</v>
      </c>
      <c r="P4" t="n">
        <v>1</v>
      </c>
      <c r="Q4" t="n">
        <v>1</v>
      </c>
      <c r="R4" t="inlineStr">
        <is>
          <t>O</t>
        </is>
      </c>
      <c r="S4">
        <f>IFERROR(VLOOKUP(N4,Index!$A$1:$B$26,2,FALSE),"")</f>
        <v/>
      </c>
      <c r="T4">
        <f>AA4</f>
        <v/>
      </c>
      <c r="V4">
        <f>IFERROR(INDEX(DetailedFiche!Q:Q,MATCH(L4,DetailedFiche!J:J,0)),"")</f>
        <v/>
      </c>
      <c r="W4">
        <f>IFERROR(INDEX(DetailedFiche!R:R,MATCH(L4,DetailedFiche!J:J,0)),"")</f>
        <v/>
      </c>
      <c r="Y4">
        <f>IFERROR(IF(AND(INDEX('Initial Study'!K:K, MATCH(L4, 'Initial Study'!B:B, 0)+1)&lt;&gt;0,INDEX('Initial Study'!K:K, MATCH(L4, 'Initial Study'!B:B, 0)+1)&lt;&gt;""),INDEX('Initial Study'!K:K, MATCH(L4, 'Initial Study'!B:B, 0)+1),""),"")</f>
        <v/>
      </c>
      <c r="Z4">
        <f>IFERROR(IF(AND(INDEX('Initial Study'!K:K, MATCH(L4, 'Initial Study'!B:B, 0)+2)&lt;&gt;0,INDEX('Initial Study'!K:K, MATCH(L4, 'Initial Study'!B:B, 0)+2)&lt;&gt;"",NOT(ISNUMBER(INDEX('Initial Study'!K:K, MATCH(L4, 'Initial Study'!B:B, 0)+2)))),INDEX('Initial Study'!K:K, MATCH(L4, 'Initial Study'!B:B, 0)+2),"-"),"-")</f>
        <v/>
      </c>
      <c r="AA4">
        <f>IF(S4="RE", Y4 &amp; "BT/" &amp; IF(Z4 &lt;&gt; "-", Z4 &amp; "BT", ""), IF(OR(S4="LTDR", S4="LTSR"), Y4 &amp; "BL" &amp; IF(Z4 &lt;&gt; "-", "/" &amp; Z4 &amp; "BT", ""), IF(OR(S4="RTDR", S4="RTSR"), Y4 &amp; "BR" &amp; IF(Z4 &lt;&gt; "-", "/" &amp; Z4 &amp; "BT", ""), IF(Z4 &lt;&gt; "-", Y4 &amp; "BT/" &amp; Z4 &amp; "BT", Y4 &amp; "BT"))))</f>
        <v/>
      </c>
    </row>
    <row r="5">
      <c r="A5" t="n">
        <v>558</v>
      </c>
      <c r="B5" t="inlineStr">
        <is>
          <t>TOM BOYD</t>
        </is>
      </c>
      <c r="C5" t="n">
        <v>0.024</v>
      </c>
      <c r="D5" t="inlineStr">
        <is>
          <t>SE</t>
        </is>
      </c>
      <c r="E5" t="inlineStr">
        <is>
          <t>*LCL LATHAN WOODS DR</t>
        </is>
      </c>
      <c r="F5" t="inlineStr">
        <is>
          <t>OLD CAMDEN</t>
        </is>
      </c>
      <c r="H5" t="n">
        <v>999.999</v>
      </c>
      <c r="I5" t="inlineStr">
        <is>
          <t>NIS</t>
        </is>
      </c>
      <c r="L5" t="n">
        <v>104734401</v>
      </c>
      <c r="M5" s="6" t="n">
        <v>42502</v>
      </c>
      <c r="N5" t="n">
        <v>21</v>
      </c>
      <c r="O5" t="n">
        <v>2</v>
      </c>
      <c r="P5" t="n">
        <v>5</v>
      </c>
      <c r="Q5" t="n">
        <v>5</v>
      </c>
      <c r="R5" t="inlineStr">
        <is>
          <t>O</t>
        </is>
      </c>
      <c r="S5">
        <f>IFERROR(VLOOKUP(N5,Index!$A$1:$B$26,2,FALSE),"")</f>
        <v/>
      </c>
      <c r="T5">
        <f>AA5</f>
        <v/>
      </c>
      <c r="V5">
        <f>IFERROR(INDEX(DetailedFiche!Q:Q,MATCH(L5,DetailedFiche!J:J,0)),"")</f>
        <v/>
      </c>
      <c r="W5">
        <f>IFERROR(INDEX(DetailedFiche!R:R,MATCH(L5,DetailedFiche!J:J,0)),"")</f>
        <v/>
      </c>
      <c r="Y5">
        <f>IFERROR(IF(AND(INDEX('Initial Study'!K:K, MATCH(L5, 'Initial Study'!B:B, 0)+1)&lt;&gt;0,INDEX('Initial Study'!K:K, MATCH(L5, 'Initial Study'!B:B, 0)+1)&lt;&gt;""),INDEX('Initial Study'!K:K, MATCH(L5, 'Initial Study'!B:B, 0)+1),""),"")</f>
        <v/>
      </c>
      <c r="Z5">
        <f>IFERROR(IF(AND(INDEX('Initial Study'!K:K, MATCH(L5, 'Initial Study'!B:B, 0)+2)&lt;&gt;0,INDEX('Initial Study'!K:K, MATCH(L5, 'Initial Study'!B:B, 0)+2)&lt;&gt;"",NOT(ISNUMBER(INDEX('Initial Study'!K:K, MATCH(L5, 'Initial Study'!B:B, 0)+2)))),INDEX('Initial Study'!K:K, MATCH(L5, 'Initial Study'!B:B, 0)+2),"-"),"-")</f>
        <v/>
      </c>
      <c r="AA5">
        <f>IF(S5="RE", Y5 &amp; "BT/" &amp; IF(Z5 &lt;&gt; "-", Z5 &amp; "BT", ""), IF(OR(S5="LTDR", S5="LTSR"), Y5 &amp; "BL" &amp; IF(Z5 &lt;&gt; "-", "/" &amp; Z5 &amp; "BT", ""), IF(OR(S5="RTDR", S5="RTSR"), Y5 &amp; "BR" &amp; IF(Z5 &lt;&gt; "-", "/" &amp; Z5 &amp; "BT", ""), IF(Z5 &lt;&gt; "-", Y5 &amp; "BT/" &amp; Z5 &amp; "BT", Y5 &amp; "BT"))))</f>
        <v/>
      </c>
    </row>
    <row r="6">
      <c r="A6" t="n">
        <v>558</v>
      </c>
      <c r="B6" t="inlineStr">
        <is>
          <t>SR 1001</t>
        </is>
      </c>
      <c r="C6" t="n">
        <v>0</v>
      </c>
      <c r="E6" t="inlineStr">
        <is>
          <t>*LCL PEIDMONT SCHOOL RD</t>
        </is>
      </c>
      <c r="F6" t="inlineStr">
        <is>
          <t>SR 1674</t>
        </is>
      </c>
      <c r="H6" t="n">
        <v>999.999</v>
      </c>
      <c r="I6" t="inlineStr">
        <is>
          <t>NIS</t>
        </is>
      </c>
      <c r="L6" t="n">
        <v>108430866</v>
      </c>
      <c r="M6" s="6" t="n">
        <v>46094</v>
      </c>
      <c r="N6" t="n">
        <v>24</v>
      </c>
      <c r="O6" t="n">
        <v>1</v>
      </c>
      <c r="P6" t="n">
        <v>5</v>
      </c>
      <c r="Q6" t="n">
        <v>1</v>
      </c>
      <c r="R6" t="inlineStr">
        <is>
          <t>C</t>
        </is>
      </c>
      <c r="S6">
        <f>IFERROR(VLOOKUP(N6,Index!$A$1:$B$26,2,FALSE),"")</f>
        <v/>
      </c>
      <c r="T6">
        <f>AA6</f>
        <v/>
      </c>
      <c r="V6">
        <f>IFERROR(INDEX(DetailedFiche!Q:Q,MATCH(L6,DetailedFiche!J:J,0)),"")</f>
        <v/>
      </c>
      <c r="W6">
        <f>IFERROR(INDEX(DetailedFiche!R:R,MATCH(L6,DetailedFiche!J:J,0)),"")</f>
        <v/>
      </c>
      <c r="Y6">
        <f>IFERROR(IF(AND(INDEX('Initial Study'!K:K, MATCH(L6, 'Initial Study'!B:B, 0)+1)&lt;&gt;0,INDEX('Initial Study'!K:K, MATCH(L6, 'Initial Study'!B:B, 0)+1)&lt;&gt;""),INDEX('Initial Study'!K:K, MATCH(L6, 'Initial Study'!B:B, 0)+1),""),"")</f>
        <v/>
      </c>
      <c r="Z6">
        <f>IFERROR(IF(AND(INDEX('Initial Study'!K:K, MATCH(L6, 'Initial Study'!B:B, 0)+2)&lt;&gt;0,INDEX('Initial Study'!K:K, MATCH(L6, 'Initial Study'!B:B, 0)+2)&lt;&gt;"",NOT(ISNUMBER(INDEX('Initial Study'!K:K, MATCH(L6, 'Initial Study'!B:B, 0)+2)))),INDEX('Initial Study'!K:K, MATCH(L6, 'Initial Study'!B:B, 0)+2),"-"),"-")</f>
        <v/>
      </c>
      <c r="AA6">
        <f>IF(S6="RE", Y6 &amp; "BT/" &amp; IF(Z6 &lt;&gt; "-", Z6 &amp; "BT", ""), IF(OR(S6="LTDR", S6="LTSR"), Y6 &amp; "BL" &amp; IF(Z6 &lt;&gt; "-", "/" &amp; Z6 &amp; "BT", ""), IF(OR(S6="RTDR", S6="RTSR"), Y6 &amp; "BR" &amp; IF(Z6 &lt;&gt; "-", "/" &amp; Z6 &amp; "BT", ""), IF(Z6 &lt;&gt; "-", Y6 &amp; "BT/" &amp; Z6 &amp; "BT", Y6 &amp; "BT"))))</f>
        <v/>
      </c>
    </row>
    <row r="7">
      <c r="A7" t="n">
        <v>558</v>
      </c>
      <c r="B7" t="inlineStr">
        <is>
          <t>LOVE MILL</t>
        </is>
      </c>
      <c r="C7" t="n">
        <v>0</v>
      </c>
      <c r="E7" t="inlineStr">
        <is>
          <t>*LCL PIEDMONT SCH DR</t>
        </is>
      </c>
      <c r="F7" t="inlineStr">
        <is>
          <t>SIKES MILL</t>
        </is>
      </c>
      <c r="H7" t="n">
        <v>999.999</v>
      </c>
      <c r="I7" t="inlineStr">
        <is>
          <t>NIS</t>
        </is>
      </c>
      <c r="L7" t="n">
        <v>108397947</v>
      </c>
      <c r="M7" s="6" t="n">
        <v>46063</v>
      </c>
      <c r="N7" t="n">
        <v>26</v>
      </c>
      <c r="O7" t="n">
        <v>1</v>
      </c>
      <c r="P7" t="n">
        <v>8</v>
      </c>
      <c r="Q7" t="n">
        <v>1</v>
      </c>
      <c r="R7" t="inlineStr">
        <is>
          <t>O</t>
        </is>
      </c>
      <c r="S7">
        <f>IFERROR(VLOOKUP(N7,Index!$A$1:$B$26,2,FALSE),"")</f>
        <v/>
      </c>
      <c r="T7">
        <f>AA7</f>
        <v/>
      </c>
      <c r="V7">
        <f>IFERROR(INDEX(DetailedFiche!Q:Q,MATCH(L7,DetailedFiche!J:J,0)),"")</f>
        <v/>
      </c>
      <c r="W7">
        <f>IFERROR(INDEX(DetailedFiche!R:R,MATCH(L7,DetailedFiche!J:J,0)),"")</f>
        <v/>
      </c>
      <c r="Y7">
        <f>IFERROR(IF(AND(INDEX('Initial Study'!K:K, MATCH(L7, 'Initial Study'!B:B, 0)+1)&lt;&gt;0,INDEX('Initial Study'!K:K, MATCH(L7, 'Initial Study'!B:B, 0)+1)&lt;&gt;""),INDEX('Initial Study'!K:K, MATCH(L7, 'Initial Study'!B:B, 0)+1),""),"")</f>
        <v/>
      </c>
      <c r="Z7">
        <f>IFERROR(IF(AND(INDEX('Initial Study'!K:K, MATCH(L7, 'Initial Study'!B:B, 0)+2)&lt;&gt;0,INDEX('Initial Study'!K:K, MATCH(L7, 'Initial Study'!B:B, 0)+2)&lt;&gt;"",NOT(ISNUMBER(INDEX('Initial Study'!K:K, MATCH(L7, 'Initial Study'!B:B, 0)+2)))),INDEX('Initial Study'!K:K, MATCH(L7, 'Initial Study'!B:B, 0)+2),"-"),"-")</f>
        <v/>
      </c>
      <c r="AA7">
        <f>IF(S7="RE", Y7 &amp; "BT/" &amp; IF(Z7 &lt;&gt; "-", Z7 &amp; "BT", ""), IF(OR(S7="LTDR", S7="LTSR"), Y7 &amp; "BL" &amp; IF(Z7 &lt;&gt; "-", "/" &amp; Z7 &amp; "BT", ""), IF(OR(S7="RTDR", S7="RTSR"), Y7 &amp; "BR" &amp; IF(Z7 &lt;&gt; "-", "/" &amp; Z7 &amp; "BT", ""), IF(Z7 &lt;&gt; "-", Y7 &amp; "BT/" &amp; Z7 &amp; "BT", Y7 &amp; "BT"))))</f>
        <v/>
      </c>
    </row>
    <row r="8">
      <c r="A8" t="n">
        <v>558</v>
      </c>
      <c r="B8" t="inlineStr">
        <is>
          <t>SIKES MILL</t>
        </is>
      </c>
      <c r="C8" t="n">
        <v>0.14</v>
      </c>
      <c r="D8" t="inlineStr">
        <is>
          <t>N</t>
        </is>
      </c>
      <c r="E8" t="inlineStr">
        <is>
          <t>*LCL PIEDMONT SCH DR</t>
        </is>
      </c>
      <c r="F8" t="inlineStr">
        <is>
          <t>HAIGLER BAUCOM</t>
        </is>
      </c>
      <c r="H8" t="n">
        <v>999.999</v>
      </c>
      <c r="I8" t="inlineStr">
        <is>
          <t>NIS</t>
        </is>
      </c>
      <c r="L8" t="n">
        <v>108319024</v>
      </c>
      <c r="M8" s="6" t="n">
        <v>45986</v>
      </c>
      <c r="N8" t="n">
        <v>24</v>
      </c>
      <c r="O8" t="n">
        <v>1</v>
      </c>
      <c r="P8" t="n">
        <v>4</v>
      </c>
      <c r="Q8" t="n">
        <v>1</v>
      </c>
      <c r="R8" t="inlineStr">
        <is>
          <t>B</t>
        </is>
      </c>
      <c r="S8">
        <f>IFERROR(VLOOKUP(N8,Index!$A$1:$B$26,2,FALSE),"")</f>
        <v/>
      </c>
      <c r="T8">
        <f>AA8</f>
        <v/>
      </c>
      <c r="V8">
        <f>IFERROR(INDEX(DetailedFiche!Q:Q,MATCH(L8,DetailedFiche!J:J,0)),"")</f>
        <v/>
      </c>
      <c r="W8">
        <f>IFERROR(INDEX(DetailedFiche!R:R,MATCH(L8,DetailedFiche!J:J,0)),"")</f>
        <v/>
      </c>
      <c r="Y8">
        <f>IFERROR(IF(AND(INDEX('Initial Study'!K:K, MATCH(L8, 'Initial Study'!B:B, 0)+1)&lt;&gt;0,INDEX('Initial Study'!K:K, MATCH(L8, 'Initial Study'!B:B, 0)+1)&lt;&gt;""),INDEX('Initial Study'!K:K, MATCH(L8, 'Initial Study'!B:B, 0)+1),""),"")</f>
        <v/>
      </c>
      <c r="Z8">
        <f>IFERROR(IF(AND(INDEX('Initial Study'!K:K, MATCH(L8, 'Initial Study'!B:B, 0)+2)&lt;&gt;0,INDEX('Initial Study'!K:K, MATCH(L8, 'Initial Study'!B:B, 0)+2)&lt;&gt;"",NOT(ISNUMBER(INDEX('Initial Study'!K:K, MATCH(L8, 'Initial Study'!B:B, 0)+2)))),INDEX('Initial Study'!K:K, MATCH(L8, 'Initial Study'!B:B, 0)+2),"-"),"-")</f>
        <v/>
      </c>
      <c r="AA8">
        <f>IF(S8="RE", Y8 &amp; "BT/" &amp; IF(Z8 &lt;&gt; "-", Z8 &amp; "BT", ""), IF(OR(S8="LTDR", S8="LTSR"), Y8 &amp; "BL" &amp; IF(Z8 &lt;&gt; "-", "/" &amp; Z8 &amp; "BT", ""), IF(OR(S8="RTDR", S8="RTSR"), Y8 &amp; "BR" &amp; IF(Z8 &lt;&gt; "-", "/" &amp; Z8 &amp; "BT", ""), IF(Z8 &lt;&gt; "-", Y8 &amp; "BT/" &amp; Z8 &amp; "BT", Y8 &amp; "BT"))))</f>
        <v/>
      </c>
    </row>
    <row r="9">
      <c r="A9" t="n">
        <v>558</v>
      </c>
      <c r="B9" t="inlineStr">
        <is>
          <t>SIKES MILL</t>
        </is>
      </c>
      <c r="C9" t="n">
        <v>0.038</v>
      </c>
      <c r="D9" t="inlineStr">
        <is>
          <t>N</t>
        </is>
      </c>
      <c r="E9" t="inlineStr">
        <is>
          <t>*LCL PIEDMONT SCH RD</t>
        </is>
      </c>
      <c r="F9" t="inlineStr">
        <is>
          <t>HAIGLER BAUCOM</t>
        </is>
      </c>
      <c r="H9" t="n">
        <v>999.999</v>
      </c>
      <c r="I9" t="inlineStr">
        <is>
          <t>NIS</t>
        </is>
      </c>
      <c r="L9" t="n">
        <v>107926331</v>
      </c>
      <c r="M9" s="6" t="n">
        <v>45611</v>
      </c>
      <c r="N9" t="n">
        <v>24</v>
      </c>
      <c r="O9" t="n">
        <v>1</v>
      </c>
      <c r="P9" t="n">
        <v>4</v>
      </c>
      <c r="Q9" t="n">
        <v>1</v>
      </c>
      <c r="R9" t="inlineStr">
        <is>
          <t>O</t>
        </is>
      </c>
      <c r="S9">
        <f>IFERROR(VLOOKUP(N9,Index!$A$1:$B$26,2,FALSE),"")</f>
        <v/>
      </c>
      <c r="T9">
        <f>AA9</f>
        <v/>
      </c>
      <c r="V9">
        <f>IFERROR(INDEX(DetailedFiche!Q:Q,MATCH(L9,DetailedFiche!J:J,0)),"")</f>
        <v/>
      </c>
      <c r="W9">
        <f>IFERROR(INDEX(DetailedFiche!R:R,MATCH(L9,DetailedFiche!J:J,0)),"")</f>
        <v/>
      </c>
      <c r="Y9">
        <f>IFERROR(IF(AND(INDEX('Initial Study'!K:K, MATCH(L9, 'Initial Study'!B:B, 0)+1)&lt;&gt;0,INDEX('Initial Study'!K:K, MATCH(L9, 'Initial Study'!B:B, 0)+1)&lt;&gt;""),INDEX('Initial Study'!K:K, MATCH(L9, 'Initial Study'!B:B, 0)+1),""),"")</f>
        <v/>
      </c>
      <c r="Z9">
        <f>IFERROR(IF(AND(INDEX('Initial Study'!K:K, MATCH(L9, 'Initial Study'!B:B, 0)+2)&lt;&gt;0,INDEX('Initial Study'!K:K, MATCH(L9, 'Initial Study'!B:B, 0)+2)&lt;&gt;"",NOT(ISNUMBER(INDEX('Initial Study'!K:K, MATCH(L9, 'Initial Study'!B:B, 0)+2)))),INDEX('Initial Study'!K:K, MATCH(L9, 'Initial Study'!B:B, 0)+2),"-"),"-")</f>
        <v/>
      </c>
      <c r="AA9">
        <f>IF(S9="RE", Y9 &amp; "BT/" &amp; IF(Z9 &lt;&gt; "-", Z9 &amp; "BT", ""), IF(OR(S9="LTDR", S9="LTSR"), Y9 &amp; "BL" &amp; IF(Z9 &lt;&gt; "-", "/" &amp; Z9 &amp; "BT", ""), IF(OR(S9="RTDR", S9="RTSR"), Y9 &amp; "BR" &amp; IF(Z9 &lt;&gt; "-", "/" &amp; Z9 &amp; "BT", ""), IF(Z9 &lt;&gt; "-", Y9 &amp; "BT/" &amp; Z9 &amp; "BT", Y9 &amp; "BT"))))</f>
        <v/>
      </c>
    </row>
    <row r="10">
      <c r="A10" t="n">
        <v>558</v>
      </c>
      <c r="B10" t="inlineStr">
        <is>
          <t>LOVE MILL</t>
        </is>
      </c>
      <c r="C10" t="n">
        <v>0.07199999999999999</v>
      </c>
      <c r="D10" t="inlineStr">
        <is>
          <t>N</t>
        </is>
      </c>
      <c r="E10" t="inlineStr">
        <is>
          <t>*LCL PURSER RUSHING RD</t>
        </is>
      </c>
      <c r="F10" t="inlineStr">
        <is>
          <t>HAIGLER BAUCOM</t>
        </is>
      </c>
      <c r="H10" t="n">
        <v>999.999</v>
      </c>
      <c r="I10" t="inlineStr">
        <is>
          <t>NIS</t>
        </is>
      </c>
      <c r="L10" t="n">
        <v>107756918</v>
      </c>
      <c r="M10" s="6" t="n">
        <v>45463</v>
      </c>
      <c r="N10" t="n">
        <v>23</v>
      </c>
      <c r="O10" t="n">
        <v>1</v>
      </c>
      <c r="P10" t="n">
        <v>5</v>
      </c>
      <c r="Q10" t="n">
        <v>3</v>
      </c>
      <c r="R10" t="inlineStr">
        <is>
          <t>O</t>
        </is>
      </c>
      <c r="S10">
        <f>IFERROR(VLOOKUP(N10,Index!$A$1:$B$26,2,FALSE),"")</f>
        <v/>
      </c>
      <c r="T10">
        <f>AA10</f>
        <v/>
      </c>
      <c r="V10">
        <f>IFERROR(INDEX(DetailedFiche!Q:Q,MATCH(L10,DetailedFiche!J:J,0)),"")</f>
        <v/>
      </c>
      <c r="W10">
        <f>IFERROR(INDEX(DetailedFiche!R:R,MATCH(L10,DetailedFiche!J:J,0)),"")</f>
        <v/>
      </c>
      <c r="Y10">
        <f>IFERROR(IF(AND(INDEX('Initial Study'!K:K, MATCH(L10, 'Initial Study'!B:B, 0)+1)&lt;&gt;0,INDEX('Initial Study'!K:K, MATCH(L10, 'Initial Study'!B:B, 0)+1)&lt;&gt;""),INDEX('Initial Study'!K:K, MATCH(L10, 'Initial Study'!B:B, 0)+1),""),"")</f>
        <v/>
      </c>
      <c r="Z10">
        <f>IFERROR(IF(AND(INDEX('Initial Study'!K:K, MATCH(L10, 'Initial Study'!B:B, 0)+2)&lt;&gt;0,INDEX('Initial Study'!K:K, MATCH(L10, 'Initial Study'!B:B, 0)+2)&lt;&gt;"",NOT(ISNUMBER(INDEX('Initial Study'!K:K, MATCH(L10, 'Initial Study'!B:B, 0)+2)))),INDEX('Initial Study'!K:K, MATCH(L10, 'Initial Study'!B:B, 0)+2),"-"),"-")</f>
        <v/>
      </c>
      <c r="AA10">
        <f>IF(S10="RE", Y10 &amp; "BT/" &amp; IF(Z10 &lt;&gt; "-", Z10 &amp; "BT", ""), IF(OR(S10="LTDR", S10="LTSR"), Y10 &amp; "BL" &amp; IF(Z10 &lt;&gt; "-", "/" &amp; Z10 &amp; "BT", ""), IF(OR(S10="RTDR", S10="RTSR"), Y10 &amp; "BR" &amp; IF(Z10 &lt;&gt; "-", "/" &amp; Z10 &amp; "BT", ""), IF(Z10 &lt;&gt; "-", Y10 &amp; "BT/" &amp; Z10 &amp; "BT", Y10 &amp; "BT"))))</f>
        <v/>
      </c>
    </row>
    <row r="11">
      <c r="A11" t="n">
        <v>558</v>
      </c>
      <c r="B11" t="inlineStr">
        <is>
          <t>LOVE MILL</t>
        </is>
      </c>
      <c r="C11" t="n">
        <v>0.25</v>
      </c>
      <c r="D11" t="inlineStr">
        <is>
          <t>N</t>
        </is>
      </c>
      <c r="E11" t="inlineStr">
        <is>
          <t>*LCL PURSER RUSHING RD</t>
        </is>
      </c>
      <c r="F11" t="inlineStr">
        <is>
          <t>HAIGLER BAUCOM</t>
        </is>
      </c>
      <c r="H11" t="n">
        <v>999.999</v>
      </c>
      <c r="I11" t="inlineStr">
        <is>
          <t>NIS</t>
        </is>
      </c>
      <c r="L11" t="n">
        <v>108479327</v>
      </c>
      <c r="M11" s="6" t="n">
        <v>46140</v>
      </c>
      <c r="N11" t="n">
        <v>17</v>
      </c>
      <c r="O11" t="n">
        <v>1</v>
      </c>
      <c r="P11" t="n">
        <v>0</v>
      </c>
      <c r="Q11" t="n">
        <v>5</v>
      </c>
      <c r="R11" t="inlineStr">
        <is>
          <t>O</t>
        </is>
      </c>
      <c r="S11">
        <f>IFERROR(VLOOKUP(N11,Index!$A$1:$B$26,2,FALSE),"")</f>
        <v/>
      </c>
      <c r="T11">
        <f>AA11</f>
        <v/>
      </c>
      <c r="V11">
        <f>IFERROR(INDEX(DetailedFiche!Q:Q,MATCH(L11,DetailedFiche!J:J,0)),"")</f>
        <v/>
      </c>
      <c r="W11">
        <f>IFERROR(INDEX(DetailedFiche!R:R,MATCH(L11,DetailedFiche!J:J,0)),"")</f>
        <v/>
      </c>
      <c r="Y11">
        <f>IFERROR(IF(AND(INDEX('Initial Study'!K:K, MATCH(L11, 'Initial Study'!B:B, 0)+1)&lt;&gt;0,INDEX('Initial Study'!K:K, MATCH(L11, 'Initial Study'!B:B, 0)+1)&lt;&gt;""),INDEX('Initial Study'!K:K, MATCH(L11, 'Initial Study'!B:B, 0)+1),""),"")</f>
        <v/>
      </c>
      <c r="Z11">
        <f>IFERROR(IF(AND(INDEX('Initial Study'!K:K, MATCH(L11, 'Initial Study'!B:B, 0)+2)&lt;&gt;0,INDEX('Initial Study'!K:K, MATCH(L11, 'Initial Study'!B:B, 0)+2)&lt;&gt;"",NOT(ISNUMBER(INDEX('Initial Study'!K:K, MATCH(L11, 'Initial Study'!B:B, 0)+2)))),INDEX('Initial Study'!K:K, MATCH(L11, 'Initial Study'!B:B, 0)+2),"-"),"-")</f>
        <v/>
      </c>
      <c r="AA11">
        <f>IF(S11="RE", Y11 &amp; "BT/" &amp; IF(Z11 &lt;&gt; "-", Z11 &amp; "BT", ""), IF(OR(S11="LTDR", S11="LTSR"), Y11 &amp; "BL" &amp; IF(Z11 &lt;&gt; "-", "/" &amp; Z11 &amp; "BT", ""), IF(OR(S11="RTDR", S11="RTSR"), Y11 &amp; "BR" &amp; IF(Z11 &lt;&gt; "-", "/" &amp; Z11 &amp; "BT", ""), IF(Z11 &lt;&gt; "-", Y11 &amp; "BT/" &amp; Z11 &amp; "BT", Y11 &amp; "BT"))))</f>
        <v/>
      </c>
    </row>
    <row r="12">
      <c r="A12" t="n">
        <v>558</v>
      </c>
      <c r="B12" t="inlineStr">
        <is>
          <t>PIEDMONT SCHOOL</t>
        </is>
      </c>
      <c r="C12" t="n">
        <v>0.019</v>
      </c>
      <c r="D12" t="inlineStr">
        <is>
          <t>N</t>
        </is>
      </c>
      <c r="E12" t="inlineStr">
        <is>
          <t>LOVE MILL</t>
        </is>
      </c>
      <c r="F12" t="inlineStr">
        <is>
          <t>DEAD END</t>
        </is>
      </c>
      <c r="H12" t="n">
        <v>999.999</v>
      </c>
      <c r="I12" t="inlineStr">
        <is>
          <t>NIS</t>
        </is>
      </c>
      <c r="L12" t="n">
        <v>107528155</v>
      </c>
      <c r="M12" s="6" t="n">
        <v>45244</v>
      </c>
      <c r="N12" t="n">
        <v>21</v>
      </c>
      <c r="O12" t="n">
        <v>1</v>
      </c>
      <c r="P12" t="n">
        <v>12</v>
      </c>
      <c r="Q12" t="n">
        <v>1</v>
      </c>
      <c r="R12" t="inlineStr">
        <is>
          <t>O</t>
        </is>
      </c>
      <c r="S12">
        <f>IFERROR(VLOOKUP(N12,Index!$A$1:$B$26,2,FALSE),"")</f>
        <v/>
      </c>
      <c r="T12">
        <f>AA12</f>
        <v/>
      </c>
      <c r="V12">
        <f>IFERROR(INDEX(DetailedFiche!Q:Q,MATCH(L12,DetailedFiche!J:J,0)),"")</f>
        <v/>
      </c>
      <c r="W12">
        <f>IFERROR(INDEX(DetailedFiche!R:R,MATCH(L12,DetailedFiche!J:J,0)),"")</f>
        <v/>
      </c>
      <c r="Y12">
        <f>IFERROR(IF(AND(INDEX('Initial Study'!K:K, MATCH(L12, 'Initial Study'!B:B, 0)+1)&lt;&gt;0,INDEX('Initial Study'!K:K, MATCH(L12, 'Initial Study'!B:B, 0)+1)&lt;&gt;""),INDEX('Initial Study'!K:K, MATCH(L12, 'Initial Study'!B:B, 0)+1),""),"")</f>
        <v/>
      </c>
      <c r="Z12">
        <f>IFERROR(IF(AND(INDEX('Initial Study'!K:K, MATCH(L12, 'Initial Study'!B:B, 0)+2)&lt;&gt;0,INDEX('Initial Study'!K:K, MATCH(L12, 'Initial Study'!B:B, 0)+2)&lt;&gt;"",NOT(ISNUMBER(INDEX('Initial Study'!K:K, MATCH(L12, 'Initial Study'!B:B, 0)+2)))),INDEX('Initial Study'!K:K, MATCH(L12, 'Initial Study'!B:B, 0)+2),"-"),"-")</f>
        <v/>
      </c>
      <c r="AA12">
        <f>IF(S12="RE", Y12 &amp; "BT/" &amp; IF(Z12 &lt;&gt; "-", Z12 &amp; "BT", ""), IF(OR(S12="LTDR", S12="LTSR"), Y12 &amp; "BL" &amp; IF(Z12 &lt;&gt; "-", "/" &amp; Z12 &amp; "BT", ""), IF(OR(S12="RTDR", S12="RTSR"), Y12 &amp; "BR" &amp; IF(Z12 &lt;&gt; "-", "/" &amp; Z12 &amp; "BT", ""), IF(Z12 &lt;&gt; "-", Y12 &amp; "BT/" &amp; Z12 &amp; "BT", Y12 &amp; "BT"))))</f>
        <v/>
      </c>
    </row>
    <row r="13">
      <c r="A13" t="n">
        <v>558</v>
      </c>
      <c r="B13" t="inlineStr">
        <is>
          <t>TOM BOYD</t>
        </is>
      </c>
      <c r="C13" t="n">
        <v>0</v>
      </c>
      <c r="E13" t="inlineStr">
        <is>
          <t>OLD CAMDEN</t>
        </is>
      </c>
      <c r="F13" t="inlineStr">
        <is>
          <t>SIKES MILL</t>
        </is>
      </c>
      <c r="H13" t="n">
        <v>999.999</v>
      </c>
      <c r="I13" t="inlineStr">
        <is>
          <t>NIS</t>
        </is>
      </c>
      <c r="L13" t="n">
        <v>105415127</v>
      </c>
      <c r="M13" s="6" t="n">
        <v>43171</v>
      </c>
      <c r="N13" t="n">
        <v>30</v>
      </c>
      <c r="O13" t="n">
        <v>2</v>
      </c>
      <c r="P13" t="n">
        <v>7</v>
      </c>
      <c r="Q13" t="n">
        <v>1</v>
      </c>
      <c r="R13" t="inlineStr">
        <is>
          <t>C</t>
        </is>
      </c>
      <c r="S13">
        <f>IFERROR(VLOOKUP(N13,Index!$A$1:$B$26,2,FALSE),"")</f>
        <v/>
      </c>
      <c r="T13">
        <f>AA13</f>
        <v/>
      </c>
      <c r="V13">
        <f>IFERROR(INDEX(DetailedFiche!Q:Q,MATCH(L13,DetailedFiche!J:J,0)),"")</f>
        <v/>
      </c>
      <c r="W13">
        <f>IFERROR(INDEX(DetailedFiche!R:R,MATCH(L13,DetailedFiche!J:J,0)),"")</f>
        <v/>
      </c>
      <c r="Y13">
        <f>IFERROR(IF(AND(INDEX('Initial Study'!K:K, MATCH(L13, 'Initial Study'!B:B, 0)+1)&lt;&gt;0,INDEX('Initial Study'!K:K, MATCH(L13, 'Initial Study'!B:B, 0)+1)&lt;&gt;""),INDEX('Initial Study'!K:K, MATCH(L13, 'Initial Study'!B:B, 0)+1),""),"")</f>
        <v/>
      </c>
      <c r="Z13">
        <f>IFERROR(IF(AND(INDEX('Initial Study'!K:K, MATCH(L13, 'Initial Study'!B:B, 0)+2)&lt;&gt;0,INDEX('Initial Study'!K:K, MATCH(L13, 'Initial Study'!B:B, 0)+2)&lt;&gt;"",NOT(ISNUMBER(INDEX('Initial Study'!K:K, MATCH(L13, 'Initial Study'!B:B, 0)+2)))),INDEX('Initial Study'!K:K, MATCH(L13, 'Initial Study'!B:B, 0)+2),"-"),"-")</f>
        <v/>
      </c>
      <c r="AA13">
        <f>IF(S13="RE", Y13 &amp; "BT/" &amp; IF(Z13 &lt;&gt; "-", Z13 &amp; "BT", ""), IF(OR(S13="LTDR", S13="LTSR"), Y13 &amp; "BL" &amp; IF(Z13 &lt;&gt; "-", "/" &amp; Z13 &amp; "BT", ""), IF(OR(S13="RTDR", S13="RTSR"), Y13 &amp; "BR" &amp; IF(Z13 &lt;&gt; "-", "/" &amp; Z13 &amp; "BT", ""), IF(Z13 &lt;&gt; "-", Y13 &amp; "BT/" &amp; Z13 &amp; "BT", Y13 &amp; "BT"))))</f>
        <v/>
      </c>
    </row>
    <row r="14">
      <c r="A14" t="n">
        <v>558</v>
      </c>
      <c r="B14" t="inlineStr">
        <is>
          <t>TOM BOYD</t>
        </is>
      </c>
      <c r="C14" t="n">
        <v>0.16</v>
      </c>
      <c r="D14" t="inlineStr">
        <is>
          <t>NE</t>
        </is>
      </c>
      <c r="E14" t="inlineStr">
        <is>
          <t>OLD CAMDEN</t>
        </is>
      </c>
      <c r="F14" t="inlineStr">
        <is>
          <t>*LCL LATHAM WOODS DR</t>
        </is>
      </c>
      <c r="H14" t="n">
        <v>999.999</v>
      </c>
      <c r="I14" t="inlineStr">
        <is>
          <t>NIS</t>
        </is>
      </c>
      <c r="L14" t="n">
        <v>106910957</v>
      </c>
      <c r="M14" s="6" t="n">
        <v>44655</v>
      </c>
      <c r="N14" t="n">
        <v>17</v>
      </c>
      <c r="O14" t="n">
        <v>1</v>
      </c>
      <c r="P14" t="n">
        <v>0</v>
      </c>
      <c r="Q14" t="n">
        <v>5</v>
      </c>
      <c r="R14" t="inlineStr">
        <is>
          <t>O</t>
        </is>
      </c>
      <c r="S14">
        <f>IFERROR(VLOOKUP(N14,Index!$A$1:$B$26,2,FALSE),"")</f>
        <v/>
      </c>
      <c r="T14">
        <f>AA14</f>
        <v/>
      </c>
      <c r="V14">
        <f>IFERROR(INDEX(DetailedFiche!Q:Q,MATCH(L14,DetailedFiche!J:J,0)),"")</f>
        <v/>
      </c>
      <c r="W14">
        <f>IFERROR(INDEX(DetailedFiche!R:R,MATCH(L14,DetailedFiche!J:J,0)),"")</f>
        <v/>
      </c>
      <c r="Y14">
        <f>IFERROR(IF(AND(INDEX('Initial Study'!K:K, MATCH(L14, 'Initial Study'!B:B, 0)+1)&lt;&gt;0,INDEX('Initial Study'!K:K, MATCH(L14, 'Initial Study'!B:B, 0)+1)&lt;&gt;""),INDEX('Initial Study'!K:K, MATCH(L14, 'Initial Study'!B:B, 0)+1),""),"")</f>
        <v/>
      </c>
      <c r="Z14">
        <f>IFERROR(IF(AND(INDEX('Initial Study'!K:K, MATCH(L14, 'Initial Study'!B:B, 0)+2)&lt;&gt;0,INDEX('Initial Study'!K:K, MATCH(L14, 'Initial Study'!B:B, 0)+2)&lt;&gt;"",NOT(ISNUMBER(INDEX('Initial Study'!K:K, MATCH(L14, 'Initial Study'!B:B, 0)+2)))),INDEX('Initial Study'!K:K, MATCH(L14, 'Initial Study'!B:B, 0)+2),"-"),"-")</f>
        <v/>
      </c>
      <c r="AA14">
        <f>IF(S14="RE", Y14 &amp; "BT/" &amp; IF(Z14 &lt;&gt; "-", Z14 &amp; "BT", ""), IF(OR(S14="LTDR", S14="LTSR"), Y14 &amp; "BL" &amp; IF(Z14 &lt;&gt; "-", "/" &amp; Z14 &amp; "BT", ""), IF(OR(S14="RTDR", S14="RTSR"), Y14 &amp; "BR" &amp; IF(Z14 &lt;&gt; "-", "/" &amp; Z14 &amp; "BT", ""), IF(Z14 &lt;&gt; "-", Y14 &amp; "BT/" &amp; Z14 &amp; "BT", Y14 &amp; "BT"))))</f>
        <v/>
      </c>
    </row>
    <row r="15">
      <c r="A15" t="n">
        <v>558</v>
      </c>
      <c r="B15" t="inlineStr">
        <is>
          <t>TOM BOYD</t>
        </is>
      </c>
      <c r="C15" t="n">
        <v>0.36</v>
      </c>
      <c r="D15" t="inlineStr">
        <is>
          <t>E</t>
        </is>
      </c>
      <c r="E15" t="inlineStr">
        <is>
          <t>OLD CAMDEN</t>
        </is>
      </c>
      <c r="F15" t="inlineStr">
        <is>
          <t>SIKES MILL</t>
        </is>
      </c>
      <c r="H15" t="n">
        <v>999.999</v>
      </c>
      <c r="I15" t="inlineStr">
        <is>
          <t>NIS</t>
        </is>
      </c>
      <c r="L15" t="n">
        <v>108277405</v>
      </c>
      <c r="M15" s="6" t="n">
        <v>45954</v>
      </c>
      <c r="N15" t="n">
        <v>17</v>
      </c>
      <c r="O15" t="n">
        <v>1</v>
      </c>
      <c r="P15" t="n">
        <v>0</v>
      </c>
      <c r="Q15" t="n">
        <v>3</v>
      </c>
      <c r="R15" t="inlineStr">
        <is>
          <t>B</t>
        </is>
      </c>
      <c r="S15">
        <f>IFERROR(VLOOKUP(N15,Index!$A$1:$B$26,2,FALSE),"")</f>
        <v/>
      </c>
      <c r="T15">
        <f>AA15</f>
        <v/>
      </c>
      <c r="V15">
        <f>IFERROR(INDEX(DetailedFiche!Q:Q,MATCH(L15,DetailedFiche!J:J,0)),"")</f>
        <v/>
      </c>
      <c r="W15">
        <f>IFERROR(INDEX(DetailedFiche!R:R,MATCH(L15,DetailedFiche!J:J,0)),"")</f>
        <v/>
      </c>
      <c r="Y15">
        <f>IFERROR(IF(AND(INDEX('Initial Study'!K:K, MATCH(L15, 'Initial Study'!B:B, 0)+1)&lt;&gt;0,INDEX('Initial Study'!K:K, MATCH(L15, 'Initial Study'!B:B, 0)+1)&lt;&gt;""),INDEX('Initial Study'!K:K, MATCH(L15, 'Initial Study'!B:B, 0)+1),""),"")</f>
        <v/>
      </c>
      <c r="Z15">
        <f>IFERROR(IF(AND(INDEX('Initial Study'!K:K, MATCH(L15, 'Initial Study'!B:B, 0)+2)&lt;&gt;0,INDEX('Initial Study'!K:K, MATCH(L15, 'Initial Study'!B:B, 0)+2)&lt;&gt;"",NOT(ISNUMBER(INDEX('Initial Study'!K:K, MATCH(L15, 'Initial Study'!B:B, 0)+2)))),INDEX('Initial Study'!K:K, MATCH(L15, 'Initial Study'!B:B, 0)+2),"-"),"-")</f>
        <v/>
      </c>
      <c r="AA15">
        <f>IF(S15="RE", Y15 &amp; "BT/" &amp; IF(Z15 &lt;&gt; "-", Z15 &amp; "BT", ""), IF(OR(S15="LTDR", S15="LTSR"), Y15 &amp; "BL" &amp; IF(Z15 &lt;&gt; "-", "/" &amp; Z15 &amp; "BT", ""), IF(OR(S15="RTDR", S15="RTSR"), Y15 &amp; "BR" &amp; IF(Z15 &lt;&gt; "-", "/" &amp; Z15 &amp; "BT", ""), IF(Z15 &lt;&gt; "-", Y15 &amp; "BT/" &amp; Z15 &amp; "BT", Y15 &amp; "BT"))))</f>
        <v/>
      </c>
    </row>
    <row r="16">
      <c r="A16" t="n">
        <v>558</v>
      </c>
      <c r="B16" t="inlineStr">
        <is>
          <t>HAIGLER BAUCOM</t>
        </is>
      </c>
      <c r="C16" t="n">
        <v>0.005</v>
      </c>
      <c r="D16" t="inlineStr">
        <is>
          <t>E</t>
        </is>
      </c>
      <c r="E16" t="inlineStr">
        <is>
          <t>SIKES MILL</t>
        </is>
      </c>
      <c r="F16" t="inlineStr">
        <is>
          <t>LOVE MILL</t>
        </is>
      </c>
      <c r="H16" t="n">
        <v>999.999</v>
      </c>
      <c r="I16" t="inlineStr">
        <is>
          <t>NIS</t>
        </is>
      </c>
      <c r="L16" t="n">
        <v>107442545</v>
      </c>
      <c r="M16" s="6" t="n">
        <v>45168</v>
      </c>
      <c r="N16" t="n">
        <v>21</v>
      </c>
      <c r="O16" t="n">
        <v>2</v>
      </c>
      <c r="P16" t="n">
        <v>8</v>
      </c>
      <c r="Q16" t="n">
        <v>1</v>
      </c>
      <c r="R16" t="inlineStr">
        <is>
          <t>O</t>
        </is>
      </c>
      <c r="S16">
        <f>IFERROR(VLOOKUP(N16,Index!$A$1:$B$26,2,FALSE),"")</f>
        <v/>
      </c>
      <c r="T16">
        <f>AA16</f>
        <v/>
      </c>
      <c r="V16">
        <f>IFERROR(INDEX(DetailedFiche!Q:Q,MATCH(L16,DetailedFiche!J:J,0)),"")</f>
        <v/>
      </c>
      <c r="W16">
        <f>IFERROR(INDEX(DetailedFiche!R:R,MATCH(L16,DetailedFiche!J:J,0)),"")</f>
        <v/>
      </c>
      <c r="Y16">
        <f>IFERROR(IF(AND(INDEX('Initial Study'!K:K, MATCH(L16, 'Initial Study'!B:B, 0)+1)&lt;&gt;0,INDEX('Initial Study'!K:K, MATCH(L16, 'Initial Study'!B:B, 0)+1)&lt;&gt;""),INDEX('Initial Study'!K:K, MATCH(L16, 'Initial Study'!B:B, 0)+1),""),"")</f>
        <v/>
      </c>
      <c r="Z16">
        <f>IFERROR(IF(AND(INDEX('Initial Study'!K:K, MATCH(L16, 'Initial Study'!B:B, 0)+2)&lt;&gt;0,INDEX('Initial Study'!K:K, MATCH(L16, 'Initial Study'!B:B, 0)+2)&lt;&gt;"",NOT(ISNUMBER(INDEX('Initial Study'!K:K, MATCH(L16, 'Initial Study'!B:B, 0)+2)))),INDEX('Initial Study'!K:K, MATCH(L16, 'Initial Study'!B:B, 0)+2),"-"),"-")</f>
        <v/>
      </c>
      <c r="AA16">
        <f>IF(S16="RE", Y16 &amp; "BT/" &amp; IF(Z16 &lt;&gt; "-", Z16 &amp; "BT", ""), IF(OR(S16="LTDR", S16="LTSR"), Y16 &amp; "BL" &amp; IF(Z16 &lt;&gt; "-", "/" &amp; Z16 &amp; "BT", ""), IF(OR(S16="RTDR", S16="RTSR"), Y16 &amp; "BR" &amp; IF(Z16 &lt;&gt; "-", "/" &amp; Z16 &amp; "BT", ""), IF(Z16 &lt;&gt; "-", Y16 &amp; "BT/" &amp; Z16 &amp; "BT", Y16 &amp; "BT"))))</f>
        <v/>
      </c>
    </row>
    <row r="17">
      <c r="A17" t="n">
        <v>637</v>
      </c>
      <c r="B17" t="inlineStr">
        <is>
          <t>PVA 6609 SIKES MILL RD</t>
        </is>
      </c>
      <c r="C17" t="n">
        <v>0.028</v>
      </c>
      <c r="D17" t="inlineStr">
        <is>
          <t>W</t>
        </is>
      </c>
      <c r="E17" t="inlineStr">
        <is>
          <t>SIKES MILL</t>
        </is>
      </c>
      <c r="H17" t="n">
        <v>999.999</v>
      </c>
      <c r="I17" t="inlineStr">
        <is>
          <t>NIS</t>
        </is>
      </c>
      <c r="L17" t="n">
        <v>106254686</v>
      </c>
      <c r="M17" s="6" t="n">
        <v>44001</v>
      </c>
      <c r="N17" t="n">
        <v>31</v>
      </c>
      <c r="O17" t="n">
        <v>1</v>
      </c>
      <c r="P17" t="n">
        <v>4</v>
      </c>
      <c r="Q17" t="n">
        <v>1</v>
      </c>
      <c r="R17" t="inlineStr">
        <is>
          <t>O</t>
        </is>
      </c>
      <c r="S17">
        <f>IFERROR(VLOOKUP(N17,Index!$A$1:$B$26,2,FALSE),"")</f>
        <v/>
      </c>
      <c r="T17">
        <f>AA17</f>
        <v/>
      </c>
      <c r="V17">
        <f>IFERROR(INDEX(DetailedFiche!Q:Q,MATCH(L17,DetailedFiche!J:J,0)),"")</f>
        <v/>
      </c>
      <c r="W17">
        <f>IFERROR(INDEX(DetailedFiche!R:R,MATCH(L17,DetailedFiche!J:J,0)),"")</f>
        <v/>
      </c>
      <c r="Y17">
        <f>IFERROR(IF(AND(INDEX('Initial Study'!K:K, MATCH(L17, 'Initial Study'!B:B, 0)+1)&lt;&gt;0,INDEX('Initial Study'!K:K, MATCH(L17, 'Initial Study'!B:B, 0)+1)&lt;&gt;""),INDEX('Initial Study'!K:K, MATCH(L17, 'Initial Study'!B:B, 0)+1),""),"")</f>
        <v/>
      </c>
      <c r="Z17">
        <f>IFERROR(IF(AND(INDEX('Initial Study'!K:K, MATCH(L17, 'Initial Study'!B:B, 0)+2)&lt;&gt;0,INDEX('Initial Study'!K:K, MATCH(L17, 'Initial Study'!B:B, 0)+2)&lt;&gt;"",NOT(ISNUMBER(INDEX('Initial Study'!K:K, MATCH(L17, 'Initial Study'!B:B, 0)+2)))),INDEX('Initial Study'!K:K, MATCH(L17, 'Initial Study'!B:B, 0)+2),"-"),"-")</f>
        <v/>
      </c>
      <c r="AA17">
        <f>IF(S17="RE", Y17 &amp; "BT/" &amp; IF(Z17 &lt;&gt; "-", Z17 &amp; "BT", ""), IF(OR(S17="LTDR", S17="LTSR"), Y17 &amp; "BL" &amp; IF(Z17 &lt;&gt; "-", "/" &amp; Z17 &amp; "BT", ""), IF(OR(S17="RTDR", S17="RTSR"), Y17 &amp; "BR" &amp; IF(Z17 &lt;&gt; "-", "/" &amp; Z17 &amp; "BT", ""), IF(Z17 &lt;&gt; "-", Y17 &amp; "BT/" &amp; Z17 &amp; "BT", Y17 &amp; "BT"))))</f>
        <v/>
      </c>
    </row>
    <row r="18">
      <c r="A18" t="n">
        <v>558</v>
      </c>
      <c r="B18" t="inlineStr">
        <is>
          <t>PVA MARATHON</t>
        </is>
      </c>
      <c r="C18" t="n">
        <v>0.019</v>
      </c>
      <c r="D18" t="inlineStr">
        <is>
          <t>W</t>
        </is>
      </c>
      <c r="E18" t="inlineStr">
        <is>
          <t>SIKES MILL</t>
        </is>
      </c>
      <c r="H18" t="n">
        <v>999.999</v>
      </c>
      <c r="I18" t="inlineStr">
        <is>
          <t>NIS</t>
        </is>
      </c>
      <c r="L18" t="n">
        <v>106584227</v>
      </c>
      <c r="M18" s="6" t="n">
        <v>44341</v>
      </c>
      <c r="N18" t="n">
        <v>31</v>
      </c>
      <c r="O18" t="n">
        <v>1</v>
      </c>
      <c r="P18" t="n">
        <v>4</v>
      </c>
      <c r="Q18" t="n">
        <v>1</v>
      </c>
      <c r="R18" t="inlineStr">
        <is>
          <t>O</t>
        </is>
      </c>
      <c r="S18">
        <f>IFERROR(VLOOKUP(N18,Index!$A$1:$B$26,2,FALSE),"")</f>
        <v/>
      </c>
      <c r="T18">
        <f>AA18</f>
        <v/>
      </c>
      <c r="V18">
        <f>IFERROR(INDEX(DetailedFiche!Q:Q,MATCH(L18,DetailedFiche!J:J,0)),"")</f>
        <v/>
      </c>
      <c r="W18">
        <f>IFERROR(INDEX(DetailedFiche!R:R,MATCH(L18,DetailedFiche!J:J,0)),"")</f>
        <v/>
      </c>
      <c r="Y18">
        <f>IFERROR(IF(AND(INDEX('Initial Study'!K:K, MATCH(L18, 'Initial Study'!B:B, 0)+1)&lt;&gt;0,INDEX('Initial Study'!K:K, MATCH(L18, 'Initial Study'!B:B, 0)+1)&lt;&gt;""),INDEX('Initial Study'!K:K, MATCH(L18, 'Initial Study'!B:B, 0)+1),""),"")</f>
        <v/>
      </c>
      <c r="Z18">
        <f>IFERROR(IF(AND(INDEX('Initial Study'!K:K, MATCH(L18, 'Initial Study'!B:B, 0)+2)&lt;&gt;0,INDEX('Initial Study'!K:K, MATCH(L18, 'Initial Study'!B:B, 0)+2)&lt;&gt;"",NOT(ISNUMBER(INDEX('Initial Study'!K:K, MATCH(L18, 'Initial Study'!B:B, 0)+2)))),INDEX('Initial Study'!K:K, MATCH(L18, 'Initial Study'!B:B, 0)+2),"-"),"-")</f>
        <v/>
      </c>
      <c r="AA18">
        <f>IF(S18="RE", Y18 &amp; "BT/" &amp; IF(Z18 &lt;&gt; "-", Z18 &amp; "BT", ""), IF(OR(S18="LTDR", S18="LTSR"), Y18 &amp; "BL" &amp; IF(Z18 &lt;&gt; "-", "/" &amp; Z18 &amp; "BT", ""), IF(OR(S18="RTDR", S18="RTSR"), Y18 &amp; "BR" &amp; IF(Z18 &lt;&gt; "-", "/" &amp; Z18 &amp; "BT", ""), IF(Z18 &lt;&gt; "-", Y18 &amp; "BT/" &amp; Z18 &amp; "BT", Y18 &amp; "BT"))))</f>
        <v/>
      </c>
    </row>
    <row r="19">
      <c r="A19" t="n">
        <v>558</v>
      </c>
      <c r="B19" t="inlineStr">
        <is>
          <t>PVA MARATHON</t>
        </is>
      </c>
      <c r="C19" t="n">
        <v>0.019</v>
      </c>
      <c r="D19" t="inlineStr">
        <is>
          <t>W</t>
        </is>
      </c>
      <c r="E19" t="inlineStr">
        <is>
          <t>SIKES MILL</t>
        </is>
      </c>
      <c r="H19" t="n">
        <v>999.999</v>
      </c>
      <c r="I19" t="inlineStr">
        <is>
          <t>NIS</t>
        </is>
      </c>
      <c r="L19" t="n">
        <v>106303935</v>
      </c>
      <c r="M19" s="6" t="n">
        <v>44055</v>
      </c>
      <c r="N19" t="n">
        <v>20</v>
      </c>
      <c r="O19" t="n">
        <v>1</v>
      </c>
      <c r="P19" t="n">
        <v>4</v>
      </c>
      <c r="Q19" t="n">
        <v>1</v>
      </c>
      <c r="R19" t="inlineStr">
        <is>
          <t>O</t>
        </is>
      </c>
      <c r="S19">
        <f>IFERROR(VLOOKUP(N19,Index!$A$1:$B$26,2,FALSE),"")</f>
        <v/>
      </c>
      <c r="T19">
        <f>AA19</f>
        <v/>
      </c>
      <c r="V19">
        <f>IFERROR(INDEX(DetailedFiche!Q:Q,MATCH(L19,DetailedFiche!J:J,0)),"")</f>
        <v/>
      </c>
      <c r="W19">
        <f>IFERROR(INDEX(DetailedFiche!R:R,MATCH(L19,DetailedFiche!J:J,0)),"")</f>
        <v/>
      </c>
      <c r="Y19">
        <f>IFERROR(IF(AND(INDEX('Initial Study'!K:K, MATCH(L19, 'Initial Study'!B:B, 0)+1)&lt;&gt;0,INDEX('Initial Study'!K:K, MATCH(L19, 'Initial Study'!B:B, 0)+1)&lt;&gt;""),INDEX('Initial Study'!K:K, MATCH(L19, 'Initial Study'!B:B, 0)+1),""),"")</f>
        <v/>
      </c>
      <c r="Z19">
        <f>IFERROR(IF(AND(INDEX('Initial Study'!K:K, MATCH(L19, 'Initial Study'!B:B, 0)+2)&lt;&gt;0,INDEX('Initial Study'!K:K, MATCH(L19, 'Initial Study'!B:B, 0)+2)&lt;&gt;"",NOT(ISNUMBER(INDEX('Initial Study'!K:K, MATCH(L19, 'Initial Study'!B:B, 0)+2)))),INDEX('Initial Study'!K:K, MATCH(L19, 'Initial Study'!B:B, 0)+2),"-"),"-")</f>
        <v/>
      </c>
      <c r="AA19">
        <f>IF(S19="RE", Y19 &amp; "BT/" &amp; IF(Z19 &lt;&gt; "-", Z19 &amp; "BT", ""), IF(OR(S19="LTDR", S19="LTSR"), Y19 &amp; "BL" &amp; IF(Z19 &lt;&gt; "-", "/" &amp; Z19 &amp; "BT", ""), IF(OR(S19="RTDR", S19="RTSR"), Y19 &amp; "BR" &amp; IF(Z19 &lt;&gt; "-", "/" &amp; Z19 &amp; "BT", ""), IF(Z19 &lt;&gt; "-", Y19 &amp; "BT/" &amp; Z19 &amp; "BT", Y19 &amp; "BT"))))</f>
        <v/>
      </c>
    </row>
    <row r="20">
      <c r="A20" t="n">
        <v>558</v>
      </c>
      <c r="B20" t="inlineStr">
        <is>
          <t>PVA PIEDMONT HS</t>
        </is>
      </c>
      <c r="C20" t="n">
        <v>0.028</v>
      </c>
      <c r="D20" t="inlineStr">
        <is>
          <t>E</t>
        </is>
      </c>
      <c r="E20" t="inlineStr">
        <is>
          <t>SIKES MILL</t>
        </is>
      </c>
      <c r="H20" t="n">
        <v>999.999</v>
      </c>
      <c r="I20" t="inlineStr">
        <is>
          <t>NIS</t>
        </is>
      </c>
      <c r="L20" t="n">
        <v>107711938</v>
      </c>
      <c r="M20" s="6" t="n">
        <v>45419</v>
      </c>
      <c r="N20" t="n">
        <v>23</v>
      </c>
      <c r="O20" t="n">
        <v>1</v>
      </c>
      <c r="P20" t="n">
        <v>4</v>
      </c>
      <c r="Q20" t="n">
        <v>1</v>
      </c>
      <c r="R20" t="inlineStr">
        <is>
          <t>O</t>
        </is>
      </c>
      <c r="S20">
        <f>IFERROR(VLOOKUP(N20,Index!$A$1:$B$26,2,FALSE),"")</f>
        <v/>
      </c>
      <c r="T20">
        <f>AA20</f>
        <v/>
      </c>
      <c r="V20">
        <f>IFERROR(INDEX(DetailedFiche!Q:Q,MATCH(L20,DetailedFiche!J:J,0)),"")</f>
        <v/>
      </c>
      <c r="W20">
        <f>IFERROR(INDEX(DetailedFiche!R:R,MATCH(L20,DetailedFiche!J:J,0)),"")</f>
        <v/>
      </c>
      <c r="Y20">
        <f>IFERROR(IF(AND(INDEX('Initial Study'!K:K, MATCH(L20, 'Initial Study'!B:B, 0)+1)&lt;&gt;0,INDEX('Initial Study'!K:K, MATCH(L20, 'Initial Study'!B:B, 0)+1)&lt;&gt;""),INDEX('Initial Study'!K:K, MATCH(L20, 'Initial Study'!B:B, 0)+1),""),"")</f>
        <v/>
      </c>
      <c r="Z20">
        <f>IFERROR(IF(AND(INDEX('Initial Study'!K:K, MATCH(L20, 'Initial Study'!B:B, 0)+2)&lt;&gt;0,INDEX('Initial Study'!K:K, MATCH(L20, 'Initial Study'!B:B, 0)+2)&lt;&gt;"",NOT(ISNUMBER(INDEX('Initial Study'!K:K, MATCH(L20, 'Initial Study'!B:B, 0)+2)))),INDEX('Initial Study'!K:K, MATCH(L20, 'Initial Study'!B:B, 0)+2),"-"),"-")</f>
        <v/>
      </c>
      <c r="AA20">
        <f>IF(S20="RE", Y20 &amp; "BT/" &amp; IF(Z20 &lt;&gt; "-", Z20 &amp; "BT", ""), IF(OR(S20="LTDR", S20="LTSR"), Y20 &amp; "BL" &amp; IF(Z20 &lt;&gt; "-", "/" &amp; Z20 &amp; "BT", ""), IF(OR(S20="RTDR", S20="RTSR"), Y20 &amp; "BR" &amp; IF(Z20 &lt;&gt; "-", "/" &amp; Z20 &amp; "BT", ""), IF(Z20 &lt;&gt; "-", Y20 &amp; "BT/" &amp; Z20 &amp; "BT", Y20 &amp; "BT"))))</f>
        <v/>
      </c>
    </row>
    <row r="21">
      <c r="A21" t="n">
        <v>558</v>
      </c>
      <c r="B21" t="inlineStr">
        <is>
          <t>PVA PIEDMONT MIDDLE SCHOOL</t>
        </is>
      </c>
      <c r="C21" t="n">
        <v>0.001</v>
      </c>
      <c r="D21" t="inlineStr">
        <is>
          <t>E</t>
        </is>
      </c>
      <c r="E21" t="inlineStr">
        <is>
          <t>SIKES MILL</t>
        </is>
      </c>
      <c r="H21" t="n">
        <v>999.999</v>
      </c>
      <c r="I21" t="inlineStr">
        <is>
          <t>NIS</t>
        </is>
      </c>
      <c r="L21" t="n">
        <v>108247372</v>
      </c>
      <c r="M21" s="6" t="n">
        <v>45930</v>
      </c>
      <c r="N21" t="n">
        <v>21</v>
      </c>
      <c r="O21" t="n">
        <v>2</v>
      </c>
      <c r="P21" t="n">
        <v>4</v>
      </c>
      <c r="Q21" t="n">
        <v>1</v>
      </c>
      <c r="R21" t="inlineStr">
        <is>
          <t>O</t>
        </is>
      </c>
      <c r="S21">
        <f>IFERROR(VLOOKUP(N21,Index!$A$1:$B$26,2,FALSE),"")</f>
        <v/>
      </c>
      <c r="T21">
        <f>AA21</f>
        <v/>
      </c>
      <c r="V21">
        <f>IFERROR(INDEX(DetailedFiche!Q:Q,MATCH(L21,DetailedFiche!J:J,0)),"")</f>
        <v/>
      </c>
      <c r="W21">
        <f>IFERROR(INDEX(DetailedFiche!R:R,MATCH(L21,DetailedFiche!J:J,0)),"")</f>
        <v/>
      </c>
      <c r="Y21">
        <f>IFERROR(IF(AND(INDEX('Initial Study'!K:K, MATCH(L21, 'Initial Study'!B:B, 0)+1)&lt;&gt;0,INDEX('Initial Study'!K:K, MATCH(L21, 'Initial Study'!B:B, 0)+1)&lt;&gt;""),INDEX('Initial Study'!K:K, MATCH(L21, 'Initial Study'!B:B, 0)+1),""),"")</f>
        <v/>
      </c>
      <c r="Z21">
        <f>IFERROR(IF(AND(INDEX('Initial Study'!K:K, MATCH(L21, 'Initial Study'!B:B, 0)+2)&lt;&gt;0,INDEX('Initial Study'!K:K, MATCH(L21, 'Initial Study'!B:B, 0)+2)&lt;&gt;"",NOT(ISNUMBER(INDEX('Initial Study'!K:K, MATCH(L21, 'Initial Study'!B:B, 0)+2)))),INDEX('Initial Study'!K:K, MATCH(L21, 'Initial Study'!B:B, 0)+2),"-"),"-")</f>
        <v/>
      </c>
      <c r="AA21">
        <f>IF(S21="RE", Y21 &amp; "BT/" &amp; IF(Z21 &lt;&gt; "-", Z21 &amp; "BT", ""), IF(OR(S21="LTDR", S21="LTSR"), Y21 &amp; "BL" &amp; IF(Z21 &lt;&gt; "-", "/" &amp; Z21 &amp; "BT", ""), IF(OR(S21="RTDR", S21="RTSR"), Y21 &amp; "BR" &amp; IF(Z21 &lt;&gt; "-", "/" &amp; Z21 &amp; "BT", ""), IF(Z21 &lt;&gt; "-", Y21 &amp; "BT/" &amp; Z21 &amp; "BT", Y21 &amp; "BT"))))</f>
        <v/>
      </c>
    </row>
    <row r="22">
      <c r="A22" t="n">
        <v>558</v>
      </c>
      <c r="B22" t="inlineStr">
        <is>
          <t>PVA PIEDMONT MIDDLE SCHOOL</t>
        </is>
      </c>
      <c r="C22" t="n">
        <v>0.019</v>
      </c>
      <c r="D22" t="inlineStr">
        <is>
          <t>E</t>
        </is>
      </c>
      <c r="E22" t="inlineStr">
        <is>
          <t>SIKES MILL</t>
        </is>
      </c>
      <c r="H22" t="n">
        <v>999.999</v>
      </c>
      <c r="I22" t="inlineStr">
        <is>
          <t>NIS</t>
        </is>
      </c>
      <c r="L22" t="n">
        <v>107683218</v>
      </c>
      <c r="M22" s="6" t="n">
        <v>45393</v>
      </c>
      <c r="N22" t="n">
        <v>31</v>
      </c>
      <c r="O22" t="n">
        <v>2</v>
      </c>
      <c r="P22" t="n">
        <v>4</v>
      </c>
      <c r="Q22" t="n">
        <v>1</v>
      </c>
      <c r="R22" t="inlineStr">
        <is>
          <t>O</t>
        </is>
      </c>
      <c r="S22">
        <f>IFERROR(VLOOKUP(N22,Index!$A$1:$B$26,2,FALSE),"")</f>
        <v/>
      </c>
      <c r="T22">
        <f>AA22</f>
        <v/>
      </c>
      <c r="V22">
        <f>IFERROR(INDEX(DetailedFiche!Q:Q,MATCH(L22,DetailedFiche!J:J,0)),"")</f>
        <v/>
      </c>
      <c r="W22">
        <f>IFERROR(INDEX(DetailedFiche!R:R,MATCH(L22,DetailedFiche!J:J,0)),"")</f>
        <v/>
      </c>
      <c r="Y22">
        <f>IFERROR(IF(AND(INDEX('Initial Study'!K:K, MATCH(L22, 'Initial Study'!B:B, 0)+1)&lt;&gt;0,INDEX('Initial Study'!K:K, MATCH(L22, 'Initial Study'!B:B, 0)+1)&lt;&gt;""),INDEX('Initial Study'!K:K, MATCH(L22, 'Initial Study'!B:B, 0)+1),""),"")</f>
        <v/>
      </c>
      <c r="Z22">
        <f>IFERROR(IF(AND(INDEX('Initial Study'!K:K, MATCH(L22, 'Initial Study'!B:B, 0)+2)&lt;&gt;0,INDEX('Initial Study'!K:K, MATCH(L22, 'Initial Study'!B:B, 0)+2)&lt;&gt;"",NOT(ISNUMBER(INDEX('Initial Study'!K:K, MATCH(L22, 'Initial Study'!B:B, 0)+2)))),INDEX('Initial Study'!K:K, MATCH(L22, 'Initial Study'!B:B, 0)+2),"-"),"-")</f>
        <v/>
      </c>
      <c r="AA22">
        <f>IF(S22="RE", Y22 &amp; "BT/" &amp; IF(Z22 &lt;&gt; "-", Z22 &amp; "BT", ""), IF(OR(S22="LTDR", S22="LTSR"), Y22 &amp; "BL" &amp; IF(Z22 &lt;&gt; "-", "/" &amp; Z22 &amp; "BT", ""), IF(OR(S22="RTDR", S22="RTSR"), Y22 &amp; "BR" &amp; IF(Z22 &lt;&gt; "-", "/" &amp; Z22 &amp; "BT", ""), IF(Z22 &lt;&gt; "-", Y22 &amp; "BT/" &amp; Z22 &amp; "BT", Y22 &amp; "BT"))))</f>
        <v/>
      </c>
    </row>
    <row r="23">
      <c r="A23" t="n">
        <v>558</v>
      </c>
      <c r="B23" t="inlineStr">
        <is>
          <t>TOM BOYD</t>
        </is>
      </c>
      <c r="C23" t="n">
        <v>0.29</v>
      </c>
      <c r="D23" t="inlineStr">
        <is>
          <t>SE</t>
        </is>
      </c>
      <c r="E23" t="inlineStr">
        <is>
          <t>SIKES MILL</t>
        </is>
      </c>
      <c r="F23" t="inlineStr">
        <is>
          <t>OLD CAMDEN</t>
        </is>
      </c>
      <c r="H23" t="n">
        <v>999.999</v>
      </c>
      <c r="I23" t="inlineStr">
        <is>
          <t>NIS</t>
        </is>
      </c>
      <c r="L23" t="n">
        <v>107906736</v>
      </c>
      <c r="M23" s="6" t="n">
        <v>45593</v>
      </c>
      <c r="N23" t="n">
        <v>17</v>
      </c>
      <c r="O23" t="n">
        <v>1</v>
      </c>
      <c r="P23" t="n">
        <v>0</v>
      </c>
      <c r="Q23" t="n">
        <v>5</v>
      </c>
      <c r="R23" t="inlineStr">
        <is>
          <t>O</t>
        </is>
      </c>
      <c r="S23">
        <f>IFERROR(VLOOKUP(N23,Index!$A$1:$B$26,2,FALSE),"")</f>
        <v/>
      </c>
      <c r="T23">
        <f>AA23</f>
        <v/>
      </c>
      <c r="V23">
        <f>IFERROR(INDEX(DetailedFiche!Q:Q,MATCH(L23,DetailedFiche!J:J,0)),"")</f>
        <v/>
      </c>
      <c r="W23">
        <f>IFERROR(INDEX(DetailedFiche!R:R,MATCH(L23,DetailedFiche!J:J,0)),"")</f>
        <v/>
      </c>
      <c r="Y23">
        <f>IFERROR(IF(AND(INDEX('Initial Study'!K:K, MATCH(L23, 'Initial Study'!B:B, 0)+1)&lt;&gt;0,INDEX('Initial Study'!K:K, MATCH(L23, 'Initial Study'!B:B, 0)+1)&lt;&gt;""),INDEX('Initial Study'!K:K, MATCH(L23, 'Initial Study'!B:B, 0)+1),""),"")</f>
        <v/>
      </c>
      <c r="Z23">
        <f>IFERROR(IF(AND(INDEX('Initial Study'!K:K, MATCH(L23, 'Initial Study'!B:B, 0)+2)&lt;&gt;0,INDEX('Initial Study'!K:K, MATCH(L23, 'Initial Study'!B:B, 0)+2)&lt;&gt;"",NOT(ISNUMBER(INDEX('Initial Study'!K:K, MATCH(L23, 'Initial Study'!B:B, 0)+2)))),INDEX('Initial Study'!K:K, MATCH(L23, 'Initial Study'!B:B, 0)+2),"-"),"-")</f>
        <v/>
      </c>
      <c r="AA23">
        <f>IF(S23="RE", Y23 &amp; "BT/" &amp; IF(Z23 &lt;&gt; "-", Z23 &amp; "BT", ""), IF(OR(S23="LTDR", S23="LTSR"), Y23 &amp; "BL" &amp; IF(Z23 &lt;&gt; "-", "/" &amp; Z23 &amp; "BT", ""), IF(OR(S23="RTDR", S23="RTSR"), Y23 &amp; "BR" &amp; IF(Z23 &lt;&gt; "-", "/" &amp; Z23 &amp; "BT", ""), IF(Z23 &lt;&gt; "-", Y23 &amp; "BT/" &amp; Z23 &amp; "BT", Y23 &amp; "BT"))))</f>
        <v/>
      </c>
    </row>
    <row r="24">
      <c r="A24" t="n">
        <v>558</v>
      </c>
      <c r="B24" t="inlineStr">
        <is>
          <t>*LCL CAR WASH PVA</t>
        </is>
      </c>
      <c r="C24" t="n">
        <v>0.001</v>
      </c>
      <c r="D24" t="inlineStr">
        <is>
          <t>E</t>
        </is>
      </c>
      <c r="E24" t="inlineStr">
        <is>
          <t>SR 1001</t>
        </is>
      </c>
      <c r="F24" t="inlineStr">
        <is>
          <t>DEAD END</t>
        </is>
      </c>
      <c r="H24" t="n">
        <v>999.999</v>
      </c>
      <c r="I24" t="inlineStr">
        <is>
          <t>NIS</t>
        </is>
      </c>
      <c r="L24" t="n">
        <v>105722912</v>
      </c>
      <c r="M24" s="6" t="n">
        <v>43452</v>
      </c>
      <c r="N24" t="n">
        <v>31</v>
      </c>
      <c r="O24" t="n">
        <v>1</v>
      </c>
      <c r="P24" t="n">
        <v>0</v>
      </c>
      <c r="Q24" t="n">
        <v>1</v>
      </c>
      <c r="R24" t="inlineStr">
        <is>
          <t>O</t>
        </is>
      </c>
      <c r="S24">
        <f>IFERROR(VLOOKUP(N24,Index!$A$1:$B$26,2,FALSE),"")</f>
        <v/>
      </c>
      <c r="T24">
        <f>AA24</f>
        <v/>
      </c>
      <c r="V24">
        <f>IFERROR(INDEX(DetailedFiche!Q:Q,MATCH(L24,DetailedFiche!J:J,0)),"")</f>
        <v/>
      </c>
      <c r="W24">
        <f>IFERROR(INDEX(DetailedFiche!R:R,MATCH(L24,DetailedFiche!J:J,0)),"")</f>
        <v/>
      </c>
      <c r="Y24">
        <f>IFERROR(IF(AND(INDEX('Initial Study'!K:K, MATCH(L24, 'Initial Study'!B:B, 0)+1)&lt;&gt;0,INDEX('Initial Study'!K:K, MATCH(L24, 'Initial Study'!B:B, 0)+1)&lt;&gt;""),INDEX('Initial Study'!K:K, MATCH(L24, 'Initial Study'!B:B, 0)+1),""),"")</f>
        <v/>
      </c>
      <c r="Z24">
        <f>IFERROR(IF(AND(INDEX('Initial Study'!K:K, MATCH(L24, 'Initial Study'!B:B, 0)+2)&lt;&gt;0,INDEX('Initial Study'!K:K, MATCH(L24, 'Initial Study'!B:B, 0)+2)&lt;&gt;"",NOT(ISNUMBER(INDEX('Initial Study'!K:K, MATCH(L24, 'Initial Study'!B:B, 0)+2)))),INDEX('Initial Study'!K:K, MATCH(L24, 'Initial Study'!B:B, 0)+2),"-"),"-")</f>
        <v/>
      </c>
      <c r="AA24">
        <f>IF(S24="RE", Y24 &amp; "BT/" &amp; IF(Z24 &lt;&gt; "-", Z24 &amp; "BT", ""), IF(OR(S24="LTDR", S24="LTSR"), Y24 &amp; "BL" &amp; IF(Z24 &lt;&gt; "-", "/" &amp; Z24 &amp; "BT", ""), IF(OR(S24="RTDR", S24="RTSR"), Y24 &amp; "BR" &amp; IF(Z24 &lt;&gt; "-", "/" &amp; Z24 &amp; "BT", ""), IF(Z24 &lt;&gt; "-", Y24 &amp; "BT/" &amp; Z24 &amp; "BT", Y24 &amp; "BT"))))</f>
        <v/>
      </c>
    </row>
    <row r="25">
      <c r="A25" t="n">
        <v>558</v>
      </c>
      <c r="B25" t="inlineStr">
        <is>
          <t>PIEDMONT SCHOOL</t>
        </is>
      </c>
      <c r="C25" t="n">
        <v>0.005</v>
      </c>
      <c r="D25" t="inlineStr">
        <is>
          <t>W</t>
        </is>
      </c>
      <c r="E25" t="inlineStr">
        <is>
          <t>SR 1001</t>
        </is>
      </c>
      <c r="F25" t="inlineStr">
        <is>
          <t>*LCL -</t>
        </is>
      </c>
      <c r="H25" t="n">
        <v>999.999</v>
      </c>
      <c r="I25" t="inlineStr">
        <is>
          <t>NIS</t>
        </is>
      </c>
      <c r="L25" t="n">
        <v>105971602</v>
      </c>
      <c r="M25" s="6" t="n">
        <v>43703</v>
      </c>
      <c r="N25" t="n">
        <v>24</v>
      </c>
      <c r="O25" t="n">
        <v>1</v>
      </c>
      <c r="P25" t="n">
        <v>4</v>
      </c>
      <c r="Q25" t="n">
        <v>1</v>
      </c>
      <c r="R25" t="inlineStr">
        <is>
          <t>O</t>
        </is>
      </c>
      <c r="S25">
        <f>IFERROR(VLOOKUP(N25,Index!$A$1:$B$26,2,FALSE),"")</f>
        <v/>
      </c>
      <c r="T25">
        <f>AA25</f>
        <v/>
      </c>
      <c r="V25">
        <f>IFERROR(INDEX(DetailedFiche!Q:Q,MATCH(L25,DetailedFiche!J:J,0)),"")</f>
        <v/>
      </c>
      <c r="W25">
        <f>IFERROR(INDEX(DetailedFiche!R:R,MATCH(L25,DetailedFiche!J:J,0)),"")</f>
        <v/>
      </c>
      <c r="Y25">
        <f>IFERROR(IF(AND(INDEX('Initial Study'!K:K, MATCH(L25, 'Initial Study'!B:B, 0)+1)&lt;&gt;0,INDEX('Initial Study'!K:K, MATCH(L25, 'Initial Study'!B:B, 0)+1)&lt;&gt;""),INDEX('Initial Study'!K:K, MATCH(L25, 'Initial Study'!B:B, 0)+1),""),"")</f>
        <v/>
      </c>
      <c r="Z25">
        <f>IFERROR(IF(AND(INDEX('Initial Study'!K:K, MATCH(L25, 'Initial Study'!B:B, 0)+2)&lt;&gt;0,INDEX('Initial Study'!K:K, MATCH(L25, 'Initial Study'!B:B, 0)+2)&lt;&gt;"",NOT(ISNUMBER(INDEX('Initial Study'!K:K, MATCH(L25, 'Initial Study'!B:B, 0)+2)))),INDEX('Initial Study'!K:K, MATCH(L25, 'Initial Study'!B:B, 0)+2),"-"),"-")</f>
        <v/>
      </c>
      <c r="AA25">
        <f>IF(S25="RE", Y25 &amp; "BT/" &amp; IF(Z25 &lt;&gt; "-", Z25 &amp; "BT", ""), IF(OR(S25="LTDR", S25="LTSR"), Y25 &amp; "BL" &amp; IF(Z25 &lt;&gt; "-", "/" &amp; Z25 &amp; "BT", ""), IF(OR(S25="RTDR", S25="RTSR"), Y25 &amp; "BR" &amp; IF(Z25 &lt;&gt; "-", "/" &amp; Z25 &amp; "BT", ""), IF(Z25 &lt;&gt; "-", Y25 &amp; "BT/" &amp; Z25 &amp; "BT", Y25 &amp; "BT"))))</f>
        <v/>
      </c>
    </row>
    <row r="26">
      <c r="A26" t="n">
        <v>558</v>
      </c>
      <c r="B26" t="inlineStr">
        <is>
          <t>PVA 2623 SIKES MILL RD</t>
        </is>
      </c>
      <c r="C26" t="n">
        <v>0.008999999999999999</v>
      </c>
      <c r="D26" t="inlineStr">
        <is>
          <t>W</t>
        </is>
      </c>
      <c r="E26" t="inlineStr">
        <is>
          <t>SR 1001</t>
        </is>
      </c>
      <c r="F26" t="inlineStr">
        <is>
          <t>SR 1618</t>
        </is>
      </c>
      <c r="H26" t="n">
        <v>999.999</v>
      </c>
      <c r="I26" t="inlineStr">
        <is>
          <t>NIS</t>
        </is>
      </c>
      <c r="L26" t="n">
        <v>107250998</v>
      </c>
      <c r="M26" s="6" t="n">
        <v>44966</v>
      </c>
      <c r="N26" t="n">
        <v>20</v>
      </c>
      <c r="O26" t="n">
        <v>1</v>
      </c>
      <c r="P26" t="n">
        <v>4</v>
      </c>
      <c r="Q26" t="n">
        <v>1</v>
      </c>
      <c r="R26" t="inlineStr">
        <is>
          <t>O</t>
        </is>
      </c>
      <c r="S26">
        <f>IFERROR(VLOOKUP(N26,Index!$A$1:$B$26,2,FALSE),"")</f>
        <v/>
      </c>
      <c r="T26">
        <f>AA26</f>
        <v/>
      </c>
      <c r="V26">
        <f>IFERROR(INDEX(DetailedFiche!Q:Q,MATCH(L26,DetailedFiche!J:J,0)),"")</f>
        <v/>
      </c>
      <c r="W26">
        <f>IFERROR(INDEX(DetailedFiche!R:R,MATCH(L26,DetailedFiche!J:J,0)),"")</f>
        <v/>
      </c>
      <c r="Y26">
        <f>IFERROR(IF(AND(INDEX('Initial Study'!K:K, MATCH(L26, 'Initial Study'!B:B, 0)+1)&lt;&gt;0,INDEX('Initial Study'!K:K, MATCH(L26, 'Initial Study'!B:B, 0)+1)&lt;&gt;""),INDEX('Initial Study'!K:K, MATCH(L26, 'Initial Study'!B:B, 0)+1),""),"")</f>
        <v/>
      </c>
      <c r="Z26">
        <f>IFERROR(IF(AND(INDEX('Initial Study'!K:K, MATCH(L26, 'Initial Study'!B:B, 0)+2)&lt;&gt;0,INDEX('Initial Study'!K:K, MATCH(L26, 'Initial Study'!B:B, 0)+2)&lt;&gt;"",NOT(ISNUMBER(INDEX('Initial Study'!K:K, MATCH(L26, 'Initial Study'!B:B, 0)+2)))),INDEX('Initial Study'!K:K, MATCH(L26, 'Initial Study'!B:B, 0)+2),"-"),"-")</f>
        <v/>
      </c>
      <c r="AA26">
        <f>IF(S26="RE", Y26 &amp; "BT/" &amp; IF(Z26 &lt;&gt; "-", Z26 &amp; "BT", ""), IF(OR(S26="LTDR", S26="LTSR"), Y26 &amp; "BL" &amp; IF(Z26 &lt;&gt; "-", "/" &amp; Z26 &amp; "BT", ""), IF(OR(S26="RTDR", S26="RTSR"), Y26 &amp; "BR" &amp; IF(Z26 &lt;&gt; "-", "/" &amp; Z26 &amp; "BT", ""), IF(Z26 &lt;&gt; "-", Y26 &amp; "BT/" &amp; Z26 &amp; "BT", Y26 &amp; "BT"))))</f>
        <v/>
      </c>
    </row>
    <row r="27">
      <c r="A27" t="n">
        <v>0</v>
      </c>
      <c r="B27" t="inlineStr">
        <is>
          <t>PVA 3006 SIKES MILL RD</t>
        </is>
      </c>
      <c r="C27" t="n">
        <v>0.004</v>
      </c>
      <c r="D27" t="inlineStr">
        <is>
          <t>E</t>
        </is>
      </c>
      <c r="E27" t="inlineStr">
        <is>
          <t>SR 1001</t>
        </is>
      </c>
      <c r="F27" t="inlineStr">
        <is>
          <t>DEAD END</t>
        </is>
      </c>
      <c r="H27" t="n">
        <v>999.999</v>
      </c>
      <c r="I27" t="inlineStr">
        <is>
          <t>NIS</t>
        </is>
      </c>
      <c r="L27" t="n">
        <v>105983673</v>
      </c>
      <c r="M27" s="6" t="n">
        <v>43711</v>
      </c>
      <c r="N27" t="n">
        <v>21</v>
      </c>
      <c r="O27" t="n">
        <v>1</v>
      </c>
      <c r="P27" t="n">
        <v>4</v>
      </c>
      <c r="Q27" t="n">
        <v>1</v>
      </c>
      <c r="R27" t="inlineStr">
        <is>
          <t>O</t>
        </is>
      </c>
      <c r="S27">
        <f>IFERROR(VLOOKUP(N27,Index!$A$1:$B$26,2,FALSE),"")</f>
        <v/>
      </c>
      <c r="T27">
        <f>AA27</f>
        <v/>
      </c>
      <c r="V27">
        <f>IFERROR(INDEX(DetailedFiche!Q:Q,MATCH(L27,DetailedFiche!J:J,0)),"")</f>
        <v/>
      </c>
      <c r="W27">
        <f>IFERROR(INDEX(DetailedFiche!R:R,MATCH(L27,DetailedFiche!J:J,0)),"")</f>
        <v/>
      </c>
      <c r="Y27">
        <f>IFERROR(IF(AND(INDEX('Initial Study'!K:K, MATCH(L27, 'Initial Study'!B:B, 0)+1)&lt;&gt;0,INDEX('Initial Study'!K:K, MATCH(L27, 'Initial Study'!B:B, 0)+1)&lt;&gt;""),INDEX('Initial Study'!K:K, MATCH(L27, 'Initial Study'!B:B, 0)+1),""),"")</f>
        <v/>
      </c>
      <c r="Z27">
        <f>IFERROR(IF(AND(INDEX('Initial Study'!K:K, MATCH(L27, 'Initial Study'!B:B, 0)+2)&lt;&gt;0,INDEX('Initial Study'!K:K, MATCH(L27, 'Initial Study'!B:B, 0)+2)&lt;&gt;"",NOT(ISNUMBER(INDEX('Initial Study'!K:K, MATCH(L27, 'Initial Study'!B:B, 0)+2)))),INDEX('Initial Study'!K:K, MATCH(L27, 'Initial Study'!B:B, 0)+2),"-"),"-")</f>
        <v/>
      </c>
      <c r="AA27">
        <f>IF(S27="RE", Y27 &amp; "BT/" &amp; IF(Z27 &lt;&gt; "-", Z27 &amp; "BT", ""), IF(OR(S27="LTDR", S27="LTSR"), Y27 &amp; "BL" &amp; IF(Z27 &lt;&gt; "-", "/" &amp; Z27 &amp; "BT", ""), IF(OR(S27="RTDR", S27="RTSR"), Y27 &amp; "BR" &amp; IF(Z27 &lt;&gt; "-", "/" &amp; Z27 &amp; "BT", ""), IF(Z27 &lt;&gt; "-", Y27 &amp; "BT/" &amp; Z27 &amp; "BT", Y27 &amp; "BT"))))</f>
        <v/>
      </c>
    </row>
    <row r="28">
      <c r="A28" t="n">
        <v>558</v>
      </c>
      <c r="B28" t="inlineStr">
        <is>
          <t>PVA 709 SIKES MILL RD</t>
        </is>
      </c>
      <c r="C28" t="n">
        <v>0.005</v>
      </c>
      <c r="D28" t="inlineStr">
        <is>
          <t>W</t>
        </is>
      </c>
      <c r="E28" t="inlineStr">
        <is>
          <t>SR 1001</t>
        </is>
      </c>
      <c r="F28" t="inlineStr">
        <is>
          <t>DEAD END</t>
        </is>
      </c>
      <c r="H28" t="n">
        <v>999.999</v>
      </c>
      <c r="I28" t="inlineStr">
        <is>
          <t>NIS</t>
        </is>
      </c>
      <c r="L28" t="n">
        <v>107994713</v>
      </c>
      <c r="M28" s="6" t="n">
        <v>45674</v>
      </c>
      <c r="N28" t="n">
        <v>20</v>
      </c>
      <c r="O28" t="n">
        <v>1</v>
      </c>
      <c r="P28" t="n">
        <v>5</v>
      </c>
      <c r="Q28" t="n">
        <v>2</v>
      </c>
      <c r="S28">
        <f>IFERROR(VLOOKUP(N28,Index!$A$1:$B$26,2,FALSE),"")</f>
        <v/>
      </c>
      <c r="T28">
        <f>AA28</f>
        <v/>
      </c>
      <c r="V28">
        <f>IFERROR(INDEX(DetailedFiche!Q:Q,MATCH(L28,DetailedFiche!J:J,0)),"")</f>
        <v/>
      </c>
      <c r="W28">
        <f>IFERROR(INDEX(DetailedFiche!R:R,MATCH(L28,DetailedFiche!J:J,0)),"")</f>
        <v/>
      </c>
      <c r="Y28">
        <f>IFERROR(IF(AND(INDEX('Initial Study'!K:K, MATCH(L28, 'Initial Study'!B:B, 0)+1)&lt;&gt;0,INDEX('Initial Study'!K:K, MATCH(L28, 'Initial Study'!B:B, 0)+1)&lt;&gt;""),INDEX('Initial Study'!K:K, MATCH(L28, 'Initial Study'!B:B, 0)+1),""),"")</f>
        <v/>
      </c>
      <c r="Z28">
        <f>IFERROR(IF(AND(INDEX('Initial Study'!K:K, MATCH(L28, 'Initial Study'!B:B, 0)+2)&lt;&gt;0,INDEX('Initial Study'!K:K, MATCH(L28, 'Initial Study'!B:B, 0)+2)&lt;&gt;"",NOT(ISNUMBER(INDEX('Initial Study'!K:K, MATCH(L28, 'Initial Study'!B:B, 0)+2)))),INDEX('Initial Study'!K:K, MATCH(L28, 'Initial Study'!B:B, 0)+2),"-"),"-")</f>
        <v/>
      </c>
      <c r="AA28">
        <f>IF(S28="RE", Y28 &amp; "BT/" &amp; IF(Z28 &lt;&gt; "-", Z28 &amp; "BT", ""), IF(OR(S28="LTDR", S28="LTSR"), Y28 &amp; "BL" &amp; IF(Z28 &lt;&gt; "-", "/" &amp; Z28 &amp; "BT", ""), IF(OR(S28="RTDR", S28="RTSR"), Y28 &amp; "BR" &amp; IF(Z28 &lt;&gt; "-", "/" &amp; Z28 &amp; "BT", ""), IF(Z28 &lt;&gt; "-", Y28 &amp; "BT/" &amp; Z28 &amp; "BT", Y28 &amp; "BT"))))</f>
        <v/>
      </c>
    </row>
    <row r="29">
      <c r="A29" t="n">
        <v>558</v>
      </c>
      <c r="B29" t="inlineStr">
        <is>
          <t>PVA MARATHON</t>
        </is>
      </c>
      <c r="C29" t="n">
        <v>0.008999999999999999</v>
      </c>
      <c r="D29" t="inlineStr">
        <is>
          <t>W</t>
        </is>
      </c>
      <c r="E29" t="inlineStr">
        <is>
          <t>SR 1001</t>
        </is>
      </c>
      <c r="F29" t="inlineStr">
        <is>
          <t>SR 1618</t>
        </is>
      </c>
      <c r="H29" t="n">
        <v>999.999</v>
      </c>
      <c r="I29" t="inlineStr">
        <is>
          <t>NIS</t>
        </is>
      </c>
      <c r="L29" t="n">
        <v>108345733</v>
      </c>
      <c r="M29" s="6" t="n">
        <v>46010</v>
      </c>
      <c r="N29" t="n">
        <v>20</v>
      </c>
      <c r="O29" t="n">
        <v>1</v>
      </c>
      <c r="P29" t="n">
        <v>4</v>
      </c>
      <c r="Q29" t="n">
        <v>1</v>
      </c>
      <c r="R29" t="inlineStr">
        <is>
          <t>O</t>
        </is>
      </c>
      <c r="S29">
        <f>IFERROR(VLOOKUP(N29,Index!$A$1:$B$26,2,FALSE),"")</f>
        <v/>
      </c>
      <c r="T29">
        <f>AA29</f>
        <v/>
      </c>
      <c r="V29">
        <f>IFERROR(INDEX(DetailedFiche!Q:Q,MATCH(L29,DetailedFiche!J:J,0)),"")</f>
        <v/>
      </c>
      <c r="W29">
        <f>IFERROR(INDEX(DetailedFiche!R:R,MATCH(L29,DetailedFiche!J:J,0)),"")</f>
        <v/>
      </c>
      <c r="Y29">
        <f>IFERROR(IF(AND(INDEX('Initial Study'!K:K, MATCH(L29, 'Initial Study'!B:B, 0)+1)&lt;&gt;0,INDEX('Initial Study'!K:K, MATCH(L29, 'Initial Study'!B:B, 0)+1)&lt;&gt;""),INDEX('Initial Study'!K:K, MATCH(L29, 'Initial Study'!B:B, 0)+1),""),"")</f>
        <v/>
      </c>
      <c r="Z29">
        <f>IFERROR(IF(AND(INDEX('Initial Study'!K:K, MATCH(L29, 'Initial Study'!B:B, 0)+2)&lt;&gt;0,INDEX('Initial Study'!K:K, MATCH(L29, 'Initial Study'!B:B, 0)+2)&lt;&gt;"",NOT(ISNUMBER(INDEX('Initial Study'!K:K, MATCH(L29, 'Initial Study'!B:B, 0)+2)))),INDEX('Initial Study'!K:K, MATCH(L29, 'Initial Study'!B:B, 0)+2),"-"),"-")</f>
        <v/>
      </c>
      <c r="AA29">
        <f>IF(S29="RE", Y29 &amp; "BT/" &amp; IF(Z29 &lt;&gt; "-", Z29 &amp; "BT", ""), IF(OR(S29="LTDR", S29="LTSR"), Y29 &amp; "BL" &amp; IF(Z29 &lt;&gt; "-", "/" &amp; Z29 &amp; "BT", ""), IF(OR(S29="RTDR", S29="RTSR"), Y29 &amp; "BR" &amp; IF(Z29 &lt;&gt; "-", "/" &amp; Z29 &amp; "BT", ""), IF(Z29 &lt;&gt; "-", Y29 &amp; "BT/" &amp; Z29 &amp; "BT", Y29 &amp; "BT"))))</f>
        <v/>
      </c>
    </row>
    <row r="30">
      <c r="A30" t="n">
        <v>558</v>
      </c>
      <c r="B30" t="inlineStr">
        <is>
          <t>PVA MARATHON GAS</t>
        </is>
      </c>
      <c r="C30" t="n">
        <v>0.014</v>
      </c>
      <c r="D30" t="inlineStr">
        <is>
          <t>W</t>
        </is>
      </c>
      <c r="E30" t="inlineStr">
        <is>
          <t>SR 1001</t>
        </is>
      </c>
      <c r="F30" t="inlineStr">
        <is>
          <t>DEAD END</t>
        </is>
      </c>
      <c r="H30" t="n">
        <v>999.999</v>
      </c>
      <c r="I30" t="inlineStr">
        <is>
          <t>NIS</t>
        </is>
      </c>
      <c r="L30" t="n">
        <v>105790718</v>
      </c>
      <c r="M30" s="6" t="n">
        <v>43526</v>
      </c>
      <c r="N30" t="n">
        <v>31</v>
      </c>
      <c r="O30" t="n">
        <v>1</v>
      </c>
      <c r="P30" t="n">
        <v>0</v>
      </c>
      <c r="Q30" t="n">
        <v>1</v>
      </c>
      <c r="R30" t="inlineStr">
        <is>
          <t>O</t>
        </is>
      </c>
      <c r="S30">
        <f>IFERROR(VLOOKUP(N30,Index!$A$1:$B$26,2,FALSE),"")</f>
        <v/>
      </c>
      <c r="T30">
        <f>AA30</f>
        <v/>
      </c>
      <c r="V30">
        <f>IFERROR(INDEX(DetailedFiche!Q:Q,MATCH(L30,DetailedFiche!J:J,0)),"")</f>
        <v/>
      </c>
      <c r="W30">
        <f>IFERROR(INDEX(DetailedFiche!R:R,MATCH(L30,DetailedFiche!J:J,0)),"")</f>
        <v/>
      </c>
      <c r="Y30">
        <f>IFERROR(IF(AND(INDEX('Initial Study'!K:K, MATCH(L30, 'Initial Study'!B:B, 0)+1)&lt;&gt;0,INDEX('Initial Study'!K:K, MATCH(L30, 'Initial Study'!B:B, 0)+1)&lt;&gt;""),INDEX('Initial Study'!K:K, MATCH(L30, 'Initial Study'!B:B, 0)+1),""),"")</f>
        <v/>
      </c>
      <c r="Z30">
        <f>IFERROR(IF(AND(INDEX('Initial Study'!K:K, MATCH(L30, 'Initial Study'!B:B, 0)+2)&lt;&gt;0,INDEX('Initial Study'!K:K, MATCH(L30, 'Initial Study'!B:B, 0)+2)&lt;&gt;"",NOT(ISNUMBER(INDEX('Initial Study'!K:K, MATCH(L30, 'Initial Study'!B:B, 0)+2)))),INDEX('Initial Study'!K:K, MATCH(L30, 'Initial Study'!B:B, 0)+2),"-"),"-")</f>
        <v/>
      </c>
      <c r="AA30">
        <f>IF(S30="RE", Y30 &amp; "BT/" &amp; IF(Z30 &lt;&gt; "-", Z30 &amp; "BT", ""), IF(OR(S30="LTDR", S30="LTSR"), Y30 &amp; "BL" &amp; IF(Z30 &lt;&gt; "-", "/" &amp; Z30 &amp; "BT", ""), IF(OR(S30="RTDR", S30="RTSR"), Y30 &amp; "BR" &amp; IF(Z30 &lt;&gt; "-", "/" &amp; Z30 &amp; "BT", ""), IF(Z30 &lt;&gt; "-", Y30 &amp; "BT/" &amp; Z30 &amp; "BT", Y30 &amp; "BT"))))</f>
        <v/>
      </c>
    </row>
    <row r="31">
      <c r="A31" t="n">
        <v>558</v>
      </c>
      <c r="B31" t="inlineStr">
        <is>
          <t>PVA MARATHON GAS</t>
        </is>
      </c>
      <c r="C31" t="n">
        <v>0.019</v>
      </c>
      <c r="D31" t="inlineStr">
        <is>
          <t>W</t>
        </is>
      </c>
      <c r="E31" t="inlineStr">
        <is>
          <t>SR 1001</t>
        </is>
      </c>
      <c r="F31" t="inlineStr">
        <is>
          <t>DEAD END</t>
        </is>
      </c>
      <c r="H31" t="n">
        <v>999.999</v>
      </c>
      <c r="I31" t="inlineStr">
        <is>
          <t>NIS</t>
        </is>
      </c>
      <c r="L31" t="n">
        <v>106747056</v>
      </c>
      <c r="M31" s="6" t="n">
        <v>44498</v>
      </c>
      <c r="N31" t="n">
        <v>31</v>
      </c>
      <c r="O31" t="n">
        <v>1</v>
      </c>
      <c r="P31" t="n">
        <v>0</v>
      </c>
      <c r="Q31" t="n">
        <v>1</v>
      </c>
      <c r="R31" t="inlineStr">
        <is>
          <t>O</t>
        </is>
      </c>
      <c r="S31">
        <f>IFERROR(VLOOKUP(N31,Index!$A$1:$B$26,2,FALSE),"")</f>
        <v/>
      </c>
      <c r="T31">
        <f>AA31</f>
        <v/>
      </c>
      <c r="V31">
        <f>IFERROR(INDEX(DetailedFiche!Q:Q,MATCH(L31,DetailedFiche!J:J,0)),"")</f>
        <v/>
      </c>
      <c r="W31">
        <f>IFERROR(INDEX(DetailedFiche!R:R,MATCH(L31,DetailedFiche!J:J,0)),"")</f>
        <v/>
      </c>
      <c r="Y31">
        <f>IFERROR(IF(AND(INDEX('Initial Study'!K:K, MATCH(L31, 'Initial Study'!B:B, 0)+1)&lt;&gt;0,INDEX('Initial Study'!K:K, MATCH(L31, 'Initial Study'!B:B, 0)+1)&lt;&gt;""),INDEX('Initial Study'!K:K, MATCH(L31, 'Initial Study'!B:B, 0)+1),""),"")</f>
        <v/>
      </c>
      <c r="Z31">
        <f>IFERROR(IF(AND(INDEX('Initial Study'!K:K, MATCH(L31, 'Initial Study'!B:B, 0)+2)&lt;&gt;0,INDEX('Initial Study'!K:K, MATCH(L31, 'Initial Study'!B:B, 0)+2)&lt;&gt;"",NOT(ISNUMBER(INDEX('Initial Study'!K:K, MATCH(L31, 'Initial Study'!B:B, 0)+2)))),INDEX('Initial Study'!K:K, MATCH(L31, 'Initial Study'!B:B, 0)+2),"-"),"-")</f>
        <v/>
      </c>
      <c r="AA31">
        <f>IF(S31="RE", Y31 &amp; "BT/" &amp; IF(Z31 &lt;&gt; "-", Z31 &amp; "BT", ""), IF(OR(S31="LTDR", S31="LTSR"), Y31 &amp; "BL" &amp; IF(Z31 &lt;&gt; "-", "/" &amp; Z31 &amp; "BT", ""), IF(OR(S31="RTDR", S31="RTSR"), Y31 &amp; "BR" &amp; IF(Z31 &lt;&gt; "-", "/" &amp; Z31 &amp; "BT", ""), IF(Z31 &lt;&gt; "-", Y31 &amp; "BT/" &amp; Z31 &amp; "BT", Y31 &amp; "BT"))))</f>
        <v/>
      </c>
    </row>
    <row r="32">
      <c r="A32" t="n">
        <v>558</v>
      </c>
      <c r="B32" t="inlineStr">
        <is>
          <t>PVA MARATHON GAS STATION</t>
        </is>
      </c>
      <c r="C32" t="n">
        <v>0.019</v>
      </c>
      <c r="D32" t="inlineStr">
        <is>
          <t>W</t>
        </is>
      </c>
      <c r="E32" t="inlineStr">
        <is>
          <t>SR 1001</t>
        </is>
      </c>
      <c r="F32" t="inlineStr">
        <is>
          <t>DEAD END</t>
        </is>
      </c>
      <c r="H32" t="n">
        <v>999.999</v>
      </c>
      <c r="I32" t="inlineStr">
        <is>
          <t>NIS</t>
        </is>
      </c>
      <c r="L32" t="n">
        <v>107692192</v>
      </c>
      <c r="M32" s="6" t="n">
        <v>45400</v>
      </c>
      <c r="N32" t="n">
        <v>31</v>
      </c>
      <c r="O32" t="n">
        <v>1</v>
      </c>
      <c r="P32" t="n">
        <v>4</v>
      </c>
      <c r="Q32" t="n">
        <v>1</v>
      </c>
      <c r="R32" t="inlineStr">
        <is>
          <t>O</t>
        </is>
      </c>
      <c r="S32">
        <f>IFERROR(VLOOKUP(N32,Index!$A$1:$B$26,2,FALSE),"")</f>
        <v/>
      </c>
      <c r="T32">
        <f>AA32</f>
        <v/>
      </c>
      <c r="V32">
        <f>IFERROR(INDEX(DetailedFiche!Q:Q,MATCH(L32,DetailedFiche!J:J,0)),"")</f>
        <v/>
      </c>
      <c r="W32">
        <f>IFERROR(INDEX(DetailedFiche!R:R,MATCH(L32,DetailedFiche!J:J,0)),"")</f>
        <v/>
      </c>
      <c r="Y32">
        <f>IFERROR(IF(AND(INDEX('Initial Study'!K:K, MATCH(L32, 'Initial Study'!B:B, 0)+1)&lt;&gt;0,INDEX('Initial Study'!K:K, MATCH(L32, 'Initial Study'!B:B, 0)+1)&lt;&gt;""),INDEX('Initial Study'!K:K, MATCH(L32, 'Initial Study'!B:B, 0)+1),""),"")</f>
        <v/>
      </c>
      <c r="Z32">
        <f>IFERROR(IF(AND(INDEX('Initial Study'!K:K, MATCH(L32, 'Initial Study'!B:B, 0)+2)&lt;&gt;0,INDEX('Initial Study'!K:K, MATCH(L32, 'Initial Study'!B:B, 0)+2)&lt;&gt;"",NOT(ISNUMBER(INDEX('Initial Study'!K:K, MATCH(L32, 'Initial Study'!B:B, 0)+2)))),INDEX('Initial Study'!K:K, MATCH(L32, 'Initial Study'!B:B, 0)+2),"-"),"-")</f>
        <v/>
      </c>
      <c r="AA32">
        <f>IF(S32="RE", Y32 &amp; "BT/" &amp; IF(Z32 &lt;&gt; "-", Z32 &amp; "BT", ""), IF(OR(S32="LTDR", S32="LTSR"), Y32 &amp; "BL" &amp; IF(Z32 &lt;&gt; "-", "/" &amp; Z32 &amp; "BT", ""), IF(OR(S32="RTDR", S32="RTSR"), Y32 &amp; "BR" &amp; IF(Z32 &lt;&gt; "-", "/" &amp; Z32 &amp; "BT", ""), IF(Z32 &lt;&gt; "-", Y32 &amp; "BT/" &amp; Z32 &amp; "BT", Y32 &amp; "BT"))))</f>
        <v/>
      </c>
    </row>
    <row r="33">
      <c r="A33" t="n">
        <v>558</v>
      </c>
      <c r="B33" t="inlineStr">
        <is>
          <t>PVA PIEDMONT HIGH SCHOOL</t>
        </is>
      </c>
      <c r="C33" t="n">
        <v>0.008999999999999999</v>
      </c>
      <c r="D33" t="inlineStr">
        <is>
          <t>W</t>
        </is>
      </c>
      <c r="E33" t="inlineStr">
        <is>
          <t>SR 1001</t>
        </is>
      </c>
      <c r="F33" t="inlineStr">
        <is>
          <t>*LCL -</t>
        </is>
      </c>
      <c r="H33" t="n">
        <v>999.999</v>
      </c>
      <c r="I33" t="inlineStr">
        <is>
          <t>NIS</t>
        </is>
      </c>
      <c r="L33" t="n">
        <v>104865813</v>
      </c>
      <c r="M33" s="6" t="n">
        <v>42642</v>
      </c>
      <c r="N33" t="n">
        <v>21</v>
      </c>
      <c r="O33" t="n">
        <v>2</v>
      </c>
      <c r="P33" t="n">
        <v>4</v>
      </c>
      <c r="Q33" t="n">
        <v>1</v>
      </c>
      <c r="R33" t="inlineStr">
        <is>
          <t>C</t>
        </is>
      </c>
      <c r="S33">
        <f>IFERROR(VLOOKUP(N33,Index!$A$1:$B$26,2,FALSE),"")</f>
        <v/>
      </c>
      <c r="T33">
        <f>AA33</f>
        <v/>
      </c>
      <c r="V33">
        <f>IFERROR(INDEX(DetailedFiche!Q:Q,MATCH(L33,DetailedFiche!J:J,0)),"")</f>
        <v/>
      </c>
      <c r="W33">
        <f>IFERROR(INDEX(DetailedFiche!R:R,MATCH(L33,DetailedFiche!J:J,0)),"")</f>
        <v/>
      </c>
      <c r="Y33">
        <f>IFERROR(IF(AND(INDEX('Initial Study'!K:K, MATCH(L33, 'Initial Study'!B:B, 0)+1)&lt;&gt;0,INDEX('Initial Study'!K:K, MATCH(L33, 'Initial Study'!B:B, 0)+1)&lt;&gt;""),INDEX('Initial Study'!K:K, MATCH(L33, 'Initial Study'!B:B, 0)+1),""),"")</f>
        <v/>
      </c>
      <c r="Z33">
        <f>IFERROR(IF(AND(INDEX('Initial Study'!K:K, MATCH(L33, 'Initial Study'!B:B, 0)+2)&lt;&gt;0,INDEX('Initial Study'!K:K, MATCH(L33, 'Initial Study'!B:B, 0)+2)&lt;&gt;"",NOT(ISNUMBER(INDEX('Initial Study'!K:K, MATCH(L33, 'Initial Study'!B:B, 0)+2)))),INDEX('Initial Study'!K:K, MATCH(L33, 'Initial Study'!B:B, 0)+2),"-"),"-")</f>
        <v/>
      </c>
      <c r="AA33">
        <f>IF(S33="RE", Y33 &amp; "BT/" &amp; IF(Z33 &lt;&gt; "-", Z33 &amp; "BT", ""), IF(OR(S33="LTDR", S33="LTSR"), Y33 &amp; "BL" &amp; IF(Z33 &lt;&gt; "-", "/" &amp; Z33 &amp; "BT", ""), IF(OR(S33="RTDR", S33="RTSR"), Y33 &amp; "BR" &amp; IF(Z33 &lt;&gt; "-", "/" &amp; Z33 &amp; "BT", ""), IF(Z33 &lt;&gt; "-", Y33 &amp; "BT/" &amp; Z33 &amp; "BT", Y33 &amp; "BT"))))</f>
        <v/>
      </c>
    </row>
    <row r="34">
      <c r="A34" t="n">
        <v>558</v>
      </c>
      <c r="B34" t="inlineStr">
        <is>
          <t>PVA PIEDMONT HIGH SCHOOL</t>
        </is>
      </c>
      <c r="C34" t="n">
        <v>0.017</v>
      </c>
      <c r="D34" t="inlineStr">
        <is>
          <t>W</t>
        </is>
      </c>
      <c r="E34" t="inlineStr">
        <is>
          <t>SR 1001</t>
        </is>
      </c>
      <c r="F34" t="inlineStr">
        <is>
          <t>DEAD END</t>
        </is>
      </c>
      <c r="H34" t="n">
        <v>999.999</v>
      </c>
      <c r="I34" t="inlineStr">
        <is>
          <t>NIS</t>
        </is>
      </c>
      <c r="L34" t="n">
        <v>104945962</v>
      </c>
      <c r="M34" s="6" t="n">
        <v>42716</v>
      </c>
      <c r="N34" t="n">
        <v>21</v>
      </c>
      <c r="O34" t="n">
        <v>1</v>
      </c>
      <c r="P34" t="n">
        <v>4</v>
      </c>
      <c r="Q34" t="n">
        <v>1</v>
      </c>
      <c r="R34" t="inlineStr">
        <is>
          <t>O</t>
        </is>
      </c>
      <c r="S34">
        <f>IFERROR(VLOOKUP(N34,Index!$A$1:$B$26,2,FALSE),"")</f>
        <v/>
      </c>
      <c r="T34">
        <f>AA34</f>
        <v/>
      </c>
      <c r="V34">
        <f>IFERROR(INDEX(DetailedFiche!Q:Q,MATCH(L34,DetailedFiche!J:J,0)),"")</f>
        <v/>
      </c>
      <c r="W34">
        <f>IFERROR(INDEX(DetailedFiche!R:R,MATCH(L34,DetailedFiche!J:J,0)),"")</f>
        <v/>
      </c>
      <c r="Y34">
        <f>IFERROR(IF(AND(INDEX('Initial Study'!K:K, MATCH(L34, 'Initial Study'!B:B, 0)+1)&lt;&gt;0,INDEX('Initial Study'!K:K, MATCH(L34, 'Initial Study'!B:B, 0)+1)&lt;&gt;""),INDEX('Initial Study'!K:K, MATCH(L34, 'Initial Study'!B:B, 0)+1),""),"")</f>
        <v/>
      </c>
      <c r="Z34">
        <f>IFERROR(IF(AND(INDEX('Initial Study'!K:K, MATCH(L34, 'Initial Study'!B:B, 0)+2)&lt;&gt;0,INDEX('Initial Study'!K:K, MATCH(L34, 'Initial Study'!B:B, 0)+2)&lt;&gt;"",NOT(ISNUMBER(INDEX('Initial Study'!K:K, MATCH(L34, 'Initial Study'!B:B, 0)+2)))),INDEX('Initial Study'!K:K, MATCH(L34, 'Initial Study'!B:B, 0)+2),"-"),"-")</f>
        <v/>
      </c>
      <c r="AA34">
        <f>IF(S34="RE", Y34 &amp; "BT/" &amp; IF(Z34 &lt;&gt; "-", Z34 &amp; "BT", ""), IF(OR(S34="LTDR", S34="LTSR"), Y34 &amp; "BL" &amp; IF(Z34 &lt;&gt; "-", "/" &amp; Z34 &amp; "BT", ""), IF(OR(S34="RTDR", S34="RTSR"), Y34 &amp; "BR" &amp; IF(Z34 &lt;&gt; "-", "/" &amp; Z34 &amp; "BT", ""), IF(Z34 &lt;&gt; "-", Y34 &amp; "BT/" &amp; Z34 &amp; "BT", Y34 &amp; "BT"))))</f>
        <v/>
      </c>
    </row>
    <row r="35">
      <c r="A35" t="n">
        <v>558</v>
      </c>
      <c r="B35" t="inlineStr">
        <is>
          <t>PVA PIEDMONT HIGH SCHOOL</t>
        </is>
      </c>
      <c r="C35" t="n">
        <v>0.017</v>
      </c>
      <c r="D35" t="inlineStr">
        <is>
          <t>W</t>
        </is>
      </c>
      <c r="E35" t="inlineStr">
        <is>
          <t>SR 1001</t>
        </is>
      </c>
      <c r="F35" t="inlineStr">
        <is>
          <t>DEAD END</t>
        </is>
      </c>
      <c r="H35" t="n">
        <v>999.999</v>
      </c>
      <c r="I35" t="inlineStr">
        <is>
          <t>NIS</t>
        </is>
      </c>
      <c r="L35" t="n">
        <v>104950470</v>
      </c>
      <c r="M35" s="6" t="n">
        <v>42716</v>
      </c>
      <c r="N35" t="n">
        <v>21</v>
      </c>
      <c r="O35" t="n">
        <v>1</v>
      </c>
      <c r="P35" t="n">
        <v>4</v>
      </c>
      <c r="Q35" t="n">
        <v>1</v>
      </c>
      <c r="R35" t="inlineStr">
        <is>
          <t>O</t>
        </is>
      </c>
      <c r="S35">
        <f>IFERROR(VLOOKUP(N35,Index!$A$1:$B$26,2,FALSE),"")</f>
        <v/>
      </c>
      <c r="T35">
        <f>AA35</f>
        <v/>
      </c>
      <c r="V35">
        <f>IFERROR(INDEX(DetailedFiche!Q:Q,MATCH(L35,DetailedFiche!J:J,0)),"")</f>
        <v/>
      </c>
      <c r="W35">
        <f>IFERROR(INDEX(DetailedFiche!R:R,MATCH(L35,DetailedFiche!J:J,0)),"")</f>
        <v/>
      </c>
      <c r="Y35">
        <f>IFERROR(IF(AND(INDEX('Initial Study'!K:K, MATCH(L35, 'Initial Study'!B:B, 0)+1)&lt;&gt;0,INDEX('Initial Study'!K:K, MATCH(L35, 'Initial Study'!B:B, 0)+1)&lt;&gt;""),INDEX('Initial Study'!K:K, MATCH(L35, 'Initial Study'!B:B, 0)+1),""),"")</f>
        <v/>
      </c>
      <c r="Z35">
        <f>IFERROR(IF(AND(INDEX('Initial Study'!K:K, MATCH(L35, 'Initial Study'!B:B, 0)+2)&lt;&gt;0,INDEX('Initial Study'!K:K, MATCH(L35, 'Initial Study'!B:B, 0)+2)&lt;&gt;"",NOT(ISNUMBER(INDEX('Initial Study'!K:K, MATCH(L35, 'Initial Study'!B:B, 0)+2)))),INDEX('Initial Study'!K:K, MATCH(L35, 'Initial Study'!B:B, 0)+2),"-"),"-")</f>
        <v/>
      </c>
      <c r="AA35">
        <f>IF(S35="RE", Y35 &amp; "BT/" &amp; IF(Z35 &lt;&gt; "-", Z35 &amp; "BT", ""), IF(OR(S35="LTDR", S35="LTSR"), Y35 &amp; "BL" &amp; IF(Z35 &lt;&gt; "-", "/" &amp; Z35 &amp; "BT", ""), IF(OR(S35="RTDR", S35="RTSR"), Y35 &amp; "BR" &amp; IF(Z35 &lt;&gt; "-", "/" &amp; Z35 &amp; "BT", ""), IF(Z35 &lt;&gt; "-", Y35 &amp; "BT/" &amp; Z35 &amp; "BT", Y35 &amp; "BT"))))</f>
        <v/>
      </c>
    </row>
    <row r="36">
      <c r="A36" t="n">
        <v>558</v>
      </c>
      <c r="B36" t="inlineStr">
        <is>
          <t>PVA PIEDMONT MIDDLE</t>
        </is>
      </c>
      <c r="C36" t="n">
        <v>0</v>
      </c>
      <c r="E36" t="inlineStr">
        <is>
          <t>SR 1001</t>
        </is>
      </c>
      <c r="F36" t="inlineStr">
        <is>
          <t>DEAD END</t>
        </is>
      </c>
      <c r="H36" t="n">
        <v>999.999</v>
      </c>
      <c r="I36" t="inlineStr">
        <is>
          <t>NIS</t>
        </is>
      </c>
      <c r="L36" t="n">
        <v>105740561</v>
      </c>
      <c r="M36" s="6" t="n">
        <v>43472</v>
      </c>
      <c r="N36" t="n">
        <v>21</v>
      </c>
      <c r="O36" t="n">
        <v>1</v>
      </c>
      <c r="P36" t="n">
        <v>8</v>
      </c>
      <c r="Q36" t="n">
        <v>1</v>
      </c>
      <c r="R36" t="inlineStr">
        <is>
          <t>O</t>
        </is>
      </c>
      <c r="S36">
        <f>IFERROR(VLOOKUP(N36,Index!$A$1:$B$26,2,FALSE),"")</f>
        <v/>
      </c>
      <c r="T36">
        <f>AA36</f>
        <v/>
      </c>
      <c r="V36">
        <f>IFERROR(INDEX(DetailedFiche!Q:Q,MATCH(L36,DetailedFiche!J:J,0)),"")</f>
        <v/>
      </c>
      <c r="W36">
        <f>IFERROR(INDEX(DetailedFiche!R:R,MATCH(L36,DetailedFiche!J:J,0)),"")</f>
        <v/>
      </c>
      <c r="Y36">
        <f>IFERROR(IF(AND(INDEX('Initial Study'!K:K, MATCH(L36, 'Initial Study'!B:B, 0)+1)&lt;&gt;0,INDEX('Initial Study'!K:K, MATCH(L36, 'Initial Study'!B:B, 0)+1)&lt;&gt;""),INDEX('Initial Study'!K:K, MATCH(L36, 'Initial Study'!B:B, 0)+1),""),"")</f>
        <v/>
      </c>
      <c r="Z36">
        <f>IFERROR(IF(AND(INDEX('Initial Study'!K:K, MATCH(L36, 'Initial Study'!B:B, 0)+2)&lt;&gt;0,INDEX('Initial Study'!K:K, MATCH(L36, 'Initial Study'!B:B, 0)+2)&lt;&gt;"",NOT(ISNUMBER(INDEX('Initial Study'!K:K, MATCH(L36, 'Initial Study'!B:B, 0)+2)))),INDEX('Initial Study'!K:K, MATCH(L36, 'Initial Study'!B:B, 0)+2),"-"),"-")</f>
        <v/>
      </c>
      <c r="AA36">
        <f>IF(S36="RE", Y36 &amp; "BT/" &amp; IF(Z36 &lt;&gt; "-", Z36 &amp; "BT", ""), IF(OR(S36="LTDR", S36="LTSR"), Y36 &amp; "BL" &amp; IF(Z36 &lt;&gt; "-", "/" &amp; Z36 &amp; "BT", ""), IF(OR(S36="RTDR", S36="RTSR"), Y36 &amp; "BR" &amp; IF(Z36 &lt;&gt; "-", "/" &amp; Z36 &amp; "BT", ""), IF(Z36 &lt;&gt; "-", Y36 &amp; "BT/" &amp; Z36 &amp; "BT", Y36 &amp; "BT"))))</f>
        <v/>
      </c>
    </row>
    <row r="37">
      <c r="A37" t="n">
        <v>0</v>
      </c>
      <c r="B37" t="inlineStr">
        <is>
          <t>*PP 2815 OLD CAMDEN RD</t>
        </is>
      </c>
      <c r="C37" t="n">
        <v>0.019</v>
      </c>
      <c r="D37" t="inlineStr">
        <is>
          <t>W</t>
        </is>
      </c>
      <c r="E37" t="inlineStr">
        <is>
          <t>SR 1606</t>
        </is>
      </c>
      <c r="F37" t="inlineStr">
        <is>
          <t>DEAD END</t>
        </is>
      </c>
      <c r="H37" t="n">
        <v>999.999</v>
      </c>
      <c r="I37" t="inlineStr">
        <is>
          <t>NIS</t>
        </is>
      </c>
      <c r="L37" t="n">
        <v>107479024</v>
      </c>
      <c r="M37" s="6" t="n">
        <v>45203</v>
      </c>
      <c r="N37" t="n">
        <v>20</v>
      </c>
      <c r="O37" t="n">
        <v>1</v>
      </c>
      <c r="P37" t="n">
        <v>5</v>
      </c>
      <c r="Q37" t="n">
        <v>5</v>
      </c>
      <c r="R37" t="inlineStr">
        <is>
          <t>O</t>
        </is>
      </c>
      <c r="S37">
        <f>IFERROR(VLOOKUP(N37,Index!$A$1:$B$26,2,FALSE),"")</f>
        <v/>
      </c>
      <c r="T37">
        <f>AA37</f>
        <v/>
      </c>
      <c r="V37">
        <f>IFERROR(INDEX(DetailedFiche!Q:Q,MATCH(L37,DetailedFiche!J:J,0)),"")</f>
        <v/>
      </c>
      <c r="W37">
        <f>IFERROR(INDEX(DetailedFiche!R:R,MATCH(L37,DetailedFiche!J:J,0)),"")</f>
        <v/>
      </c>
      <c r="Y37">
        <f>IFERROR(IF(AND(INDEX('Initial Study'!K:K, MATCH(L37, 'Initial Study'!B:B, 0)+1)&lt;&gt;0,INDEX('Initial Study'!K:K, MATCH(L37, 'Initial Study'!B:B, 0)+1)&lt;&gt;""),INDEX('Initial Study'!K:K, MATCH(L37, 'Initial Study'!B:B, 0)+1),""),"")</f>
        <v/>
      </c>
      <c r="Z37">
        <f>IFERROR(IF(AND(INDEX('Initial Study'!K:K, MATCH(L37, 'Initial Study'!B:B, 0)+2)&lt;&gt;0,INDEX('Initial Study'!K:K, MATCH(L37, 'Initial Study'!B:B, 0)+2)&lt;&gt;"",NOT(ISNUMBER(INDEX('Initial Study'!K:K, MATCH(L37, 'Initial Study'!B:B, 0)+2)))),INDEX('Initial Study'!K:K, MATCH(L37, 'Initial Study'!B:B, 0)+2),"-"),"-")</f>
        <v/>
      </c>
      <c r="AA37">
        <f>IF(S37="RE", Y37 &amp; "BT/" &amp; IF(Z37 &lt;&gt; "-", Z37 &amp; "BT", ""), IF(OR(S37="LTDR", S37="LTSR"), Y37 &amp; "BL" &amp; IF(Z37 &lt;&gt; "-", "/" &amp; Z37 &amp; "BT", ""), IF(OR(S37="RTDR", S37="RTSR"), Y37 &amp; "BR" &amp; IF(Z37 &lt;&gt; "-", "/" &amp; Z37 &amp; "BT", ""), IF(Z37 &lt;&gt; "-", Y37 &amp; "BT/" &amp; Z37 &amp; "BT", Y37 &amp; "BT"))))</f>
        <v/>
      </c>
    </row>
    <row r="38">
      <c r="A38" t="n">
        <v>558</v>
      </c>
      <c r="B38" t="inlineStr">
        <is>
          <t>PVA 3006 SIKES MILL RD</t>
        </is>
      </c>
      <c r="C38" t="n">
        <v>0.018</v>
      </c>
      <c r="D38" t="inlineStr">
        <is>
          <t>E</t>
        </is>
      </c>
      <c r="E38" t="inlineStr">
        <is>
          <t>SR 1606</t>
        </is>
      </c>
      <c r="F38" t="inlineStr">
        <is>
          <t>SR 1001</t>
        </is>
      </c>
      <c r="H38" t="n">
        <v>999.999</v>
      </c>
      <c r="I38" t="inlineStr">
        <is>
          <t>NIS</t>
        </is>
      </c>
      <c r="L38" t="n">
        <v>107844251</v>
      </c>
      <c r="M38" s="6" t="n">
        <v>45540</v>
      </c>
      <c r="N38" t="n">
        <v>31</v>
      </c>
      <c r="O38" t="n">
        <v>1</v>
      </c>
      <c r="P38" t="n">
        <v>0</v>
      </c>
      <c r="Q38" t="n">
        <v>1</v>
      </c>
      <c r="R38" t="inlineStr">
        <is>
          <t>O</t>
        </is>
      </c>
      <c r="S38">
        <f>IFERROR(VLOOKUP(N38,Index!$A$1:$B$26,2,FALSE),"")</f>
        <v/>
      </c>
      <c r="T38">
        <f>AA38</f>
        <v/>
      </c>
      <c r="V38">
        <f>IFERROR(INDEX(DetailedFiche!Q:Q,MATCH(L38,DetailedFiche!J:J,0)),"")</f>
        <v/>
      </c>
      <c r="W38">
        <f>IFERROR(INDEX(DetailedFiche!R:R,MATCH(L38,DetailedFiche!J:J,0)),"")</f>
        <v/>
      </c>
      <c r="Y38">
        <f>IFERROR(IF(AND(INDEX('Initial Study'!K:K, MATCH(L38, 'Initial Study'!B:B, 0)+1)&lt;&gt;0,INDEX('Initial Study'!K:K, MATCH(L38, 'Initial Study'!B:B, 0)+1)&lt;&gt;""),INDEX('Initial Study'!K:K, MATCH(L38, 'Initial Study'!B:B, 0)+1),""),"")</f>
        <v/>
      </c>
      <c r="Z38">
        <f>IFERROR(IF(AND(INDEX('Initial Study'!K:K, MATCH(L38, 'Initial Study'!B:B, 0)+2)&lt;&gt;0,INDEX('Initial Study'!K:K, MATCH(L38, 'Initial Study'!B:B, 0)+2)&lt;&gt;"",NOT(ISNUMBER(INDEX('Initial Study'!K:K, MATCH(L38, 'Initial Study'!B:B, 0)+2)))),INDEX('Initial Study'!K:K, MATCH(L38, 'Initial Study'!B:B, 0)+2),"-"),"-")</f>
        <v/>
      </c>
      <c r="AA38">
        <f>IF(S38="RE", Y38 &amp; "BT/" &amp; IF(Z38 &lt;&gt; "-", Z38 &amp; "BT", ""), IF(OR(S38="LTDR", S38="LTSR"), Y38 &amp; "BL" &amp; IF(Z38 &lt;&gt; "-", "/" &amp; Z38 &amp; "BT", ""), IF(OR(S38="RTDR", S38="RTSR"), Y38 &amp; "BR" &amp; IF(Z38 &lt;&gt; "-", "/" &amp; Z38 &amp; "BT", ""), IF(Z38 &lt;&gt; "-", Y38 &amp; "BT/" &amp; Z38 &amp; "BT", Y38 &amp; "BT"))))</f>
        <v/>
      </c>
    </row>
    <row r="39">
      <c r="A39" t="n">
        <v>558</v>
      </c>
      <c r="B39" t="inlineStr">
        <is>
          <t>PVA MARATHON GAS STATION</t>
        </is>
      </c>
      <c r="C39" t="n">
        <v>0.014</v>
      </c>
      <c r="D39" t="inlineStr">
        <is>
          <t>W</t>
        </is>
      </c>
      <c r="E39" t="inlineStr">
        <is>
          <t>SR 1606</t>
        </is>
      </c>
      <c r="F39" t="inlineStr">
        <is>
          <t>SR 1001</t>
        </is>
      </c>
      <c r="H39" t="n">
        <v>999.999</v>
      </c>
      <c r="I39" t="inlineStr">
        <is>
          <t>NIS</t>
        </is>
      </c>
      <c r="L39" t="n">
        <v>105060300</v>
      </c>
      <c r="M39" s="6" t="n">
        <v>42814</v>
      </c>
      <c r="N39" t="n">
        <v>31</v>
      </c>
      <c r="O39" t="n">
        <v>1</v>
      </c>
      <c r="P39" t="n">
        <v>4</v>
      </c>
      <c r="Q39" t="n">
        <v>1</v>
      </c>
      <c r="R39" t="inlineStr">
        <is>
          <t>O</t>
        </is>
      </c>
      <c r="S39">
        <f>IFERROR(VLOOKUP(N39,Index!$A$1:$B$26,2,FALSE),"")</f>
        <v/>
      </c>
      <c r="T39">
        <f>AA39</f>
        <v/>
      </c>
      <c r="V39">
        <f>IFERROR(INDEX(DetailedFiche!Q:Q,MATCH(L39,DetailedFiche!J:J,0)),"")</f>
        <v/>
      </c>
      <c r="W39">
        <f>IFERROR(INDEX(DetailedFiche!R:R,MATCH(L39,DetailedFiche!J:J,0)),"")</f>
        <v/>
      </c>
      <c r="Y39">
        <f>IFERROR(IF(AND(INDEX('Initial Study'!K:K, MATCH(L39, 'Initial Study'!B:B, 0)+1)&lt;&gt;0,INDEX('Initial Study'!K:K, MATCH(L39, 'Initial Study'!B:B, 0)+1)&lt;&gt;""),INDEX('Initial Study'!K:K, MATCH(L39, 'Initial Study'!B:B, 0)+1),""),"")</f>
        <v/>
      </c>
      <c r="Z39">
        <f>IFERROR(IF(AND(INDEX('Initial Study'!K:K, MATCH(L39, 'Initial Study'!B:B, 0)+2)&lt;&gt;0,INDEX('Initial Study'!K:K, MATCH(L39, 'Initial Study'!B:B, 0)+2)&lt;&gt;"",NOT(ISNUMBER(INDEX('Initial Study'!K:K, MATCH(L39, 'Initial Study'!B:B, 0)+2)))),INDEX('Initial Study'!K:K, MATCH(L39, 'Initial Study'!B:B, 0)+2),"-"),"-")</f>
        <v/>
      </c>
      <c r="AA39">
        <f>IF(S39="RE", Y39 &amp; "BT/" &amp; IF(Z39 &lt;&gt; "-", Z39 &amp; "BT", ""), IF(OR(S39="LTDR", S39="LTSR"), Y39 &amp; "BL" &amp; IF(Z39 &lt;&gt; "-", "/" &amp; Z39 &amp; "BT", ""), IF(OR(S39="RTDR", S39="RTSR"), Y39 &amp; "BR" &amp; IF(Z39 &lt;&gt; "-", "/" &amp; Z39 &amp; "BT", ""), IF(Z39 &lt;&gt; "-", Y39 &amp; "BT/" &amp; Z39 &amp; "BT", Y39 &amp; "BT"))))</f>
        <v/>
      </c>
    </row>
    <row r="40">
      <c r="A40" t="n">
        <v>558</v>
      </c>
      <c r="B40" t="inlineStr">
        <is>
          <t>PVA PIEDMONT HIGH SCHOOL</t>
        </is>
      </c>
      <c r="C40" t="n">
        <v>0.004</v>
      </c>
      <c r="D40" t="inlineStr">
        <is>
          <t>E</t>
        </is>
      </c>
      <c r="E40" t="inlineStr">
        <is>
          <t>SR 1606</t>
        </is>
      </c>
      <c r="F40" t="inlineStr">
        <is>
          <t>SR 1678</t>
        </is>
      </c>
      <c r="H40" t="n">
        <v>999.999</v>
      </c>
      <c r="I40" t="inlineStr">
        <is>
          <t>NIS</t>
        </is>
      </c>
      <c r="L40" t="n">
        <v>107118944</v>
      </c>
      <c r="M40" s="6" t="n">
        <v>44847</v>
      </c>
      <c r="N40" t="n">
        <v>31</v>
      </c>
      <c r="O40" t="n">
        <v>1</v>
      </c>
      <c r="P40" t="n">
        <v>4</v>
      </c>
      <c r="Q40" t="n">
        <v>1</v>
      </c>
      <c r="R40" t="inlineStr">
        <is>
          <t>O</t>
        </is>
      </c>
      <c r="S40">
        <f>IFERROR(VLOOKUP(N40,Index!$A$1:$B$26,2,FALSE),"")</f>
        <v/>
      </c>
      <c r="T40">
        <f>AA40</f>
        <v/>
      </c>
      <c r="V40">
        <f>IFERROR(INDEX(DetailedFiche!Q:Q,MATCH(L40,DetailedFiche!J:J,0)),"")</f>
        <v/>
      </c>
      <c r="W40">
        <f>IFERROR(INDEX(DetailedFiche!R:R,MATCH(L40,DetailedFiche!J:J,0)),"")</f>
        <v/>
      </c>
      <c r="Y40">
        <f>IFERROR(IF(AND(INDEX('Initial Study'!K:K, MATCH(L40, 'Initial Study'!B:B, 0)+1)&lt;&gt;0,INDEX('Initial Study'!K:K, MATCH(L40, 'Initial Study'!B:B, 0)+1)&lt;&gt;""),INDEX('Initial Study'!K:K, MATCH(L40, 'Initial Study'!B:B, 0)+1),""),"")</f>
        <v/>
      </c>
      <c r="Z40">
        <f>IFERROR(IF(AND(INDEX('Initial Study'!K:K, MATCH(L40, 'Initial Study'!B:B, 0)+2)&lt;&gt;0,INDEX('Initial Study'!K:K, MATCH(L40, 'Initial Study'!B:B, 0)+2)&lt;&gt;"",NOT(ISNUMBER(INDEX('Initial Study'!K:K, MATCH(L40, 'Initial Study'!B:B, 0)+2)))),INDEX('Initial Study'!K:K, MATCH(L40, 'Initial Study'!B:B, 0)+2),"-"),"-")</f>
        <v/>
      </c>
      <c r="AA40">
        <f>IF(S40="RE", Y40 &amp; "BT/" &amp; IF(Z40 &lt;&gt; "-", Z40 &amp; "BT", ""), IF(OR(S40="LTDR", S40="LTSR"), Y40 &amp; "BL" &amp; IF(Z40 &lt;&gt; "-", "/" &amp; Z40 &amp; "BT", ""), IF(OR(S40="RTDR", S40="RTSR"), Y40 &amp; "BR" &amp; IF(Z40 &lt;&gt; "-", "/" &amp; Z40 &amp; "BT", ""), IF(Z40 &lt;&gt; "-", Y40 &amp; "BT/" &amp; Z40 &amp; "BT", Y40 &amp; "BT"))))</f>
        <v/>
      </c>
    </row>
    <row r="41">
      <c r="A41" t="n">
        <v>558</v>
      </c>
      <c r="B41" t="inlineStr">
        <is>
          <t>PVA PIEDMONT MIDDLE SCHOOL</t>
        </is>
      </c>
      <c r="C41" t="n">
        <v>0.019</v>
      </c>
      <c r="D41" t="inlineStr">
        <is>
          <t>E</t>
        </is>
      </c>
      <c r="E41" t="inlineStr">
        <is>
          <t>SR 1606</t>
        </is>
      </c>
      <c r="F41" t="inlineStr">
        <is>
          <t>DEAD END</t>
        </is>
      </c>
      <c r="H41" t="n">
        <v>999.999</v>
      </c>
      <c r="I41" t="inlineStr">
        <is>
          <t>NIS</t>
        </is>
      </c>
      <c r="L41" t="n">
        <v>105226618</v>
      </c>
      <c r="M41" s="6" t="n">
        <v>42998</v>
      </c>
      <c r="N41" t="n">
        <v>21</v>
      </c>
      <c r="O41" t="n">
        <v>1</v>
      </c>
      <c r="P41" t="n">
        <v>8</v>
      </c>
      <c r="Q41" t="n">
        <v>1</v>
      </c>
      <c r="R41" t="inlineStr">
        <is>
          <t>O</t>
        </is>
      </c>
      <c r="S41">
        <f>IFERROR(VLOOKUP(N41,Index!$A$1:$B$26,2,FALSE),"")</f>
        <v/>
      </c>
      <c r="T41">
        <f>AA41</f>
        <v/>
      </c>
      <c r="V41">
        <f>IFERROR(INDEX(DetailedFiche!Q:Q,MATCH(L41,DetailedFiche!J:J,0)),"")</f>
        <v/>
      </c>
      <c r="W41">
        <f>IFERROR(INDEX(DetailedFiche!R:R,MATCH(L41,DetailedFiche!J:J,0)),"")</f>
        <v/>
      </c>
      <c r="Y41">
        <f>IFERROR(IF(AND(INDEX('Initial Study'!K:K, MATCH(L41, 'Initial Study'!B:B, 0)+1)&lt;&gt;0,INDEX('Initial Study'!K:K, MATCH(L41, 'Initial Study'!B:B, 0)+1)&lt;&gt;""),INDEX('Initial Study'!K:K, MATCH(L41, 'Initial Study'!B:B, 0)+1),""),"")</f>
        <v/>
      </c>
      <c r="Z41">
        <f>IFERROR(IF(AND(INDEX('Initial Study'!K:K, MATCH(L41, 'Initial Study'!B:B, 0)+2)&lt;&gt;0,INDEX('Initial Study'!K:K, MATCH(L41, 'Initial Study'!B:B, 0)+2)&lt;&gt;"",NOT(ISNUMBER(INDEX('Initial Study'!K:K, MATCH(L41, 'Initial Study'!B:B, 0)+2)))),INDEX('Initial Study'!K:K, MATCH(L41, 'Initial Study'!B:B, 0)+2),"-"),"-")</f>
        <v/>
      </c>
      <c r="AA41">
        <f>IF(S41="RE", Y41 &amp; "BT/" &amp; IF(Z41 &lt;&gt; "-", Z41 &amp; "BT", ""), IF(OR(S41="LTDR", S41="LTSR"), Y41 &amp; "BL" &amp; IF(Z41 &lt;&gt; "-", "/" &amp; Z41 &amp; "BT", ""), IF(OR(S41="RTDR", S41="RTSR"), Y41 &amp; "BR" &amp; IF(Z41 &lt;&gt; "-", "/" &amp; Z41 &amp; "BT", ""), IF(Z41 &lt;&gt; "-", Y41 &amp; "BT/" &amp; Z41 &amp; "BT", Y41 &amp; "BT"))))</f>
        <v/>
      </c>
    </row>
    <row r="42">
      <c r="A42" s="7" t="n">
        <v>558</v>
      </c>
      <c r="B42" s="7" t="inlineStr">
        <is>
          <t>*PP 1518 TOM BOYD RD</t>
        </is>
      </c>
      <c r="C42" s="7" t="n">
        <v>0.014</v>
      </c>
      <c r="D42" s="7" t="inlineStr">
        <is>
          <t>W</t>
        </is>
      </c>
      <c r="E42" s="7" t="inlineStr">
        <is>
          <t>SR 1619</t>
        </is>
      </c>
      <c r="F42" s="7" t="inlineStr">
        <is>
          <t>*LCL -</t>
        </is>
      </c>
      <c r="G42" s="7" t="n"/>
      <c r="H42" s="7" t="n">
        <v>999.999</v>
      </c>
      <c r="I42" s="7" t="inlineStr">
        <is>
          <t>?</t>
        </is>
      </c>
      <c r="J42" s="7" t="n"/>
      <c r="K42" s="7" t="n"/>
      <c r="L42" s="7" t="n">
        <v>104698395</v>
      </c>
      <c r="M42" s="8" t="n">
        <v>42469</v>
      </c>
      <c r="N42" s="7" t="n">
        <v>31</v>
      </c>
      <c r="O42" s="7" t="n">
        <v>1</v>
      </c>
      <c r="P42" s="7" t="n">
        <v>5</v>
      </c>
      <c r="Q42" s="7" t="n">
        <v>5</v>
      </c>
      <c r="R42" s="7" t="inlineStr">
        <is>
          <t>O</t>
        </is>
      </c>
      <c r="S42" s="7">
        <f>IFERROR(VLOOKUP(N42,Index!$A$1:$B$26,2,FALSE),"")</f>
        <v/>
      </c>
      <c r="T42" s="7">
        <f>AA42</f>
        <v/>
      </c>
      <c r="U42" s="7" t="inlineStr">
        <is>
          <t>backing crash on private property at 1518 Tom Boyd Rd, 74 ft west of the junction, MP unresolved; confirm it is off the roadway</t>
        </is>
      </c>
      <c r="V42" s="7">
        <f>IFERROR(INDEX(DetailedFiche!Q:Q,MATCH(L42,DetailedFiche!J:J,0)),"")</f>
        <v/>
      </c>
      <c r="W42" s="7">
        <f>IFERROR(INDEX(DetailedFiche!R:R,MATCH(L42,DetailedFiche!J:J,0)),"")</f>
        <v/>
      </c>
      <c r="X42" s="7" t="n"/>
      <c r="Y42" s="7">
        <f>IFERROR(IF(AND(INDEX('Initial Study'!K:K, MATCH(L42, 'Initial Study'!B:B, 0)+1)&lt;&gt;0,INDEX('Initial Study'!K:K, MATCH(L42, 'Initial Study'!B:B, 0)+1)&lt;&gt;""),INDEX('Initial Study'!K:K, MATCH(L42, 'Initial Study'!B:B, 0)+1),""),"")</f>
        <v/>
      </c>
      <c r="Z42" s="7">
        <f>IFERROR(IF(AND(INDEX('Initial Study'!K:K, MATCH(L42, 'Initial Study'!B:B, 0)+2)&lt;&gt;0,INDEX('Initial Study'!K:K, MATCH(L42, 'Initial Study'!B:B, 0)+2)&lt;&gt;"",NOT(ISNUMBER(INDEX('Initial Study'!K:K, MATCH(L42, 'Initial Study'!B:B, 0)+2)))),INDEX('Initial Study'!K:K, MATCH(L42, 'Initial Study'!B:B, 0)+2),"-"),"-")</f>
        <v/>
      </c>
      <c r="AA42" s="7">
        <f>IF(S42="RE", Y42 &amp; "BT/" &amp; IF(Z42 &lt;&gt; "-", Z42 &amp; "BT", ""), IF(OR(S42="LTDR", S42="LTSR"), Y42 &amp; "BL" &amp; IF(Z42 &lt;&gt; "-", "/" &amp; Z42 &amp; "BT", ""), IF(OR(S42="RTDR", S42="RTSR"), Y42 &amp; "BR" &amp; IF(Z42 &lt;&gt; "-", "/" &amp; Z42 &amp; "BT", ""), IF(Z42 &lt;&gt; "-", Y42 &amp; "BT/" &amp; Z42 &amp; "BT", Y42 &amp; "BT"))))</f>
        <v/>
      </c>
    </row>
    <row r="43">
      <c r="A43" t="n">
        <v>558</v>
      </c>
      <c r="B43" t="inlineStr">
        <is>
          <t>TOM BOYD</t>
        </is>
      </c>
      <c r="C43" t="n">
        <v>0.011</v>
      </c>
      <c r="D43" t="inlineStr">
        <is>
          <t>S</t>
        </is>
      </c>
      <c r="E43" t="inlineStr">
        <is>
          <t>UNIONVILLE</t>
        </is>
      </c>
      <c r="F43" t="inlineStr">
        <is>
          <t>SIKES MILL</t>
        </is>
      </c>
      <c r="H43" t="n">
        <v>999.999</v>
      </c>
      <c r="I43" t="inlineStr">
        <is>
          <t>NIS</t>
        </is>
      </c>
      <c r="L43" t="n">
        <v>105230136</v>
      </c>
      <c r="M43" s="6" t="n">
        <v>42997</v>
      </c>
      <c r="N43" t="n">
        <v>13</v>
      </c>
      <c r="O43" t="n">
        <v>1</v>
      </c>
      <c r="P43" t="n">
        <v>8</v>
      </c>
      <c r="Q43" t="n">
        <v>1</v>
      </c>
      <c r="R43" t="inlineStr">
        <is>
          <t>O</t>
        </is>
      </c>
      <c r="S43">
        <f>IFERROR(VLOOKUP(N43,Index!$A$1:$B$26,2,FALSE),"")</f>
        <v/>
      </c>
      <c r="T43">
        <f>AA43</f>
        <v/>
      </c>
      <c r="V43">
        <f>IFERROR(INDEX(DetailedFiche!Q:Q,MATCH(L43,DetailedFiche!J:J,0)),"")</f>
        <v/>
      </c>
      <c r="W43">
        <f>IFERROR(INDEX(DetailedFiche!R:R,MATCH(L43,DetailedFiche!J:J,0)),"")</f>
        <v/>
      </c>
      <c r="Y43">
        <f>IFERROR(IF(AND(INDEX('Initial Study'!K:K, MATCH(L43, 'Initial Study'!B:B, 0)+1)&lt;&gt;0,INDEX('Initial Study'!K:K, MATCH(L43, 'Initial Study'!B:B, 0)+1)&lt;&gt;""),INDEX('Initial Study'!K:K, MATCH(L43, 'Initial Study'!B:B, 0)+1),""),"")</f>
        <v/>
      </c>
      <c r="Z43">
        <f>IFERROR(IF(AND(INDEX('Initial Study'!K:K, MATCH(L43, 'Initial Study'!B:B, 0)+2)&lt;&gt;0,INDEX('Initial Study'!K:K, MATCH(L43, 'Initial Study'!B:B, 0)+2)&lt;&gt;"",NOT(ISNUMBER(INDEX('Initial Study'!K:K, MATCH(L43, 'Initial Study'!B:B, 0)+2)))),INDEX('Initial Study'!K:K, MATCH(L43, 'Initial Study'!B:B, 0)+2),"-"),"-")</f>
        <v/>
      </c>
      <c r="AA43">
        <f>IF(S43="RE", Y43 &amp; "BT/" &amp; IF(Z43 &lt;&gt; "-", Z43 &amp; "BT", ""), IF(OR(S43="LTDR", S43="LTSR"), Y43 &amp; "BL" &amp; IF(Z43 &lt;&gt; "-", "/" &amp; Z43 &amp; "BT", ""), IF(OR(S43="RTDR", S43="RTSR"), Y43 &amp; "BR" &amp; IF(Z43 &lt;&gt; "-", "/" &amp; Z43 &amp; "BT", ""), IF(Z43 &lt;&gt; "-", Y43 &amp; "BT/" &amp; Z43 &amp; "BT", Y43 &amp; "BT"))))</f>
        <v/>
      </c>
    </row>
    <row r="44">
      <c r="A44" t="n">
        <v>558</v>
      </c>
      <c r="B44" t="inlineStr">
        <is>
          <t>LAWYERS</t>
        </is>
      </c>
      <c r="C44" t="n">
        <v>0.005</v>
      </c>
      <c r="D44" t="inlineStr">
        <is>
          <t>SE</t>
        </is>
      </c>
      <c r="E44" t="inlineStr">
        <is>
          <t>SIKES MILL</t>
        </is>
      </c>
      <c r="F44" t="inlineStr">
        <is>
          <t>OLD CAMDEN</t>
        </is>
      </c>
      <c r="G44" t="inlineStr">
        <is>
          <t>LAWYERS</t>
        </is>
      </c>
      <c r="H44" t="n">
        <v>999.999</v>
      </c>
      <c r="I44" t="inlineStr">
        <is>
          <t>NIS</t>
        </is>
      </c>
      <c r="L44" t="n">
        <v>107493499</v>
      </c>
      <c r="M44" s="6" t="n">
        <v>45217</v>
      </c>
      <c r="N44" t="n">
        <v>21</v>
      </c>
      <c r="O44" t="n">
        <v>1</v>
      </c>
      <c r="P44" t="n">
        <v>10</v>
      </c>
      <c r="Q44" t="n">
        <v>1</v>
      </c>
      <c r="R44" t="inlineStr">
        <is>
          <t>O</t>
        </is>
      </c>
      <c r="S44">
        <f>IFERROR(VLOOKUP(N44,Index!$A$1:$B$26,2,FALSE),"")</f>
        <v/>
      </c>
      <c r="T44">
        <f>AA44</f>
        <v/>
      </c>
      <c r="V44">
        <f>IFERROR(INDEX(DetailedFiche!Q:Q,MATCH(L44,DetailedFiche!J:J,0)),"")</f>
        <v/>
      </c>
      <c r="W44">
        <f>IFERROR(INDEX(DetailedFiche!R:R,MATCH(L44,DetailedFiche!J:J,0)),"")</f>
        <v/>
      </c>
      <c r="Y44">
        <f>IFERROR(IF(AND(INDEX('Initial Study'!K:K, MATCH(L44, 'Initial Study'!B:B, 0)+1)&lt;&gt;0,INDEX('Initial Study'!K:K, MATCH(L44, 'Initial Study'!B:B, 0)+1)&lt;&gt;""),INDEX('Initial Study'!K:K, MATCH(L44, 'Initial Study'!B:B, 0)+1),""),"")</f>
        <v/>
      </c>
      <c r="Z44">
        <f>IFERROR(IF(AND(INDEX('Initial Study'!K:K, MATCH(L44, 'Initial Study'!B:B, 0)+2)&lt;&gt;0,INDEX('Initial Study'!K:K, MATCH(L44, 'Initial Study'!B:B, 0)+2)&lt;&gt;"",NOT(ISNUMBER(INDEX('Initial Study'!K:K, MATCH(L44, 'Initial Study'!B:B, 0)+2)))),INDEX('Initial Study'!K:K, MATCH(L44, 'Initial Study'!B:B, 0)+2),"-"),"-")</f>
        <v/>
      </c>
      <c r="AA44">
        <f>IF(S44="RE", Y44 &amp; "BT/" &amp; IF(Z44 &lt;&gt; "-", Z44 &amp; "BT", ""), IF(OR(S44="LTDR", S44="LTSR"), Y44 &amp; "BL" &amp; IF(Z44 &lt;&gt; "-", "/" &amp; Z44 &amp; "BT", ""), IF(OR(S44="RTDR", S44="RTSR"), Y44 &amp; "BR" &amp; IF(Z44 &lt;&gt; "-", "/" &amp; Z44 &amp; "BT", ""), IF(Z44 &lt;&gt; "-", Y44 &amp; "BT/" &amp; Z44 &amp; "BT", Y44 &amp; "BT"))))</f>
        <v/>
      </c>
    </row>
    <row r="45">
      <c r="A45" t="n">
        <v>558</v>
      </c>
      <c r="B45" t="inlineStr">
        <is>
          <t>LOVE MILL</t>
        </is>
      </c>
      <c r="C45" t="n">
        <v>0.41</v>
      </c>
      <c r="D45" t="inlineStr">
        <is>
          <t>S</t>
        </is>
      </c>
      <c r="E45" t="inlineStr">
        <is>
          <t>BRIEF</t>
        </is>
      </c>
      <c r="F45" t="inlineStr">
        <is>
          <t>NC 218</t>
        </is>
      </c>
      <c r="G45" t="inlineStr">
        <is>
          <t>LOVE MILL</t>
        </is>
      </c>
      <c r="H45" t="n">
        <v>999.999</v>
      </c>
      <c r="I45" t="inlineStr">
        <is>
          <t>NIS</t>
        </is>
      </c>
      <c r="L45" t="n">
        <v>108330211</v>
      </c>
      <c r="M45" s="6" t="n">
        <v>45995</v>
      </c>
      <c r="N45" t="n">
        <v>17</v>
      </c>
      <c r="O45" t="n">
        <v>1</v>
      </c>
      <c r="P45" t="n">
        <v>0</v>
      </c>
      <c r="Q45" t="n">
        <v>5</v>
      </c>
      <c r="R45" t="inlineStr">
        <is>
          <t>O</t>
        </is>
      </c>
      <c r="S45">
        <f>IFERROR(VLOOKUP(N45,Index!$A$1:$B$26,2,FALSE),"")</f>
        <v/>
      </c>
      <c r="T45">
        <f>AA45</f>
        <v/>
      </c>
      <c r="V45">
        <f>IFERROR(INDEX(DetailedFiche!Q:Q,MATCH(L45,DetailedFiche!J:J,0)),"")</f>
        <v/>
      </c>
      <c r="W45">
        <f>IFERROR(INDEX(DetailedFiche!R:R,MATCH(L45,DetailedFiche!J:J,0)),"")</f>
        <v/>
      </c>
      <c r="Y45">
        <f>IFERROR(IF(AND(INDEX('Initial Study'!K:K, MATCH(L45, 'Initial Study'!B:B, 0)+1)&lt;&gt;0,INDEX('Initial Study'!K:K, MATCH(L45, 'Initial Study'!B:B, 0)+1)&lt;&gt;""),INDEX('Initial Study'!K:K, MATCH(L45, 'Initial Study'!B:B, 0)+1),""),"")</f>
        <v/>
      </c>
      <c r="Z45">
        <f>IFERROR(IF(AND(INDEX('Initial Study'!K:K, MATCH(L45, 'Initial Study'!B:B, 0)+2)&lt;&gt;0,INDEX('Initial Study'!K:K, MATCH(L45, 'Initial Study'!B:B, 0)+2)&lt;&gt;"",NOT(ISNUMBER(INDEX('Initial Study'!K:K, MATCH(L45, 'Initial Study'!B:B, 0)+2)))),INDEX('Initial Study'!K:K, MATCH(L45, 'Initial Study'!B:B, 0)+2),"-"),"-")</f>
        <v/>
      </c>
      <c r="AA45">
        <f>IF(S45="RE", Y45 &amp; "BT/" &amp; IF(Z45 &lt;&gt; "-", Z45 &amp; "BT", ""), IF(OR(S45="LTDR", S45="LTSR"), Y45 &amp; "BL" &amp; IF(Z45 &lt;&gt; "-", "/" &amp; Z45 &amp; "BT", ""), IF(OR(S45="RTDR", S45="RTSR"), Y45 &amp; "BR" &amp; IF(Z45 &lt;&gt; "-", "/" &amp; Z45 &amp; "BT", ""), IF(Z45 &lt;&gt; "-", Y45 &amp; "BT/" &amp; Z45 &amp; "BT", Y45 &amp; "BT"))))</f>
        <v/>
      </c>
    </row>
    <row r="46">
      <c r="A46" t="n">
        <v>558</v>
      </c>
      <c r="B46" t="inlineStr">
        <is>
          <t>LOVE MILL</t>
        </is>
      </c>
      <c r="C46" t="n">
        <v>0.005</v>
      </c>
      <c r="D46" t="inlineStr">
        <is>
          <t>E</t>
        </is>
      </c>
      <c r="E46" t="inlineStr">
        <is>
          <t>SIKES MILL</t>
        </is>
      </c>
      <c r="F46" t="inlineStr">
        <is>
          <t>PIEDMONT SCHOOL</t>
        </is>
      </c>
      <c r="G46" t="inlineStr">
        <is>
          <t>LOVE MILL</t>
        </is>
      </c>
      <c r="H46" t="n">
        <v>999.999</v>
      </c>
      <c r="I46" t="inlineStr">
        <is>
          <t>NIS</t>
        </is>
      </c>
      <c r="L46" t="n">
        <v>107319671</v>
      </c>
      <c r="M46" s="6" t="n">
        <v>45035</v>
      </c>
      <c r="N46" t="n">
        <v>21</v>
      </c>
      <c r="O46" t="n">
        <v>1</v>
      </c>
      <c r="P46" t="n">
        <v>10</v>
      </c>
      <c r="Q46" t="n">
        <v>1</v>
      </c>
      <c r="R46" t="inlineStr">
        <is>
          <t>O</t>
        </is>
      </c>
      <c r="S46">
        <f>IFERROR(VLOOKUP(N46,Index!$A$1:$B$26,2,FALSE),"")</f>
        <v/>
      </c>
      <c r="T46">
        <f>AA46</f>
        <v/>
      </c>
      <c r="V46">
        <f>IFERROR(INDEX(DetailedFiche!Q:Q,MATCH(L46,DetailedFiche!J:J,0)),"")</f>
        <v/>
      </c>
      <c r="W46">
        <f>IFERROR(INDEX(DetailedFiche!R:R,MATCH(L46,DetailedFiche!J:J,0)),"")</f>
        <v/>
      </c>
      <c r="Y46">
        <f>IFERROR(IF(AND(INDEX('Initial Study'!K:K, MATCH(L46, 'Initial Study'!B:B, 0)+1)&lt;&gt;0,INDEX('Initial Study'!K:K, MATCH(L46, 'Initial Study'!B:B, 0)+1)&lt;&gt;""),INDEX('Initial Study'!K:K, MATCH(L46, 'Initial Study'!B:B, 0)+1),""),"")</f>
        <v/>
      </c>
      <c r="Z46">
        <f>IFERROR(IF(AND(INDEX('Initial Study'!K:K, MATCH(L46, 'Initial Study'!B:B, 0)+2)&lt;&gt;0,INDEX('Initial Study'!K:K, MATCH(L46, 'Initial Study'!B:B, 0)+2)&lt;&gt;"",NOT(ISNUMBER(INDEX('Initial Study'!K:K, MATCH(L46, 'Initial Study'!B:B, 0)+2)))),INDEX('Initial Study'!K:K, MATCH(L46, 'Initial Study'!B:B, 0)+2),"-"),"-")</f>
        <v/>
      </c>
      <c r="AA46">
        <f>IF(S46="RE", Y46 &amp; "BT/" &amp; IF(Z46 &lt;&gt; "-", Z46 &amp; "BT", ""), IF(OR(S46="LTDR", S46="LTSR"), Y46 &amp; "BL" &amp; IF(Z46 &lt;&gt; "-", "/" &amp; Z46 &amp; "BT", ""), IF(OR(S46="RTDR", S46="RTSR"), Y46 &amp; "BR" &amp; IF(Z46 &lt;&gt; "-", "/" &amp; Z46 &amp; "BT", ""), IF(Z46 &lt;&gt; "-", Y46 &amp; "BT/" &amp; Z46 &amp; "BT", Y46 &amp; "BT"))))</f>
        <v/>
      </c>
    </row>
    <row r="47">
      <c r="A47" t="n">
        <v>558</v>
      </c>
      <c r="B47" t="inlineStr">
        <is>
          <t>LOVE MILL</t>
        </is>
      </c>
      <c r="C47" t="n">
        <v>0.19</v>
      </c>
      <c r="D47" t="inlineStr">
        <is>
          <t>NE</t>
        </is>
      </c>
      <c r="E47" t="inlineStr">
        <is>
          <t>SIKES MILL</t>
        </is>
      </c>
      <c r="F47" t="inlineStr">
        <is>
          <t>PIEDMONT SCHOOL</t>
        </is>
      </c>
      <c r="G47" t="inlineStr">
        <is>
          <t>LOVE MILL</t>
        </is>
      </c>
      <c r="H47" t="n">
        <v>999.999</v>
      </c>
      <c r="I47" t="inlineStr">
        <is>
          <t>NIS</t>
        </is>
      </c>
      <c r="L47" t="n">
        <v>107148213</v>
      </c>
      <c r="M47" s="6" t="n">
        <v>44881</v>
      </c>
      <c r="N47" t="n">
        <v>21</v>
      </c>
      <c r="O47" t="n">
        <v>1</v>
      </c>
      <c r="P47" t="n">
        <v>0</v>
      </c>
      <c r="Q47" t="n">
        <v>1</v>
      </c>
      <c r="R47" t="inlineStr">
        <is>
          <t>O</t>
        </is>
      </c>
      <c r="S47">
        <f>IFERROR(VLOOKUP(N47,Index!$A$1:$B$26,2,FALSE),"")</f>
        <v/>
      </c>
      <c r="T47">
        <f>AA47</f>
        <v/>
      </c>
      <c r="V47">
        <f>IFERROR(INDEX(DetailedFiche!Q:Q,MATCH(L47,DetailedFiche!J:J,0)),"")</f>
        <v/>
      </c>
      <c r="W47">
        <f>IFERROR(INDEX(DetailedFiche!R:R,MATCH(L47,DetailedFiche!J:J,0)),"")</f>
        <v/>
      </c>
      <c r="Y47">
        <f>IFERROR(IF(AND(INDEX('Initial Study'!K:K, MATCH(L47, 'Initial Study'!B:B, 0)+1)&lt;&gt;0,INDEX('Initial Study'!K:K, MATCH(L47, 'Initial Study'!B:B, 0)+1)&lt;&gt;""),INDEX('Initial Study'!K:K, MATCH(L47, 'Initial Study'!B:B, 0)+1),""),"")</f>
        <v/>
      </c>
      <c r="Z47">
        <f>IFERROR(IF(AND(INDEX('Initial Study'!K:K, MATCH(L47, 'Initial Study'!B:B, 0)+2)&lt;&gt;0,INDEX('Initial Study'!K:K, MATCH(L47, 'Initial Study'!B:B, 0)+2)&lt;&gt;"",NOT(ISNUMBER(INDEX('Initial Study'!K:K, MATCH(L47, 'Initial Study'!B:B, 0)+2)))),INDEX('Initial Study'!K:K, MATCH(L47, 'Initial Study'!B:B, 0)+2),"-"),"-")</f>
        <v/>
      </c>
      <c r="AA47">
        <f>IF(S47="RE", Y47 &amp; "BT/" &amp; IF(Z47 &lt;&gt; "-", Z47 &amp; "BT", ""), IF(OR(S47="LTDR", S47="LTSR"), Y47 &amp; "BL" &amp; IF(Z47 &lt;&gt; "-", "/" &amp; Z47 &amp; "BT", ""), IF(OR(S47="RTDR", S47="RTSR"), Y47 &amp; "BR" &amp; IF(Z47 &lt;&gt; "-", "/" &amp; Z47 &amp; "BT", ""), IF(Z47 &lt;&gt; "-", Y47 &amp; "BT/" &amp; Z47 &amp; "BT", Y47 &amp; "BT"))))</f>
        <v/>
      </c>
    </row>
    <row r="48">
      <c r="A48" t="n">
        <v>558</v>
      </c>
      <c r="B48" t="inlineStr">
        <is>
          <t>LOVE MILL</t>
        </is>
      </c>
      <c r="C48" t="n">
        <v>0.2</v>
      </c>
      <c r="D48" t="inlineStr">
        <is>
          <t>NE</t>
        </is>
      </c>
      <c r="E48" t="inlineStr">
        <is>
          <t>SIKES MILL</t>
        </is>
      </c>
      <c r="F48" t="inlineStr">
        <is>
          <t>*LCL PURSER RUSHING RD</t>
        </is>
      </c>
      <c r="G48" t="inlineStr">
        <is>
          <t>LOVE MILL</t>
        </is>
      </c>
      <c r="H48" t="n">
        <v>999.999</v>
      </c>
      <c r="I48" t="inlineStr">
        <is>
          <t>NIS</t>
        </is>
      </c>
      <c r="L48" t="n">
        <v>105536078</v>
      </c>
      <c r="M48" s="6" t="n">
        <v>43290</v>
      </c>
      <c r="N48" t="n">
        <v>17</v>
      </c>
      <c r="O48" t="n">
        <v>1</v>
      </c>
      <c r="P48" t="n">
        <v>0</v>
      </c>
      <c r="Q48" t="n">
        <v>2</v>
      </c>
      <c r="R48" t="inlineStr">
        <is>
          <t>O</t>
        </is>
      </c>
      <c r="S48">
        <f>IFERROR(VLOOKUP(N48,Index!$A$1:$B$26,2,FALSE),"")</f>
        <v/>
      </c>
      <c r="T48">
        <f>AA48</f>
        <v/>
      </c>
      <c r="V48">
        <f>IFERROR(INDEX(DetailedFiche!Q:Q,MATCH(L48,DetailedFiche!J:J,0)),"")</f>
        <v/>
      </c>
      <c r="W48">
        <f>IFERROR(INDEX(DetailedFiche!R:R,MATCH(L48,DetailedFiche!J:J,0)),"")</f>
        <v/>
      </c>
      <c r="Y48">
        <f>IFERROR(IF(AND(INDEX('Initial Study'!K:K, MATCH(L48, 'Initial Study'!B:B, 0)+1)&lt;&gt;0,INDEX('Initial Study'!K:K, MATCH(L48, 'Initial Study'!B:B, 0)+1)&lt;&gt;""),INDEX('Initial Study'!K:K, MATCH(L48, 'Initial Study'!B:B, 0)+1),""),"")</f>
        <v/>
      </c>
      <c r="Z48">
        <f>IFERROR(IF(AND(INDEX('Initial Study'!K:K, MATCH(L48, 'Initial Study'!B:B, 0)+2)&lt;&gt;0,INDEX('Initial Study'!K:K, MATCH(L48, 'Initial Study'!B:B, 0)+2)&lt;&gt;"",NOT(ISNUMBER(INDEX('Initial Study'!K:K, MATCH(L48, 'Initial Study'!B:B, 0)+2)))),INDEX('Initial Study'!K:K, MATCH(L48, 'Initial Study'!B:B, 0)+2),"-"),"-")</f>
        <v/>
      </c>
      <c r="AA48">
        <f>IF(S48="RE", Y48 &amp; "BT/" &amp; IF(Z48 &lt;&gt; "-", Z48 &amp; "BT", ""), IF(OR(S48="LTDR", S48="LTSR"), Y48 &amp; "BL" &amp; IF(Z48 &lt;&gt; "-", "/" &amp; Z48 &amp; "BT", ""), IF(OR(S48="RTDR", S48="RTSR"), Y48 &amp; "BR" &amp; IF(Z48 &lt;&gt; "-", "/" &amp; Z48 &amp; "BT", ""), IF(Z48 &lt;&gt; "-", Y48 &amp; "BT/" &amp; Z48 &amp; "BT", Y48 &amp; "BT"))))</f>
        <v/>
      </c>
    </row>
    <row r="49">
      <c r="A49" t="n">
        <v>558</v>
      </c>
      <c r="B49" t="inlineStr">
        <is>
          <t>NC 200</t>
        </is>
      </c>
      <c r="C49" t="n">
        <v>0</v>
      </c>
      <c r="E49" t="inlineStr">
        <is>
          <t>SR 1606</t>
        </is>
      </c>
      <c r="F49" t="inlineStr">
        <is>
          <t>SR 1633</t>
        </is>
      </c>
      <c r="G49" t="inlineStr">
        <is>
          <t>NC 200</t>
        </is>
      </c>
      <c r="H49" t="n">
        <v>25.69</v>
      </c>
      <c r="I49" t="inlineStr">
        <is>
          <t>NIS</t>
        </is>
      </c>
      <c r="L49" t="n">
        <v>107224951</v>
      </c>
      <c r="M49" s="6" t="n">
        <v>44948</v>
      </c>
      <c r="N49" t="n">
        <v>23</v>
      </c>
      <c r="O49" t="n">
        <v>2</v>
      </c>
      <c r="P49" t="n">
        <v>7</v>
      </c>
      <c r="Q49" t="n">
        <v>5</v>
      </c>
      <c r="R49" t="inlineStr">
        <is>
          <t>O</t>
        </is>
      </c>
      <c r="S49">
        <f>IFERROR(VLOOKUP(N49,Index!$A$1:$B$26,2,FALSE),"")</f>
        <v/>
      </c>
      <c r="T49">
        <f>AA49</f>
        <v/>
      </c>
      <c r="V49">
        <f>IFERROR(INDEX(DetailedFiche!Q:Q,MATCH(L49,DetailedFiche!J:J,0)),"")</f>
        <v/>
      </c>
      <c r="W49">
        <f>IFERROR(INDEX(DetailedFiche!R:R,MATCH(L49,DetailedFiche!J:J,0)),"")</f>
        <v/>
      </c>
      <c r="Y49">
        <f>IFERROR(IF(AND(INDEX('Initial Study'!K:K, MATCH(L49, 'Initial Study'!B:B, 0)+1)&lt;&gt;0,INDEX('Initial Study'!K:K, MATCH(L49, 'Initial Study'!B:B, 0)+1)&lt;&gt;""),INDEX('Initial Study'!K:K, MATCH(L49, 'Initial Study'!B:B, 0)+1),""),"")</f>
        <v/>
      </c>
      <c r="Z49">
        <f>IFERROR(IF(AND(INDEX('Initial Study'!K:K, MATCH(L49, 'Initial Study'!B:B, 0)+2)&lt;&gt;0,INDEX('Initial Study'!K:K, MATCH(L49, 'Initial Study'!B:B, 0)+2)&lt;&gt;"",NOT(ISNUMBER(INDEX('Initial Study'!K:K, MATCH(L49, 'Initial Study'!B:B, 0)+2)))),INDEX('Initial Study'!K:K, MATCH(L49, 'Initial Study'!B:B, 0)+2),"-"),"-")</f>
        <v/>
      </c>
      <c r="AA49">
        <f>IF(S49="RE", Y49 &amp; "BT/" &amp; IF(Z49 &lt;&gt; "-", Z49 &amp; "BT", ""), IF(OR(S49="LTDR", S49="LTSR"), Y49 &amp; "BL" &amp; IF(Z49 &lt;&gt; "-", "/" &amp; Z49 &amp; "BT", ""), IF(OR(S49="RTDR", S49="RTSR"), Y49 &amp; "BR" &amp; IF(Z49 &lt;&gt; "-", "/" &amp; Z49 &amp; "BT", ""), IF(Z49 &lt;&gt; "-", Y49 &amp; "BT/" &amp; Z49 &amp; "BT", Y49 &amp; "BT"))))</f>
        <v/>
      </c>
    </row>
    <row r="50">
      <c r="A50" t="n">
        <v>558</v>
      </c>
      <c r="B50" t="inlineStr">
        <is>
          <t>NC 200</t>
        </is>
      </c>
      <c r="C50" t="n">
        <v>0</v>
      </c>
      <c r="E50" t="inlineStr">
        <is>
          <t>SR 1606</t>
        </is>
      </c>
      <c r="F50" t="inlineStr">
        <is>
          <t>SR 1633</t>
        </is>
      </c>
      <c r="G50" t="inlineStr">
        <is>
          <t>NC 200</t>
        </is>
      </c>
      <c r="H50" t="n">
        <v>25.69</v>
      </c>
      <c r="I50" t="inlineStr">
        <is>
          <t>NIS</t>
        </is>
      </c>
      <c r="L50" t="n">
        <v>106326117</v>
      </c>
      <c r="M50" s="6" t="n">
        <v>44076</v>
      </c>
      <c r="N50" t="n">
        <v>30</v>
      </c>
      <c r="O50" t="n">
        <v>1</v>
      </c>
      <c r="P50" t="n">
        <v>7</v>
      </c>
      <c r="Q50" t="n">
        <v>1</v>
      </c>
      <c r="R50" t="inlineStr">
        <is>
          <t>B</t>
        </is>
      </c>
      <c r="S50">
        <f>IFERROR(VLOOKUP(N50,Index!$A$1:$B$26,2,FALSE),"")</f>
        <v/>
      </c>
      <c r="T50">
        <f>AA50</f>
        <v/>
      </c>
      <c r="V50">
        <f>IFERROR(INDEX(DetailedFiche!Q:Q,MATCH(L50,DetailedFiche!J:J,0)),"")</f>
        <v/>
      </c>
      <c r="W50">
        <f>IFERROR(INDEX(DetailedFiche!R:R,MATCH(L50,DetailedFiche!J:J,0)),"")</f>
        <v/>
      </c>
      <c r="Y50">
        <f>IFERROR(IF(AND(INDEX('Initial Study'!K:K, MATCH(L50, 'Initial Study'!B:B, 0)+1)&lt;&gt;0,INDEX('Initial Study'!K:K, MATCH(L50, 'Initial Study'!B:B, 0)+1)&lt;&gt;""),INDEX('Initial Study'!K:K, MATCH(L50, 'Initial Study'!B:B, 0)+1),""),"")</f>
        <v/>
      </c>
      <c r="Z50">
        <f>IFERROR(IF(AND(INDEX('Initial Study'!K:K, MATCH(L50, 'Initial Study'!B:B, 0)+2)&lt;&gt;0,INDEX('Initial Study'!K:K, MATCH(L50, 'Initial Study'!B:B, 0)+2)&lt;&gt;"",NOT(ISNUMBER(INDEX('Initial Study'!K:K, MATCH(L50, 'Initial Study'!B:B, 0)+2)))),INDEX('Initial Study'!K:K, MATCH(L50, 'Initial Study'!B:B, 0)+2),"-"),"-")</f>
        <v/>
      </c>
      <c r="AA50">
        <f>IF(S50="RE", Y50 &amp; "BT/" &amp; IF(Z50 &lt;&gt; "-", Z50 &amp; "BT", ""), IF(OR(S50="LTDR", S50="LTSR"), Y50 &amp; "BL" &amp; IF(Z50 &lt;&gt; "-", "/" &amp; Z50 &amp; "BT", ""), IF(OR(S50="RTDR", S50="RTSR"), Y50 &amp; "BR" &amp; IF(Z50 &lt;&gt; "-", "/" &amp; Z50 &amp; "BT", ""), IF(Z50 &lt;&gt; "-", Y50 &amp; "BT/" &amp; Z50 &amp; "BT", Y50 &amp; "BT"))))</f>
        <v/>
      </c>
    </row>
    <row r="51">
      <c r="A51" t="n">
        <v>0</v>
      </c>
      <c r="B51" t="inlineStr">
        <is>
          <t>NC 200</t>
        </is>
      </c>
      <c r="C51" t="n">
        <v>0</v>
      </c>
      <c r="E51" t="inlineStr">
        <is>
          <t>SR 1606</t>
        </is>
      </c>
      <c r="F51" t="inlineStr">
        <is>
          <t>SR 1627</t>
        </is>
      </c>
      <c r="G51" t="inlineStr">
        <is>
          <t>NC 200</t>
        </is>
      </c>
      <c r="H51" t="n">
        <v>25.69</v>
      </c>
      <c r="I51" t="inlineStr">
        <is>
          <t>NIS</t>
        </is>
      </c>
      <c r="L51" t="n">
        <v>106253848</v>
      </c>
      <c r="M51" s="6" t="n">
        <v>43994</v>
      </c>
      <c r="N51" t="n">
        <v>23</v>
      </c>
      <c r="O51" t="n">
        <v>1</v>
      </c>
      <c r="P51" t="n">
        <v>7</v>
      </c>
      <c r="Q51" t="n">
        <v>1</v>
      </c>
      <c r="R51" t="inlineStr">
        <is>
          <t>O</t>
        </is>
      </c>
      <c r="S51">
        <f>IFERROR(VLOOKUP(N51,Index!$A$1:$B$26,2,FALSE),"")</f>
        <v/>
      </c>
      <c r="T51">
        <f>AA51</f>
        <v/>
      </c>
      <c r="V51">
        <f>IFERROR(INDEX(DetailedFiche!Q:Q,MATCH(L51,DetailedFiche!J:J,0)),"")</f>
        <v/>
      </c>
      <c r="W51">
        <f>IFERROR(INDEX(DetailedFiche!R:R,MATCH(L51,DetailedFiche!J:J,0)),"")</f>
        <v/>
      </c>
      <c r="Y51">
        <f>IFERROR(IF(AND(INDEX('Initial Study'!K:K, MATCH(L51, 'Initial Study'!B:B, 0)+1)&lt;&gt;0,INDEX('Initial Study'!K:K, MATCH(L51, 'Initial Study'!B:B, 0)+1)&lt;&gt;""),INDEX('Initial Study'!K:K, MATCH(L51, 'Initial Study'!B:B, 0)+1),""),"")</f>
        <v/>
      </c>
      <c r="Z51">
        <f>IFERROR(IF(AND(INDEX('Initial Study'!K:K, MATCH(L51, 'Initial Study'!B:B, 0)+2)&lt;&gt;0,INDEX('Initial Study'!K:K, MATCH(L51, 'Initial Study'!B:B, 0)+2)&lt;&gt;"",NOT(ISNUMBER(INDEX('Initial Study'!K:K, MATCH(L51, 'Initial Study'!B:B, 0)+2)))),INDEX('Initial Study'!K:K, MATCH(L51, 'Initial Study'!B:B, 0)+2),"-"),"-")</f>
        <v/>
      </c>
      <c r="AA51">
        <f>IF(S51="RE", Y51 &amp; "BT/" &amp; IF(Z51 &lt;&gt; "-", Z51 &amp; "BT", ""), IF(OR(S51="LTDR", S51="LTSR"), Y51 &amp; "BL" &amp; IF(Z51 &lt;&gt; "-", "/" &amp; Z51 &amp; "BT", ""), IF(OR(S51="RTDR", S51="RTSR"), Y51 &amp; "BR" &amp; IF(Z51 &lt;&gt; "-", "/" &amp; Z51 &amp; "BT", ""), IF(Z51 &lt;&gt; "-", Y51 &amp; "BT/" &amp; Z51 &amp; "BT", Y51 &amp; "BT"))))</f>
        <v/>
      </c>
    </row>
    <row r="52">
      <c r="A52" t="n">
        <v>558</v>
      </c>
      <c r="B52" t="inlineStr">
        <is>
          <t>NC 200</t>
        </is>
      </c>
      <c r="C52" t="n">
        <v>0</v>
      </c>
      <c r="E52" t="inlineStr">
        <is>
          <t>SR 1606</t>
        </is>
      </c>
      <c r="F52" t="inlineStr">
        <is>
          <t>SR 1633</t>
        </is>
      </c>
      <c r="G52" t="inlineStr">
        <is>
          <t>NC 200</t>
        </is>
      </c>
      <c r="H52" t="n">
        <v>25.69</v>
      </c>
      <c r="I52" t="inlineStr">
        <is>
          <t>NIS</t>
        </is>
      </c>
      <c r="L52" t="n">
        <v>105848333</v>
      </c>
      <c r="M52" s="6" t="n">
        <v>43581</v>
      </c>
      <c r="N52" t="n">
        <v>30</v>
      </c>
      <c r="O52" t="n">
        <v>1</v>
      </c>
      <c r="P52" t="n">
        <v>7</v>
      </c>
      <c r="Q52" t="n">
        <v>1</v>
      </c>
      <c r="R52" t="inlineStr">
        <is>
          <t>O</t>
        </is>
      </c>
      <c r="S52">
        <f>IFERROR(VLOOKUP(N52,Index!$A$1:$B$26,2,FALSE),"")</f>
        <v/>
      </c>
      <c r="T52">
        <f>AA52</f>
        <v/>
      </c>
      <c r="V52">
        <f>IFERROR(INDEX(DetailedFiche!Q:Q,MATCH(L52,DetailedFiche!J:J,0)),"")</f>
        <v/>
      </c>
      <c r="W52">
        <f>IFERROR(INDEX(DetailedFiche!R:R,MATCH(L52,DetailedFiche!J:J,0)),"")</f>
        <v/>
      </c>
      <c r="Y52">
        <f>IFERROR(IF(AND(INDEX('Initial Study'!K:K, MATCH(L52, 'Initial Study'!B:B, 0)+1)&lt;&gt;0,INDEX('Initial Study'!K:K, MATCH(L52, 'Initial Study'!B:B, 0)+1)&lt;&gt;""),INDEX('Initial Study'!K:K, MATCH(L52, 'Initial Study'!B:B, 0)+1),""),"")</f>
        <v/>
      </c>
      <c r="Z52">
        <f>IFERROR(IF(AND(INDEX('Initial Study'!K:K, MATCH(L52, 'Initial Study'!B:B, 0)+2)&lt;&gt;0,INDEX('Initial Study'!K:K, MATCH(L52, 'Initial Study'!B:B, 0)+2)&lt;&gt;"",NOT(ISNUMBER(INDEX('Initial Study'!K:K, MATCH(L52, 'Initial Study'!B:B, 0)+2)))),INDEX('Initial Study'!K:K, MATCH(L52, 'Initial Study'!B:B, 0)+2),"-"),"-")</f>
        <v/>
      </c>
      <c r="AA52">
        <f>IF(S52="RE", Y52 &amp; "BT/" &amp; IF(Z52 &lt;&gt; "-", Z52 &amp; "BT", ""), IF(OR(S52="LTDR", S52="LTSR"), Y52 &amp; "BL" &amp; IF(Z52 &lt;&gt; "-", "/" &amp; Z52 &amp; "BT", ""), IF(OR(S52="RTDR", S52="RTSR"), Y52 &amp; "BR" &amp; IF(Z52 &lt;&gt; "-", "/" &amp; Z52 &amp; "BT", ""), IF(Z52 &lt;&gt; "-", Y52 &amp; "BT/" &amp; Z52 &amp; "BT", Y52 &amp; "BT"))))</f>
        <v/>
      </c>
    </row>
    <row r="53">
      <c r="A53" t="n">
        <v>558</v>
      </c>
      <c r="B53" t="inlineStr">
        <is>
          <t>NC 200</t>
        </is>
      </c>
      <c r="C53" t="n">
        <v>0</v>
      </c>
      <c r="E53" t="inlineStr">
        <is>
          <t>SR 1606</t>
        </is>
      </c>
      <c r="F53" t="inlineStr">
        <is>
          <t>SR 1633</t>
        </is>
      </c>
      <c r="G53" t="inlineStr">
        <is>
          <t>NC 200</t>
        </is>
      </c>
      <c r="H53" t="n">
        <v>25.69</v>
      </c>
      <c r="I53" t="inlineStr">
        <is>
          <t>NIS</t>
        </is>
      </c>
      <c r="L53" t="n">
        <v>105422803</v>
      </c>
      <c r="M53" s="6" t="n">
        <v>43178</v>
      </c>
      <c r="N53" t="n">
        <v>19</v>
      </c>
      <c r="O53" t="n">
        <v>1</v>
      </c>
      <c r="P53" t="n">
        <v>7</v>
      </c>
      <c r="Q53" t="n">
        <v>1</v>
      </c>
      <c r="R53" t="inlineStr">
        <is>
          <t>O</t>
        </is>
      </c>
      <c r="S53">
        <f>IFERROR(VLOOKUP(N53,Index!$A$1:$B$26,2,FALSE),"")</f>
        <v/>
      </c>
      <c r="T53">
        <f>AA53</f>
        <v/>
      </c>
      <c r="V53">
        <f>IFERROR(INDEX(DetailedFiche!Q:Q,MATCH(L53,DetailedFiche!J:J,0)),"")</f>
        <v/>
      </c>
      <c r="W53">
        <f>IFERROR(INDEX(DetailedFiche!R:R,MATCH(L53,DetailedFiche!J:J,0)),"")</f>
        <v/>
      </c>
      <c r="Y53">
        <f>IFERROR(IF(AND(INDEX('Initial Study'!K:K, MATCH(L53, 'Initial Study'!B:B, 0)+1)&lt;&gt;0,INDEX('Initial Study'!K:K, MATCH(L53, 'Initial Study'!B:B, 0)+1)&lt;&gt;""),INDEX('Initial Study'!K:K, MATCH(L53, 'Initial Study'!B:B, 0)+1),""),"")</f>
        <v/>
      </c>
      <c r="Z53">
        <f>IFERROR(IF(AND(INDEX('Initial Study'!K:K, MATCH(L53, 'Initial Study'!B:B, 0)+2)&lt;&gt;0,INDEX('Initial Study'!K:K, MATCH(L53, 'Initial Study'!B:B, 0)+2)&lt;&gt;"",NOT(ISNUMBER(INDEX('Initial Study'!K:K, MATCH(L53, 'Initial Study'!B:B, 0)+2)))),INDEX('Initial Study'!K:K, MATCH(L53, 'Initial Study'!B:B, 0)+2),"-"),"-")</f>
        <v/>
      </c>
      <c r="AA53">
        <f>IF(S53="RE", Y53 &amp; "BT/" &amp; IF(Z53 &lt;&gt; "-", Z53 &amp; "BT", ""), IF(OR(S53="LTDR", S53="LTSR"), Y53 &amp; "BL" &amp; IF(Z53 &lt;&gt; "-", "/" &amp; Z53 &amp; "BT", ""), IF(OR(S53="RTDR", S53="RTSR"), Y53 &amp; "BR" &amp; IF(Z53 &lt;&gt; "-", "/" &amp; Z53 &amp; "BT", ""), IF(Z53 &lt;&gt; "-", Y53 &amp; "BT/" &amp; Z53 &amp; "BT", Y53 &amp; "BT"))))</f>
        <v/>
      </c>
    </row>
    <row r="54">
      <c r="A54" t="n">
        <v>558</v>
      </c>
      <c r="B54" t="inlineStr">
        <is>
          <t>NC 200</t>
        </is>
      </c>
      <c r="C54" t="n">
        <v>0.01</v>
      </c>
      <c r="D54" t="inlineStr">
        <is>
          <t>N</t>
        </is>
      </c>
      <c r="E54" t="inlineStr">
        <is>
          <t>SR 1606</t>
        </is>
      </c>
      <c r="F54" t="inlineStr">
        <is>
          <t>SR 1637</t>
        </is>
      </c>
      <c r="G54" t="inlineStr">
        <is>
          <t>NC 200</t>
        </is>
      </c>
      <c r="H54" t="n">
        <v>25.7</v>
      </c>
      <c r="I54" t="inlineStr">
        <is>
          <t>NIS</t>
        </is>
      </c>
      <c r="L54" t="n">
        <v>107859973</v>
      </c>
      <c r="M54" s="6" t="n">
        <v>45554</v>
      </c>
      <c r="N54" t="n">
        <v>19</v>
      </c>
      <c r="O54" t="n">
        <v>1</v>
      </c>
      <c r="P54" t="n">
        <v>0</v>
      </c>
      <c r="Q54" t="n">
        <v>1</v>
      </c>
      <c r="R54" t="inlineStr">
        <is>
          <t>B</t>
        </is>
      </c>
      <c r="S54">
        <f>IFERROR(VLOOKUP(N54,Index!$A$1:$B$26,2,FALSE),"")</f>
        <v/>
      </c>
      <c r="T54">
        <f>AA54</f>
        <v/>
      </c>
      <c r="V54">
        <f>IFERROR(INDEX(DetailedFiche!Q:Q,MATCH(L54,DetailedFiche!J:J,0)),"")</f>
        <v/>
      </c>
      <c r="W54">
        <f>IFERROR(INDEX(DetailedFiche!R:R,MATCH(L54,DetailedFiche!J:J,0)),"")</f>
        <v/>
      </c>
      <c r="Y54">
        <f>IFERROR(IF(AND(INDEX('Initial Study'!K:K, MATCH(L54, 'Initial Study'!B:B, 0)+1)&lt;&gt;0,INDEX('Initial Study'!K:K, MATCH(L54, 'Initial Study'!B:B, 0)+1)&lt;&gt;""),INDEX('Initial Study'!K:K, MATCH(L54, 'Initial Study'!B:B, 0)+1),""),"")</f>
        <v/>
      </c>
      <c r="Z54">
        <f>IFERROR(IF(AND(INDEX('Initial Study'!K:K, MATCH(L54, 'Initial Study'!B:B, 0)+2)&lt;&gt;0,INDEX('Initial Study'!K:K, MATCH(L54, 'Initial Study'!B:B, 0)+2)&lt;&gt;"",NOT(ISNUMBER(INDEX('Initial Study'!K:K, MATCH(L54, 'Initial Study'!B:B, 0)+2)))),INDEX('Initial Study'!K:K, MATCH(L54, 'Initial Study'!B:B, 0)+2),"-"),"-")</f>
        <v/>
      </c>
      <c r="AA54">
        <f>IF(S54="RE", Y54 &amp; "BT/" &amp; IF(Z54 &lt;&gt; "-", Z54 &amp; "BT", ""), IF(OR(S54="LTDR", S54="LTSR"), Y54 &amp; "BL" &amp; IF(Z54 &lt;&gt; "-", "/" &amp; Z54 &amp; "BT", ""), IF(OR(S54="RTDR", S54="RTSR"), Y54 &amp; "BR" &amp; IF(Z54 &lt;&gt; "-", "/" &amp; Z54 &amp; "BT", ""), IF(Z54 &lt;&gt; "-", Y54 &amp; "BT/" &amp; Z54 &amp; "BT", Y54 &amp; "BT"))))</f>
        <v/>
      </c>
    </row>
    <row r="55">
      <c r="A55" t="n">
        <v>637</v>
      </c>
      <c r="B55" t="inlineStr">
        <is>
          <t>NC 218</t>
        </is>
      </c>
      <c r="C55" t="n">
        <v>0.019</v>
      </c>
      <c r="D55" t="inlineStr">
        <is>
          <t>W</t>
        </is>
      </c>
      <c r="E55" t="inlineStr">
        <is>
          <t>SIKES MILL</t>
        </is>
      </c>
      <c r="F55" t="inlineStr">
        <is>
          <t>MILL CREEK CHUR</t>
        </is>
      </c>
      <c r="G55" t="inlineStr">
        <is>
          <t>NC 218</t>
        </is>
      </c>
      <c r="H55" t="n">
        <v>8.063000000000001</v>
      </c>
      <c r="I55" t="inlineStr">
        <is>
          <t>NIS</t>
        </is>
      </c>
      <c r="L55" t="n">
        <v>108436294</v>
      </c>
      <c r="M55" s="6" t="n">
        <v>46096</v>
      </c>
      <c r="N55" t="n">
        <v>21</v>
      </c>
      <c r="O55" t="n">
        <v>1</v>
      </c>
      <c r="P55" t="n">
        <v>0</v>
      </c>
      <c r="Q55" t="n">
        <v>1</v>
      </c>
      <c r="R55" t="inlineStr">
        <is>
          <t>O</t>
        </is>
      </c>
      <c r="S55">
        <f>IFERROR(VLOOKUP(N55,Index!$A$1:$B$26,2,FALSE),"")</f>
        <v/>
      </c>
      <c r="T55">
        <f>AA55</f>
        <v/>
      </c>
      <c r="V55">
        <f>IFERROR(INDEX(DetailedFiche!Q:Q,MATCH(L55,DetailedFiche!J:J,0)),"")</f>
        <v/>
      </c>
      <c r="W55">
        <f>IFERROR(INDEX(DetailedFiche!R:R,MATCH(L55,DetailedFiche!J:J,0)),"")</f>
        <v/>
      </c>
      <c r="Y55">
        <f>IFERROR(IF(AND(INDEX('Initial Study'!K:K, MATCH(L55, 'Initial Study'!B:B, 0)+1)&lt;&gt;0,INDEX('Initial Study'!K:K, MATCH(L55, 'Initial Study'!B:B, 0)+1)&lt;&gt;""),INDEX('Initial Study'!K:K, MATCH(L55, 'Initial Study'!B:B, 0)+1),""),"")</f>
        <v/>
      </c>
      <c r="Z55">
        <f>IFERROR(IF(AND(INDEX('Initial Study'!K:K, MATCH(L55, 'Initial Study'!B:B, 0)+2)&lt;&gt;0,INDEX('Initial Study'!K:K, MATCH(L55, 'Initial Study'!B:B, 0)+2)&lt;&gt;"",NOT(ISNUMBER(INDEX('Initial Study'!K:K, MATCH(L55, 'Initial Study'!B:B, 0)+2)))),INDEX('Initial Study'!K:K, MATCH(L55, 'Initial Study'!B:B, 0)+2),"-"),"-")</f>
        <v/>
      </c>
      <c r="AA55">
        <f>IF(S55="RE", Y55 &amp; "BT/" &amp; IF(Z55 &lt;&gt; "-", Z55 &amp; "BT", ""), IF(OR(S55="LTDR", S55="LTSR"), Y55 &amp; "BL" &amp; IF(Z55 &lt;&gt; "-", "/" &amp; Z55 &amp; "BT", ""), IF(OR(S55="RTDR", S55="RTSR"), Y55 &amp; "BR" &amp; IF(Z55 &lt;&gt; "-", "/" &amp; Z55 &amp; "BT", ""), IF(Z55 &lt;&gt; "-", Y55 &amp; "BT/" &amp; Z55 &amp; "BT", Y55 &amp; "BT"))))</f>
        <v/>
      </c>
    </row>
    <row r="56">
      <c r="A56" t="n">
        <v>637</v>
      </c>
      <c r="B56" t="inlineStr">
        <is>
          <t>NC 218</t>
        </is>
      </c>
      <c r="C56" t="n">
        <v>0.008999999999999999</v>
      </c>
      <c r="D56" t="inlineStr">
        <is>
          <t>W</t>
        </is>
      </c>
      <c r="E56" t="inlineStr">
        <is>
          <t>SIKES MILL</t>
        </is>
      </c>
      <c r="F56" t="inlineStr">
        <is>
          <t>*LCL CROOKED CREEK CH RD</t>
        </is>
      </c>
      <c r="G56" t="inlineStr">
        <is>
          <t>NC 218</t>
        </is>
      </c>
      <c r="H56" t="n">
        <v>8.073</v>
      </c>
      <c r="I56" t="inlineStr">
        <is>
          <t>NIS</t>
        </is>
      </c>
      <c r="L56" t="n">
        <v>107209411</v>
      </c>
      <c r="M56" s="6" t="n">
        <v>44937</v>
      </c>
      <c r="N56" t="n">
        <v>21</v>
      </c>
      <c r="O56" t="n">
        <v>1</v>
      </c>
      <c r="P56" t="n">
        <v>12</v>
      </c>
      <c r="Q56" t="n">
        <v>1</v>
      </c>
      <c r="R56" t="inlineStr">
        <is>
          <t>C</t>
        </is>
      </c>
      <c r="S56">
        <f>IFERROR(VLOOKUP(N56,Index!$A$1:$B$26,2,FALSE),"")</f>
        <v/>
      </c>
      <c r="T56">
        <f>AA56</f>
        <v/>
      </c>
      <c r="V56">
        <f>IFERROR(INDEX(DetailedFiche!Q:Q,MATCH(L56,DetailedFiche!J:J,0)),"")</f>
        <v/>
      </c>
      <c r="W56">
        <f>IFERROR(INDEX(DetailedFiche!R:R,MATCH(L56,DetailedFiche!J:J,0)),"")</f>
        <v/>
      </c>
      <c r="Y56">
        <f>IFERROR(IF(AND(INDEX('Initial Study'!K:K, MATCH(L56, 'Initial Study'!B:B, 0)+1)&lt;&gt;0,INDEX('Initial Study'!K:K, MATCH(L56, 'Initial Study'!B:B, 0)+1)&lt;&gt;""),INDEX('Initial Study'!K:K, MATCH(L56, 'Initial Study'!B:B, 0)+1),""),"")</f>
        <v/>
      </c>
      <c r="Z56">
        <f>IFERROR(IF(AND(INDEX('Initial Study'!K:K, MATCH(L56, 'Initial Study'!B:B, 0)+2)&lt;&gt;0,INDEX('Initial Study'!K:K, MATCH(L56, 'Initial Study'!B:B, 0)+2)&lt;&gt;"",NOT(ISNUMBER(INDEX('Initial Study'!K:K, MATCH(L56, 'Initial Study'!B:B, 0)+2)))),INDEX('Initial Study'!K:K, MATCH(L56, 'Initial Study'!B:B, 0)+2),"-"),"-")</f>
        <v/>
      </c>
      <c r="AA56">
        <f>IF(S56="RE", Y56 &amp; "BT/" &amp; IF(Z56 &lt;&gt; "-", Z56 &amp; "BT", ""), IF(OR(S56="LTDR", S56="LTSR"), Y56 &amp; "BL" &amp; IF(Z56 &lt;&gt; "-", "/" &amp; Z56 &amp; "BT", ""), IF(OR(S56="RTDR", S56="RTSR"), Y56 &amp; "BR" &amp; IF(Z56 &lt;&gt; "-", "/" &amp; Z56 &amp; "BT", ""), IF(Z56 &lt;&gt; "-", Y56 &amp; "BT/" &amp; Z56 &amp; "BT", Y56 &amp; "BT"))))</f>
        <v/>
      </c>
    </row>
    <row r="57">
      <c r="A57" t="n">
        <v>637</v>
      </c>
      <c r="B57" t="inlineStr">
        <is>
          <t>NC 218</t>
        </is>
      </c>
      <c r="C57" t="n">
        <v>0.003</v>
      </c>
      <c r="D57" t="inlineStr">
        <is>
          <t>W</t>
        </is>
      </c>
      <c r="E57" t="inlineStr">
        <is>
          <t>SIKES MILL</t>
        </is>
      </c>
      <c r="F57" t="inlineStr">
        <is>
          <t>CROOKED CRK CH</t>
        </is>
      </c>
      <c r="G57" t="inlineStr">
        <is>
          <t>NC 218</t>
        </is>
      </c>
      <c r="H57" t="n">
        <v>8.079000000000001</v>
      </c>
      <c r="I57" t="inlineStr">
        <is>
          <t>NIS</t>
        </is>
      </c>
      <c r="L57" t="n">
        <v>107321738</v>
      </c>
      <c r="M57" s="6" t="n">
        <v>45047</v>
      </c>
      <c r="N57" t="n">
        <v>21</v>
      </c>
      <c r="O57" t="n">
        <v>1</v>
      </c>
      <c r="P57" t="n">
        <v>7</v>
      </c>
      <c r="Q57" t="n">
        <v>1</v>
      </c>
      <c r="R57" t="inlineStr">
        <is>
          <t>C</t>
        </is>
      </c>
      <c r="S57">
        <f>IFERROR(VLOOKUP(N57,Index!$A$1:$B$26,2,FALSE),"")</f>
        <v/>
      </c>
      <c r="T57">
        <f>AA57</f>
        <v/>
      </c>
      <c r="V57">
        <f>IFERROR(INDEX(DetailedFiche!Q:Q,MATCH(L57,DetailedFiche!J:J,0)),"")</f>
        <v/>
      </c>
      <c r="W57">
        <f>IFERROR(INDEX(DetailedFiche!R:R,MATCH(L57,DetailedFiche!J:J,0)),"")</f>
        <v/>
      </c>
      <c r="Y57">
        <f>IFERROR(IF(AND(INDEX('Initial Study'!K:K, MATCH(L57, 'Initial Study'!B:B, 0)+1)&lt;&gt;0,INDEX('Initial Study'!K:K, MATCH(L57, 'Initial Study'!B:B, 0)+1)&lt;&gt;""),INDEX('Initial Study'!K:K, MATCH(L57, 'Initial Study'!B:B, 0)+1),""),"")</f>
        <v/>
      </c>
      <c r="Z57">
        <f>IFERROR(IF(AND(INDEX('Initial Study'!K:K, MATCH(L57, 'Initial Study'!B:B, 0)+2)&lt;&gt;0,INDEX('Initial Study'!K:K, MATCH(L57, 'Initial Study'!B:B, 0)+2)&lt;&gt;"",NOT(ISNUMBER(INDEX('Initial Study'!K:K, MATCH(L57, 'Initial Study'!B:B, 0)+2)))),INDEX('Initial Study'!K:K, MATCH(L57, 'Initial Study'!B:B, 0)+2),"-"),"-")</f>
        <v/>
      </c>
      <c r="AA57">
        <f>IF(S57="RE", Y57 &amp; "BT/" &amp; IF(Z57 &lt;&gt; "-", Z57 &amp; "BT", ""), IF(OR(S57="LTDR", S57="LTSR"), Y57 &amp; "BL" &amp; IF(Z57 &lt;&gt; "-", "/" &amp; Z57 &amp; "BT", ""), IF(OR(S57="RTDR", S57="RTSR"), Y57 &amp; "BR" &amp; IF(Z57 &lt;&gt; "-", "/" &amp; Z57 &amp; "BT", ""), IF(Z57 &lt;&gt; "-", Y57 &amp; "BT/" &amp; Z57 &amp; "BT", Y57 &amp; "BT"))))</f>
        <v/>
      </c>
    </row>
    <row r="58">
      <c r="A58" t="n">
        <v>637</v>
      </c>
      <c r="B58" t="inlineStr">
        <is>
          <t>NC 218</t>
        </is>
      </c>
      <c r="C58" t="n">
        <v>0.001</v>
      </c>
      <c r="D58" t="inlineStr">
        <is>
          <t>W</t>
        </is>
      </c>
      <c r="E58" t="inlineStr">
        <is>
          <t>SR 1606</t>
        </is>
      </c>
      <c r="F58" t="inlineStr">
        <is>
          <t>SR 1609</t>
        </is>
      </c>
      <c r="G58" t="inlineStr">
        <is>
          <t>NC 218</t>
        </is>
      </c>
      <c r="H58" t="n">
        <v>8.081</v>
      </c>
      <c r="I58" t="inlineStr">
        <is>
          <t>NIS</t>
        </is>
      </c>
      <c r="L58" t="n">
        <v>104866396</v>
      </c>
      <c r="M58" s="6" t="n">
        <v>42643</v>
      </c>
      <c r="N58" t="n">
        <v>32</v>
      </c>
      <c r="O58" t="n">
        <v>1</v>
      </c>
      <c r="P58" t="n">
        <v>7</v>
      </c>
      <c r="Q58" t="n">
        <v>5</v>
      </c>
      <c r="R58" t="inlineStr">
        <is>
          <t>O</t>
        </is>
      </c>
      <c r="S58">
        <f>IFERROR(VLOOKUP(N58,Index!$A$1:$B$26,2,FALSE),"")</f>
        <v/>
      </c>
      <c r="T58">
        <f>AA58</f>
        <v/>
      </c>
      <c r="V58">
        <f>IFERROR(INDEX(DetailedFiche!Q:Q,MATCH(L58,DetailedFiche!J:J,0)),"")</f>
        <v/>
      </c>
      <c r="W58">
        <f>IFERROR(INDEX(DetailedFiche!R:R,MATCH(L58,DetailedFiche!J:J,0)),"")</f>
        <v/>
      </c>
      <c r="Y58">
        <f>IFERROR(IF(AND(INDEX('Initial Study'!K:K, MATCH(L58, 'Initial Study'!B:B, 0)+1)&lt;&gt;0,INDEX('Initial Study'!K:K, MATCH(L58, 'Initial Study'!B:B, 0)+1)&lt;&gt;""),INDEX('Initial Study'!K:K, MATCH(L58, 'Initial Study'!B:B, 0)+1),""),"")</f>
        <v/>
      </c>
      <c r="Z58">
        <f>IFERROR(IF(AND(INDEX('Initial Study'!K:K, MATCH(L58, 'Initial Study'!B:B, 0)+2)&lt;&gt;0,INDEX('Initial Study'!K:K, MATCH(L58, 'Initial Study'!B:B, 0)+2)&lt;&gt;"",NOT(ISNUMBER(INDEX('Initial Study'!K:K, MATCH(L58, 'Initial Study'!B:B, 0)+2)))),INDEX('Initial Study'!K:K, MATCH(L58, 'Initial Study'!B:B, 0)+2),"-"),"-")</f>
        <v/>
      </c>
      <c r="AA58">
        <f>IF(S58="RE", Y58 &amp; "BT/" &amp; IF(Z58 &lt;&gt; "-", Z58 &amp; "BT", ""), IF(OR(S58="LTDR", S58="LTSR"), Y58 &amp; "BL" &amp; IF(Z58 &lt;&gt; "-", "/" &amp; Z58 &amp; "BT", ""), IF(OR(S58="RTDR", S58="RTSR"), Y58 &amp; "BR" &amp; IF(Z58 &lt;&gt; "-", "/" &amp; Z58 &amp; "BT", ""), IF(Z58 &lt;&gt; "-", Y58 &amp; "BT/" &amp; Z58 &amp; "BT", Y58 &amp; "BT"))))</f>
        <v/>
      </c>
    </row>
    <row r="59">
      <c r="A59" t="n">
        <v>637</v>
      </c>
      <c r="B59" t="inlineStr">
        <is>
          <t>NC 218</t>
        </is>
      </c>
      <c r="C59" t="n">
        <v>0</v>
      </c>
      <c r="E59" t="inlineStr">
        <is>
          <t>SIKES MILL</t>
        </is>
      </c>
      <c r="F59" t="inlineStr">
        <is>
          <t>*LCL OLD FISH RD</t>
        </is>
      </c>
      <c r="G59" t="inlineStr">
        <is>
          <t>NC 218</t>
        </is>
      </c>
      <c r="H59" t="n">
        <v>8.082000000000001</v>
      </c>
      <c r="I59" t="inlineStr">
        <is>
          <t>NIS</t>
        </is>
      </c>
      <c r="L59" t="n">
        <v>108486827</v>
      </c>
      <c r="M59" s="6" t="n">
        <v>46146</v>
      </c>
      <c r="N59" t="n">
        <v>28</v>
      </c>
      <c r="O59" t="n">
        <v>1</v>
      </c>
      <c r="P59" t="n">
        <v>10</v>
      </c>
      <c r="Q59" t="n">
        <v>1</v>
      </c>
      <c r="R59" t="inlineStr">
        <is>
          <t>O</t>
        </is>
      </c>
      <c r="S59">
        <f>IFERROR(VLOOKUP(N59,Index!$A$1:$B$26,2,FALSE),"")</f>
        <v/>
      </c>
      <c r="T59">
        <f>AA59</f>
        <v/>
      </c>
      <c r="V59">
        <f>IFERROR(INDEX(DetailedFiche!Q:Q,MATCH(L59,DetailedFiche!J:J,0)),"")</f>
        <v/>
      </c>
      <c r="W59">
        <f>IFERROR(INDEX(DetailedFiche!R:R,MATCH(L59,DetailedFiche!J:J,0)),"")</f>
        <v/>
      </c>
      <c r="Y59">
        <f>IFERROR(IF(AND(INDEX('Initial Study'!K:K, MATCH(L59, 'Initial Study'!B:B, 0)+1)&lt;&gt;0,INDEX('Initial Study'!K:K, MATCH(L59, 'Initial Study'!B:B, 0)+1)&lt;&gt;""),INDEX('Initial Study'!K:K, MATCH(L59, 'Initial Study'!B:B, 0)+1),""),"")</f>
        <v/>
      </c>
      <c r="Z59">
        <f>IFERROR(IF(AND(INDEX('Initial Study'!K:K, MATCH(L59, 'Initial Study'!B:B, 0)+2)&lt;&gt;0,INDEX('Initial Study'!K:K, MATCH(L59, 'Initial Study'!B:B, 0)+2)&lt;&gt;"",NOT(ISNUMBER(INDEX('Initial Study'!K:K, MATCH(L59, 'Initial Study'!B:B, 0)+2)))),INDEX('Initial Study'!K:K, MATCH(L59, 'Initial Study'!B:B, 0)+2),"-"),"-")</f>
        <v/>
      </c>
      <c r="AA59">
        <f>IF(S59="RE", Y59 &amp; "BT/" &amp; IF(Z59 &lt;&gt; "-", Z59 &amp; "BT", ""), IF(OR(S59="LTDR", S59="LTSR"), Y59 &amp; "BL" &amp; IF(Z59 &lt;&gt; "-", "/" &amp; Z59 &amp; "BT", ""), IF(OR(S59="RTDR", S59="RTSR"), Y59 &amp; "BR" &amp; IF(Z59 &lt;&gt; "-", "/" &amp; Z59 &amp; "BT", ""), IF(Z59 &lt;&gt; "-", Y59 &amp; "BT/" &amp; Z59 &amp; "BT", Y59 &amp; "BT"))))</f>
        <v/>
      </c>
    </row>
    <row r="60">
      <c r="A60" t="n">
        <v>637</v>
      </c>
      <c r="B60" t="inlineStr">
        <is>
          <t>NC 218</t>
        </is>
      </c>
      <c r="C60" t="n">
        <v>0</v>
      </c>
      <c r="E60" t="inlineStr">
        <is>
          <t>SIKES MILL</t>
        </is>
      </c>
      <c r="F60" t="inlineStr">
        <is>
          <t>BRIEF</t>
        </is>
      </c>
      <c r="G60" t="inlineStr">
        <is>
          <t>NC 218</t>
        </is>
      </c>
      <c r="H60" t="n">
        <v>8.082000000000001</v>
      </c>
      <c r="I60" t="inlineStr">
        <is>
          <t>NIS</t>
        </is>
      </c>
      <c r="L60" t="n">
        <v>107751347</v>
      </c>
      <c r="M60" s="6" t="n">
        <v>45457</v>
      </c>
      <c r="N60" t="n">
        <v>24</v>
      </c>
      <c r="O60" t="n">
        <v>1</v>
      </c>
      <c r="P60" t="n">
        <v>7</v>
      </c>
      <c r="Q60" t="n">
        <v>1</v>
      </c>
      <c r="R60" t="inlineStr">
        <is>
          <t>C</t>
        </is>
      </c>
      <c r="S60">
        <f>IFERROR(VLOOKUP(N60,Index!$A$1:$B$26,2,FALSE),"")</f>
        <v/>
      </c>
      <c r="T60">
        <f>AA60</f>
        <v/>
      </c>
      <c r="V60">
        <f>IFERROR(INDEX(DetailedFiche!Q:Q,MATCH(L60,DetailedFiche!J:J,0)),"")</f>
        <v/>
      </c>
      <c r="W60">
        <f>IFERROR(INDEX(DetailedFiche!R:R,MATCH(L60,DetailedFiche!J:J,0)),"")</f>
        <v/>
      </c>
      <c r="Y60">
        <f>IFERROR(IF(AND(INDEX('Initial Study'!K:K, MATCH(L60, 'Initial Study'!B:B, 0)+1)&lt;&gt;0,INDEX('Initial Study'!K:K, MATCH(L60, 'Initial Study'!B:B, 0)+1)&lt;&gt;""),INDEX('Initial Study'!K:K, MATCH(L60, 'Initial Study'!B:B, 0)+1),""),"")</f>
        <v/>
      </c>
      <c r="Z60">
        <f>IFERROR(IF(AND(INDEX('Initial Study'!K:K, MATCH(L60, 'Initial Study'!B:B, 0)+2)&lt;&gt;0,INDEX('Initial Study'!K:K, MATCH(L60, 'Initial Study'!B:B, 0)+2)&lt;&gt;"",NOT(ISNUMBER(INDEX('Initial Study'!K:K, MATCH(L60, 'Initial Study'!B:B, 0)+2)))),INDEX('Initial Study'!K:K, MATCH(L60, 'Initial Study'!B:B, 0)+2),"-"),"-")</f>
        <v/>
      </c>
      <c r="AA60">
        <f>IF(S60="RE", Y60 &amp; "BT/" &amp; IF(Z60 &lt;&gt; "-", Z60 &amp; "BT", ""), IF(OR(S60="LTDR", S60="LTSR"), Y60 &amp; "BL" &amp; IF(Z60 &lt;&gt; "-", "/" &amp; Z60 &amp; "BT", ""), IF(OR(S60="RTDR", S60="RTSR"), Y60 &amp; "BR" &amp; IF(Z60 &lt;&gt; "-", "/" &amp; Z60 &amp; "BT", ""), IF(Z60 &lt;&gt; "-", Y60 &amp; "BT/" &amp; Z60 &amp; "BT", Y60 &amp; "BT"))))</f>
        <v/>
      </c>
    </row>
    <row r="61">
      <c r="A61" t="n">
        <v>637</v>
      </c>
      <c r="B61" t="inlineStr">
        <is>
          <t>NC 218</t>
        </is>
      </c>
      <c r="C61" t="n">
        <v>0</v>
      </c>
      <c r="E61" t="inlineStr">
        <is>
          <t>SIKES MILL</t>
        </is>
      </c>
      <c r="F61" t="inlineStr">
        <is>
          <t>BRIEF</t>
        </is>
      </c>
      <c r="G61" t="inlineStr">
        <is>
          <t>NC 218</t>
        </is>
      </c>
      <c r="H61" t="n">
        <v>8.082000000000001</v>
      </c>
      <c r="I61" t="inlineStr">
        <is>
          <t>NIS</t>
        </is>
      </c>
      <c r="L61" t="n">
        <v>107705518</v>
      </c>
      <c r="M61" s="6" t="n">
        <v>45413</v>
      </c>
      <c r="N61" t="n">
        <v>23</v>
      </c>
      <c r="O61" t="n">
        <v>1</v>
      </c>
      <c r="P61" t="n">
        <v>7</v>
      </c>
      <c r="Q61" t="n">
        <v>1</v>
      </c>
      <c r="R61" t="inlineStr">
        <is>
          <t>C</t>
        </is>
      </c>
      <c r="S61">
        <f>IFERROR(VLOOKUP(N61,Index!$A$1:$B$26,2,FALSE),"")</f>
        <v/>
      </c>
      <c r="T61">
        <f>AA61</f>
        <v/>
      </c>
      <c r="V61">
        <f>IFERROR(INDEX(DetailedFiche!Q:Q,MATCH(L61,DetailedFiche!J:J,0)),"")</f>
        <v/>
      </c>
      <c r="W61">
        <f>IFERROR(INDEX(DetailedFiche!R:R,MATCH(L61,DetailedFiche!J:J,0)),"")</f>
        <v/>
      </c>
      <c r="Y61">
        <f>IFERROR(IF(AND(INDEX('Initial Study'!K:K, MATCH(L61, 'Initial Study'!B:B, 0)+1)&lt;&gt;0,INDEX('Initial Study'!K:K, MATCH(L61, 'Initial Study'!B:B, 0)+1)&lt;&gt;""),INDEX('Initial Study'!K:K, MATCH(L61, 'Initial Study'!B:B, 0)+1),""),"")</f>
        <v/>
      </c>
      <c r="Z61">
        <f>IFERROR(IF(AND(INDEX('Initial Study'!K:K, MATCH(L61, 'Initial Study'!B:B, 0)+2)&lt;&gt;0,INDEX('Initial Study'!K:K, MATCH(L61, 'Initial Study'!B:B, 0)+2)&lt;&gt;"",NOT(ISNUMBER(INDEX('Initial Study'!K:K, MATCH(L61, 'Initial Study'!B:B, 0)+2)))),INDEX('Initial Study'!K:K, MATCH(L61, 'Initial Study'!B:B, 0)+2),"-"),"-")</f>
        <v/>
      </c>
      <c r="AA61">
        <f>IF(S61="RE", Y61 &amp; "BT/" &amp; IF(Z61 &lt;&gt; "-", Z61 &amp; "BT", ""), IF(OR(S61="LTDR", S61="LTSR"), Y61 &amp; "BL" &amp; IF(Z61 &lt;&gt; "-", "/" &amp; Z61 &amp; "BT", ""), IF(OR(S61="RTDR", S61="RTSR"), Y61 &amp; "BR" &amp; IF(Z61 &lt;&gt; "-", "/" &amp; Z61 &amp; "BT", ""), IF(Z61 &lt;&gt; "-", Y61 &amp; "BT/" &amp; Z61 &amp; "BT", Y61 &amp; "BT"))))</f>
        <v/>
      </c>
    </row>
    <row r="62">
      <c r="A62" t="n">
        <v>637</v>
      </c>
      <c r="B62" t="inlineStr">
        <is>
          <t>NC 218</t>
        </is>
      </c>
      <c r="C62" t="n">
        <v>0</v>
      </c>
      <c r="E62" t="inlineStr">
        <is>
          <t>SIKES MILL</t>
        </is>
      </c>
      <c r="F62" t="inlineStr">
        <is>
          <t>BRIEF</t>
        </is>
      </c>
      <c r="G62" t="inlineStr">
        <is>
          <t>NC 218</t>
        </is>
      </c>
      <c r="H62" t="n">
        <v>8.082000000000001</v>
      </c>
      <c r="I62" t="inlineStr">
        <is>
          <t>NIS</t>
        </is>
      </c>
      <c r="L62" t="n">
        <v>107183135</v>
      </c>
      <c r="M62" s="6" t="n">
        <v>44911</v>
      </c>
      <c r="N62" t="n">
        <v>30</v>
      </c>
      <c r="O62" t="n">
        <v>1</v>
      </c>
      <c r="P62" t="n">
        <v>7</v>
      </c>
      <c r="Q62" t="n">
        <v>1</v>
      </c>
      <c r="R62" t="inlineStr">
        <is>
          <t>O</t>
        </is>
      </c>
      <c r="S62">
        <f>IFERROR(VLOOKUP(N62,Index!$A$1:$B$26,2,FALSE),"")</f>
        <v/>
      </c>
      <c r="T62">
        <f>AA62</f>
        <v/>
      </c>
      <c r="V62">
        <f>IFERROR(INDEX(DetailedFiche!Q:Q,MATCH(L62,DetailedFiche!J:J,0)),"")</f>
        <v/>
      </c>
      <c r="W62">
        <f>IFERROR(INDEX(DetailedFiche!R:R,MATCH(L62,DetailedFiche!J:J,0)),"")</f>
        <v/>
      </c>
      <c r="Y62">
        <f>IFERROR(IF(AND(INDEX('Initial Study'!K:K, MATCH(L62, 'Initial Study'!B:B, 0)+1)&lt;&gt;0,INDEX('Initial Study'!K:K, MATCH(L62, 'Initial Study'!B:B, 0)+1)&lt;&gt;""),INDEX('Initial Study'!K:K, MATCH(L62, 'Initial Study'!B:B, 0)+1),""),"")</f>
        <v/>
      </c>
      <c r="Z62">
        <f>IFERROR(IF(AND(INDEX('Initial Study'!K:K, MATCH(L62, 'Initial Study'!B:B, 0)+2)&lt;&gt;0,INDEX('Initial Study'!K:K, MATCH(L62, 'Initial Study'!B:B, 0)+2)&lt;&gt;"",NOT(ISNUMBER(INDEX('Initial Study'!K:K, MATCH(L62, 'Initial Study'!B:B, 0)+2)))),INDEX('Initial Study'!K:K, MATCH(L62, 'Initial Study'!B:B, 0)+2),"-"),"-")</f>
        <v/>
      </c>
      <c r="AA62">
        <f>IF(S62="RE", Y62 &amp; "BT/" &amp; IF(Z62 &lt;&gt; "-", Z62 &amp; "BT", ""), IF(OR(S62="LTDR", S62="LTSR"), Y62 &amp; "BL" &amp; IF(Z62 &lt;&gt; "-", "/" &amp; Z62 &amp; "BT", ""), IF(OR(S62="RTDR", S62="RTSR"), Y62 &amp; "BR" &amp; IF(Z62 &lt;&gt; "-", "/" &amp; Z62 &amp; "BT", ""), IF(Z62 &lt;&gt; "-", Y62 &amp; "BT/" &amp; Z62 &amp; "BT", Y62 &amp; "BT"))))</f>
        <v/>
      </c>
    </row>
    <row r="63">
      <c r="A63" t="n">
        <v>637</v>
      </c>
      <c r="B63" t="inlineStr">
        <is>
          <t>NC 218</t>
        </is>
      </c>
      <c r="C63" t="n">
        <v>0</v>
      </c>
      <c r="E63" t="inlineStr">
        <is>
          <t>SIKES MILL</t>
        </is>
      </c>
      <c r="F63" t="inlineStr">
        <is>
          <t>BRIEF</t>
        </is>
      </c>
      <c r="G63" t="inlineStr">
        <is>
          <t>NC 218</t>
        </is>
      </c>
      <c r="H63" t="n">
        <v>8.082000000000001</v>
      </c>
      <c r="I63" t="inlineStr">
        <is>
          <t>NIS</t>
        </is>
      </c>
      <c r="L63" t="n">
        <v>107035876</v>
      </c>
      <c r="M63" s="6" t="n">
        <v>44777</v>
      </c>
      <c r="N63" t="n">
        <v>30</v>
      </c>
      <c r="O63" t="n">
        <v>1</v>
      </c>
      <c r="P63" t="n">
        <v>7</v>
      </c>
      <c r="Q63" t="n">
        <v>1</v>
      </c>
      <c r="R63" t="inlineStr">
        <is>
          <t>C</t>
        </is>
      </c>
      <c r="S63">
        <f>IFERROR(VLOOKUP(N63,Index!$A$1:$B$26,2,FALSE),"")</f>
        <v/>
      </c>
      <c r="T63">
        <f>AA63</f>
        <v/>
      </c>
      <c r="V63">
        <f>IFERROR(INDEX(DetailedFiche!Q:Q,MATCH(L63,DetailedFiche!J:J,0)),"")</f>
        <v/>
      </c>
      <c r="W63">
        <f>IFERROR(INDEX(DetailedFiche!R:R,MATCH(L63,DetailedFiche!J:J,0)),"")</f>
        <v/>
      </c>
      <c r="Y63">
        <f>IFERROR(IF(AND(INDEX('Initial Study'!K:K, MATCH(L63, 'Initial Study'!B:B, 0)+1)&lt;&gt;0,INDEX('Initial Study'!K:K, MATCH(L63, 'Initial Study'!B:B, 0)+1)&lt;&gt;""),INDEX('Initial Study'!K:K, MATCH(L63, 'Initial Study'!B:B, 0)+1),""),"")</f>
        <v/>
      </c>
      <c r="Z63">
        <f>IFERROR(IF(AND(INDEX('Initial Study'!K:K, MATCH(L63, 'Initial Study'!B:B, 0)+2)&lt;&gt;0,INDEX('Initial Study'!K:K, MATCH(L63, 'Initial Study'!B:B, 0)+2)&lt;&gt;"",NOT(ISNUMBER(INDEX('Initial Study'!K:K, MATCH(L63, 'Initial Study'!B:B, 0)+2)))),INDEX('Initial Study'!K:K, MATCH(L63, 'Initial Study'!B:B, 0)+2),"-"),"-")</f>
        <v/>
      </c>
      <c r="AA63">
        <f>IF(S63="RE", Y63 &amp; "BT/" &amp; IF(Z63 &lt;&gt; "-", Z63 &amp; "BT", ""), IF(OR(S63="LTDR", S63="LTSR"), Y63 &amp; "BL" &amp; IF(Z63 &lt;&gt; "-", "/" &amp; Z63 &amp; "BT", ""), IF(OR(S63="RTDR", S63="RTSR"), Y63 &amp; "BR" &amp; IF(Z63 &lt;&gt; "-", "/" &amp; Z63 &amp; "BT", ""), IF(Z63 &lt;&gt; "-", Y63 &amp; "BT/" &amp; Z63 &amp; "BT", Y63 &amp; "BT"))))</f>
        <v/>
      </c>
    </row>
    <row r="64">
      <c r="A64" t="n">
        <v>0</v>
      </c>
      <c r="B64" t="inlineStr">
        <is>
          <t>NC 218</t>
        </is>
      </c>
      <c r="C64" t="n">
        <v>0</v>
      </c>
      <c r="E64" t="inlineStr">
        <is>
          <t>SR 1606</t>
        </is>
      </c>
      <c r="F64" t="inlineStr">
        <is>
          <t>SR 1547</t>
        </is>
      </c>
      <c r="G64" t="inlineStr">
        <is>
          <t>NC 218</t>
        </is>
      </c>
      <c r="H64" t="n">
        <v>8.082000000000001</v>
      </c>
      <c r="I64" t="inlineStr">
        <is>
          <t>NIS</t>
        </is>
      </c>
      <c r="L64" t="n">
        <v>107659355</v>
      </c>
      <c r="M64" s="6" t="n">
        <v>45367</v>
      </c>
      <c r="N64" t="n">
        <v>30</v>
      </c>
      <c r="O64" t="n">
        <v>1</v>
      </c>
      <c r="P64" t="n">
        <v>7</v>
      </c>
      <c r="Q64" t="n">
        <v>1</v>
      </c>
      <c r="R64" t="inlineStr">
        <is>
          <t>O</t>
        </is>
      </c>
      <c r="S64">
        <f>IFERROR(VLOOKUP(N64,Index!$A$1:$B$26,2,FALSE),"")</f>
        <v/>
      </c>
      <c r="T64">
        <f>AA64</f>
        <v/>
      </c>
      <c r="V64">
        <f>IFERROR(INDEX(DetailedFiche!Q:Q,MATCH(L64,DetailedFiche!J:J,0)),"")</f>
        <v/>
      </c>
      <c r="W64">
        <f>IFERROR(INDEX(DetailedFiche!R:R,MATCH(L64,DetailedFiche!J:J,0)),"")</f>
        <v/>
      </c>
      <c r="Y64">
        <f>IFERROR(IF(AND(INDEX('Initial Study'!K:K, MATCH(L64, 'Initial Study'!B:B, 0)+1)&lt;&gt;0,INDEX('Initial Study'!K:K, MATCH(L64, 'Initial Study'!B:B, 0)+1)&lt;&gt;""),INDEX('Initial Study'!K:K, MATCH(L64, 'Initial Study'!B:B, 0)+1),""),"")</f>
        <v/>
      </c>
      <c r="Z64">
        <f>IFERROR(IF(AND(INDEX('Initial Study'!K:K, MATCH(L64, 'Initial Study'!B:B, 0)+2)&lt;&gt;0,INDEX('Initial Study'!K:K, MATCH(L64, 'Initial Study'!B:B, 0)+2)&lt;&gt;"",NOT(ISNUMBER(INDEX('Initial Study'!K:K, MATCH(L64, 'Initial Study'!B:B, 0)+2)))),INDEX('Initial Study'!K:K, MATCH(L64, 'Initial Study'!B:B, 0)+2),"-"),"-")</f>
        <v/>
      </c>
      <c r="AA64">
        <f>IF(S64="RE", Y64 &amp; "BT/" &amp; IF(Z64 &lt;&gt; "-", Z64 &amp; "BT", ""), IF(OR(S64="LTDR", S64="LTSR"), Y64 &amp; "BL" &amp; IF(Z64 &lt;&gt; "-", "/" &amp; Z64 &amp; "BT", ""), IF(OR(S64="RTDR", S64="RTSR"), Y64 &amp; "BR" &amp; IF(Z64 &lt;&gt; "-", "/" &amp; Z64 &amp; "BT", ""), IF(Z64 &lt;&gt; "-", Y64 &amp; "BT/" &amp; Z64 &amp; "BT", Y64 &amp; "BT"))))</f>
        <v/>
      </c>
    </row>
    <row r="65">
      <c r="A65" t="n">
        <v>0</v>
      </c>
      <c r="B65" t="inlineStr">
        <is>
          <t>NC 218</t>
        </is>
      </c>
      <c r="C65" t="n">
        <v>0</v>
      </c>
      <c r="E65" t="inlineStr">
        <is>
          <t>SR 1606</t>
        </is>
      </c>
      <c r="F65" t="inlineStr">
        <is>
          <t>SR 1001</t>
        </is>
      </c>
      <c r="G65" t="inlineStr">
        <is>
          <t>NC 218</t>
        </is>
      </c>
      <c r="H65" t="n">
        <v>8.082000000000001</v>
      </c>
      <c r="I65" t="inlineStr">
        <is>
          <t>NIS</t>
        </is>
      </c>
      <c r="L65" t="n">
        <v>107194746</v>
      </c>
      <c r="M65" s="6" t="n">
        <v>44922</v>
      </c>
      <c r="N65" t="n">
        <v>21</v>
      </c>
      <c r="O65" t="n">
        <v>1</v>
      </c>
      <c r="P65" t="n">
        <v>7</v>
      </c>
      <c r="Q65" t="n">
        <v>5</v>
      </c>
      <c r="R65" t="inlineStr">
        <is>
          <t>C</t>
        </is>
      </c>
      <c r="S65">
        <f>IFERROR(VLOOKUP(N65,Index!$A$1:$B$26,2,FALSE),"")</f>
        <v/>
      </c>
      <c r="T65">
        <f>AA65</f>
        <v/>
      </c>
      <c r="V65">
        <f>IFERROR(INDEX(DetailedFiche!Q:Q,MATCH(L65,DetailedFiche!J:J,0)),"")</f>
        <v/>
      </c>
      <c r="W65">
        <f>IFERROR(INDEX(DetailedFiche!R:R,MATCH(L65,DetailedFiche!J:J,0)),"")</f>
        <v/>
      </c>
      <c r="Y65">
        <f>IFERROR(IF(AND(INDEX('Initial Study'!K:K, MATCH(L65, 'Initial Study'!B:B, 0)+1)&lt;&gt;0,INDEX('Initial Study'!K:K, MATCH(L65, 'Initial Study'!B:B, 0)+1)&lt;&gt;""),INDEX('Initial Study'!K:K, MATCH(L65, 'Initial Study'!B:B, 0)+1),""),"")</f>
        <v/>
      </c>
      <c r="Z65">
        <f>IFERROR(IF(AND(INDEX('Initial Study'!K:K, MATCH(L65, 'Initial Study'!B:B, 0)+2)&lt;&gt;0,INDEX('Initial Study'!K:K, MATCH(L65, 'Initial Study'!B:B, 0)+2)&lt;&gt;"",NOT(ISNUMBER(INDEX('Initial Study'!K:K, MATCH(L65, 'Initial Study'!B:B, 0)+2)))),INDEX('Initial Study'!K:K, MATCH(L65, 'Initial Study'!B:B, 0)+2),"-"),"-")</f>
        <v/>
      </c>
      <c r="AA65">
        <f>IF(S65="RE", Y65 &amp; "BT/" &amp; IF(Z65 &lt;&gt; "-", Z65 &amp; "BT", ""), IF(OR(S65="LTDR", S65="LTSR"), Y65 &amp; "BL" &amp; IF(Z65 &lt;&gt; "-", "/" &amp; Z65 &amp; "BT", ""), IF(OR(S65="RTDR", S65="RTSR"), Y65 &amp; "BR" &amp; IF(Z65 &lt;&gt; "-", "/" &amp; Z65 &amp; "BT", ""), IF(Z65 &lt;&gt; "-", Y65 &amp; "BT/" &amp; Z65 &amp; "BT", Y65 &amp; "BT"))))</f>
        <v/>
      </c>
    </row>
    <row r="66">
      <c r="A66" t="n">
        <v>0</v>
      </c>
      <c r="B66" t="inlineStr">
        <is>
          <t>NC 218</t>
        </is>
      </c>
      <c r="C66" t="n">
        <v>0</v>
      </c>
      <c r="E66" t="inlineStr">
        <is>
          <t>SR 1606</t>
        </is>
      </c>
      <c r="F66" t="inlineStr">
        <is>
          <t>SR 1610</t>
        </is>
      </c>
      <c r="G66" t="inlineStr">
        <is>
          <t>NC 218</t>
        </is>
      </c>
      <c r="H66" t="n">
        <v>8.082000000000001</v>
      </c>
      <c r="I66" t="inlineStr">
        <is>
          <t>NIS</t>
        </is>
      </c>
      <c r="L66" t="n">
        <v>107139136</v>
      </c>
      <c r="M66" s="6" t="n">
        <v>44872</v>
      </c>
      <c r="N66" t="n">
        <v>30</v>
      </c>
      <c r="O66" t="n">
        <v>1</v>
      </c>
      <c r="P66" t="n">
        <v>7</v>
      </c>
      <c r="Q66" t="n">
        <v>5</v>
      </c>
      <c r="R66" t="inlineStr">
        <is>
          <t>O</t>
        </is>
      </c>
      <c r="S66">
        <f>IFERROR(VLOOKUP(N66,Index!$A$1:$B$26,2,FALSE),"")</f>
        <v/>
      </c>
      <c r="T66">
        <f>AA66</f>
        <v/>
      </c>
      <c r="V66">
        <f>IFERROR(INDEX(DetailedFiche!Q:Q,MATCH(L66,DetailedFiche!J:J,0)),"")</f>
        <v/>
      </c>
      <c r="W66">
        <f>IFERROR(INDEX(DetailedFiche!R:R,MATCH(L66,DetailedFiche!J:J,0)),"")</f>
        <v/>
      </c>
      <c r="Y66">
        <f>IFERROR(IF(AND(INDEX('Initial Study'!K:K, MATCH(L66, 'Initial Study'!B:B, 0)+1)&lt;&gt;0,INDEX('Initial Study'!K:K, MATCH(L66, 'Initial Study'!B:B, 0)+1)&lt;&gt;""),INDEX('Initial Study'!K:K, MATCH(L66, 'Initial Study'!B:B, 0)+1),""),"")</f>
        <v/>
      </c>
      <c r="Z66">
        <f>IFERROR(IF(AND(INDEX('Initial Study'!K:K, MATCH(L66, 'Initial Study'!B:B, 0)+2)&lt;&gt;0,INDEX('Initial Study'!K:K, MATCH(L66, 'Initial Study'!B:B, 0)+2)&lt;&gt;"",NOT(ISNUMBER(INDEX('Initial Study'!K:K, MATCH(L66, 'Initial Study'!B:B, 0)+2)))),INDEX('Initial Study'!K:K, MATCH(L66, 'Initial Study'!B:B, 0)+2),"-"),"-")</f>
        <v/>
      </c>
      <c r="AA66">
        <f>IF(S66="RE", Y66 &amp; "BT/" &amp; IF(Z66 &lt;&gt; "-", Z66 &amp; "BT", ""), IF(OR(S66="LTDR", S66="LTSR"), Y66 &amp; "BL" &amp; IF(Z66 &lt;&gt; "-", "/" &amp; Z66 &amp; "BT", ""), IF(OR(S66="RTDR", S66="RTSR"), Y66 &amp; "BR" &amp; IF(Z66 &lt;&gt; "-", "/" &amp; Z66 &amp; "BT", ""), IF(Z66 &lt;&gt; "-", Y66 &amp; "BT/" &amp; Z66 &amp; "BT", Y66 &amp; "BT"))))</f>
        <v/>
      </c>
    </row>
    <row r="67">
      <c r="A67" t="n">
        <v>637</v>
      </c>
      <c r="B67" t="inlineStr">
        <is>
          <t>NC 218</t>
        </is>
      </c>
      <c r="C67" t="n">
        <v>0</v>
      </c>
      <c r="E67" t="inlineStr">
        <is>
          <t>SR 1606</t>
        </is>
      </c>
      <c r="F67" t="inlineStr">
        <is>
          <t>SR 1547</t>
        </is>
      </c>
      <c r="G67" t="inlineStr">
        <is>
          <t>NC 218</t>
        </is>
      </c>
      <c r="H67" t="n">
        <v>8.082000000000001</v>
      </c>
      <c r="I67" t="inlineStr">
        <is>
          <t>NIS</t>
        </is>
      </c>
      <c r="L67" t="n">
        <v>107122762</v>
      </c>
      <c r="M67" s="6" t="n">
        <v>44854</v>
      </c>
      <c r="N67" t="n">
        <v>30</v>
      </c>
      <c r="O67" t="n">
        <v>1</v>
      </c>
      <c r="P67" t="n">
        <v>7</v>
      </c>
      <c r="Q67" t="n">
        <v>1</v>
      </c>
      <c r="R67" t="inlineStr">
        <is>
          <t>O</t>
        </is>
      </c>
      <c r="S67">
        <f>IFERROR(VLOOKUP(N67,Index!$A$1:$B$26,2,FALSE),"")</f>
        <v/>
      </c>
      <c r="T67">
        <f>AA67</f>
        <v/>
      </c>
      <c r="V67">
        <f>IFERROR(INDEX(DetailedFiche!Q:Q,MATCH(L67,DetailedFiche!J:J,0)),"")</f>
        <v/>
      </c>
      <c r="W67">
        <f>IFERROR(INDEX(DetailedFiche!R:R,MATCH(L67,DetailedFiche!J:J,0)),"")</f>
        <v/>
      </c>
      <c r="Y67">
        <f>IFERROR(IF(AND(INDEX('Initial Study'!K:K, MATCH(L67, 'Initial Study'!B:B, 0)+1)&lt;&gt;0,INDEX('Initial Study'!K:K, MATCH(L67, 'Initial Study'!B:B, 0)+1)&lt;&gt;""),INDEX('Initial Study'!K:K, MATCH(L67, 'Initial Study'!B:B, 0)+1),""),"")</f>
        <v/>
      </c>
      <c r="Z67">
        <f>IFERROR(IF(AND(INDEX('Initial Study'!K:K, MATCH(L67, 'Initial Study'!B:B, 0)+2)&lt;&gt;0,INDEX('Initial Study'!K:K, MATCH(L67, 'Initial Study'!B:B, 0)+2)&lt;&gt;"",NOT(ISNUMBER(INDEX('Initial Study'!K:K, MATCH(L67, 'Initial Study'!B:B, 0)+2)))),INDEX('Initial Study'!K:K, MATCH(L67, 'Initial Study'!B:B, 0)+2),"-"),"-")</f>
        <v/>
      </c>
      <c r="AA67">
        <f>IF(S67="RE", Y67 &amp; "BT/" &amp; IF(Z67 &lt;&gt; "-", Z67 &amp; "BT", ""), IF(OR(S67="LTDR", S67="LTSR"), Y67 &amp; "BL" &amp; IF(Z67 &lt;&gt; "-", "/" &amp; Z67 &amp; "BT", ""), IF(OR(S67="RTDR", S67="RTSR"), Y67 &amp; "BR" &amp; IF(Z67 &lt;&gt; "-", "/" &amp; Z67 &amp; "BT", ""), IF(Z67 &lt;&gt; "-", Y67 &amp; "BT/" &amp; Z67 &amp; "BT", Y67 &amp; "BT"))))</f>
        <v/>
      </c>
    </row>
    <row r="68">
      <c r="A68" t="n">
        <v>637</v>
      </c>
      <c r="B68" t="inlineStr">
        <is>
          <t>NC 218</t>
        </is>
      </c>
      <c r="C68" t="n">
        <v>0</v>
      </c>
      <c r="E68" t="inlineStr">
        <is>
          <t>SR 1606</t>
        </is>
      </c>
      <c r="F68" t="inlineStr">
        <is>
          <t>SR 1609</t>
        </is>
      </c>
      <c r="G68" t="inlineStr">
        <is>
          <t>NC 218</t>
        </is>
      </c>
      <c r="H68" t="n">
        <v>8.082000000000001</v>
      </c>
      <c r="I68" t="inlineStr">
        <is>
          <t>NIS</t>
        </is>
      </c>
      <c r="L68" t="n">
        <v>106620331</v>
      </c>
      <c r="M68" s="6" t="n">
        <v>44371</v>
      </c>
      <c r="N68" t="n">
        <v>30</v>
      </c>
      <c r="O68" t="n">
        <v>1</v>
      </c>
      <c r="P68" t="n">
        <v>7</v>
      </c>
      <c r="Q68" t="n">
        <v>1</v>
      </c>
      <c r="R68" t="inlineStr">
        <is>
          <t>A</t>
        </is>
      </c>
      <c r="S68">
        <f>IFERROR(VLOOKUP(N68,Index!$A$1:$B$26,2,FALSE),"")</f>
        <v/>
      </c>
      <c r="T68">
        <f>AA68</f>
        <v/>
      </c>
      <c r="V68">
        <f>IFERROR(INDEX(DetailedFiche!Q:Q,MATCH(L68,DetailedFiche!J:J,0)),"")</f>
        <v/>
      </c>
      <c r="W68">
        <f>IFERROR(INDEX(DetailedFiche!R:R,MATCH(L68,DetailedFiche!J:J,0)),"")</f>
        <v/>
      </c>
      <c r="Y68">
        <f>IFERROR(IF(AND(INDEX('Initial Study'!K:K, MATCH(L68, 'Initial Study'!B:B, 0)+1)&lt;&gt;0,INDEX('Initial Study'!K:K, MATCH(L68, 'Initial Study'!B:B, 0)+1)&lt;&gt;""),INDEX('Initial Study'!K:K, MATCH(L68, 'Initial Study'!B:B, 0)+1),""),"")</f>
        <v/>
      </c>
      <c r="Z68">
        <f>IFERROR(IF(AND(INDEX('Initial Study'!K:K, MATCH(L68, 'Initial Study'!B:B, 0)+2)&lt;&gt;0,INDEX('Initial Study'!K:K, MATCH(L68, 'Initial Study'!B:B, 0)+2)&lt;&gt;"",NOT(ISNUMBER(INDEX('Initial Study'!K:K, MATCH(L68, 'Initial Study'!B:B, 0)+2)))),INDEX('Initial Study'!K:K, MATCH(L68, 'Initial Study'!B:B, 0)+2),"-"),"-")</f>
        <v/>
      </c>
      <c r="AA68">
        <f>IF(S68="RE", Y68 &amp; "BT/" &amp; IF(Z68 &lt;&gt; "-", Z68 &amp; "BT", ""), IF(OR(S68="LTDR", S68="LTSR"), Y68 &amp; "BL" &amp; IF(Z68 &lt;&gt; "-", "/" &amp; Z68 &amp; "BT", ""), IF(OR(S68="RTDR", S68="RTSR"), Y68 &amp; "BR" &amp; IF(Z68 &lt;&gt; "-", "/" &amp; Z68 &amp; "BT", ""), IF(Z68 &lt;&gt; "-", Y68 &amp; "BT/" &amp; Z68 &amp; "BT", Y68 &amp; "BT"))))</f>
        <v/>
      </c>
    </row>
    <row r="69">
      <c r="A69" t="n">
        <v>0</v>
      </c>
      <c r="B69" t="inlineStr">
        <is>
          <t>NC 218</t>
        </is>
      </c>
      <c r="C69" t="n">
        <v>0</v>
      </c>
      <c r="E69" t="inlineStr">
        <is>
          <t>SR 1606</t>
        </is>
      </c>
      <c r="F69" t="inlineStr">
        <is>
          <t>SR 1547</t>
        </is>
      </c>
      <c r="G69" t="inlineStr">
        <is>
          <t>NC 218</t>
        </is>
      </c>
      <c r="H69" t="n">
        <v>8.082000000000001</v>
      </c>
      <c r="I69" t="inlineStr">
        <is>
          <t>NIS</t>
        </is>
      </c>
      <c r="L69" t="n">
        <v>105491727</v>
      </c>
      <c r="M69" s="6" t="n">
        <v>43243</v>
      </c>
      <c r="N69" t="n">
        <v>24</v>
      </c>
      <c r="O69" t="n">
        <v>1</v>
      </c>
      <c r="P69" t="n">
        <v>7</v>
      </c>
      <c r="Q69" t="n">
        <v>1</v>
      </c>
      <c r="R69" t="inlineStr">
        <is>
          <t>B</t>
        </is>
      </c>
      <c r="S69">
        <f>IFERROR(VLOOKUP(N69,Index!$A$1:$B$26,2,FALSE),"")</f>
        <v/>
      </c>
      <c r="T69">
        <f>AA69</f>
        <v/>
      </c>
      <c r="V69">
        <f>IFERROR(INDEX(DetailedFiche!Q:Q,MATCH(L69,DetailedFiche!J:J,0)),"")</f>
        <v/>
      </c>
      <c r="W69">
        <f>IFERROR(INDEX(DetailedFiche!R:R,MATCH(L69,DetailedFiche!J:J,0)),"")</f>
        <v/>
      </c>
      <c r="Y69">
        <f>IFERROR(IF(AND(INDEX('Initial Study'!K:K, MATCH(L69, 'Initial Study'!B:B, 0)+1)&lt;&gt;0,INDEX('Initial Study'!K:K, MATCH(L69, 'Initial Study'!B:B, 0)+1)&lt;&gt;""),INDEX('Initial Study'!K:K, MATCH(L69, 'Initial Study'!B:B, 0)+1),""),"")</f>
        <v/>
      </c>
      <c r="Z69">
        <f>IFERROR(IF(AND(INDEX('Initial Study'!K:K, MATCH(L69, 'Initial Study'!B:B, 0)+2)&lt;&gt;0,INDEX('Initial Study'!K:K, MATCH(L69, 'Initial Study'!B:B, 0)+2)&lt;&gt;"",NOT(ISNUMBER(INDEX('Initial Study'!K:K, MATCH(L69, 'Initial Study'!B:B, 0)+2)))),INDEX('Initial Study'!K:K, MATCH(L69, 'Initial Study'!B:B, 0)+2),"-"),"-")</f>
        <v/>
      </c>
      <c r="AA69">
        <f>IF(S69="RE", Y69 &amp; "BT/" &amp; IF(Z69 &lt;&gt; "-", Z69 &amp; "BT", ""), IF(OR(S69="LTDR", S69="LTSR"), Y69 &amp; "BL" &amp; IF(Z69 &lt;&gt; "-", "/" &amp; Z69 &amp; "BT", ""), IF(OR(S69="RTDR", S69="RTSR"), Y69 &amp; "BR" &amp; IF(Z69 &lt;&gt; "-", "/" &amp; Z69 &amp; "BT", ""), IF(Z69 &lt;&gt; "-", Y69 &amp; "BT/" &amp; Z69 &amp; "BT", Y69 &amp; "BT"))))</f>
        <v/>
      </c>
    </row>
    <row r="70">
      <c r="A70" t="n">
        <v>637</v>
      </c>
      <c r="B70" t="inlineStr">
        <is>
          <t>NC 218</t>
        </is>
      </c>
      <c r="C70" t="n">
        <v>0</v>
      </c>
      <c r="E70" t="inlineStr">
        <is>
          <t>SR 1606</t>
        </is>
      </c>
      <c r="F70" t="inlineStr">
        <is>
          <t>SR 1547</t>
        </is>
      </c>
      <c r="G70" t="inlineStr">
        <is>
          <t>NC 218</t>
        </is>
      </c>
      <c r="H70" t="n">
        <v>8.082000000000001</v>
      </c>
      <c r="I70" t="inlineStr">
        <is>
          <t>NIS</t>
        </is>
      </c>
      <c r="L70" t="n">
        <v>105344309</v>
      </c>
      <c r="M70" s="6" t="n">
        <v>43106</v>
      </c>
      <c r="N70" t="n">
        <v>30</v>
      </c>
      <c r="O70" t="n">
        <v>1</v>
      </c>
      <c r="P70" t="n">
        <v>7</v>
      </c>
      <c r="Q70" t="n">
        <v>1</v>
      </c>
      <c r="R70" t="inlineStr">
        <is>
          <t>B</t>
        </is>
      </c>
      <c r="S70">
        <f>IFERROR(VLOOKUP(N70,Index!$A$1:$B$26,2,FALSE),"")</f>
        <v/>
      </c>
      <c r="T70">
        <f>AA70</f>
        <v/>
      </c>
      <c r="V70">
        <f>IFERROR(INDEX(DetailedFiche!Q:Q,MATCH(L70,DetailedFiche!J:J,0)),"")</f>
        <v/>
      </c>
      <c r="W70">
        <f>IFERROR(INDEX(DetailedFiche!R:R,MATCH(L70,DetailedFiche!J:J,0)),"")</f>
        <v/>
      </c>
      <c r="Y70">
        <f>IFERROR(IF(AND(INDEX('Initial Study'!K:K, MATCH(L70, 'Initial Study'!B:B, 0)+1)&lt;&gt;0,INDEX('Initial Study'!K:K, MATCH(L70, 'Initial Study'!B:B, 0)+1)&lt;&gt;""),INDEX('Initial Study'!K:K, MATCH(L70, 'Initial Study'!B:B, 0)+1),""),"")</f>
        <v/>
      </c>
      <c r="Z70">
        <f>IFERROR(IF(AND(INDEX('Initial Study'!K:K, MATCH(L70, 'Initial Study'!B:B, 0)+2)&lt;&gt;0,INDEX('Initial Study'!K:K, MATCH(L70, 'Initial Study'!B:B, 0)+2)&lt;&gt;"",NOT(ISNUMBER(INDEX('Initial Study'!K:K, MATCH(L70, 'Initial Study'!B:B, 0)+2)))),INDEX('Initial Study'!K:K, MATCH(L70, 'Initial Study'!B:B, 0)+2),"-"),"-")</f>
        <v/>
      </c>
      <c r="AA70">
        <f>IF(S70="RE", Y70 &amp; "BT/" &amp; IF(Z70 &lt;&gt; "-", Z70 &amp; "BT", ""), IF(OR(S70="LTDR", S70="LTSR"), Y70 &amp; "BL" &amp; IF(Z70 &lt;&gt; "-", "/" &amp; Z70 &amp; "BT", ""), IF(OR(S70="RTDR", S70="RTSR"), Y70 &amp; "BR" &amp; IF(Z70 &lt;&gt; "-", "/" &amp; Z70 &amp; "BT", ""), IF(Z70 &lt;&gt; "-", Y70 &amp; "BT/" &amp; Z70 &amp; "BT", Y70 &amp; "BT"))))</f>
        <v/>
      </c>
    </row>
    <row r="71">
      <c r="A71" t="n">
        <v>637</v>
      </c>
      <c r="B71" t="inlineStr">
        <is>
          <t>NC 218</t>
        </is>
      </c>
      <c r="C71" t="n">
        <v>0</v>
      </c>
      <c r="E71" t="inlineStr">
        <is>
          <t>SR 1606</t>
        </is>
      </c>
      <c r="F71" t="inlineStr">
        <is>
          <t>SR 1609</t>
        </is>
      </c>
      <c r="G71" t="inlineStr">
        <is>
          <t>NC 218</t>
        </is>
      </c>
      <c r="H71" t="n">
        <v>8.082000000000001</v>
      </c>
      <c r="I71" t="inlineStr">
        <is>
          <t>NIS</t>
        </is>
      </c>
      <c r="L71" t="n">
        <v>105184681</v>
      </c>
      <c r="M71" s="6" t="n">
        <v>42955</v>
      </c>
      <c r="N71" t="n">
        <v>30</v>
      </c>
      <c r="O71" t="n">
        <v>2</v>
      </c>
      <c r="P71" t="n">
        <v>7</v>
      </c>
      <c r="Q71" t="n">
        <v>1</v>
      </c>
      <c r="R71" t="inlineStr">
        <is>
          <t>C</t>
        </is>
      </c>
      <c r="S71">
        <f>IFERROR(VLOOKUP(N71,Index!$A$1:$B$26,2,FALSE),"")</f>
        <v/>
      </c>
      <c r="T71">
        <f>AA71</f>
        <v/>
      </c>
      <c r="V71">
        <f>IFERROR(INDEX(DetailedFiche!Q:Q,MATCH(L71,DetailedFiche!J:J,0)),"")</f>
        <v/>
      </c>
      <c r="W71">
        <f>IFERROR(INDEX(DetailedFiche!R:R,MATCH(L71,DetailedFiche!J:J,0)),"")</f>
        <v/>
      </c>
      <c r="Y71">
        <f>IFERROR(IF(AND(INDEX('Initial Study'!K:K, MATCH(L71, 'Initial Study'!B:B, 0)+1)&lt;&gt;0,INDEX('Initial Study'!K:K, MATCH(L71, 'Initial Study'!B:B, 0)+1)&lt;&gt;""),INDEX('Initial Study'!K:K, MATCH(L71, 'Initial Study'!B:B, 0)+1),""),"")</f>
        <v/>
      </c>
      <c r="Z71">
        <f>IFERROR(IF(AND(INDEX('Initial Study'!K:K, MATCH(L71, 'Initial Study'!B:B, 0)+2)&lt;&gt;0,INDEX('Initial Study'!K:K, MATCH(L71, 'Initial Study'!B:B, 0)+2)&lt;&gt;"",NOT(ISNUMBER(INDEX('Initial Study'!K:K, MATCH(L71, 'Initial Study'!B:B, 0)+2)))),INDEX('Initial Study'!K:K, MATCH(L71, 'Initial Study'!B:B, 0)+2),"-"),"-")</f>
        <v/>
      </c>
      <c r="AA71">
        <f>IF(S71="RE", Y71 &amp; "BT/" &amp; IF(Z71 &lt;&gt; "-", Z71 &amp; "BT", ""), IF(OR(S71="LTDR", S71="LTSR"), Y71 &amp; "BL" &amp; IF(Z71 &lt;&gt; "-", "/" &amp; Z71 &amp; "BT", ""), IF(OR(S71="RTDR", S71="RTSR"), Y71 &amp; "BR" &amp; IF(Z71 &lt;&gt; "-", "/" &amp; Z71 &amp; "BT", ""), IF(Z71 &lt;&gt; "-", Y71 &amp; "BT/" &amp; Z71 &amp; "BT", Y71 &amp; "BT"))))</f>
        <v/>
      </c>
    </row>
    <row r="72">
      <c r="A72" t="n">
        <v>0</v>
      </c>
      <c r="B72" t="inlineStr">
        <is>
          <t>NC 218</t>
        </is>
      </c>
      <c r="C72" t="n">
        <v>0</v>
      </c>
      <c r="E72" t="inlineStr">
        <is>
          <t>SR 1606</t>
        </is>
      </c>
      <c r="F72" t="inlineStr">
        <is>
          <t>NC 200</t>
        </is>
      </c>
      <c r="G72" t="inlineStr">
        <is>
          <t>NC 218</t>
        </is>
      </c>
      <c r="H72" t="n">
        <v>8.082000000000001</v>
      </c>
      <c r="I72" t="inlineStr">
        <is>
          <t>NIS</t>
        </is>
      </c>
      <c r="L72" t="n">
        <v>105098258</v>
      </c>
      <c r="M72" s="6" t="n">
        <v>42867</v>
      </c>
      <c r="N72" t="n">
        <v>30</v>
      </c>
      <c r="O72" t="n">
        <v>1</v>
      </c>
      <c r="P72" t="n">
        <v>7</v>
      </c>
      <c r="Q72" t="n">
        <v>1</v>
      </c>
      <c r="R72" t="inlineStr">
        <is>
          <t>O</t>
        </is>
      </c>
      <c r="S72">
        <f>IFERROR(VLOOKUP(N72,Index!$A$1:$B$26,2,FALSE),"")</f>
        <v/>
      </c>
      <c r="T72">
        <f>AA72</f>
        <v/>
      </c>
      <c r="V72">
        <f>IFERROR(INDEX(DetailedFiche!Q:Q,MATCH(L72,DetailedFiche!J:J,0)),"")</f>
        <v/>
      </c>
      <c r="W72">
        <f>IFERROR(INDEX(DetailedFiche!R:R,MATCH(L72,DetailedFiche!J:J,0)),"")</f>
        <v/>
      </c>
      <c r="Y72">
        <f>IFERROR(IF(AND(INDEX('Initial Study'!K:K, MATCH(L72, 'Initial Study'!B:B, 0)+1)&lt;&gt;0,INDEX('Initial Study'!K:K, MATCH(L72, 'Initial Study'!B:B, 0)+1)&lt;&gt;""),INDEX('Initial Study'!K:K, MATCH(L72, 'Initial Study'!B:B, 0)+1),""),"")</f>
        <v/>
      </c>
      <c r="Z72">
        <f>IFERROR(IF(AND(INDEX('Initial Study'!K:K, MATCH(L72, 'Initial Study'!B:B, 0)+2)&lt;&gt;0,INDEX('Initial Study'!K:K, MATCH(L72, 'Initial Study'!B:B, 0)+2)&lt;&gt;"",NOT(ISNUMBER(INDEX('Initial Study'!K:K, MATCH(L72, 'Initial Study'!B:B, 0)+2)))),INDEX('Initial Study'!K:K, MATCH(L72, 'Initial Study'!B:B, 0)+2),"-"),"-")</f>
        <v/>
      </c>
      <c r="AA72">
        <f>IF(S72="RE", Y72 &amp; "BT/" &amp; IF(Z72 &lt;&gt; "-", Z72 &amp; "BT", ""), IF(OR(S72="LTDR", S72="LTSR"), Y72 &amp; "BL" &amp; IF(Z72 &lt;&gt; "-", "/" &amp; Z72 &amp; "BT", ""), IF(OR(S72="RTDR", S72="RTSR"), Y72 &amp; "BR" &amp; IF(Z72 &lt;&gt; "-", "/" &amp; Z72 &amp; "BT", ""), IF(Z72 &lt;&gt; "-", Y72 &amp; "BT/" &amp; Z72 &amp; "BT", Y72 &amp; "BT"))))</f>
        <v/>
      </c>
    </row>
    <row r="73">
      <c r="A73" t="n">
        <v>558</v>
      </c>
      <c r="B73" t="inlineStr">
        <is>
          <t>NC 218</t>
        </is>
      </c>
      <c r="C73" t="n">
        <v>0</v>
      </c>
      <c r="E73" t="inlineStr">
        <is>
          <t>SR 1606</t>
        </is>
      </c>
      <c r="F73" t="inlineStr">
        <is>
          <t>SR 1547</t>
        </is>
      </c>
      <c r="G73" t="inlineStr">
        <is>
          <t>NC 218</t>
        </is>
      </c>
      <c r="H73" t="n">
        <v>8.082000000000001</v>
      </c>
      <c r="I73" t="inlineStr">
        <is>
          <t>NIS</t>
        </is>
      </c>
      <c r="L73" t="n">
        <v>105178395</v>
      </c>
      <c r="M73" s="6" t="n">
        <v>42945</v>
      </c>
      <c r="N73" t="n">
        <v>30</v>
      </c>
      <c r="O73" t="n">
        <v>1</v>
      </c>
      <c r="P73" t="n">
        <v>7</v>
      </c>
      <c r="Q73" t="n">
        <v>5</v>
      </c>
      <c r="R73" t="inlineStr">
        <is>
          <t>O</t>
        </is>
      </c>
      <c r="S73">
        <f>IFERROR(VLOOKUP(N73,Index!$A$1:$B$26,2,FALSE),"")</f>
        <v/>
      </c>
      <c r="T73">
        <f>AA73</f>
        <v/>
      </c>
      <c r="V73">
        <f>IFERROR(INDEX(DetailedFiche!Q:Q,MATCH(L73,DetailedFiche!J:J,0)),"")</f>
        <v/>
      </c>
      <c r="W73">
        <f>IFERROR(INDEX(DetailedFiche!R:R,MATCH(L73,DetailedFiche!J:J,0)),"")</f>
        <v/>
      </c>
      <c r="Y73">
        <f>IFERROR(IF(AND(INDEX('Initial Study'!K:K, MATCH(L73, 'Initial Study'!B:B, 0)+1)&lt;&gt;0,INDEX('Initial Study'!K:K, MATCH(L73, 'Initial Study'!B:B, 0)+1)&lt;&gt;""),INDEX('Initial Study'!K:K, MATCH(L73, 'Initial Study'!B:B, 0)+1),""),"")</f>
        <v/>
      </c>
      <c r="Z73">
        <f>IFERROR(IF(AND(INDEX('Initial Study'!K:K, MATCH(L73, 'Initial Study'!B:B, 0)+2)&lt;&gt;0,INDEX('Initial Study'!K:K, MATCH(L73, 'Initial Study'!B:B, 0)+2)&lt;&gt;"",NOT(ISNUMBER(INDEX('Initial Study'!K:K, MATCH(L73, 'Initial Study'!B:B, 0)+2)))),INDEX('Initial Study'!K:K, MATCH(L73, 'Initial Study'!B:B, 0)+2),"-"),"-")</f>
        <v/>
      </c>
      <c r="AA73">
        <f>IF(S73="RE", Y73 &amp; "BT/" &amp; IF(Z73 &lt;&gt; "-", Z73 &amp; "BT", ""), IF(OR(S73="LTDR", S73="LTSR"), Y73 &amp; "BL" &amp; IF(Z73 &lt;&gt; "-", "/" &amp; Z73 &amp; "BT", ""), IF(OR(S73="RTDR", S73="RTSR"), Y73 &amp; "BR" &amp; IF(Z73 &lt;&gt; "-", "/" &amp; Z73 &amp; "BT", ""), IF(Z73 &lt;&gt; "-", Y73 &amp; "BT/" &amp; Z73 &amp; "BT", Y73 &amp; "BT"))))</f>
        <v/>
      </c>
    </row>
    <row r="74">
      <c r="A74" t="n">
        <v>558</v>
      </c>
      <c r="B74" t="inlineStr">
        <is>
          <t>NC 218</t>
        </is>
      </c>
      <c r="C74" t="n">
        <v>0</v>
      </c>
      <c r="E74" t="inlineStr">
        <is>
          <t>SR 1606</t>
        </is>
      </c>
      <c r="F74" t="inlineStr">
        <is>
          <t>SR 1111</t>
        </is>
      </c>
      <c r="G74" t="inlineStr">
        <is>
          <t>NC 218</t>
        </is>
      </c>
      <c r="H74" t="n">
        <v>8.082000000000001</v>
      </c>
      <c r="I74" t="inlineStr">
        <is>
          <t>NIS</t>
        </is>
      </c>
      <c r="L74" t="n">
        <v>104905109</v>
      </c>
      <c r="M74" s="6" t="n">
        <v>42680</v>
      </c>
      <c r="N74" t="n">
        <v>30</v>
      </c>
      <c r="O74" t="n">
        <v>1</v>
      </c>
      <c r="P74" t="n">
        <v>7</v>
      </c>
      <c r="Q74" t="n">
        <v>1</v>
      </c>
      <c r="R74" t="inlineStr">
        <is>
          <t>C</t>
        </is>
      </c>
      <c r="S74">
        <f>IFERROR(VLOOKUP(N74,Index!$A$1:$B$26,2,FALSE),"")</f>
        <v/>
      </c>
      <c r="T74">
        <f>AA74</f>
        <v/>
      </c>
      <c r="V74">
        <f>IFERROR(INDEX(DetailedFiche!Q:Q,MATCH(L74,DetailedFiche!J:J,0)),"")</f>
        <v/>
      </c>
      <c r="W74">
        <f>IFERROR(INDEX(DetailedFiche!R:R,MATCH(L74,DetailedFiche!J:J,0)),"")</f>
        <v/>
      </c>
      <c r="Y74">
        <f>IFERROR(IF(AND(INDEX('Initial Study'!K:K, MATCH(L74, 'Initial Study'!B:B, 0)+1)&lt;&gt;0,INDEX('Initial Study'!K:K, MATCH(L74, 'Initial Study'!B:B, 0)+1)&lt;&gt;""),INDEX('Initial Study'!K:K, MATCH(L74, 'Initial Study'!B:B, 0)+1),""),"")</f>
        <v/>
      </c>
      <c r="Z74">
        <f>IFERROR(IF(AND(INDEX('Initial Study'!K:K, MATCH(L74, 'Initial Study'!B:B, 0)+2)&lt;&gt;0,INDEX('Initial Study'!K:K, MATCH(L74, 'Initial Study'!B:B, 0)+2)&lt;&gt;"",NOT(ISNUMBER(INDEX('Initial Study'!K:K, MATCH(L74, 'Initial Study'!B:B, 0)+2)))),INDEX('Initial Study'!K:K, MATCH(L74, 'Initial Study'!B:B, 0)+2),"-"),"-")</f>
        <v/>
      </c>
      <c r="AA74">
        <f>IF(S74="RE", Y74 &amp; "BT/" &amp; IF(Z74 &lt;&gt; "-", Z74 &amp; "BT", ""), IF(OR(S74="LTDR", S74="LTSR"), Y74 &amp; "BL" &amp; IF(Z74 &lt;&gt; "-", "/" &amp; Z74 &amp; "BT", ""), IF(OR(S74="RTDR", S74="RTSR"), Y74 &amp; "BR" &amp; IF(Z74 &lt;&gt; "-", "/" &amp; Z74 &amp; "BT", ""), IF(Z74 &lt;&gt; "-", Y74 &amp; "BT/" &amp; Z74 &amp; "BT", Y74 &amp; "BT"))))</f>
        <v/>
      </c>
    </row>
    <row r="75">
      <c r="A75" t="n">
        <v>637</v>
      </c>
      <c r="B75" t="inlineStr">
        <is>
          <t>NC 218</t>
        </is>
      </c>
      <c r="C75" t="n">
        <v>0</v>
      </c>
      <c r="E75" t="inlineStr">
        <is>
          <t>SR 1606</t>
        </is>
      </c>
      <c r="F75" t="inlineStr">
        <is>
          <t>SR 1657</t>
        </is>
      </c>
      <c r="G75" t="inlineStr">
        <is>
          <t>NC 218</t>
        </is>
      </c>
      <c r="H75" t="n">
        <v>8.082000000000001</v>
      </c>
      <c r="I75" t="inlineStr">
        <is>
          <t>NIS</t>
        </is>
      </c>
      <c r="L75" t="n">
        <v>104997979</v>
      </c>
      <c r="M75" s="6" t="n">
        <v>42767</v>
      </c>
      <c r="N75" t="n">
        <v>30</v>
      </c>
      <c r="O75" t="n">
        <v>1</v>
      </c>
      <c r="P75" t="n">
        <v>7</v>
      </c>
      <c r="Q75" t="n">
        <v>5</v>
      </c>
      <c r="R75" t="inlineStr">
        <is>
          <t>B</t>
        </is>
      </c>
      <c r="S75">
        <f>IFERROR(VLOOKUP(N75,Index!$A$1:$B$26,2,FALSE),"")</f>
        <v/>
      </c>
      <c r="T75">
        <f>AA75</f>
        <v/>
      </c>
      <c r="V75">
        <f>IFERROR(INDEX(DetailedFiche!Q:Q,MATCH(L75,DetailedFiche!J:J,0)),"")</f>
        <v/>
      </c>
      <c r="W75">
        <f>IFERROR(INDEX(DetailedFiche!R:R,MATCH(L75,DetailedFiche!J:J,0)),"")</f>
        <v/>
      </c>
      <c r="Y75">
        <f>IFERROR(IF(AND(INDEX('Initial Study'!K:K, MATCH(L75, 'Initial Study'!B:B, 0)+1)&lt;&gt;0,INDEX('Initial Study'!K:K, MATCH(L75, 'Initial Study'!B:B, 0)+1)&lt;&gt;""),INDEX('Initial Study'!K:K, MATCH(L75, 'Initial Study'!B:B, 0)+1),""),"")</f>
        <v/>
      </c>
      <c r="Z75">
        <f>IFERROR(IF(AND(INDEX('Initial Study'!K:K, MATCH(L75, 'Initial Study'!B:B, 0)+2)&lt;&gt;0,INDEX('Initial Study'!K:K, MATCH(L75, 'Initial Study'!B:B, 0)+2)&lt;&gt;"",NOT(ISNUMBER(INDEX('Initial Study'!K:K, MATCH(L75, 'Initial Study'!B:B, 0)+2)))),INDEX('Initial Study'!K:K, MATCH(L75, 'Initial Study'!B:B, 0)+2),"-"),"-")</f>
        <v/>
      </c>
      <c r="AA75">
        <f>IF(S75="RE", Y75 &amp; "BT/" &amp; IF(Z75 &lt;&gt; "-", Z75 &amp; "BT", ""), IF(OR(S75="LTDR", S75="LTSR"), Y75 &amp; "BL" &amp; IF(Z75 &lt;&gt; "-", "/" &amp; Z75 &amp; "BT", ""), IF(OR(S75="RTDR", S75="RTSR"), Y75 &amp; "BR" &amp; IF(Z75 &lt;&gt; "-", "/" &amp; Z75 &amp; "BT", ""), IF(Z75 &lt;&gt; "-", Y75 &amp; "BT/" &amp; Z75 &amp; "BT", Y75 &amp; "BT"))))</f>
        <v/>
      </c>
    </row>
    <row r="76">
      <c r="A76" t="n">
        <v>637</v>
      </c>
      <c r="B76" t="inlineStr">
        <is>
          <t>NC 218</t>
        </is>
      </c>
      <c r="C76" t="n">
        <v>0</v>
      </c>
      <c r="E76" t="inlineStr">
        <is>
          <t>SR 1606</t>
        </is>
      </c>
      <c r="F76" t="inlineStr">
        <is>
          <t>SR 1609</t>
        </is>
      </c>
      <c r="G76" t="inlineStr">
        <is>
          <t>NC 218</t>
        </is>
      </c>
      <c r="H76" t="n">
        <v>8.082000000000001</v>
      </c>
      <c r="I76" t="inlineStr">
        <is>
          <t>NIS</t>
        </is>
      </c>
      <c r="L76" t="n">
        <v>104984617</v>
      </c>
      <c r="M76" s="6" t="n">
        <v>42758</v>
      </c>
      <c r="N76" t="n">
        <v>30</v>
      </c>
      <c r="O76" t="n">
        <v>1</v>
      </c>
      <c r="P76" t="n">
        <v>7</v>
      </c>
      <c r="Q76" t="n">
        <v>1</v>
      </c>
      <c r="R76" t="inlineStr">
        <is>
          <t>C</t>
        </is>
      </c>
      <c r="S76">
        <f>IFERROR(VLOOKUP(N76,Index!$A$1:$B$26,2,FALSE),"")</f>
        <v/>
      </c>
      <c r="T76">
        <f>AA76</f>
        <v/>
      </c>
      <c r="V76">
        <f>IFERROR(INDEX(DetailedFiche!Q:Q,MATCH(L76,DetailedFiche!J:J,0)),"")</f>
        <v/>
      </c>
      <c r="W76">
        <f>IFERROR(INDEX(DetailedFiche!R:R,MATCH(L76,DetailedFiche!J:J,0)),"")</f>
        <v/>
      </c>
      <c r="Y76">
        <f>IFERROR(IF(AND(INDEX('Initial Study'!K:K, MATCH(L76, 'Initial Study'!B:B, 0)+1)&lt;&gt;0,INDEX('Initial Study'!K:K, MATCH(L76, 'Initial Study'!B:B, 0)+1)&lt;&gt;""),INDEX('Initial Study'!K:K, MATCH(L76, 'Initial Study'!B:B, 0)+1),""),"")</f>
        <v/>
      </c>
      <c r="Z76">
        <f>IFERROR(IF(AND(INDEX('Initial Study'!K:K, MATCH(L76, 'Initial Study'!B:B, 0)+2)&lt;&gt;0,INDEX('Initial Study'!K:K, MATCH(L76, 'Initial Study'!B:B, 0)+2)&lt;&gt;"",NOT(ISNUMBER(INDEX('Initial Study'!K:K, MATCH(L76, 'Initial Study'!B:B, 0)+2)))),INDEX('Initial Study'!K:K, MATCH(L76, 'Initial Study'!B:B, 0)+2),"-"),"-")</f>
        <v/>
      </c>
      <c r="AA76">
        <f>IF(S76="RE", Y76 &amp; "BT/" &amp; IF(Z76 &lt;&gt; "-", Z76 &amp; "BT", ""), IF(OR(S76="LTDR", S76="LTSR"), Y76 &amp; "BL" &amp; IF(Z76 &lt;&gt; "-", "/" &amp; Z76 &amp; "BT", ""), IF(OR(S76="RTDR", S76="RTSR"), Y76 &amp; "BR" &amp; IF(Z76 &lt;&gt; "-", "/" &amp; Z76 &amp; "BT", ""), IF(Z76 &lt;&gt; "-", Y76 &amp; "BT/" &amp; Z76 &amp; "BT", Y76 &amp; "BT"))))</f>
        <v/>
      </c>
    </row>
    <row r="77">
      <c r="A77" t="n">
        <v>637</v>
      </c>
      <c r="B77" t="inlineStr">
        <is>
          <t>NC 218</t>
        </is>
      </c>
      <c r="C77" t="n">
        <v>0</v>
      </c>
      <c r="E77" t="inlineStr">
        <is>
          <t>SR 1606</t>
        </is>
      </c>
      <c r="F77" t="inlineStr">
        <is>
          <t>SR 1547</t>
        </is>
      </c>
      <c r="G77" t="inlineStr">
        <is>
          <t>NC 218</t>
        </is>
      </c>
      <c r="H77" t="n">
        <v>8.082000000000001</v>
      </c>
      <c r="I77" t="inlineStr">
        <is>
          <t>NIS</t>
        </is>
      </c>
      <c r="L77" t="n">
        <v>104866502</v>
      </c>
      <c r="M77" s="6" t="n">
        <v>42643</v>
      </c>
      <c r="N77" t="n">
        <v>24</v>
      </c>
      <c r="O77" t="n">
        <v>1</v>
      </c>
      <c r="P77" t="n">
        <v>7</v>
      </c>
      <c r="Q77" t="n">
        <v>5</v>
      </c>
      <c r="R77" t="inlineStr">
        <is>
          <t>A</t>
        </is>
      </c>
      <c r="S77">
        <f>IFERROR(VLOOKUP(N77,Index!$A$1:$B$26,2,FALSE),"")</f>
        <v/>
      </c>
      <c r="T77">
        <f>AA77</f>
        <v/>
      </c>
      <c r="V77">
        <f>IFERROR(INDEX(DetailedFiche!Q:Q,MATCH(L77,DetailedFiche!J:J,0)),"")</f>
        <v/>
      </c>
      <c r="W77">
        <f>IFERROR(INDEX(DetailedFiche!R:R,MATCH(L77,DetailedFiche!J:J,0)),"")</f>
        <v/>
      </c>
      <c r="Y77">
        <f>IFERROR(IF(AND(INDEX('Initial Study'!K:K, MATCH(L77, 'Initial Study'!B:B, 0)+1)&lt;&gt;0,INDEX('Initial Study'!K:K, MATCH(L77, 'Initial Study'!B:B, 0)+1)&lt;&gt;""),INDEX('Initial Study'!K:K, MATCH(L77, 'Initial Study'!B:B, 0)+1),""),"")</f>
        <v/>
      </c>
      <c r="Z77">
        <f>IFERROR(IF(AND(INDEX('Initial Study'!K:K, MATCH(L77, 'Initial Study'!B:B, 0)+2)&lt;&gt;0,INDEX('Initial Study'!K:K, MATCH(L77, 'Initial Study'!B:B, 0)+2)&lt;&gt;"",NOT(ISNUMBER(INDEX('Initial Study'!K:K, MATCH(L77, 'Initial Study'!B:B, 0)+2)))),INDEX('Initial Study'!K:K, MATCH(L77, 'Initial Study'!B:B, 0)+2),"-"),"-")</f>
        <v/>
      </c>
      <c r="AA77">
        <f>IF(S77="RE", Y77 &amp; "BT/" &amp; IF(Z77 &lt;&gt; "-", Z77 &amp; "BT", ""), IF(OR(S77="LTDR", S77="LTSR"), Y77 &amp; "BL" &amp; IF(Z77 &lt;&gt; "-", "/" &amp; Z77 &amp; "BT", ""), IF(OR(S77="RTDR", S77="RTSR"), Y77 &amp; "BR" &amp; IF(Z77 &lt;&gt; "-", "/" &amp; Z77 &amp; "BT", ""), IF(Z77 &lt;&gt; "-", Y77 &amp; "BT/" &amp; Z77 &amp; "BT", Y77 &amp; "BT"))))</f>
        <v/>
      </c>
    </row>
    <row r="78">
      <c r="A78" t="n">
        <v>0</v>
      </c>
      <c r="B78" t="inlineStr">
        <is>
          <t>NC 218</t>
        </is>
      </c>
      <c r="C78" t="n">
        <v>0</v>
      </c>
      <c r="E78" t="inlineStr">
        <is>
          <t>SR 1606</t>
        </is>
      </c>
      <c r="F78" t="inlineStr">
        <is>
          <t>SR 1001</t>
        </is>
      </c>
      <c r="G78" t="inlineStr">
        <is>
          <t>NC 218</t>
        </is>
      </c>
      <c r="H78" t="n">
        <v>8.082000000000001</v>
      </c>
      <c r="I78" t="inlineStr">
        <is>
          <t>NIS</t>
        </is>
      </c>
      <c r="L78" t="n">
        <v>104805272</v>
      </c>
      <c r="M78" s="6" t="n">
        <v>42581</v>
      </c>
      <c r="N78" t="n">
        <v>30</v>
      </c>
      <c r="O78" t="n">
        <v>1</v>
      </c>
      <c r="P78" t="n">
        <v>7</v>
      </c>
      <c r="Q78" t="n">
        <v>1</v>
      </c>
      <c r="R78" t="inlineStr">
        <is>
          <t>C</t>
        </is>
      </c>
      <c r="S78">
        <f>IFERROR(VLOOKUP(N78,Index!$A$1:$B$26,2,FALSE),"")</f>
        <v/>
      </c>
      <c r="T78">
        <f>AA78</f>
        <v/>
      </c>
      <c r="V78">
        <f>IFERROR(INDEX(DetailedFiche!Q:Q,MATCH(L78,DetailedFiche!J:J,0)),"")</f>
        <v/>
      </c>
      <c r="W78">
        <f>IFERROR(INDEX(DetailedFiche!R:R,MATCH(L78,DetailedFiche!J:J,0)),"")</f>
        <v/>
      </c>
      <c r="Y78">
        <f>IFERROR(IF(AND(INDEX('Initial Study'!K:K, MATCH(L78, 'Initial Study'!B:B, 0)+1)&lt;&gt;0,INDEX('Initial Study'!K:K, MATCH(L78, 'Initial Study'!B:B, 0)+1)&lt;&gt;""),INDEX('Initial Study'!K:K, MATCH(L78, 'Initial Study'!B:B, 0)+1),""),"")</f>
        <v/>
      </c>
      <c r="Z78">
        <f>IFERROR(IF(AND(INDEX('Initial Study'!K:K, MATCH(L78, 'Initial Study'!B:B, 0)+2)&lt;&gt;0,INDEX('Initial Study'!K:K, MATCH(L78, 'Initial Study'!B:B, 0)+2)&lt;&gt;"",NOT(ISNUMBER(INDEX('Initial Study'!K:K, MATCH(L78, 'Initial Study'!B:B, 0)+2)))),INDEX('Initial Study'!K:K, MATCH(L78, 'Initial Study'!B:B, 0)+2),"-"),"-")</f>
        <v/>
      </c>
      <c r="AA78">
        <f>IF(S78="RE", Y78 &amp; "BT/" &amp; IF(Z78 &lt;&gt; "-", Z78 &amp; "BT", ""), IF(OR(S78="LTDR", S78="LTSR"), Y78 &amp; "BL" &amp; IF(Z78 &lt;&gt; "-", "/" &amp; Z78 &amp; "BT", ""), IF(OR(S78="RTDR", S78="RTSR"), Y78 &amp; "BR" &amp; IF(Z78 &lt;&gt; "-", "/" &amp; Z78 &amp; "BT", ""), IF(Z78 &lt;&gt; "-", Y78 &amp; "BT/" &amp; Z78 &amp; "BT", Y78 &amp; "BT"))))</f>
        <v/>
      </c>
    </row>
    <row r="79">
      <c r="A79" t="n">
        <v>637</v>
      </c>
      <c r="B79" t="inlineStr">
        <is>
          <t>NC 218</t>
        </is>
      </c>
      <c r="C79" t="n">
        <v>0.002</v>
      </c>
      <c r="D79" t="inlineStr">
        <is>
          <t>E</t>
        </is>
      </c>
      <c r="E79" t="inlineStr">
        <is>
          <t>SR 1606</t>
        </is>
      </c>
      <c r="F79" t="inlineStr">
        <is>
          <t>SR 1547</t>
        </is>
      </c>
      <c r="G79" t="inlineStr">
        <is>
          <t>NC 218</t>
        </is>
      </c>
      <c r="H79" t="n">
        <v>8.084</v>
      </c>
      <c r="I79" t="inlineStr">
        <is>
          <t>NIS</t>
        </is>
      </c>
      <c r="L79" t="n">
        <v>105301818</v>
      </c>
      <c r="M79" s="6" t="n">
        <v>43065</v>
      </c>
      <c r="N79" t="n">
        <v>21</v>
      </c>
      <c r="O79" t="n">
        <v>1</v>
      </c>
      <c r="P79" t="n">
        <v>0</v>
      </c>
      <c r="Q79" t="n">
        <v>5</v>
      </c>
      <c r="R79" t="inlineStr">
        <is>
          <t>C</t>
        </is>
      </c>
      <c r="S79">
        <f>IFERROR(VLOOKUP(N79,Index!$A$1:$B$26,2,FALSE),"")</f>
        <v/>
      </c>
      <c r="T79">
        <f>AA79</f>
        <v/>
      </c>
      <c r="V79">
        <f>IFERROR(INDEX(DetailedFiche!Q:Q,MATCH(L79,DetailedFiche!J:J,0)),"")</f>
        <v/>
      </c>
      <c r="W79">
        <f>IFERROR(INDEX(DetailedFiche!R:R,MATCH(L79,DetailedFiche!J:J,0)),"")</f>
        <v/>
      </c>
      <c r="Y79">
        <f>IFERROR(IF(AND(INDEX('Initial Study'!K:K, MATCH(L79, 'Initial Study'!B:B, 0)+1)&lt;&gt;0,INDEX('Initial Study'!K:K, MATCH(L79, 'Initial Study'!B:B, 0)+1)&lt;&gt;""),INDEX('Initial Study'!K:K, MATCH(L79, 'Initial Study'!B:B, 0)+1),""),"")</f>
        <v/>
      </c>
      <c r="Z79">
        <f>IFERROR(IF(AND(INDEX('Initial Study'!K:K, MATCH(L79, 'Initial Study'!B:B, 0)+2)&lt;&gt;0,INDEX('Initial Study'!K:K, MATCH(L79, 'Initial Study'!B:B, 0)+2)&lt;&gt;"",NOT(ISNUMBER(INDEX('Initial Study'!K:K, MATCH(L79, 'Initial Study'!B:B, 0)+2)))),INDEX('Initial Study'!K:K, MATCH(L79, 'Initial Study'!B:B, 0)+2),"-"),"-")</f>
        <v/>
      </c>
      <c r="AA79">
        <f>IF(S79="RE", Y79 &amp; "BT/" &amp; IF(Z79 &lt;&gt; "-", Z79 &amp; "BT", ""), IF(OR(S79="LTDR", S79="LTSR"), Y79 &amp; "BL" &amp; IF(Z79 &lt;&gt; "-", "/" &amp; Z79 &amp; "BT", ""), IF(OR(S79="RTDR", S79="RTSR"), Y79 &amp; "BR" &amp; IF(Z79 &lt;&gt; "-", "/" &amp; Z79 &amp; "BT", ""), IF(Z79 &lt;&gt; "-", Y79 &amp; "BT/" &amp; Z79 &amp; "BT", Y79 &amp; "BT"))))</f>
        <v/>
      </c>
    </row>
    <row r="80">
      <c r="A80" t="n">
        <v>637</v>
      </c>
      <c r="B80" t="inlineStr">
        <is>
          <t>NC 218</t>
        </is>
      </c>
      <c r="C80" t="n">
        <v>0.008999999999999999</v>
      </c>
      <c r="D80" t="inlineStr">
        <is>
          <t>E</t>
        </is>
      </c>
      <c r="E80" t="inlineStr">
        <is>
          <t>SR 1606</t>
        </is>
      </c>
      <c r="F80" t="inlineStr">
        <is>
          <t>SR 1547</t>
        </is>
      </c>
      <c r="G80" t="inlineStr">
        <is>
          <t>NC 218</t>
        </is>
      </c>
      <c r="H80" t="n">
        <v>8.090999999999999</v>
      </c>
      <c r="I80" t="inlineStr">
        <is>
          <t>NIS</t>
        </is>
      </c>
      <c r="L80" t="n">
        <v>105152445</v>
      </c>
      <c r="M80" s="6" t="n">
        <v>42922</v>
      </c>
      <c r="N80" t="n">
        <v>21</v>
      </c>
      <c r="O80" t="n">
        <v>1</v>
      </c>
      <c r="P80" t="n">
        <v>7</v>
      </c>
      <c r="Q80" t="n">
        <v>1</v>
      </c>
      <c r="R80" t="inlineStr">
        <is>
          <t>O</t>
        </is>
      </c>
      <c r="S80">
        <f>IFERROR(VLOOKUP(N80,Index!$A$1:$B$26,2,FALSE),"")</f>
        <v/>
      </c>
      <c r="T80">
        <f>AA80</f>
        <v/>
      </c>
      <c r="V80">
        <f>IFERROR(INDEX(DetailedFiche!Q:Q,MATCH(L80,DetailedFiche!J:J,0)),"")</f>
        <v/>
      </c>
      <c r="W80">
        <f>IFERROR(INDEX(DetailedFiche!R:R,MATCH(L80,DetailedFiche!J:J,0)),"")</f>
        <v/>
      </c>
      <c r="Y80">
        <f>IFERROR(IF(AND(INDEX('Initial Study'!K:K, MATCH(L80, 'Initial Study'!B:B, 0)+1)&lt;&gt;0,INDEX('Initial Study'!K:K, MATCH(L80, 'Initial Study'!B:B, 0)+1)&lt;&gt;""),INDEX('Initial Study'!K:K, MATCH(L80, 'Initial Study'!B:B, 0)+1),""),"")</f>
        <v/>
      </c>
      <c r="Z80">
        <f>IFERROR(IF(AND(INDEX('Initial Study'!K:K, MATCH(L80, 'Initial Study'!B:B, 0)+2)&lt;&gt;0,INDEX('Initial Study'!K:K, MATCH(L80, 'Initial Study'!B:B, 0)+2)&lt;&gt;"",NOT(ISNUMBER(INDEX('Initial Study'!K:K, MATCH(L80, 'Initial Study'!B:B, 0)+2)))),INDEX('Initial Study'!K:K, MATCH(L80, 'Initial Study'!B:B, 0)+2),"-"),"-")</f>
        <v/>
      </c>
      <c r="AA80">
        <f>IF(S80="RE", Y80 &amp; "BT/" &amp; IF(Z80 &lt;&gt; "-", Z80 &amp; "BT", ""), IF(OR(S80="LTDR", S80="LTSR"), Y80 &amp; "BL" &amp; IF(Z80 &lt;&gt; "-", "/" &amp; Z80 &amp; "BT", ""), IF(OR(S80="RTDR", S80="RTSR"), Y80 &amp; "BR" &amp; IF(Z80 &lt;&gt; "-", "/" &amp; Z80 &amp; "BT", ""), IF(Z80 &lt;&gt; "-", Y80 &amp; "BT/" &amp; Z80 &amp; "BT", Y80 &amp; "BT"))))</f>
        <v/>
      </c>
    </row>
    <row r="81">
      <c r="A81" t="n">
        <v>637</v>
      </c>
      <c r="B81" t="inlineStr">
        <is>
          <t>NC 218</t>
        </is>
      </c>
      <c r="C81" t="n">
        <v>0.01</v>
      </c>
      <c r="D81" t="inlineStr">
        <is>
          <t>E</t>
        </is>
      </c>
      <c r="E81" t="inlineStr">
        <is>
          <t>SR 1606</t>
        </is>
      </c>
      <c r="F81" t="inlineStr">
        <is>
          <t>SR 1547</t>
        </is>
      </c>
      <c r="G81" t="inlineStr">
        <is>
          <t>NC 218</t>
        </is>
      </c>
      <c r="H81" t="n">
        <v>8.092000000000001</v>
      </c>
      <c r="I81" t="inlineStr">
        <is>
          <t>NIS</t>
        </is>
      </c>
      <c r="L81" t="n">
        <v>108326425</v>
      </c>
      <c r="M81" s="6" t="n">
        <v>45991</v>
      </c>
      <c r="N81" t="n">
        <v>21</v>
      </c>
      <c r="O81" t="n">
        <v>2</v>
      </c>
      <c r="P81" t="n">
        <v>0</v>
      </c>
      <c r="Q81" t="n">
        <v>5</v>
      </c>
      <c r="R81" t="inlineStr">
        <is>
          <t>O</t>
        </is>
      </c>
      <c r="S81">
        <f>IFERROR(VLOOKUP(N81,Index!$A$1:$B$26,2,FALSE),"")</f>
        <v/>
      </c>
      <c r="T81">
        <f>AA81</f>
        <v/>
      </c>
      <c r="V81">
        <f>IFERROR(INDEX(DetailedFiche!Q:Q,MATCH(L81,DetailedFiche!J:J,0)),"")</f>
        <v/>
      </c>
      <c r="W81">
        <f>IFERROR(INDEX(DetailedFiche!R:R,MATCH(L81,DetailedFiche!J:J,0)),"")</f>
        <v/>
      </c>
      <c r="Y81">
        <f>IFERROR(IF(AND(INDEX('Initial Study'!K:K, MATCH(L81, 'Initial Study'!B:B, 0)+1)&lt;&gt;0,INDEX('Initial Study'!K:K, MATCH(L81, 'Initial Study'!B:B, 0)+1)&lt;&gt;""),INDEX('Initial Study'!K:K, MATCH(L81, 'Initial Study'!B:B, 0)+1),""),"")</f>
        <v/>
      </c>
      <c r="Z81">
        <f>IFERROR(IF(AND(INDEX('Initial Study'!K:K, MATCH(L81, 'Initial Study'!B:B, 0)+2)&lt;&gt;0,INDEX('Initial Study'!K:K, MATCH(L81, 'Initial Study'!B:B, 0)+2)&lt;&gt;"",NOT(ISNUMBER(INDEX('Initial Study'!K:K, MATCH(L81, 'Initial Study'!B:B, 0)+2)))),INDEX('Initial Study'!K:K, MATCH(L81, 'Initial Study'!B:B, 0)+2),"-"),"-")</f>
        <v/>
      </c>
      <c r="AA81">
        <f>IF(S81="RE", Y81 &amp; "BT/" &amp; IF(Z81 &lt;&gt; "-", Z81 &amp; "BT", ""), IF(OR(S81="LTDR", S81="LTSR"), Y81 &amp; "BL" &amp; IF(Z81 &lt;&gt; "-", "/" &amp; Z81 &amp; "BT", ""), IF(OR(S81="RTDR", S81="RTSR"), Y81 &amp; "BR" &amp; IF(Z81 &lt;&gt; "-", "/" &amp; Z81 &amp; "BT", ""), IF(Z81 &lt;&gt; "-", Y81 &amp; "BT/" &amp; Z81 &amp; "BT", Y81 &amp; "BT"))))</f>
        <v/>
      </c>
    </row>
    <row r="82">
      <c r="A82" t="n">
        <v>0</v>
      </c>
      <c r="B82" t="inlineStr">
        <is>
          <t>NC 218</t>
        </is>
      </c>
      <c r="C82" t="n">
        <v>0.028</v>
      </c>
      <c r="D82" t="inlineStr">
        <is>
          <t>W</t>
        </is>
      </c>
      <c r="E82" t="inlineStr">
        <is>
          <t>LOVE MILL</t>
        </is>
      </c>
      <c r="F82" t="inlineStr">
        <is>
          <t>BRIEF</t>
        </is>
      </c>
      <c r="G82" t="inlineStr">
        <is>
          <t>NC 218</t>
        </is>
      </c>
      <c r="H82" t="n">
        <v>9.757999999999999</v>
      </c>
      <c r="I82" t="inlineStr">
        <is>
          <t>NIS</t>
        </is>
      </c>
      <c r="L82" t="n">
        <v>107144129</v>
      </c>
      <c r="M82" s="6" t="n">
        <v>44878</v>
      </c>
      <c r="N82" t="n">
        <v>17</v>
      </c>
      <c r="O82" t="n">
        <v>1</v>
      </c>
      <c r="P82" t="n">
        <v>0</v>
      </c>
      <c r="Q82" t="n">
        <v>5</v>
      </c>
      <c r="R82" t="inlineStr">
        <is>
          <t>O</t>
        </is>
      </c>
      <c r="S82">
        <f>IFERROR(VLOOKUP(N82,Index!$A$1:$B$26,2,FALSE),"")</f>
        <v/>
      </c>
      <c r="T82">
        <f>AA82</f>
        <v/>
      </c>
      <c r="V82">
        <f>IFERROR(INDEX(DetailedFiche!Q:Q,MATCH(L82,DetailedFiche!J:J,0)),"")</f>
        <v/>
      </c>
      <c r="W82">
        <f>IFERROR(INDEX(DetailedFiche!R:R,MATCH(L82,DetailedFiche!J:J,0)),"")</f>
        <v/>
      </c>
      <c r="Y82">
        <f>IFERROR(IF(AND(INDEX('Initial Study'!K:K, MATCH(L82, 'Initial Study'!B:B, 0)+1)&lt;&gt;0,INDEX('Initial Study'!K:K, MATCH(L82, 'Initial Study'!B:B, 0)+1)&lt;&gt;""),INDEX('Initial Study'!K:K, MATCH(L82, 'Initial Study'!B:B, 0)+1),""),"")</f>
        <v/>
      </c>
      <c r="Z82">
        <f>IFERROR(IF(AND(INDEX('Initial Study'!K:K, MATCH(L82, 'Initial Study'!B:B, 0)+2)&lt;&gt;0,INDEX('Initial Study'!K:K, MATCH(L82, 'Initial Study'!B:B, 0)+2)&lt;&gt;"",NOT(ISNUMBER(INDEX('Initial Study'!K:K, MATCH(L82, 'Initial Study'!B:B, 0)+2)))),INDEX('Initial Study'!K:K, MATCH(L82, 'Initial Study'!B:B, 0)+2),"-"),"-")</f>
        <v/>
      </c>
      <c r="AA82">
        <f>IF(S82="RE", Y82 &amp; "BT/" &amp; IF(Z82 &lt;&gt; "-", Z82 &amp; "BT", ""), IF(OR(S82="LTDR", S82="LTSR"), Y82 &amp; "BL" &amp; IF(Z82 &lt;&gt; "-", "/" &amp; Z82 &amp; "BT", ""), IF(OR(S82="RTDR", S82="RTSR"), Y82 &amp; "BR" &amp; IF(Z82 &lt;&gt; "-", "/" &amp; Z82 &amp; "BT", ""), IF(Z82 &lt;&gt; "-", Y82 &amp; "BT/" &amp; Z82 &amp; "BT", Y82 &amp; "BT"))))</f>
        <v/>
      </c>
    </row>
    <row r="83">
      <c r="A83" t="n">
        <v>637</v>
      </c>
      <c r="B83" t="inlineStr">
        <is>
          <t>NC 218</t>
        </is>
      </c>
      <c r="C83" t="n">
        <v>0.014</v>
      </c>
      <c r="D83" t="inlineStr">
        <is>
          <t>W</t>
        </is>
      </c>
      <c r="E83" t="inlineStr">
        <is>
          <t>SR 1001</t>
        </is>
      </c>
      <c r="F83" t="inlineStr">
        <is>
          <t>SR 1609</t>
        </is>
      </c>
      <c r="G83" t="inlineStr">
        <is>
          <t>NC 218</t>
        </is>
      </c>
      <c r="H83" t="n">
        <v>9.772</v>
      </c>
      <c r="I83" t="inlineStr">
        <is>
          <t>NIS</t>
        </is>
      </c>
      <c r="L83" t="n">
        <v>105062907</v>
      </c>
      <c r="M83" s="6" t="n">
        <v>42828</v>
      </c>
      <c r="N83" t="n">
        <v>23</v>
      </c>
      <c r="O83" t="n">
        <v>1</v>
      </c>
      <c r="P83" t="n">
        <v>0</v>
      </c>
      <c r="Q83" t="n">
        <v>1</v>
      </c>
      <c r="R83" t="inlineStr">
        <is>
          <t>O</t>
        </is>
      </c>
      <c r="S83">
        <f>IFERROR(VLOOKUP(N83,Index!$A$1:$B$26,2,FALSE),"")</f>
        <v/>
      </c>
      <c r="T83">
        <f>AA83</f>
        <v/>
      </c>
      <c r="V83">
        <f>IFERROR(INDEX(DetailedFiche!Q:Q,MATCH(L83,DetailedFiche!J:J,0)),"")</f>
        <v/>
      </c>
      <c r="W83">
        <f>IFERROR(INDEX(DetailedFiche!R:R,MATCH(L83,DetailedFiche!J:J,0)),"")</f>
        <v/>
      </c>
      <c r="Y83">
        <f>IFERROR(IF(AND(INDEX('Initial Study'!K:K, MATCH(L83, 'Initial Study'!B:B, 0)+1)&lt;&gt;0,INDEX('Initial Study'!K:K, MATCH(L83, 'Initial Study'!B:B, 0)+1)&lt;&gt;""),INDEX('Initial Study'!K:K, MATCH(L83, 'Initial Study'!B:B, 0)+1),""),"")</f>
        <v/>
      </c>
      <c r="Z83">
        <f>IFERROR(IF(AND(INDEX('Initial Study'!K:K, MATCH(L83, 'Initial Study'!B:B, 0)+2)&lt;&gt;0,INDEX('Initial Study'!K:K, MATCH(L83, 'Initial Study'!B:B, 0)+2)&lt;&gt;"",NOT(ISNUMBER(INDEX('Initial Study'!K:K, MATCH(L83, 'Initial Study'!B:B, 0)+2)))),INDEX('Initial Study'!K:K, MATCH(L83, 'Initial Study'!B:B, 0)+2),"-"),"-")</f>
        <v/>
      </c>
      <c r="AA83">
        <f>IF(S83="RE", Y83 &amp; "BT/" &amp; IF(Z83 &lt;&gt; "-", Z83 &amp; "BT", ""), IF(OR(S83="LTDR", S83="LTSR"), Y83 &amp; "BL" &amp; IF(Z83 &lt;&gt; "-", "/" &amp; Z83 &amp; "BT", ""), IF(OR(S83="RTDR", S83="RTSR"), Y83 &amp; "BR" &amp; IF(Z83 &lt;&gt; "-", "/" &amp; Z83 &amp; "BT", ""), IF(Z83 &lt;&gt; "-", Y83 &amp; "BT/" &amp; Z83 &amp; "BT", Y83 &amp; "BT"))))</f>
        <v/>
      </c>
    </row>
    <row r="84">
      <c r="A84" t="n">
        <v>0</v>
      </c>
      <c r="B84" t="inlineStr">
        <is>
          <t>NC 218</t>
        </is>
      </c>
      <c r="C84" t="n">
        <v>0.005</v>
      </c>
      <c r="D84" t="inlineStr">
        <is>
          <t>W</t>
        </is>
      </c>
      <c r="E84" t="inlineStr">
        <is>
          <t>SR 1001</t>
        </is>
      </c>
      <c r="F84" t="inlineStr">
        <is>
          <t>SR 1547</t>
        </is>
      </c>
      <c r="G84" t="inlineStr">
        <is>
          <t>NC 218</t>
        </is>
      </c>
      <c r="H84" t="n">
        <v>9.781000000000001</v>
      </c>
      <c r="I84" t="inlineStr">
        <is>
          <t>NIS</t>
        </is>
      </c>
      <c r="L84" t="n">
        <v>105103445</v>
      </c>
      <c r="M84" s="6" t="n">
        <v>42872</v>
      </c>
      <c r="N84" t="n">
        <v>23</v>
      </c>
      <c r="O84" t="n">
        <v>1</v>
      </c>
      <c r="P84" t="n">
        <v>7</v>
      </c>
      <c r="Q84" t="n">
        <v>1</v>
      </c>
      <c r="R84" t="inlineStr">
        <is>
          <t>B</t>
        </is>
      </c>
      <c r="S84">
        <f>IFERROR(VLOOKUP(N84,Index!$A$1:$B$26,2,FALSE),"")</f>
        <v/>
      </c>
      <c r="T84">
        <f>AA84</f>
        <v/>
      </c>
      <c r="V84">
        <f>IFERROR(INDEX(DetailedFiche!Q:Q,MATCH(L84,DetailedFiche!J:J,0)),"")</f>
        <v/>
      </c>
      <c r="W84">
        <f>IFERROR(INDEX(DetailedFiche!R:R,MATCH(L84,DetailedFiche!J:J,0)),"")</f>
        <v/>
      </c>
      <c r="Y84">
        <f>IFERROR(IF(AND(INDEX('Initial Study'!K:K, MATCH(L84, 'Initial Study'!B:B, 0)+1)&lt;&gt;0,INDEX('Initial Study'!K:K, MATCH(L84, 'Initial Study'!B:B, 0)+1)&lt;&gt;""),INDEX('Initial Study'!K:K, MATCH(L84, 'Initial Study'!B:B, 0)+1),""),"")</f>
        <v/>
      </c>
      <c r="Z84">
        <f>IFERROR(IF(AND(INDEX('Initial Study'!K:K, MATCH(L84, 'Initial Study'!B:B, 0)+2)&lt;&gt;0,INDEX('Initial Study'!K:K, MATCH(L84, 'Initial Study'!B:B, 0)+2)&lt;&gt;"",NOT(ISNUMBER(INDEX('Initial Study'!K:K, MATCH(L84, 'Initial Study'!B:B, 0)+2)))),INDEX('Initial Study'!K:K, MATCH(L84, 'Initial Study'!B:B, 0)+2),"-"),"-")</f>
        <v/>
      </c>
      <c r="AA84">
        <f>IF(S84="RE", Y84 &amp; "BT/" &amp; IF(Z84 &lt;&gt; "-", Z84 &amp; "BT", ""), IF(OR(S84="LTDR", S84="LTSR"), Y84 &amp; "BL" &amp; IF(Z84 &lt;&gt; "-", "/" &amp; Z84 &amp; "BT", ""), IF(OR(S84="RTDR", S84="RTSR"), Y84 &amp; "BR" &amp; IF(Z84 &lt;&gt; "-", "/" &amp; Z84 &amp; "BT", ""), IF(Z84 &lt;&gt; "-", Y84 &amp; "BT/" &amp; Z84 &amp; "BT", Y84 &amp; "BT"))))</f>
        <v/>
      </c>
    </row>
    <row r="85">
      <c r="A85" t="n">
        <v>637</v>
      </c>
      <c r="B85" t="inlineStr">
        <is>
          <t>NC 218</t>
        </is>
      </c>
      <c r="C85" t="n">
        <v>0.004</v>
      </c>
      <c r="D85" t="inlineStr">
        <is>
          <t>W</t>
        </is>
      </c>
      <c r="E85" t="inlineStr">
        <is>
          <t>SR 1001</t>
        </is>
      </c>
      <c r="F85" t="inlineStr">
        <is>
          <t>SR 1609</t>
        </is>
      </c>
      <c r="G85" t="inlineStr">
        <is>
          <t>NC 218</t>
        </is>
      </c>
      <c r="H85" t="n">
        <v>9.782</v>
      </c>
      <c r="I85" t="inlineStr">
        <is>
          <t>NIS</t>
        </is>
      </c>
      <c r="L85" t="n">
        <v>105067787</v>
      </c>
      <c r="M85" s="6" t="n">
        <v>42828</v>
      </c>
      <c r="N85" t="n">
        <v>22</v>
      </c>
      <c r="O85" t="n">
        <v>2</v>
      </c>
      <c r="P85" t="n">
        <v>7</v>
      </c>
      <c r="Q85" t="n">
        <v>1</v>
      </c>
      <c r="R85" t="inlineStr">
        <is>
          <t>O</t>
        </is>
      </c>
      <c r="S85">
        <f>IFERROR(VLOOKUP(N85,Index!$A$1:$B$26,2,FALSE),"")</f>
        <v/>
      </c>
      <c r="T85">
        <f>AA85</f>
        <v/>
      </c>
      <c r="V85">
        <f>IFERROR(INDEX(DetailedFiche!Q:Q,MATCH(L85,DetailedFiche!J:J,0)),"")</f>
        <v/>
      </c>
      <c r="W85">
        <f>IFERROR(INDEX(DetailedFiche!R:R,MATCH(L85,DetailedFiche!J:J,0)),"")</f>
        <v/>
      </c>
      <c r="Y85">
        <f>IFERROR(IF(AND(INDEX('Initial Study'!K:K, MATCH(L85, 'Initial Study'!B:B, 0)+1)&lt;&gt;0,INDEX('Initial Study'!K:K, MATCH(L85, 'Initial Study'!B:B, 0)+1)&lt;&gt;""),INDEX('Initial Study'!K:K, MATCH(L85, 'Initial Study'!B:B, 0)+1),""),"")</f>
        <v/>
      </c>
      <c r="Z85">
        <f>IFERROR(IF(AND(INDEX('Initial Study'!K:K, MATCH(L85, 'Initial Study'!B:B, 0)+2)&lt;&gt;0,INDEX('Initial Study'!K:K, MATCH(L85, 'Initial Study'!B:B, 0)+2)&lt;&gt;"",NOT(ISNUMBER(INDEX('Initial Study'!K:K, MATCH(L85, 'Initial Study'!B:B, 0)+2)))),INDEX('Initial Study'!K:K, MATCH(L85, 'Initial Study'!B:B, 0)+2),"-"),"-")</f>
        <v/>
      </c>
      <c r="AA85">
        <f>IF(S85="RE", Y85 &amp; "BT/" &amp; IF(Z85 &lt;&gt; "-", Z85 &amp; "BT", ""), IF(OR(S85="LTDR", S85="LTSR"), Y85 &amp; "BL" &amp; IF(Z85 &lt;&gt; "-", "/" &amp; Z85 &amp; "BT", ""), IF(OR(S85="RTDR", S85="RTSR"), Y85 &amp; "BR" &amp; IF(Z85 &lt;&gt; "-", "/" &amp; Z85 &amp; "BT", ""), IF(Z85 &lt;&gt; "-", Y85 &amp; "BT/" &amp; Z85 &amp; "BT", Y85 &amp; "BT"))))</f>
        <v/>
      </c>
    </row>
    <row r="86">
      <c r="A86" t="n">
        <v>0</v>
      </c>
      <c r="B86" t="inlineStr">
        <is>
          <t>NC 218</t>
        </is>
      </c>
      <c r="C86" t="n">
        <v>0</v>
      </c>
      <c r="E86" t="inlineStr">
        <is>
          <t>SR 1001</t>
        </is>
      </c>
      <c r="F86" t="inlineStr">
        <is>
          <t>SR 1547</t>
        </is>
      </c>
      <c r="G86" t="inlineStr">
        <is>
          <t>NC 218</t>
        </is>
      </c>
      <c r="H86" t="n">
        <v>9.786</v>
      </c>
      <c r="I86" t="inlineStr">
        <is>
          <t>NIS</t>
        </is>
      </c>
      <c r="L86" t="n">
        <v>108267514</v>
      </c>
      <c r="M86" s="6" t="n">
        <v>45944</v>
      </c>
      <c r="N86" t="n">
        <v>21</v>
      </c>
      <c r="O86" t="n">
        <v>1</v>
      </c>
      <c r="P86" t="n">
        <v>0</v>
      </c>
      <c r="Q86" t="n">
        <v>1</v>
      </c>
      <c r="R86" t="inlineStr">
        <is>
          <t>O</t>
        </is>
      </c>
      <c r="S86">
        <f>IFERROR(VLOOKUP(N86,Index!$A$1:$B$26,2,FALSE),"")</f>
        <v/>
      </c>
      <c r="T86">
        <f>AA86</f>
        <v/>
      </c>
      <c r="V86">
        <f>IFERROR(INDEX(DetailedFiche!Q:Q,MATCH(L86,DetailedFiche!J:J,0)),"")</f>
        <v/>
      </c>
      <c r="W86">
        <f>IFERROR(INDEX(DetailedFiche!R:R,MATCH(L86,DetailedFiche!J:J,0)),"")</f>
        <v/>
      </c>
      <c r="Y86">
        <f>IFERROR(IF(AND(INDEX('Initial Study'!K:K, MATCH(L86, 'Initial Study'!B:B, 0)+1)&lt;&gt;0,INDEX('Initial Study'!K:K, MATCH(L86, 'Initial Study'!B:B, 0)+1)&lt;&gt;""),INDEX('Initial Study'!K:K, MATCH(L86, 'Initial Study'!B:B, 0)+1),""),"")</f>
        <v/>
      </c>
      <c r="Z86">
        <f>IFERROR(IF(AND(INDEX('Initial Study'!K:K, MATCH(L86, 'Initial Study'!B:B, 0)+2)&lt;&gt;0,INDEX('Initial Study'!K:K, MATCH(L86, 'Initial Study'!B:B, 0)+2)&lt;&gt;"",NOT(ISNUMBER(INDEX('Initial Study'!K:K, MATCH(L86, 'Initial Study'!B:B, 0)+2)))),INDEX('Initial Study'!K:K, MATCH(L86, 'Initial Study'!B:B, 0)+2),"-"),"-")</f>
        <v/>
      </c>
      <c r="AA86">
        <f>IF(S86="RE", Y86 &amp; "BT/" &amp; IF(Z86 &lt;&gt; "-", Z86 &amp; "BT", ""), IF(OR(S86="LTDR", S86="LTSR"), Y86 &amp; "BL" &amp; IF(Z86 &lt;&gt; "-", "/" &amp; Z86 &amp; "BT", ""), IF(OR(S86="RTDR", S86="RTSR"), Y86 &amp; "BR" &amp; IF(Z86 &lt;&gt; "-", "/" &amp; Z86 &amp; "BT", ""), IF(Z86 &lt;&gt; "-", Y86 &amp; "BT/" &amp; Z86 &amp; "BT", Y86 &amp; "BT"))))</f>
        <v/>
      </c>
    </row>
    <row r="87">
      <c r="A87" t="n">
        <v>0</v>
      </c>
      <c r="B87" t="inlineStr">
        <is>
          <t>NC 218</t>
        </is>
      </c>
      <c r="C87" t="n">
        <v>0</v>
      </c>
      <c r="E87" t="inlineStr">
        <is>
          <t>SR 1001</t>
        </is>
      </c>
      <c r="F87" t="inlineStr">
        <is>
          <t>NC 200</t>
        </is>
      </c>
      <c r="G87" t="inlineStr">
        <is>
          <t>NC 218</t>
        </is>
      </c>
      <c r="H87" t="n">
        <v>9.786</v>
      </c>
      <c r="I87" t="inlineStr">
        <is>
          <t>NIS</t>
        </is>
      </c>
      <c r="L87" t="n">
        <v>107715702</v>
      </c>
      <c r="M87" s="6" t="n">
        <v>45423</v>
      </c>
      <c r="N87" t="n">
        <v>30</v>
      </c>
      <c r="O87" t="n">
        <v>1</v>
      </c>
      <c r="P87" t="n">
        <v>7</v>
      </c>
      <c r="Q87" t="n">
        <v>1</v>
      </c>
      <c r="R87" t="inlineStr">
        <is>
          <t>O</t>
        </is>
      </c>
      <c r="S87">
        <f>IFERROR(VLOOKUP(N87,Index!$A$1:$B$26,2,FALSE),"")</f>
        <v/>
      </c>
      <c r="T87">
        <f>AA87</f>
        <v/>
      </c>
      <c r="V87">
        <f>IFERROR(INDEX(DetailedFiche!Q:Q,MATCH(L87,DetailedFiche!J:J,0)),"")</f>
        <v/>
      </c>
      <c r="W87">
        <f>IFERROR(INDEX(DetailedFiche!R:R,MATCH(L87,DetailedFiche!J:J,0)),"")</f>
        <v/>
      </c>
      <c r="Y87">
        <f>IFERROR(IF(AND(INDEX('Initial Study'!K:K, MATCH(L87, 'Initial Study'!B:B, 0)+1)&lt;&gt;0,INDEX('Initial Study'!K:K, MATCH(L87, 'Initial Study'!B:B, 0)+1)&lt;&gt;""),INDEX('Initial Study'!K:K, MATCH(L87, 'Initial Study'!B:B, 0)+1),""),"")</f>
        <v/>
      </c>
      <c r="Z87">
        <f>IFERROR(IF(AND(INDEX('Initial Study'!K:K, MATCH(L87, 'Initial Study'!B:B, 0)+2)&lt;&gt;0,INDEX('Initial Study'!K:K, MATCH(L87, 'Initial Study'!B:B, 0)+2)&lt;&gt;"",NOT(ISNUMBER(INDEX('Initial Study'!K:K, MATCH(L87, 'Initial Study'!B:B, 0)+2)))),INDEX('Initial Study'!K:K, MATCH(L87, 'Initial Study'!B:B, 0)+2),"-"),"-")</f>
        <v/>
      </c>
      <c r="AA87">
        <f>IF(S87="RE", Y87 &amp; "BT/" &amp; IF(Z87 &lt;&gt; "-", Z87 &amp; "BT", ""), IF(OR(S87="LTDR", S87="LTSR"), Y87 &amp; "BL" &amp; IF(Z87 &lt;&gt; "-", "/" &amp; Z87 &amp; "BT", ""), IF(OR(S87="RTDR", S87="RTSR"), Y87 &amp; "BR" &amp; IF(Z87 &lt;&gt; "-", "/" &amp; Z87 &amp; "BT", ""), IF(Z87 &lt;&gt; "-", Y87 &amp; "BT/" &amp; Z87 &amp; "BT", Y87 &amp; "BT"))))</f>
        <v/>
      </c>
    </row>
    <row r="88">
      <c r="A88" t="n">
        <v>0</v>
      </c>
      <c r="B88" t="inlineStr">
        <is>
          <t>NC 218</t>
        </is>
      </c>
      <c r="C88" t="n">
        <v>0</v>
      </c>
      <c r="E88" t="inlineStr">
        <is>
          <t>SR 1001</t>
        </is>
      </c>
      <c r="F88" t="inlineStr">
        <is>
          <t>SR 1547</t>
        </is>
      </c>
      <c r="G88" t="inlineStr">
        <is>
          <t>NC 218</t>
        </is>
      </c>
      <c r="H88" t="n">
        <v>9.786</v>
      </c>
      <c r="I88" t="inlineStr">
        <is>
          <t>NIS</t>
        </is>
      </c>
      <c r="L88" t="n">
        <v>107040279</v>
      </c>
      <c r="M88" s="6" t="n">
        <v>44776</v>
      </c>
      <c r="N88" t="n">
        <v>30</v>
      </c>
      <c r="O88" t="n">
        <v>1</v>
      </c>
      <c r="P88" t="n">
        <v>7</v>
      </c>
      <c r="Q88" t="n">
        <v>1</v>
      </c>
      <c r="R88" t="inlineStr">
        <is>
          <t>O</t>
        </is>
      </c>
      <c r="S88">
        <f>IFERROR(VLOOKUP(N88,Index!$A$1:$B$26,2,FALSE),"")</f>
        <v/>
      </c>
      <c r="T88">
        <f>AA88</f>
        <v/>
      </c>
      <c r="V88">
        <f>IFERROR(INDEX(DetailedFiche!Q:Q,MATCH(L88,DetailedFiche!J:J,0)),"")</f>
        <v/>
      </c>
      <c r="W88">
        <f>IFERROR(INDEX(DetailedFiche!R:R,MATCH(L88,DetailedFiche!J:J,0)),"")</f>
        <v/>
      </c>
      <c r="Y88">
        <f>IFERROR(IF(AND(INDEX('Initial Study'!K:K, MATCH(L88, 'Initial Study'!B:B, 0)+1)&lt;&gt;0,INDEX('Initial Study'!K:K, MATCH(L88, 'Initial Study'!B:B, 0)+1)&lt;&gt;""),INDEX('Initial Study'!K:K, MATCH(L88, 'Initial Study'!B:B, 0)+1),""),"")</f>
        <v/>
      </c>
      <c r="Z88">
        <f>IFERROR(IF(AND(INDEX('Initial Study'!K:K, MATCH(L88, 'Initial Study'!B:B, 0)+2)&lt;&gt;0,INDEX('Initial Study'!K:K, MATCH(L88, 'Initial Study'!B:B, 0)+2)&lt;&gt;"",NOT(ISNUMBER(INDEX('Initial Study'!K:K, MATCH(L88, 'Initial Study'!B:B, 0)+2)))),INDEX('Initial Study'!K:K, MATCH(L88, 'Initial Study'!B:B, 0)+2),"-"),"-")</f>
        <v/>
      </c>
      <c r="AA88">
        <f>IF(S88="RE", Y88 &amp; "BT/" &amp; IF(Z88 &lt;&gt; "-", Z88 &amp; "BT", ""), IF(OR(S88="LTDR", S88="LTSR"), Y88 &amp; "BL" &amp; IF(Z88 &lt;&gt; "-", "/" &amp; Z88 &amp; "BT", ""), IF(OR(S88="RTDR", S88="RTSR"), Y88 &amp; "BR" &amp; IF(Z88 &lt;&gt; "-", "/" &amp; Z88 &amp; "BT", ""), IF(Z88 &lt;&gt; "-", Y88 &amp; "BT/" &amp; Z88 &amp; "BT", Y88 &amp; "BT"))))</f>
        <v/>
      </c>
    </row>
    <row r="89">
      <c r="A89" t="n">
        <v>0</v>
      </c>
      <c r="B89" t="inlineStr">
        <is>
          <t>NC 218</t>
        </is>
      </c>
      <c r="C89" t="n">
        <v>0</v>
      </c>
      <c r="E89" t="inlineStr">
        <is>
          <t>SR 1001</t>
        </is>
      </c>
      <c r="F89" t="inlineStr">
        <is>
          <t>SR 1606</t>
        </is>
      </c>
      <c r="G89" t="inlineStr">
        <is>
          <t>NC 218</t>
        </is>
      </c>
      <c r="H89" t="n">
        <v>9.786</v>
      </c>
      <c r="I89" t="inlineStr">
        <is>
          <t>NIS</t>
        </is>
      </c>
      <c r="L89" t="n">
        <v>107011232</v>
      </c>
      <c r="M89" s="6" t="n">
        <v>44750</v>
      </c>
      <c r="N89" t="n">
        <v>28</v>
      </c>
      <c r="O89" t="n">
        <v>1</v>
      </c>
      <c r="P89" t="n">
        <v>7</v>
      </c>
      <c r="Q89" t="n">
        <v>1</v>
      </c>
      <c r="R89" t="inlineStr">
        <is>
          <t>B</t>
        </is>
      </c>
      <c r="S89">
        <f>IFERROR(VLOOKUP(N89,Index!$A$1:$B$26,2,FALSE),"")</f>
        <v/>
      </c>
      <c r="T89">
        <f>AA89</f>
        <v/>
      </c>
      <c r="V89">
        <f>IFERROR(INDEX(DetailedFiche!Q:Q,MATCH(L89,DetailedFiche!J:J,0)),"")</f>
        <v/>
      </c>
      <c r="W89">
        <f>IFERROR(INDEX(DetailedFiche!R:R,MATCH(L89,DetailedFiche!J:J,0)),"")</f>
        <v/>
      </c>
      <c r="Y89">
        <f>IFERROR(IF(AND(INDEX('Initial Study'!K:K, MATCH(L89, 'Initial Study'!B:B, 0)+1)&lt;&gt;0,INDEX('Initial Study'!K:K, MATCH(L89, 'Initial Study'!B:B, 0)+1)&lt;&gt;""),INDEX('Initial Study'!K:K, MATCH(L89, 'Initial Study'!B:B, 0)+1),""),"")</f>
        <v/>
      </c>
      <c r="Z89">
        <f>IFERROR(IF(AND(INDEX('Initial Study'!K:K, MATCH(L89, 'Initial Study'!B:B, 0)+2)&lt;&gt;0,INDEX('Initial Study'!K:K, MATCH(L89, 'Initial Study'!B:B, 0)+2)&lt;&gt;"",NOT(ISNUMBER(INDEX('Initial Study'!K:K, MATCH(L89, 'Initial Study'!B:B, 0)+2)))),INDEX('Initial Study'!K:K, MATCH(L89, 'Initial Study'!B:B, 0)+2),"-"),"-")</f>
        <v/>
      </c>
      <c r="AA89">
        <f>IF(S89="RE", Y89 &amp; "BT/" &amp; IF(Z89 &lt;&gt; "-", Z89 &amp; "BT", ""), IF(OR(S89="LTDR", S89="LTSR"), Y89 &amp; "BL" &amp; IF(Z89 &lt;&gt; "-", "/" &amp; Z89 &amp; "BT", ""), IF(OR(S89="RTDR", S89="RTSR"), Y89 &amp; "BR" &amp; IF(Z89 &lt;&gt; "-", "/" &amp; Z89 &amp; "BT", ""), IF(Z89 &lt;&gt; "-", Y89 &amp; "BT/" &amp; Z89 &amp; "BT", Y89 &amp; "BT"))))</f>
        <v/>
      </c>
    </row>
    <row r="90">
      <c r="A90" t="n">
        <v>0</v>
      </c>
      <c r="B90" t="inlineStr">
        <is>
          <t>NC 218</t>
        </is>
      </c>
      <c r="C90" t="n">
        <v>0</v>
      </c>
      <c r="E90" t="inlineStr">
        <is>
          <t>SR 1001</t>
        </is>
      </c>
      <c r="F90" t="inlineStr">
        <is>
          <t>SR 1606</t>
        </is>
      </c>
      <c r="G90" t="inlineStr">
        <is>
          <t>NC 218</t>
        </is>
      </c>
      <c r="H90" t="n">
        <v>9.786</v>
      </c>
      <c r="I90" t="inlineStr">
        <is>
          <t>NIS</t>
        </is>
      </c>
      <c r="L90" t="n">
        <v>107011234</v>
      </c>
      <c r="M90" s="6" t="n">
        <v>44750</v>
      </c>
      <c r="N90" t="n">
        <v>30</v>
      </c>
      <c r="O90" t="n">
        <v>1</v>
      </c>
      <c r="P90" t="n">
        <v>7</v>
      </c>
      <c r="Q90" t="n">
        <v>1</v>
      </c>
      <c r="R90" t="inlineStr">
        <is>
          <t>C</t>
        </is>
      </c>
      <c r="S90">
        <f>IFERROR(VLOOKUP(N90,Index!$A$1:$B$26,2,FALSE),"")</f>
        <v/>
      </c>
      <c r="T90">
        <f>AA90</f>
        <v/>
      </c>
      <c r="V90">
        <f>IFERROR(INDEX(DetailedFiche!Q:Q,MATCH(L90,DetailedFiche!J:J,0)),"")</f>
        <v/>
      </c>
      <c r="W90">
        <f>IFERROR(INDEX(DetailedFiche!R:R,MATCH(L90,DetailedFiche!J:J,0)),"")</f>
        <v/>
      </c>
      <c r="Y90">
        <f>IFERROR(IF(AND(INDEX('Initial Study'!K:K, MATCH(L90, 'Initial Study'!B:B, 0)+1)&lt;&gt;0,INDEX('Initial Study'!K:K, MATCH(L90, 'Initial Study'!B:B, 0)+1)&lt;&gt;""),INDEX('Initial Study'!K:K, MATCH(L90, 'Initial Study'!B:B, 0)+1),""),"")</f>
        <v/>
      </c>
      <c r="Z90">
        <f>IFERROR(IF(AND(INDEX('Initial Study'!K:K, MATCH(L90, 'Initial Study'!B:B, 0)+2)&lt;&gt;0,INDEX('Initial Study'!K:K, MATCH(L90, 'Initial Study'!B:B, 0)+2)&lt;&gt;"",NOT(ISNUMBER(INDEX('Initial Study'!K:K, MATCH(L90, 'Initial Study'!B:B, 0)+2)))),INDEX('Initial Study'!K:K, MATCH(L90, 'Initial Study'!B:B, 0)+2),"-"),"-")</f>
        <v/>
      </c>
      <c r="AA90">
        <f>IF(S90="RE", Y90 &amp; "BT/" &amp; IF(Z90 &lt;&gt; "-", Z90 &amp; "BT", ""), IF(OR(S90="LTDR", S90="LTSR"), Y90 &amp; "BL" &amp; IF(Z90 &lt;&gt; "-", "/" &amp; Z90 &amp; "BT", ""), IF(OR(S90="RTDR", S90="RTSR"), Y90 &amp; "BR" &amp; IF(Z90 &lt;&gt; "-", "/" &amp; Z90 &amp; "BT", ""), IF(Z90 &lt;&gt; "-", Y90 &amp; "BT/" &amp; Z90 &amp; "BT", Y90 &amp; "BT"))))</f>
        <v/>
      </c>
    </row>
    <row r="91">
      <c r="A91" t="n">
        <v>0</v>
      </c>
      <c r="B91" t="inlineStr">
        <is>
          <t>NC 218</t>
        </is>
      </c>
      <c r="C91" t="n">
        <v>0</v>
      </c>
      <c r="E91" t="inlineStr">
        <is>
          <t>SR 1001</t>
        </is>
      </c>
      <c r="F91" t="inlineStr">
        <is>
          <t>NC 200</t>
        </is>
      </c>
      <c r="G91" t="inlineStr">
        <is>
          <t>NC 218</t>
        </is>
      </c>
      <c r="H91" t="n">
        <v>9.786</v>
      </c>
      <c r="I91" t="inlineStr">
        <is>
          <t>NIS</t>
        </is>
      </c>
      <c r="L91" t="n">
        <v>106880793</v>
      </c>
      <c r="M91" s="6" t="n">
        <v>44625</v>
      </c>
      <c r="N91" t="n">
        <v>30</v>
      </c>
      <c r="O91" t="n">
        <v>1</v>
      </c>
      <c r="P91" t="n">
        <v>7</v>
      </c>
      <c r="Q91" t="n">
        <v>1</v>
      </c>
      <c r="R91" t="inlineStr">
        <is>
          <t>B</t>
        </is>
      </c>
      <c r="S91">
        <f>IFERROR(VLOOKUP(N91,Index!$A$1:$B$26,2,FALSE),"")</f>
        <v/>
      </c>
      <c r="T91">
        <f>AA91</f>
        <v/>
      </c>
      <c r="V91">
        <f>IFERROR(INDEX(DetailedFiche!Q:Q,MATCH(L91,DetailedFiche!J:J,0)),"")</f>
        <v/>
      </c>
      <c r="W91">
        <f>IFERROR(INDEX(DetailedFiche!R:R,MATCH(L91,DetailedFiche!J:J,0)),"")</f>
        <v/>
      </c>
      <c r="Y91">
        <f>IFERROR(IF(AND(INDEX('Initial Study'!K:K, MATCH(L91, 'Initial Study'!B:B, 0)+1)&lt;&gt;0,INDEX('Initial Study'!K:K, MATCH(L91, 'Initial Study'!B:B, 0)+1)&lt;&gt;""),INDEX('Initial Study'!K:K, MATCH(L91, 'Initial Study'!B:B, 0)+1),""),"")</f>
        <v/>
      </c>
      <c r="Z91">
        <f>IFERROR(IF(AND(INDEX('Initial Study'!K:K, MATCH(L91, 'Initial Study'!B:B, 0)+2)&lt;&gt;0,INDEX('Initial Study'!K:K, MATCH(L91, 'Initial Study'!B:B, 0)+2)&lt;&gt;"",NOT(ISNUMBER(INDEX('Initial Study'!K:K, MATCH(L91, 'Initial Study'!B:B, 0)+2)))),INDEX('Initial Study'!K:K, MATCH(L91, 'Initial Study'!B:B, 0)+2),"-"),"-")</f>
        <v/>
      </c>
      <c r="AA91">
        <f>IF(S91="RE", Y91 &amp; "BT/" &amp; IF(Z91 &lt;&gt; "-", Z91 &amp; "BT", ""), IF(OR(S91="LTDR", S91="LTSR"), Y91 &amp; "BL" &amp; IF(Z91 &lt;&gt; "-", "/" &amp; Z91 &amp; "BT", ""), IF(OR(S91="RTDR", S91="RTSR"), Y91 &amp; "BR" &amp; IF(Z91 &lt;&gt; "-", "/" &amp; Z91 &amp; "BT", ""), IF(Z91 &lt;&gt; "-", Y91 &amp; "BT/" &amp; Z91 &amp; "BT", Y91 &amp; "BT"))))</f>
        <v/>
      </c>
    </row>
    <row r="92">
      <c r="A92" t="n">
        <v>637</v>
      </c>
      <c r="B92" t="inlineStr">
        <is>
          <t>NC 218</t>
        </is>
      </c>
      <c r="C92" t="n">
        <v>0</v>
      </c>
      <c r="E92" t="inlineStr">
        <is>
          <t>SR 1001</t>
        </is>
      </c>
      <c r="F92" t="inlineStr">
        <is>
          <t>SR 1610</t>
        </is>
      </c>
      <c r="G92" t="inlineStr">
        <is>
          <t>NC 218</t>
        </is>
      </c>
      <c r="H92" t="n">
        <v>9.786</v>
      </c>
      <c r="I92" t="inlineStr">
        <is>
          <t>NIS</t>
        </is>
      </c>
      <c r="L92" t="n">
        <v>107287156</v>
      </c>
      <c r="M92" s="6" t="n">
        <v>45013</v>
      </c>
      <c r="N92" t="n">
        <v>30</v>
      </c>
      <c r="O92" t="n">
        <v>1</v>
      </c>
      <c r="P92" t="n">
        <v>7</v>
      </c>
      <c r="Q92" t="n">
        <v>1</v>
      </c>
      <c r="R92" t="inlineStr">
        <is>
          <t>B</t>
        </is>
      </c>
      <c r="S92">
        <f>IFERROR(VLOOKUP(N92,Index!$A$1:$B$26,2,FALSE),"")</f>
        <v/>
      </c>
      <c r="T92">
        <f>AA92</f>
        <v/>
      </c>
      <c r="V92">
        <f>IFERROR(INDEX(DetailedFiche!Q:Q,MATCH(L92,DetailedFiche!J:J,0)),"")</f>
        <v/>
      </c>
      <c r="W92">
        <f>IFERROR(INDEX(DetailedFiche!R:R,MATCH(L92,DetailedFiche!J:J,0)),"")</f>
        <v/>
      </c>
      <c r="Y92">
        <f>IFERROR(IF(AND(INDEX('Initial Study'!K:K, MATCH(L92, 'Initial Study'!B:B, 0)+1)&lt;&gt;0,INDEX('Initial Study'!K:K, MATCH(L92, 'Initial Study'!B:B, 0)+1)&lt;&gt;""),INDEX('Initial Study'!K:K, MATCH(L92, 'Initial Study'!B:B, 0)+1),""),"")</f>
        <v/>
      </c>
      <c r="Z92">
        <f>IFERROR(IF(AND(INDEX('Initial Study'!K:K, MATCH(L92, 'Initial Study'!B:B, 0)+2)&lt;&gt;0,INDEX('Initial Study'!K:K, MATCH(L92, 'Initial Study'!B:B, 0)+2)&lt;&gt;"",NOT(ISNUMBER(INDEX('Initial Study'!K:K, MATCH(L92, 'Initial Study'!B:B, 0)+2)))),INDEX('Initial Study'!K:K, MATCH(L92, 'Initial Study'!B:B, 0)+2),"-"),"-")</f>
        <v/>
      </c>
      <c r="AA92">
        <f>IF(S92="RE", Y92 &amp; "BT/" &amp; IF(Z92 &lt;&gt; "-", Z92 &amp; "BT", ""), IF(OR(S92="LTDR", S92="LTSR"), Y92 &amp; "BL" &amp; IF(Z92 &lt;&gt; "-", "/" &amp; Z92 &amp; "BT", ""), IF(OR(S92="RTDR", S92="RTSR"), Y92 &amp; "BR" &amp; IF(Z92 &lt;&gt; "-", "/" &amp; Z92 &amp; "BT", ""), IF(Z92 &lt;&gt; "-", Y92 &amp; "BT/" &amp; Z92 &amp; "BT", Y92 &amp; "BT"))))</f>
        <v/>
      </c>
    </row>
    <row r="93">
      <c r="A93" t="n">
        <v>0</v>
      </c>
      <c r="B93" t="inlineStr">
        <is>
          <t>NC 218</t>
        </is>
      </c>
      <c r="C93" t="n">
        <v>0</v>
      </c>
      <c r="E93" t="inlineStr">
        <is>
          <t>SR 1001</t>
        </is>
      </c>
      <c r="F93" t="inlineStr">
        <is>
          <t>SR 1639</t>
        </is>
      </c>
      <c r="G93" t="inlineStr">
        <is>
          <t>NC 218</t>
        </is>
      </c>
      <c r="H93" t="n">
        <v>9.786</v>
      </c>
      <c r="I93" t="inlineStr">
        <is>
          <t>NIS</t>
        </is>
      </c>
      <c r="L93" t="n">
        <v>106759634</v>
      </c>
      <c r="M93" s="6" t="n">
        <v>44505</v>
      </c>
      <c r="N93" t="n">
        <v>30</v>
      </c>
      <c r="O93" t="n">
        <v>1</v>
      </c>
      <c r="P93" t="n">
        <v>7</v>
      </c>
      <c r="Q93" t="n">
        <v>1</v>
      </c>
      <c r="R93" t="inlineStr">
        <is>
          <t>O</t>
        </is>
      </c>
      <c r="S93">
        <f>IFERROR(VLOOKUP(N93,Index!$A$1:$B$26,2,FALSE),"")</f>
        <v/>
      </c>
      <c r="T93">
        <f>AA93</f>
        <v/>
      </c>
      <c r="V93">
        <f>IFERROR(INDEX(DetailedFiche!Q:Q,MATCH(L93,DetailedFiche!J:J,0)),"")</f>
        <v/>
      </c>
      <c r="W93">
        <f>IFERROR(INDEX(DetailedFiche!R:R,MATCH(L93,DetailedFiche!J:J,0)),"")</f>
        <v/>
      </c>
      <c r="Y93">
        <f>IFERROR(IF(AND(INDEX('Initial Study'!K:K, MATCH(L93, 'Initial Study'!B:B, 0)+1)&lt;&gt;0,INDEX('Initial Study'!K:K, MATCH(L93, 'Initial Study'!B:B, 0)+1)&lt;&gt;""),INDEX('Initial Study'!K:K, MATCH(L93, 'Initial Study'!B:B, 0)+1),""),"")</f>
        <v/>
      </c>
      <c r="Z93">
        <f>IFERROR(IF(AND(INDEX('Initial Study'!K:K, MATCH(L93, 'Initial Study'!B:B, 0)+2)&lt;&gt;0,INDEX('Initial Study'!K:K, MATCH(L93, 'Initial Study'!B:B, 0)+2)&lt;&gt;"",NOT(ISNUMBER(INDEX('Initial Study'!K:K, MATCH(L93, 'Initial Study'!B:B, 0)+2)))),INDEX('Initial Study'!K:K, MATCH(L93, 'Initial Study'!B:B, 0)+2),"-"),"-")</f>
        <v/>
      </c>
      <c r="AA93">
        <f>IF(S93="RE", Y93 &amp; "BT/" &amp; IF(Z93 &lt;&gt; "-", Z93 &amp; "BT", ""), IF(OR(S93="LTDR", S93="LTSR"), Y93 &amp; "BL" &amp; IF(Z93 &lt;&gt; "-", "/" &amp; Z93 &amp; "BT", ""), IF(OR(S93="RTDR", S93="RTSR"), Y93 &amp; "BR" &amp; IF(Z93 &lt;&gt; "-", "/" &amp; Z93 &amp; "BT", ""), IF(Z93 &lt;&gt; "-", Y93 &amp; "BT/" &amp; Z93 &amp; "BT", Y93 &amp; "BT"))))</f>
        <v/>
      </c>
    </row>
    <row r="94">
      <c r="A94" t="n">
        <v>637</v>
      </c>
      <c r="B94" t="inlineStr">
        <is>
          <t>NC 218</t>
        </is>
      </c>
      <c r="C94" t="n">
        <v>0</v>
      </c>
      <c r="E94" t="inlineStr">
        <is>
          <t>SR 1001</t>
        </is>
      </c>
      <c r="F94" t="inlineStr">
        <is>
          <t>NC 200</t>
        </is>
      </c>
      <c r="G94" t="inlineStr">
        <is>
          <t>NC 218</t>
        </is>
      </c>
      <c r="H94" t="n">
        <v>9.786</v>
      </c>
      <c r="I94" t="inlineStr">
        <is>
          <t>NIS</t>
        </is>
      </c>
      <c r="L94" t="n">
        <v>106655032</v>
      </c>
      <c r="M94" s="6" t="n">
        <v>44412</v>
      </c>
      <c r="N94" t="n">
        <v>30</v>
      </c>
      <c r="O94" t="n">
        <v>1</v>
      </c>
      <c r="P94" t="n">
        <v>7</v>
      </c>
      <c r="Q94" t="n">
        <v>1</v>
      </c>
      <c r="R94" t="inlineStr">
        <is>
          <t>O</t>
        </is>
      </c>
      <c r="S94">
        <f>IFERROR(VLOOKUP(N94,Index!$A$1:$B$26,2,FALSE),"")</f>
        <v/>
      </c>
      <c r="T94">
        <f>AA94</f>
        <v/>
      </c>
      <c r="V94">
        <f>IFERROR(INDEX(DetailedFiche!Q:Q,MATCH(L94,DetailedFiche!J:J,0)),"")</f>
        <v/>
      </c>
      <c r="W94">
        <f>IFERROR(INDEX(DetailedFiche!R:R,MATCH(L94,DetailedFiche!J:J,0)),"")</f>
        <v/>
      </c>
      <c r="Y94">
        <f>IFERROR(IF(AND(INDEX('Initial Study'!K:K, MATCH(L94, 'Initial Study'!B:B, 0)+1)&lt;&gt;0,INDEX('Initial Study'!K:K, MATCH(L94, 'Initial Study'!B:B, 0)+1)&lt;&gt;""),INDEX('Initial Study'!K:K, MATCH(L94, 'Initial Study'!B:B, 0)+1),""),"")</f>
        <v/>
      </c>
      <c r="Z94">
        <f>IFERROR(IF(AND(INDEX('Initial Study'!K:K, MATCH(L94, 'Initial Study'!B:B, 0)+2)&lt;&gt;0,INDEX('Initial Study'!K:K, MATCH(L94, 'Initial Study'!B:B, 0)+2)&lt;&gt;"",NOT(ISNUMBER(INDEX('Initial Study'!K:K, MATCH(L94, 'Initial Study'!B:B, 0)+2)))),INDEX('Initial Study'!K:K, MATCH(L94, 'Initial Study'!B:B, 0)+2),"-"),"-")</f>
        <v/>
      </c>
      <c r="AA94">
        <f>IF(S94="RE", Y94 &amp; "BT/" &amp; IF(Z94 &lt;&gt; "-", Z94 &amp; "BT", ""), IF(OR(S94="LTDR", S94="LTSR"), Y94 &amp; "BL" &amp; IF(Z94 &lt;&gt; "-", "/" &amp; Z94 &amp; "BT", ""), IF(OR(S94="RTDR", S94="RTSR"), Y94 &amp; "BR" &amp; IF(Z94 &lt;&gt; "-", "/" &amp; Z94 &amp; "BT", ""), IF(Z94 &lt;&gt; "-", Y94 &amp; "BT/" &amp; Z94 &amp; "BT", Y94 &amp; "BT"))))</f>
        <v/>
      </c>
    </row>
    <row r="95">
      <c r="A95" t="n">
        <v>0</v>
      </c>
      <c r="B95" t="inlineStr">
        <is>
          <t>NC 218</t>
        </is>
      </c>
      <c r="C95" t="n">
        <v>0</v>
      </c>
      <c r="E95" t="inlineStr">
        <is>
          <t>SR 1001</t>
        </is>
      </c>
      <c r="F95" t="inlineStr">
        <is>
          <t>SR 1547</t>
        </is>
      </c>
      <c r="G95" t="inlineStr">
        <is>
          <t>NC 218</t>
        </is>
      </c>
      <c r="H95" t="n">
        <v>9.786</v>
      </c>
      <c r="I95" t="inlineStr">
        <is>
          <t>NIS</t>
        </is>
      </c>
      <c r="L95" t="n">
        <v>106554754</v>
      </c>
      <c r="M95" s="6" t="n">
        <v>44308</v>
      </c>
      <c r="N95" t="n">
        <v>21</v>
      </c>
      <c r="O95" t="n">
        <v>1</v>
      </c>
      <c r="P95" t="n">
        <v>7</v>
      </c>
      <c r="Q95" t="n">
        <v>1</v>
      </c>
      <c r="R95" t="inlineStr">
        <is>
          <t>C</t>
        </is>
      </c>
      <c r="S95">
        <f>IFERROR(VLOOKUP(N95,Index!$A$1:$B$26,2,FALSE),"")</f>
        <v/>
      </c>
      <c r="T95">
        <f>AA95</f>
        <v/>
      </c>
      <c r="V95">
        <f>IFERROR(INDEX(DetailedFiche!Q:Q,MATCH(L95,DetailedFiche!J:J,0)),"")</f>
        <v/>
      </c>
      <c r="W95">
        <f>IFERROR(INDEX(DetailedFiche!R:R,MATCH(L95,DetailedFiche!J:J,0)),"")</f>
        <v/>
      </c>
      <c r="Y95">
        <f>IFERROR(IF(AND(INDEX('Initial Study'!K:K, MATCH(L95, 'Initial Study'!B:B, 0)+1)&lt;&gt;0,INDEX('Initial Study'!K:K, MATCH(L95, 'Initial Study'!B:B, 0)+1)&lt;&gt;""),INDEX('Initial Study'!K:K, MATCH(L95, 'Initial Study'!B:B, 0)+1),""),"")</f>
        <v/>
      </c>
      <c r="Z95">
        <f>IFERROR(IF(AND(INDEX('Initial Study'!K:K, MATCH(L95, 'Initial Study'!B:B, 0)+2)&lt;&gt;0,INDEX('Initial Study'!K:K, MATCH(L95, 'Initial Study'!B:B, 0)+2)&lt;&gt;"",NOT(ISNUMBER(INDEX('Initial Study'!K:K, MATCH(L95, 'Initial Study'!B:B, 0)+2)))),INDEX('Initial Study'!K:K, MATCH(L95, 'Initial Study'!B:B, 0)+2),"-"),"-")</f>
        <v/>
      </c>
      <c r="AA95">
        <f>IF(S95="RE", Y95 &amp; "BT/" &amp; IF(Z95 &lt;&gt; "-", Z95 &amp; "BT", ""), IF(OR(S95="LTDR", S95="LTSR"), Y95 &amp; "BL" &amp; IF(Z95 &lt;&gt; "-", "/" &amp; Z95 &amp; "BT", ""), IF(OR(S95="RTDR", S95="RTSR"), Y95 &amp; "BR" &amp; IF(Z95 &lt;&gt; "-", "/" &amp; Z95 &amp; "BT", ""), IF(Z95 &lt;&gt; "-", Y95 &amp; "BT/" &amp; Z95 &amp; "BT", Y95 &amp; "BT"))))</f>
        <v/>
      </c>
    </row>
    <row r="96">
      <c r="A96" t="n">
        <v>558</v>
      </c>
      <c r="B96" t="inlineStr">
        <is>
          <t>NC 218</t>
        </is>
      </c>
      <c r="C96" t="n">
        <v>0</v>
      </c>
      <c r="E96" t="inlineStr">
        <is>
          <t>SR 1001</t>
        </is>
      </c>
      <c r="F96" t="inlineStr">
        <is>
          <t>CYRUS LEE</t>
        </is>
      </c>
      <c r="G96" t="inlineStr">
        <is>
          <t>NC 218</t>
        </is>
      </c>
      <c r="H96" t="n">
        <v>9.786</v>
      </c>
      <c r="I96" t="inlineStr">
        <is>
          <t>NIS</t>
        </is>
      </c>
      <c r="L96" t="n">
        <v>106521629</v>
      </c>
      <c r="M96" s="6" t="n">
        <v>44276</v>
      </c>
      <c r="N96" t="n">
        <v>22</v>
      </c>
      <c r="O96" t="n">
        <v>1</v>
      </c>
      <c r="P96" t="n">
        <v>7</v>
      </c>
      <c r="Q96" t="n">
        <v>1</v>
      </c>
      <c r="R96" t="inlineStr">
        <is>
          <t>B</t>
        </is>
      </c>
      <c r="S96">
        <f>IFERROR(VLOOKUP(N96,Index!$A$1:$B$26,2,FALSE),"")</f>
        <v/>
      </c>
      <c r="T96">
        <f>AA96</f>
        <v/>
      </c>
      <c r="V96">
        <f>IFERROR(INDEX(DetailedFiche!Q:Q,MATCH(L96,DetailedFiche!J:J,0)),"")</f>
        <v/>
      </c>
      <c r="W96">
        <f>IFERROR(INDEX(DetailedFiche!R:R,MATCH(L96,DetailedFiche!J:J,0)),"")</f>
        <v/>
      </c>
      <c r="Y96">
        <f>IFERROR(IF(AND(INDEX('Initial Study'!K:K, MATCH(L96, 'Initial Study'!B:B, 0)+1)&lt;&gt;0,INDEX('Initial Study'!K:K, MATCH(L96, 'Initial Study'!B:B, 0)+1)&lt;&gt;""),INDEX('Initial Study'!K:K, MATCH(L96, 'Initial Study'!B:B, 0)+1),""),"")</f>
        <v/>
      </c>
      <c r="Z96">
        <f>IFERROR(IF(AND(INDEX('Initial Study'!K:K, MATCH(L96, 'Initial Study'!B:B, 0)+2)&lt;&gt;0,INDEX('Initial Study'!K:K, MATCH(L96, 'Initial Study'!B:B, 0)+2)&lt;&gt;"",NOT(ISNUMBER(INDEX('Initial Study'!K:K, MATCH(L96, 'Initial Study'!B:B, 0)+2)))),INDEX('Initial Study'!K:K, MATCH(L96, 'Initial Study'!B:B, 0)+2),"-"),"-")</f>
        <v/>
      </c>
      <c r="AA96">
        <f>IF(S96="RE", Y96 &amp; "BT/" &amp; IF(Z96 &lt;&gt; "-", Z96 &amp; "BT", ""), IF(OR(S96="LTDR", S96="LTSR"), Y96 &amp; "BL" &amp; IF(Z96 &lt;&gt; "-", "/" &amp; Z96 &amp; "BT", ""), IF(OR(S96="RTDR", S96="RTSR"), Y96 &amp; "BR" &amp; IF(Z96 &lt;&gt; "-", "/" &amp; Z96 &amp; "BT", ""), IF(Z96 &lt;&gt; "-", Y96 &amp; "BT/" &amp; Z96 &amp; "BT", Y96 &amp; "BT"))))</f>
        <v/>
      </c>
    </row>
    <row r="97">
      <c r="A97" t="n">
        <v>0</v>
      </c>
      <c r="B97" t="inlineStr">
        <is>
          <t>NC 218</t>
        </is>
      </c>
      <c r="C97" t="n">
        <v>0</v>
      </c>
      <c r="E97" t="inlineStr">
        <is>
          <t>SR 1001</t>
        </is>
      </c>
      <c r="F97" t="inlineStr">
        <is>
          <t>NC 200</t>
        </is>
      </c>
      <c r="G97" t="inlineStr">
        <is>
          <t>NC 218</t>
        </is>
      </c>
      <c r="H97" t="n">
        <v>9.786</v>
      </c>
      <c r="I97" t="inlineStr">
        <is>
          <t>NIS</t>
        </is>
      </c>
      <c r="L97" t="n">
        <v>106362077</v>
      </c>
      <c r="M97" s="6" t="n">
        <v>44109</v>
      </c>
      <c r="N97" t="n">
        <v>30</v>
      </c>
      <c r="O97" t="n">
        <v>1</v>
      </c>
      <c r="P97" t="n">
        <v>7</v>
      </c>
      <c r="Q97" t="n">
        <v>1</v>
      </c>
      <c r="R97" t="inlineStr">
        <is>
          <t>O</t>
        </is>
      </c>
      <c r="S97">
        <f>IFERROR(VLOOKUP(N97,Index!$A$1:$B$26,2,FALSE),"")</f>
        <v/>
      </c>
      <c r="T97">
        <f>AA97</f>
        <v/>
      </c>
      <c r="V97">
        <f>IFERROR(INDEX(DetailedFiche!Q:Q,MATCH(L97,DetailedFiche!J:J,0)),"")</f>
        <v/>
      </c>
      <c r="W97">
        <f>IFERROR(INDEX(DetailedFiche!R:R,MATCH(L97,DetailedFiche!J:J,0)),"")</f>
        <v/>
      </c>
      <c r="Y97">
        <f>IFERROR(IF(AND(INDEX('Initial Study'!K:K, MATCH(L97, 'Initial Study'!B:B, 0)+1)&lt;&gt;0,INDEX('Initial Study'!K:K, MATCH(L97, 'Initial Study'!B:B, 0)+1)&lt;&gt;""),INDEX('Initial Study'!K:K, MATCH(L97, 'Initial Study'!B:B, 0)+1),""),"")</f>
        <v/>
      </c>
      <c r="Z97">
        <f>IFERROR(IF(AND(INDEX('Initial Study'!K:K, MATCH(L97, 'Initial Study'!B:B, 0)+2)&lt;&gt;0,INDEX('Initial Study'!K:K, MATCH(L97, 'Initial Study'!B:B, 0)+2)&lt;&gt;"",NOT(ISNUMBER(INDEX('Initial Study'!K:K, MATCH(L97, 'Initial Study'!B:B, 0)+2)))),INDEX('Initial Study'!K:K, MATCH(L97, 'Initial Study'!B:B, 0)+2),"-"),"-")</f>
        <v/>
      </c>
      <c r="AA97">
        <f>IF(S97="RE", Y97 &amp; "BT/" &amp; IF(Z97 &lt;&gt; "-", Z97 &amp; "BT", ""), IF(OR(S97="LTDR", S97="LTSR"), Y97 &amp; "BL" &amp; IF(Z97 &lt;&gt; "-", "/" &amp; Z97 &amp; "BT", ""), IF(OR(S97="RTDR", S97="RTSR"), Y97 &amp; "BR" &amp; IF(Z97 &lt;&gt; "-", "/" &amp; Z97 &amp; "BT", ""), IF(Z97 &lt;&gt; "-", Y97 &amp; "BT/" &amp; Z97 &amp; "BT", Y97 &amp; "BT"))))</f>
        <v/>
      </c>
    </row>
    <row r="98">
      <c r="A98" t="n">
        <v>0</v>
      </c>
      <c r="B98" t="inlineStr">
        <is>
          <t>NC 218</t>
        </is>
      </c>
      <c r="C98" t="n">
        <v>0</v>
      </c>
      <c r="E98" t="inlineStr">
        <is>
          <t>SR 1001</t>
        </is>
      </c>
      <c r="F98" t="inlineStr">
        <is>
          <t>NC 200</t>
        </is>
      </c>
      <c r="G98" t="inlineStr">
        <is>
          <t>NC 218</t>
        </is>
      </c>
      <c r="H98" t="n">
        <v>9.786</v>
      </c>
      <c r="I98" t="inlineStr">
        <is>
          <t>NIS</t>
        </is>
      </c>
      <c r="L98" t="n">
        <v>106219177</v>
      </c>
      <c r="M98" s="6" t="n">
        <v>43952</v>
      </c>
      <c r="N98" t="n">
        <v>30</v>
      </c>
      <c r="O98" t="n">
        <v>1</v>
      </c>
      <c r="P98" t="n">
        <v>7</v>
      </c>
      <c r="Q98" t="n">
        <v>5</v>
      </c>
      <c r="R98" t="inlineStr">
        <is>
          <t>O</t>
        </is>
      </c>
      <c r="S98">
        <f>IFERROR(VLOOKUP(N98,Index!$A$1:$B$26,2,FALSE),"")</f>
        <v/>
      </c>
      <c r="T98">
        <f>AA98</f>
        <v/>
      </c>
      <c r="V98">
        <f>IFERROR(INDEX(DetailedFiche!Q:Q,MATCH(L98,DetailedFiche!J:J,0)),"")</f>
        <v/>
      </c>
      <c r="W98">
        <f>IFERROR(INDEX(DetailedFiche!R:R,MATCH(L98,DetailedFiche!J:J,0)),"")</f>
        <v/>
      </c>
      <c r="Y98">
        <f>IFERROR(IF(AND(INDEX('Initial Study'!K:K, MATCH(L98, 'Initial Study'!B:B, 0)+1)&lt;&gt;0,INDEX('Initial Study'!K:K, MATCH(L98, 'Initial Study'!B:B, 0)+1)&lt;&gt;""),INDEX('Initial Study'!K:K, MATCH(L98, 'Initial Study'!B:B, 0)+1),""),"")</f>
        <v/>
      </c>
      <c r="Z98">
        <f>IFERROR(IF(AND(INDEX('Initial Study'!K:K, MATCH(L98, 'Initial Study'!B:B, 0)+2)&lt;&gt;0,INDEX('Initial Study'!K:K, MATCH(L98, 'Initial Study'!B:B, 0)+2)&lt;&gt;"",NOT(ISNUMBER(INDEX('Initial Study'!K:K, MATCH(L98, 'Initial Study'!B:B, 0)+2)))),INDEX('Initial Study'!K:K, MATCH(L98, 'Initial Study'!B:B, 0)+2),"-"),"-")</f>
        <v/>
      </c>
      <c r="AA98">
        <f>IF(S98="RE", Y98 &amp; "BT/" &amp; IF(Z98 &lt;&gt; "-", Z98 &amp; "BT", ""), IF(OR(S98="LTDR", S98="LTSR"), Y98 &amp; "BL" &amp; IF(Z98 &lt;&gt; "-", "/" &amp; Z98 &amp; "BT", ""), IF(OR(S98="RTDR", S98="RTSR"), Y98 &amp; "BR" &amp; IF(Z98 &lt;&gt; "-", "/" &amp; Z98 &amp; "BT", ""), IF(Z98 &lt;&gt; "-", Y98 &amp; "BT/" &amp; Z98 &amp; "BT", Y98 &amp; "BT"))))</f>
        <v/>
      </c>
    </row>
    <row r="99">
      <c r="A99" t="n">
        <v>637</v>
      </c>
      <c r="B99" t="inlineStr">
        <is>
          <t>NC 218</t>
        </is>
      </c>
      <c r="C99" t="n">
        <v>0</v>
      </c>
      <c r="E99" t="inlineStr">
        <is>
          <t>SR 1001</t>
        </is>
      </c>
      <c r="F99" t="inlineStr">
        <is>
          <t>SR 1547</t>
        </is>
      </c>
      <c r="G99" t="inlineStr">
        <is>
          <t>NC 218</t>
        </is>
      </c>
      <c r="H99" t="n">
        <v>9.786</v>
      </c>
      <c r="I99" t="inlineStr">
        <is>
          <t>NIS</t>
        </is>
      </c>
      <c r="L99" t="n">
        <v>106186515</v>
      </c>
      <c r="M99" s="6" t="n">
        <v>43906</v>
      </c>
      <c r="N99" t="n">
        <v>30</v>
      </c>
      <c r="O99" t="n">
        <v>1</v>
      </c>
      <c r="P99" t="n">
        <v>7</v>
      </c>
      <c r="Q99" t="n">
        <v>1</v>
      </c>
      <c r="R99" t="inlineStr">
        <is>
          <t>O</t>
        </is>
      </c>
      <c r="S99">
        <f>IFERROR(VLOOKUP(N99,Index!$A$1:$B$26,2,FALSE),"")</f>
        <v/>
      </c>
      <c r="T99">
        <f>AA99</f>
        <v/>
      </c>
      <c r="V99">
        <f>IFERROR(INDEX(DetailedFiche!Q:Q,MATCH(L99,DetailedFiche!J:J,0)),"")</f>
        <v/>
      </c>
      <c r="W99">
        <f>IFERROR(INDEX(DetailedFiche!R:R,MATCH(L99,DetailedFiche!J:J,0)),"")</f>
        <v/>
      </c>
      <c r="Y99">
        <f>IFERROR(IF(AND(INDEX('Initial Study'!K:K, MATCH(L99, 'Initial Study'!B:B, 0)+1)&lt;&gt;0,INDEX('Initial Study'!K:K, MATCH(L99, 'Initial Study'!B:B, 0)+1)&lt;&gt;""),INDEX('Initial Study'!K:K, MATCH(L99, 'Initial Study'!B:B, 0)+1),""),"")</f>
        <v/>
      </c>
      <c r="Z99">
        <f>IFERROR(IF(AND(INDEX('Initial Study'!K:K, MATCH(L99, 'Initial Study'!B:B, 0)+2)&lt;&gt;0,INDEX('Initial Study'!K:K, MATCH(L99, 'Initial Study'!B:B, 0)+2)&lt;&gt;"",NOT(ISNUMBER(INDEX('Initial Study'!K:K, MATCH(L99, 'Initial Study'!B:B, 0)+2)))),INDEX('Initial Study'!K:K, MATCH(L99, 'Initial Study'!B:B, 0)+2),"-"),"-")</f>
        <v/>
      </c>
      <c r="AA99">
        <f>IF(S99="RE", Y99 &amp; "BT/" &amp; IF(Z99 &lt;&gt; "-", Z99 &amp; "BT", ""), IF(OR(S99="LTDR", S99="LTSR"), Y99 &amp; "BL" &amp; IF(Z99 &lt;&gt; "-", "/" &amp; Z99 &amp; "BT", ""), IF(OR(S99="RTDR", S99="RTSR"), Y99 &amp; "BR" &amp; IF(Z99 &lt;&gt; "-", "/" &amp; Z99 &amp; "BT", ""), IF(Z99 &lt;&gt; "-", Y99 &amp; "BT/" &amp; Z99 &amp; "BT", Y99 &amp; "BT"))))</f>
        <v/>
      </c>
    </row>
    <row r="100">
      <c r="A100" t="n">
        <v>558</v>
      </c>
      <c r="B100" t="inlineStr">
        <is>
          <t>NC 218</t>
        </is>
      </c>
      <c r="C100" t="n">
        <v>0</v>
      </c>
      <c r="E100" t="inlineStr">
        <is>
          <t>SR 1001</t>
        </is>
      </c>
      <c r="F100" t="inlineStr">
        <is>
          <t>SR 1547</t>
        </is>
      </c>
      <c r="G100" t="inlineStr">
        <is>
          <t>NC 218</t>
        </is>
      </c>
      <c r="H100" t="n">
        <v>9.786</v>
      </c>
      <c r="I100" t="inlineStr">
        <is>
          <t>NIS</t>
        </is>
      </c>
      <c r="L100" t="n">
        <v>106071236</v>
      </c>
      <c r="M100" s="6" t="n">
        <v>43789</v>
      </c>
      <c r="N100" t="n">
        <v>30</v>
      </c>
      <c r="O100" t="n">
        <v>1</v>
      </c>
      <c r="P100" t="n">
        <v>7</v>
      </c>
      <c r="Q100" t="n">
        <v>1</v>
      </c>
      <c r="R100" t="inlineStr">
        <is>
          <t>C</t>
        </is>
      </c>
      <c r="S100">
        <f>IFERROR(VLOOKUP(N100,Index!$A$1:$B$26,2,FALSE),"")</f>
        <v/>
      </c>
      <c r="T100">
        <f>AA100</f>
        <v/>
      </c>
      <c r="V100">
        <f>IFERROR(INDEX(DetailedFiche!Q:Q,MATCH(L100,DetailedFiche!J:J,0)),"")</f>
        <v/>
      </c>
      <c r="W100">
        <f>IFERROR(INDEX(DetailedFiche!R:R,MATCH(L100,DetailedFiche!J:J,0)),"")</f>
        <v/>
      </c>
      <c r="Y100">
        <f>IFERROR(IF(AND(INDEX('Initial Study'!K:K, MATCH(L100, 'Initial Study'!B:B, 0)+1)&lt;&gt;0,INDEX('Initial Study'!K:K, MATCH(L100, 'Initial Study'!B:B, 0)+1)&lt;&gt;""),INDEX('Initial Study'!K:K, MATCH(L100, 'Initial Study'!B:B, 0)+1),""),"")</f>
        <v/>
      </c>
      <c r="Z100">
        <f>IFERROR(IF(AND(INDEX('Initial Study'!K:K, MATCH(L100, 'Initial Study'!B:B, 0)+2)&lt;&gt;0,INDEX('Initial Study'!K:K, MATCH(L100, 'Initial Study'!B:B, 0)+2)&lt;&gt;"",NOT(ISNUMBER(INDEX('Initial Study'!K:K, MATCH(L100, 'Initial Study'!B:B, 0)+2)))),INDEX('Initial Study'!K:K, MATCH(L100, 'Initial Study'!B:B, 0)+2),"-"),"-")</f>
        <v/>
      </c>
      <c r="AA100">
        <f>IF(S100="RE", Y100 &amp; "BT/" &amp; IF(Z100 &lt;&gt; "-", Z100 &amp; "BT", ""), IF(OR(S100="LTDR", S100="LTSR"), Y100 &amp; "BL" &amp; IF(Z100 &lt;&gt; "-", "/" &amp; Z100 &amp; "BT", ""), IF(OR(S100="RTDR", S100="RTSR"), Y100 &amp; "BR" &amp; IF(Z100 &lt;&gt; "-", "/" &amp; Z100 &amp; "BT", ""), IF(Z100 &lt;&gt; "-", Y100 &amp; "BT/" &amp; Z100 &amp; "BT", Y100 &amp; "BT"))))</f>
        <v/>
      </c>
    </row>
    <row r="101">
      <c r="A101" t="n">
        <v>637</v>
      </c>
      <c r="B101" t="inlineStr">
        <is>
          <t>NC 218</t>
        </is>
      </c>
      <c r="C101" t="n">
        <v>0</v>
      </c>
      <c r="E101" t="inlineStr">
        <is>
          <t>SR 1001</t>
        </is>
      </c>
      <c r="F101" t="inlineStr">
        <is>
          <t>SR 1547</t>
        </is>
      </c>
      <c r="G101" t="inlineStr">
        <is>
          <t>NC 218</t>
        </is>
      </c>
      <c r="H101" t="n">
        <v>9.786</v>
      </c>
      <c r="I101" t="inlineStr">
        <is>
          <t>NIS</t>
        </is>
      </c>
      <c r="L101" t="n">
        <v>106062746</v>
      </c>
      <c r="M101" s="6" t="n">
        <v>43784</v>
      </c>
      <c r="N101" t="n">
        <v>30</v>
      </c>
      <c r="O101" t="n">
        <v>2</v>
      </c>
      <c r="P101" t="n">
        <v>7</v>
      </c>
      <c r="Q101" t="n">
        <v>1</v>
      </c>
      <c r="R101" t="inlineStr">
        <is>
          <t>O</t>
        </is>
      </c>
      <c r="S101">
        <f>IFERROR(VLOOKUP(N101,Index!$A$1:$B$26,2,FALSE),"")</f>
        <v/>
      </c>
      <c r="T101">
        <f>AA101</f>
        <v/>
      </c>
      <c r="V101">
        <f>IFERROR(INDEX(DetailedFiche!Q:Q,MATCH(L101,DetailedFiche!J:J,0)),"")</f>
        <v/>
      </c>
      <c r="W101">
        <f>IFERROR(INDEX(DetailedFiche!R:R,MATCH(L101,DetailedFiche!J:J,0)),"")</f>
        <v/>
      </c>
      <c r="Y101">
        <f>IFERROR(IF(AND(INDEX('Initial Study'!K:K, MATCH(L101, 'Initial Study'!B:B, 0)+1)&lt;&gt;0,INDEX('Initial Study'!K:K, MATCH(L101, 'Initial Study'!B:B, 0)+1)&lt;&gt;""),INDEX('Initial Study'!K:K, MATCH(L101, 'Initial Study'!B:B, 0)+1),""),"")</f>
        <v/>
      </c>
      <c r="Z101">
        <f>IFERROR(IF(AND(INDEX('Initial Study'!K:K, MATCH(L101, 'Initial Study'!B:B, 0)+2)&lt;&gt;0,INDEX('Initial Study'!K:K, MATCH(L101, 'Initial Study'!B:B, 0)+2)&lt;&gt;"",NOT(ISNUMBER(INDEX('Initial Study'!K:K, MATCH(L101, 'Initial Study'!B:B, 0)+2)))),INDEX('Initial Study'!K:K, MATCH(L101, 'Initial Study'!B:B, 0)+2),"-"),"-")</f>
        <v/>
      </c>
      <c r="AA101">
        <f>IF(S101="RE", Y101 &amp; "BT/" &amp; IF(Z101 &lt;&gt; "-", Z101 &amp; "BT", ""), IF(OR(S101="LTDR", S101="LTSR"), Y101 &amp; "BL" &amp; IF(Z101 &lt;&gt; "-", "/" &amp; Z101 &amp; "BT", ""), IF(OR(S101="RTDR", S101="RTSR"), Y101 &amp; "BR" &amp; IF(Z101 &lt;&gt; "-", "/" &amp; Z101 &amp; "BT", ""), IF(Z101 &lt;&gt; "-", Y101 &amp; "BT/" &amp; Z101 &amp; "BT", Y101 &amp; "BT"))))</f>
        <v/>
      </c>
    </row>
    <row r="102">
      <c r="A102" t="n">
        <v>0</v>
      </c>
      <c r="B102" t="inlineStr">
        <is>
          <t>NC 218</t>
        </is>
      </c>
      <c r="C102" t="n">
        <v>0</v>
      </c>
      <c r="E102" t="inlineStr">
        <is>
          <t>SR 1001</t>
        </is>
      </c>
      <c r="F102" t="inlineStr">
        <is>
          <t>SR 1547</t>
        </is>
      </c>
      <c r="G102" t="inlineStr">
        <is>
          <t>NC 218</t>
        </is>
      </c>
      <c r="H102" t="n">
        <v>9.786</v>
      </c>
      <c r="I102" t="inlineStr">
        <is>
          <t>NIS</t>
        </is>
      </c>
      <c r="L102" t="n">
        <v>105842501</v>
      </c>
      <c r="M102" s="6" t="n">
        <v>43575</v>
      </c>
      <c r="N102" t="n">
        <v>21</v>
      </c>
      <c r="O102" t="n">
        <v>1</v>
      </c>
      <c r="P102" t="n">
        <v>7</v>
      </c>
      <c r="Q102" t="n">
        <v>1</v>
      </c>
      <c r="R102" t="inlineStr">
        <is>
          <t>O</t>
        </is>
      </c>
      <c r="S102">
        <f>IFERROR(VLOOKUP(N102,Index!$A$1:$B$26,2,FALSE),"")</f>
        <v/>
      </c>
      <c r="T102">
        <f>AA102</f>
        <v/>
      </c>
      <c r="V102">
        <f>IFERROR(INDEX(DetailedFiche!Q:Q,MATCH(L102,DetailedFiche!J:J,0)),"")</f>
        <v/>
      </c>
      <c r="W102">
        <f>IFERROR(INDEX(DetailedFiche!R:R,MATCH(L102,DetailedFiche!J:J,0)),"")</f>
        <v/>
      </c>
      <c r="Y102">
        <f>IFERROR(IF(AND(INDEX('Initial Study'!K:K, MATCH(L102, 'Initial Study'!B:B, 0)+1)&lt;&gt;0,INDEX('Initial Study'!K:K, MATCH(L102, 'Initial Study'!B:B, 0)+1)&lt;&gt;""),INDEX('Initial Study'!K:K, MATCH(L102, 'Initial Study'!B:B, 0)+1),""),"")</f>
        <v/>
      </c>
      <c r="Z102">
        <f>IFERROR(IF(AND(INDEX('Initial Study'!K:K, MATCH(L102, 'Initial Study'!B:B, 0)+2)&lt;&gt;0,INDEX('Initial Study'!K:K, MATCH(L102, 'Initial Study'!B:B, 0)+2)&lt;&gt;"",NOT(ISNUMBER(INDEX('Initial Study'!K:K, MATCH(L102, 'Initial Study'!B:B, 0)+2)))),INDEX('Initial Study'!K:K, MATCH(L102, 'Initial Study'!B:B, 0)+2),"-"),"-")</f>
        <v/>
      </c>
      <c r="AA102">
        <f>IF(S102="RE", Y102 &amp; "BT/" &amp; IF(Z102 &lt;&gt; "-", Z102 &amp; "BT", ""), IF(OR(S102="LTDR", S102="LTSR"), Y102 &amp; "BL" &amp; IF(Z102 &lt;&gt; "-", "/" &amp; Z102 &amp; "BT", ""), IF(OR(S102="RTDR", S102="RTSR"), Y102 &amp; "BR" &amp; IF(Z102 &lt;&gt; "-", "/" &amp; Z102 &amp; "BT", ""), IF(Z102 &lt;&gt; "-", Y102 &amp; "BT/" &amp; Z102 &amp; "BT", Y102 &amp; "BT"))))</f>
        <v/>
      </c>
    </row>
    <row r="103">
      <c r="A103" t="n">
        <v>0</v>
      </c>
      <c r="B103" t="inlineStr">
        <is>
          <t>NC 218</t>
        </is>
      </c>
      <c r="C103" t="n">
        <v>0</v>
      </c>
      <c r="E103" t="inlineStr">
        <is>
          <t>SR 1001</t>
        </is>
      </c>
      <c r="F103" t="inlineStr">
        <is>
          <t>SR 2732</t>
        </is>
      </c>
      <c r="G103" t="inlineStr">
        <is>
          <t>NC 218</t>
        </is>
      </c>
      <c r="H103" t="n">
        <v>9.786</v>
      </c>
      <c r="I103" t="inlineStr">
        <is>
          <t>NIS</t>
        </is>
      </c>
      <c r="L103" t="n">
        <v>105989915</v>
      </c>
      <c r="M103" s="6" t="n">
        <v>43719</v>
      </c>
      <c r="N103" t="n">
        <v>30</v>
      </c>
      <c r="O103" t="n">
        <v>1</v>
      </c>
      <c r="P103" t="n">
        <v>7</v>
      </c>
      <c r="Q103" t="n">
        <v>1</v>
      </c>
      <c r="R103" t="inlineStr">
        <is>
          <t>B</t>
        </is>
      </c>
      <c r="S103">
        <f>IFERROR(VLOOKUP(N103,Index!$A$1:$B$26,2,FALSE),"")</f>
        <v/>
      </c>
      <c r="T103">
        <f>AA103</f>
        <v/>
      </c>
      <c r="V103">
        <f>IFERROR(INDEX(DetailedFiche!Q:Q,MATCH(L103,DetailedFiche!J:J,0)),"")</f>
        <v/>
      </c>
      <c r="W103">
        <f>IFERROR(INDEX(DetailedFiche!R:R,MATCH(L103,DetailedFiche!J:J,0)),"")</f>
        <v/>
      </c>
      <c r="Y103">
        <f>IFERROR(IF(AND(INDEX('Initial Study'!K:K, MATCH(L103, 'Initial Study'!B:B, 0)+1)&lt;&gt;0,INDEX('Initial Study'!K:K, MATCH(L103, 'Initial Study'!B:B, 0)+1)&lt;&gt;""),INDEX('Initial Study'!K:K, MATCH(L103, 'Initial Study'!B:B, 0)+1),""),"")</f>
        <v/>
      </c>
      <c r="Z103">
        <f>IFERROR(IF(AND(INDEX('Initial Study'!K:K, MATCH(L103, 'Initial Study'!B:B, 0)+2)&lt;&gt;0,INDEX('Initial Study'!K:K, MATCH(L103, 'Initial Study'!B:B, 0)+2)&lt;&gt;"",NOT(ISNUMBER(INDEX('Initial Study'!K:K, MATCH(L103, 'Initial Study'!B:B, 0)+2)))),INDEX('Initial Study'!K:K, MATCH(L103, 'Initial Study'!B:B, 0)+2),"-"),"-")</f>
        <v/>
      </c>
      <c r="AA103">
        <f>IF(S103="RE", Y103 &amp; "BT/" &amp; IF(Z103 &lt;&gt; "-", Z103 &amp; "BT", ""), IF(OR(S103="LTDR", S103="LTSR"), Y103 &amp; "BL" &amp; IF(Z103 &lt;&gt; "-", "/" &amp; Z103 &amp; "BT", ""), IF(OR(S103="RTDR", S103="RTSR"), Y103 &amp; "BR" &amp; IF(Z103 &lt;&gt; "-", "/" &amp; Z103 &amp; "BT", ""), IF(Z103 &lt;&gt; "-", Y103 &amp; "BT/" &amp; Z103 &amp; "BT", Y103 &amp; "BT"))))</f>
        <v/>
      </c>
    </row>
    <row r="104">
      <c r="A104" t="n">
        <v>0</v>
      </c>
      <c r="B104" t="inlineStr">
        <is>
          <t>NC 218</t>
        </is>
      </c>
      <c r="C104" t="n">
        <v>0</v>
      </c>
      <c r="E104" t="inlineStr">
        <is>
          <t>SR 1001</t>
        </is>
      </c>
      <c r="F104" t="inlineStr">
        <is>
          <t>NC 200</t>
        </is>
      </c>
      <c r="G104" t="inlineStr">
        <is>
          <t>NC 218</t>
        </is>
      </c>
      <c r="H104" t="n">
        <v>9.786</v>
      </c>
      <c r="I104" t="inlineStr">
        <is>
          <t>NIS</t>
        </is>
      </c>
      <c r="L104" t="n">
        <v>105711501</v>
      </c>
      <c r="M104" s="6" t="n">
        <v>43448</v>
      </c>
      <c r="N104" t="n">
        <v>30</v>
      </c>
      <c r="O104" t="n">
        <v>2</v>
      </c>
      <c r="P104" t="n">
        <v>7</v>
      </c>
      <c r="Q104" t="n">
        <v>5</v>
      </c>
      <c r="R104" t="inlineStr">
        <is>
          <t>B</t>
        </is>
      </c>
      <c r="S104">
        <f>IFERROR(VLOOKUP(N104,Index!$A$1:$B$26,2,FALSE),"")</f>
        <v/>
      </c>
      <c r="T104">
        <f>AA104</f>
        <v/>
      </c>
      <c r="V104">
        <f>IFERROR(INDEX(DetailedFiche!Q:Q,MATCH(L104,DetailedFiche!J:J,0)),"")</f>
        <v/>
      </c>
      <c r="W104">
        <f>IFERROR(INDEX(DetailedFiche!R:R,MATCH(L104,DetailedFiche!J:J,0)),"")</f>
        <v/>
      </c>
      <c r="Y104">
        <f>IFERROR(IF(AND(INDEX('Initial Study'!K:K, MATCH(L104, 'Initial Study'!B:B, 0)+1)&lt;&gt;0,INDEX('Initial Study'!K:K, MATCH(L104, 'Initial Study'!B:B, 0)+1)&lt;&gt;""),INDEX('Initial Study'!K:K, MATCH(L104, 'Initial Study'!B:B, 0)+1),""),"")</f>
        <v/>
      </c>
      <c r="Z104">
        <f>IFERROR(IF(AND(INDEX('Initial Study'!K:K, MATCH(L104, 'Initial Study'!B:B, 0)+2)&lt;&gt;0,INDEX('Initial Study'!K:K, MATCH(L104, 'Initial Study'!B:B, 0)+2)&lt;&gt;"",NOT(ISNUMBER(INDEX('Initial Study'!K:K, MATCH(L104, 'Initial Study'!B:B, 0)+2)))),INDEX('Initial Study'!K:K, MATCH(L104, 'Initial Study'!B:B, 0)+2),"-"),"-")</f>
        <v/>
      </c>
      <c r="AA104">
        <f>IF(S104="RE", Y104 &amp; "BT/" &amp; IF(Z104 &lt;&gt; "-", Z104 &amp; "BT", ""), IF(OR(S104="LTDR", S104="LTSR"), Y104 &amp; "BL" &amp; IF(Z104 &lt;&gt; "-", "/" &amp; Z104 &amp; "BT", ""), IF(OR(S104="RTDR", S104="RTSR"), Y104 &amp; "BR" &amp; IF(Z104 &lt;&gt; "-", "/" &amp; Z104 &amp; "BT", ""), IF(Z104 &lt;&gt; "-", Y104 &amp; "BT/" &amp; Z104 &amp; "BT", Y104 &amp; "BT"))))</f>
        <v/>
      </c>
    </row>
    <row r="105">
      <c r="A105" t="n">
        <v>0</v>
      </c>
      <c r="B105" t="inlineStr">
        <is>
          <t>NC 218</t>
        </is>
      </c>
      <c r="C105" t="n">
        <v>0</v>
      </c>
      <c r="E105" t="inlineStr">
        <is>
          <t>SR 1001</t>
        </is>
      </c>
      <c r="F105" t="inlineStr">
        <is>
          <t>SR 1606</t>
        </is>
      </c>
      <c r="G105" t="inlineStr">
        <is>
          <t>NC 218</t>
        </is>
      </c>
      <c r="H105" t="n">
        <v>9.786</v>
      </c>
      <c r="I105" t="inlineStr">
        <is>
          <t>NIS</t>
        </is>
      </c>
      <c r="L105" t="n">
        <v>105644334</v>
      </c>
      <c r="M105" s="6" t="n">
        <v>43394</v>
      </c>
      <c r="N105" t="n">
        <v>19</v>
      </c>
      <c r="O105" t="n">
        <v>1</v>
      </c>
      <c r="P105" t="n">
        <v>7</v>
      </c>
      <c r="Q105" t="n">
        <v>1</v>
      </c>
      <c r="R105" t="inlineStr">
        <is>
          <t>O</t>
        </is>
      </c>
      <c r="S105">
        <f>IFERROR(VLOOKUP(N105,Index!$A$1:$B$26,2,FALSE),"")</f>
        <v/>
      </c>
      <c r="T105">
        <f>AA105</f>
        <v/>
      </c>
      <c r="V105">
        <f>IFERROR(INDEX(DetailedFiche!Q:Q,MATCH(L105,DetailedFiche!J:J,0)),"")</f>
        <v/>
      </c>
      <c r="W105">
        <f>IFERROR(INDEX(DetailedFiche!R:R,MATCH(L105,DetailedFiche!J:J,0)),"")</f>
        <v/>
      </c>
      <c r="Y105">
        <f>IFERROR(IF(AND(INDEX('Initial Study'!K:K, MATCH(L105, 'Initial Study'!B:B, 0)+1)&lt;&gt;0,INDEX('Initial Study'!K:K, MATCH(L105, 'Initial Study'!B:B, 0)+1)&lt;&gt;""),INDEX('Initial Study'!K:K, MATCH(L105, 'Initial Study'!B:B, 0)+1),""),"")</f>
        <v/>
      </c>
      <c r="Z105">
        <f>IFERROR(IF(AND(INDEX('Initial Study'!K:K, MATCH(L105, 'Initial Study'!B:B, 0)+2)&lt;&gt;0,INDEX('Initial Study'!K:K, MATCH(L105, 'Initial Study'!B:B, 0)+2)&lt;&gt;"",NOT(ISNUMBER(INDEX('Initial Study'!K:K, MATCH(L105, 'Initial Study'!B:B, 0)+2)))),INDEX('Initial Study'!K:K, MATCH(L105, 'Initial Study'!B:B, 0)+2),"-"),"-")</f>
        <v/>
      </c>
      <c r="AA105">
        <f>IF(S105="RE", Y105 &amp; "BT/" &amp; IF(Z105 &lt;&gt; "-", Z105 &amp; "BT", ""), IF(OR(S105="LTDR", S105="LTSR"), Y105 &amp; "BL" &amp; IF(Z105 &lt;&gt; "-", "/" &amp; Z105 &amp; "BT", ""), IF(OR(S105="RTDR", S105="RTSR"), Y105 &amp; "BR" &amp; IF(Z105 &lt;&gt; "-", "/" &amp; Z105 &amp; "BT", ""), IF(Z105 &lt;&gt; "-", Y105 &amp; "BT/" &amp; Z105 &amp; "BT", Y105 &amp; "BT"))))</f>
        <v/>
      </c>
    </row>
    <row r="106">
      <c r="A106" t="n">
        <v>558</v>
      </c>
      <c r="B106" t="inlineStr">
        <is>
          <t>NC 218</t>
        </is>
      </c>
      <c r="C106" t="n">
        <v>0</v>
      </c>
      <c r="E106" t="inlineStr">
        <is>
          <t>SR 1001</t>
        </is>
      </c>
      <c r="F106" t="inlineStr">
        <is>
          <t>SR 1547</t>
        </is>
      </c>
      <c r="G106" t="inlineStr">
        <is>
          <t>NC 218</t>
        </is>
      </c>
      <c r="H106" t="n">
        <v>9.786</v>
      </c>
      <c r="I106" t="inlineStr">
        <is>
          <t>NIS</t>
        </is>
      </c>
      <c r="L106" t="n">
        <v>105502400</v>
      </c>
      <c r="M106" s="6" t="n">
        <v>43257</v>
      </c>
      <c r="N106" t="n">
        <v>22</v>
      </c>
      <c r="O106" t="n">
        <v>1</v>
      </c>
      <c r="P106" t="n">
        <v>7</v>
      </c>
      <c r="Q106" t="n">
        <v>1</v>
      </c>
      <c r="R106" t="inlineStr">
        <is>
          <t>O</t>
        </is>
      </c>
      <c r="S106">
        <f>IFERROR(VLOOKUP(N106,Index!$A$1:$B$26,2,FALSE),"")</f>
        <v/>
      </c>
      <c r="T106">
        <f>AA106</f>
        <v/>
      </c>
      <c r="V106">
        <f>IFERROR(INDEX(DetailedFiche!Q:Q,MATCH(L106,DetailedFiche!J:J,0)),"")</f>
        <v/>
      </c>
      <c r="W106">
        <f>IFERROR(INDEX(DetailedFiche!R:R,MATCH(L106,DetailedFiche!J:J,0)),"")</f>
        <v/>
      </c>
      <c r="Y106">
        <f>IFERROR(IF(AND(INDEX('Initial Study'!K:K, MATCH(L106, 'Initial Study'!B:B, 0)+1)&lt;&gt;0,INDEX('Initial Study'!K:K, MATCH(L106, 'Initial Study'!B:B, 0)+1)&lt;&gt;""),INDEX('Initial Study'!K:K, MATCH(L106, 'Initial Study'!B:B, 0)+1),""),"")</f>
        <v/>
      </c>
      <c r="Z106">
        <f>IFERROR(IF(AND(INDEX('Initial Study'!K:K, MATCH(L106, 'Initial Study'!B:B, 0)+2)&lt;&gt;0,INDEX('Initial Study'!K:K, MATCH(L106, 'Initial Study'!B:B, 0)+2)&lt;&gt;"",NOT(ISNUMBER(INDEX('Initial Study'!K:K, MATCH(L106, 'Initial Study'!B:B, 0)+2)))),INDEX('Initial Study'!K:K, MATCH(L106, 'Initial Study'!B:B, 0)+2),"-"),"-")</f>
        <v/>
      </c>
      <c r="AA106">
        <f>IF(S106="RE", Y106 &amp; "BT/" &amp; IF(Z106 &lt;&gt; "-", Z106 &amp; "BT", ""), IF(OR(S106="LTDR", S106="LTSR"), Y106 &amp; "BL" &amp; IF(Z106 &lt;&gt; "-", "/" &amp; Z106 &amp; "BT", ""), IF(OR(S106="RTDR", S106="RTSR"), Y106 &amp; "BR" &amp; IF(Z106 &lt;&gt; "-", "/" &amp; Z106 &amp; "BT", ""), IF(Z106 &lt;&gt; "-", Y106 &amp; "BT/" &amp; Z106 &amp; "BT", Y106 &amp; "BT"))))</f>
        <v/>
      </c>
    </row>
    <row r="107">
      <c r="A107" t="n">
        <v>0</v>
      </c>
      <c r="B107" t="inlineStr">
        <is>
          <t>NC 218</t>
        </is>
      </c>
      <c r="C107" t="n">
        <v>0</v>
      </c>
      <c r="E107" t="inlineStr">
        <is>
          <t>SR 1001</t>
        </is>
      </c>
      <c r="F107" t="inlineStr">
        <is>
          <t>SR 1547</t>
        </is>
      </c>
      <c r="G107" t="inlineStr">
        <is>
          <t>NC 218</t>
        </is>
      </c>
      <c r="H107" t="n">
        <v>9.786</v>
      </c>
      <c r="I107" t="inlineStr">
        <is>
          <t>NIS</t>
        </is>
      </c>
      <c r="L107" t="n">
        <v>105452058</v>
      </c>
      <c r="M107" s="6" t="n">
        <v>43208</v>
      </c>
      <c r="N107" t="n">
        <v>21</v>
      </c>
      <c r="O107" t="n">
        <v>1</v>
      </c>
      <c r="P107" t="n">
        <v>7</v>
      </c>
      <c r="Q107" t="n">
        <v>1</v>
      </c>
      <c r="R107" t="inlineStr">
        <is>
          <t>O</t>
        </is>
      </c>
      <c r="S107">
        <f>IFERROR(VLOOKUP(N107,Index!$A$1:$B$26,2,FALSE),"")</f>
        <v/>
      </c>
      <c r="T107">
        <f>AA107</f>
        <v/>
      </c>
      <c r="V107">
        <f>IFERROR(INDEX(DetailedFiche!Q:Q,MATCH(L107,DetailedFiche!J:J,0)),"")</f>
        <v/>
      </c>
      <c r="W107">
        <f>IFERROR(INDEX(DetailedFiche!R:R,MATCH(L107,DetailedFiche!J:J,0)),"")</f>
        <v/>
      </c>
      <c r="Y107">
        <f>IFERROR(IF(AND(INDEX('Initial Study'!K:K, MATCH(L107, 'Initial Study'!B:B, 0)+1)&lt;&gt;0,INDEX('Initial Study'!K:K, MATCH(L107, 'Initial Study'!B:B, 0)+1)&lt;&gt;""),INDEX('Initial Study'!K:K, MATCH(L107, 'Initial Study'!B:B, 0)+1),""),"")</f>
        <v/>
      </c>
      <c r="Z107">
        <f>IFERROR(IF(AND(INDEX('Initial Study'!K:K, MATCH(L107, 'Initial Study'!B:B, 0)+2)&lt;&gt;0,INDEX('Initial Study'!K:K, MATCH(L107, 'Initial Study'!B:B, 0)+2)&lt;&gt;"",NOT(ISNUMBER(INDEX('Initial Study'!K:K, MATCH(L107, 'Initial Study'!B:B, 0)+2)))),INDEX('Initial Study'!K:K, MATCH(L107, 'Initial Study'!B:B, 0)+2),"-"),"-")</f>
        <v/>
      </c>
      <c r="AA107">
        <f>IF(S107="RE", Y107 &amp; "BT/" &amp; IF(Z107 &lt;&gt; "-", Z107 &amp; "BT", ""), IF(OR(S107="LTDR", S107="LTSR"), Y107 &amp; "BL" &amp; IF(Z107 &lt;&gt; "-", "/" &amp; Z107 &amp; "BT", ""), IF(OR(S107="RTDR", S107="RTSR"), Y107 &amp; "BR" &amp; IF(Z107 &lt;&gt; "-", "/" &amp; Z107 &amp; "BT", ""), IF(Z107 &lt;&gt; "-", Y107 &amp; "BT/" &amp; Z107 &amp; "BT", Y107 &amp; "BT"))))</f>
        <v/>
      </c>
    </row>
    <row r="108">
      <c r="A108" t="n">
        <v>0</v>
      </c>
      <c r="B108" t="inlineStr">
        <is>
          <t>NC 218</t>
        </is>
      </c>
      <c r="C108" t="n">
        <v>0</v>
      </c>
      <c r="E108" t="inlineStr">
        <is>
          <t>SR 1001</t>
        </is>
      </c>
      <c r="F108" t="inlineStr">
        <is>
          <t>NC 200</t>
        </is>
      </c>
      <c r="G108" t="inlineStr">
        <is>
          <t>NC 218</t>
        </is>
      </c>
      <c r="H108" t="n">
        <v>9.786</v>
      </c>
      <c r="I108" t="inlineStr">
        <is>
          <t>NIS</t>
        </is>
      </c>
      <c r="L108" t="n">
        <v>105283709</v>
      </c>
      <c r="M108" s="6" t="n">
        <v>43042</v>
      </c>
      <c r="N108" t="n">
        <v>28</v>
      </c>
      <c r="O108" t="n">
        <v>1</v>
      </c>
      <c r="P108" t="n">
        <v>0</v>
      </c>
      <c r="Q108" t="n">
        <v>1</v>
      </c>
      <c r="R108" t="inlineStr">
        <is>
          <t>O</t>
        </is>
      </c>
      <c r="S108">
        <f>IFERROR(VLOOKUP(N108,Index!$A$1:$B$26,2,FALSE),"")</f>
        <v/>
      </c>
      <c r="T108">
        <f>AA108</f>
        <v/>
      </c>
      <c r="V108">
        <f>IFERROR(INDEX(DetailedFiche!Q:Q,MATCH(L108,DetailedFiche!J:J,0)),"")</f>
        <v/>
      </c>
      <c r="W108">
        <f>IFERROR(INDEX(DetailedFiche!R:R,MATCH(L108,DetailedFiche!J:J,0)),"")</f>
        <v/>
      </c>
      <c r="Y108">
        <f>IFERROR(IF(AND(INDEX('Initial Study'!K:K, MATCH(L108, 'Initial Study'!B:B, 0)+1)&lt;&gt;0,INDEX('Initial Study'!K:K, MATCH(L108, 'Initial Study'!B:B, 0)+1)&lt;&gt;""),INDEX('Initial Study'!K:K, MATCH(L108, 'Initial Study'!B:B, 0)+1),""),"")</f>
        <v/>
      </c>
      <c r="Z108">
        <f>IFERROR(IF(AND(INDEX('Initial Study'!K:K, MATCH(L108, 'Initial Study'!B:B, 0)+2)&lt;&gt;0,INDEX('Initial Study'!K:K, MATCH(L108, 'Initial Study'!B:B, 0)+2)&lt;&gt;"",NOT(ISNUMBER(INDEX('Initial Study'!K:K, MATCH(L108, 'Initial Study'!B:B, 0)+2)))),INDEX('Initial Study'!K:K, MATCH(L108, 'Initial Study'!B:B, 0)+2),"-"),"-")</f>
        <v/>
      </c>
      <c r="AA108">
        <f>IF(S108="RE", Y108 &amp; "BT/" &amp; IF(Z108 &lt;&gt; "-", Z108 &amp; "BT", ""), IF(OR(S108="LTDR", S108="LTSR"), Y108 &amp; "BL" &amp; IF(Z108 &lt;&gt; "-", "/" &amp; Z108 &amp; "BT", ""), IF(OR(S108="RTDR", S108="RTSR"), Y108 &amp; "BR" &amp; IF(Z108 &lt;&gt; "-", "/" &amp; Z108 &amp; "BT", ""), IF(Z108 &lt;&gt; "-", Y108 &amp; "BT/" &amp; Z108 &amp; "BT", Y108 &amp; "BT"))))</f>
        <v/>
      </c>
    </row>
    <row r="109">
      <c r="A109" t="n">
        <v>650</v>
      </c>
      <c r="B109" t="inlineStr">
        <is>
          <t>NC 218</t>
        </is>
      </c>
      <c r="C109" t="n">
        <v>0</v>
      </c>
      <c r="E109" t="inlineStr">
        <is>
          <t>SR 1001</t>
        </is>
      </c>
      <c r="F109" t="inlineStr">
        <is>
          <t>SR 1547</t>
        </is>
      </c>
      <c r="G109" t="inlineStr">
        <is>
          <t>NC 218</t>
        </is>
      </c>
      <c r="H109" t="n">
        <v>9.786</v>
      </c>
      <c r="I109" t="inlineStr">
        <is>
          <t>NIS</t>
        </is>
      </c>
      <c r="L109" t="n">
        <v>105326336</v>
      </c>
      <c r="M109" s="6" t="n">
        <v>43082</v>
      </c>
      <c r="N109" t="n">
        <v>21</v>
      </c>
      <c r="O109" t="n">
        <v>1</v>
      </c>
      <c r="P109" t="n">
        <v>7</v>
      </c>
      <c r="Q109" t="n">
        <v>1</v>
      </c>
      <c r="R109" t="inlineStr">
        <is>
          <t>B</t>
        </is>
      </c>
      <c r="S109">
        <f>IFERROR(VLOOKUP(N109,Index!$A$1:$B$26,2,FALSE),"")</f>
        <v/>
      </c>
      <c r="T109">
        <f>AA109</f>
        <v/>
      </c>
      <c r="V109">
        <f>IFERROR(INDEX(DetailedFiche!Q:Q,MATCH(L109,DetailedFiche!J:J,0)),"")</f>
        <v/>
      </c>
      <c r="W109">
        <f>IFERROR(INDEX(DetailedFiche!R:R,MATCH(L109,DetailedFiche!J:J,0)),"")</f>
        <v/>
      </c>
      <c r="Y109">
        <f>IFERROR(IF(AND(INDEX('Initial Study'!K:K, MATCH(L109, 'Initial Study'!B:B, 0)+1)&lt;&gt;0,INDEX('Initial Study'!K:K, MATCH(L109, 'Initial Study'!B:B, 0)+1)&lt;&gt;""),INDEX('Initial Study'!K:K, MATCH(L109, 'Initial Study'!B:B, 0)+1),""),"")</f>
        <v/>
      </c>
      <c r="Z109">
        <f>IFERROR(IF(AND(INDEX('Initial Study'!K:K, MATCH(L109, 'Initial Study'!B:B, 0)+2)&lt;&gt;0,INDEX('Initial Study'!K:K, MATCH(L109, 'Initial Study'!B:B, 0)+2)&lt;&gt;"",NOT(ISNUMBER(INDEX('Initial Study'!K:K, MATCH(L109, 'Initial Study'!B:B, 0)+2)))),INDEX('Initial Study'!K:K, MATCH(L109, 'Initial Study'!B:B, 0)+2),"-"),"-")</f>
        <v/>
      </c>
      <c r="AA109">
        <f>IF(S109="RE", Y109 &amp; "BT/" &amp; IF(Z109 &lt;&gt; "-", Z109 &amp; "BT", ""), IF(OR(S109="LTDR", S109="LTSR"), Y109 &amp; "BL" &amp; IF(Z109 &lt;&gt; "-", "/" &amp; Z109 &amp; "BT", ""), IF(OR(S109="RTDR", S109="RTSR"), Y109 &amp; "BR" &amp; IF(Z109 &lt;&gt; "-", "/" &amp; Z109 &amp; "BT", ""), IF(Z109 &lt;&gt; "-", Y109 &amp; "BT/" &amp; Z109 &amp; "BT", Y109 &amp; "BT"))))</f>
        <v/>
      </c>
    </row>
    <row r="110">
      <c r="A110" t="n">
        <v>558</v>
      </c>
      <c r="B110" t="inlineStr">
        <is>
          <t>NC 218</t>
        </is>
      </c>
      <c r="C110" t="n">
        <v>0</v>
      </c>
      <c r="E110" t="inlineStr">
        <is>
          <t>SR 1001</t>
        </is>
      </c>
      <c r="F110" t="inlineStr">
        <is>
          <t>NC 200</t>
        </is>
      </c>
      <c r="G110" t="inlineStr">
        <is>
          <t>NC 218</t>
        </is>
      </c>
      <c r="H110" t="n">
        <v>9.786</v>
      </c>
      <c r="I110" t="inlineStr">
        <is>
          <t>NIS</t>
        </is>
      </c>
      <c r="L110" t="n">
        <v>105085947</v>
      </c>
      <c r="M110" s="6" t="n">
        <v>42845</v>
      </c>
      <c r="N110" t="n">
        <v>21</v>
      </c>
      <c r="O110" t="n">
        <v>1</v>
      </c>
      <c r="P110" t="n">
        <v>7</v>
      </c>
      <c r="Q110" t="n">
        <v>1</v>
      </c>
      <c r="R110" t="inlineStr">
        <is>
          <t>C</t>
        </is>
      </c>
      <c r="S110">
        <f>IFERROR(VLOOKUP(N110,Index!$A$1:$B$26,2,FALSE),"")</f>
        <v/>
      </c>
      <c r="T110">
        <f>AA110</f>
        <v/>
      </c>
      <c r="V110">
        <f>IFERROR(INDEX(DetailedFiche!Q:Q,MATCH(L110,DetailedFiche!J:J,0)),"")</f>
        <v/>
      </c>
      <c r="W110">
        <f>IFERROR(INDEX(DetailedFiche!R:R,MATCH(L110,DetailedFiche!J:J,0)),"")</f>
        <v/>
      </c>
      <c r="Y110">
        <f>IFERROR(IF(AND(INDEX('Initial Study'!K:K, MATCH(L110, 'Initial Study'!B:B, 0)+1)&lt;&gt;0,INDEX('Initial Study'!K:K, MATCH(L110, 'Initial Study'!B:B, 0)+1)&lt;&gt;""),INDEX('Initial Study'!K:K, MATCH(L110, 'Initial Study'!B:B, 0)+1),""),"")</f>
        <v/>
      </c>
      <c r="Z110">
        <f>IFERROR(IF(AND(INDEX('Initial Study'!K:K, MATCH(L110, 'Initial Study'!B:B, 0)+2)&lt;&gt;0,INDEX('Initial Study'!K:K, MATCH(L110, 'Initial Study'!B:B, 0)+2)&lt;&gt;"",NOT(ISNUMBER(INDEX('Initial Study'!K:K, MATCH(L110, 'Initial Study'!B:B, 0)+2)))),INDEX('Initial Study'!K:K, MATCH(L110, 'Initial Study'!B:B, 0)+2),"-"),"-")</f>
        <v/>
      </c>
      <c r="AA110">
        <f>IF(S110="RE", Y110 &amp; "BT/" &amp; IF(Z110 &lt;&gt; "-", Z110 &amp; "BT", ""), IF(OR(S110="LTDR", S110="LTSR"), Y110 &amp; "BL" &amp; IF(Z110 &lt;&gt; "-", "/" &amp; Z110 &amp; "BT", ""), IF(OR(S110="RTDR", S110="RTSR"), Y110 &amp; "BR" &amp; IF(Z110 &lt;&gt; "-", "/" &amp; Z110 &amp; "BT", ""), IF(Z110 &lt;&gt; "-", Y110 &amp; "BT/" &amp; Z110 &amp; "BT", Y110 &amp; "BT"))))</f>
        <v/>
      </c>
    </row>
    <row r="111">
      <c r="A111" t="n">
        <v>0</v>
      </c>
      <c r="B111" t="inlineStr">
        <is>
          <t>NC 218</t>
        </is>
      </c>
      <c r="C111" t="n">
        <v>0</v>
      </c>
      <c r="E111" t="inlineStr">
        <is>
          <t>SR 1001</t>
        </is>
      </c>
      <c r="F111" t="inlineStr">
        <is>
          <t>SR 1547</t>
        </is>
      </c>
      <c r="G111" t="inlineStr">
        <is>
          <t>NC 218</t>
        </is>
      </c>
      <c r="H111" t="n">
        <v>9.786</v>
      </c>
      <c r="I111" t="inlineStr">
        <is>
          <t>NIS</t>
        </is>
      </c>
      <c r="L111" t="n">
        <v>105127353</v>
      </c>
      <c r="M111" s="6" t="n">
        <v>42894</v>
      </c>
      <c r="N111" t="n">
        <v>21</v>
      </c>
      <c r="O111" t="n">
        <v>1</v>
      </c>
      <c r="P111" t="n">
        <v>7</v>
      </c>
      <c r="Q111" t="n">
        <v>1</v>
      </c>
      <c r="R111" t="inlineStr">
        <is>
          <t>B</t>
        </is>
      </c>
      <c r="S111">
        <f>IFERROR(VLOOKUP(N111,Index!$A$1:$B$26,2,FALSE),"")</f>
        <v/>
      </c>
      <c r="T111">
        <f>AA111</f>
        <v/>
      </c>
      <c r="V111">
        <f>IFERROR(INDEX(DetailedFiche!Q:Q,MATCH(L111,DetailedFiche!J:J,0)),"")</f>
        <v/>
      </c>
      <c r="W111">
        <f>IFERROR(INDEX(DetailedFiche!R:R,MATCH(L111,DetailedFiche!J:J,0)),"")</f>
        <v/>
      </c>
      <c r="Y111">
        <f>IFERROR(IF(AND(INDEX('Initial Study'!K:K, MATCH(L111, 'Initial Study'!B:B, 0)+1)&lt;&gt;0,INDEX('Initial Study'!K:K, MATCH(L111, 'Initial Study'!B:B, 0)+1)&lt;&gt;""),INDEX('Initial Study'!K:K, MATCH(L111, 'Initial Study'!B:B, 0)+1),""),"")</f>
        <v/>
      </c>
      <c r="Z111">
        <f>IFERROR(IF(AND(INDEX('Initial Study'!K:K, MATCH(L111, 'Initial Study'!B:B, 0)+2)&lt;&gt;0,INDEX('Initial Study'!K:K, MATCH(L111, 'Initial Study'!B:B, 0)+2)&lt;&gt;"",NOT(ISNUMBER(INDEX('Initial Study'!K:K, MATCH(L111, 'Initial Study'!B:B, 0)+2)))),INDEX('Initial Study'!K:K, MATCH(L111, 'Initial Study'!B:B, 0)+2),"-"),"-")</f>
        <v/>
      </c>
      <c r="AA111">
        <f>IF(S111="RE", Y111 &amp; "BT/" &amp; IF(Z111 &lt;&gt; "-", Z111 &amp; "BT", ""), IF(OR(S111="LTDR", S111="LTSR"), Y111 &amp; "BL" &amp; IF(Z111 &lt;&gt; "-", "/" &amp; Z111 &amp; "BT", ""), IF(OR(S111="RTDR", S111="RTSR"), Y111 &amp; "BR" &amp; IF(Z111 &lt;&gt; "-", "/" &amp; Z111 &amp; "BT", ""), IF(Z111 &lt;&gt; "-", Y111 &amp; "BT/" &amp; Z111 &amp; "BT", Y111 &amp; "BT"))))</f>
        <v/>
      </c>
    </row>
    <row r="112">
      <c r="A112" t="n">
        <v>650</v>
      </c>
      <c r="B112" t="inlineStr">
        <is>
          <t>NC 218</t>
        </is>
      </c>
      <c r="C112" t="n">
        <v>0</v>
      </c>
      <c r="E112" t="inlineStr">
        <is>
          <t>SR 1001</t>
        </is>
      </c>
      <c r="F112" t="inlineStr">
        <is>
          <t>CYRUS LEE</t>
        </is>
      </c>
      <c r="G112" t="inlineStr">
        <is>
          <t>NC 218</t>
        </is>
      </c>
      <c r="H112" t="n">
        <v>9.786</v>
      </c>
      <c r="I112" t="inlineStr">
        <is>
          <t>NIS</t>
        </is>
      </c>
      <c r="L112" t="n">
        <v>105125636</v>
      </c>
      <c r="M112" s="6" t="n">
        <v>42890</v>
      </c>
      <c r="N112" t="n">
        <v>21</v>
      </c>
      <c r="O112" t="n">
        <v>1</v>
      </c>
      <c r="P112" t="n">
        <v>12</v>
      </c>
      <c r="Q112" t="n">
        <v>1</v>
      </c>
      <c r="R112" t="inlineStr">
        <is>
          <t>O</t>
        </is>
      </c>
      <c r="S112">
        <f>IFERROR(VLOOKUP(N112,Index!$A$1:$B$26,2,FALSE),"")</f>
        <v/>
      </c>
      <c r="T112">
        <f>AA112</f>
        <v/>
      </c>
      <c r="V112">
        <f>IFERROR(INDEX(DetailedFiche!Q:Q,MATCH(L112,DetailedFiche!J:J,0)),"")</f>
        <v/>
      </c>
      <c r="W112">
        <f>IFERROR(INDEX(DetailedFiche!R:R,MATCH(L112,DetailedFiche!J:J,0)),"")</f>
        <v/>
      </c>
      <c r="Y112">
        <f>IFERROR(IF(AND(INDEX('Initial Study'!K:K, MATCH(L112, 'Initial Study'!B:B, 0)+1)&lt;&gt;0,INDEX('Initial Study'!K:K, MATCH(L112, 'Initial Study'!B:B, 0)+1)&lt;&gt;""),INDEX('Initial Study'!K:K, MATCH(L112, 'Initial Study'!B:B, 0)+1),""),"")</f>
        <v/>
      </c>
      <c r="Z112">
        <f>IFERROR(IF(AND(INDEX('Initial Study'!K:K, MATCH(L112, 'Initial Study'!B:B, 0)+2)&lt;&gt;0,INDEX('Initial Study'!K:K, MATCH(L112, 'Initial Study'!B:B, 0)+2)&lt;&gt;"",NOT(ISNUMBER(INDEX('Initial Study'!K:K, MATCH(L112, 'Initial Study'!B:B, 0)+2)))),INDEX('Initial Study'!K:K, MATCH(L112, 'Initial Study'!B:B, 0)+2),"-"),"-")</f>
        <v/>
      </c>
      <c r="AA112">
        <f>IF(S112="RE", Y112 &amp; "BT/" &amp; IF(Z112 &lt;&gt; "-", Z112 &amp; "BT", ""), IF(OR(S112="LTDR", S112="LTSR"), Y112 &amp; "BL" &amp; IF(Z112 &lt;&gt; "-", "/" &amp; Z112 &amp; "BT", ""), IF(OR(S112="RTDR", S112="RTSR"), Y112 &amp; "BR" &amp; IF(Z112 &lt;&gt; "-", "/" &amp; Z112 &amp; "BT", ""), IF(Z112 &lt;&gt; "-", Y112 &amp; "BT/" &amp; Z112 &amp; "BT", Y112 &amp; "BT"))))</f>
        <v/>
      </c>
    </row>
    <row r="113">
      <c r="A113" t="n">
        <v>637</v>
      </c>
      <c r="B113" t="inlineStr">
        <is>
          <t>NC 218</t>
        </is>
      </c>
      <c r="C113" t="n">
        <v>0.005</v>
      </c>
      <c r="D113" t="inlineStr">
        <is>
          <t>E</t>
        </is>
      </c>
      <c r="E113" t="inlineStr">
        <is>
          <t>LOVE MILL</t>
        </is>
      </c>
      <c r="F113" t="inlineStr">
        <is>
          <t>NC 200</t>
        </is>
      </c>
      <c r="G113" t="inlineStr">
        <is>
          <t>NC 218</t>
        </is>
      </c>
      <c r="H113" t="n">
        <v>9.791</v>
      </c>
      <c r="I113" t="inlineStr">
        <is>
          <t>NIS</t>
        </is>
      </c>
      <c r="L113" t="n">
        <v>107609800</v>
      </c>
      <c r="M113" s="6" t="n">
        <v>45322</v>
      </c>
      <c r="N113" t="n">
        <v>21</v>
      </c>
      <c r="O113" t="n">
        <v>2</v>
      </c>
      <c r="P113" t="n">
        <v>7</v>
      </c>
      <c r="Q113" t="n">
        <v>1</v>
      </c>
      <c r="R113" t="inlineStr">
        <is>
          <t>C</t>
        </is>
      </c>
      <c r="S113">
        <f>IFERROR(VLOOKUP(N113,Index!$A$1:$B$26,2,FALSE),"")</f>
        <v/>
      </c>
      <c r="T113">
        <f>AA113</f>
        <v/>
      </c>
      <c r="V113">
        <f>IFERROR(INDEX(DetailedFiche!Q:Q,MATCH(L113,DetailedFiche!J:J,0)),"")</f>
        <v/>
      </c>
      <c r="W113">
        <f>IFERROR(INDEX(DetailedFiche!R:R,MATCH(L113,DetailedFiche!J:J,0)),"")</f>
        <v/>
      </c>
      <c r="Y113">
        <f>IFERROR(IF(AND(INDEX('Initial Study'!K:K, MATCH(L113, 'Initial Study'!B:B, 0)+1)&lt;&gt;0,INDEX('Initial Study'!K:K, MATCH(L113, 'Initial Study'!B:B, 0)+1)&lt;&gt;""),INDEX('Initial Study'!K:K, MATCH(L113, 'Initial Study'!B:B, 0)+1),""),"")</f>
        <v/>
      </c>
      <c r="Z113">
        <f>IFERROR(IF(AND(INDEX('Initial Study'!K:K, MATCH(L113, 'Initial Study'!B:B, 0)+2)&lt;&gt;0,INDEX('Initial Study'!K:K, MATCH(L113, 'Initial Study'!B:B, 0)+2)&lt;&gt;"",NOT(ISNUMBER(INDEX('Initial Study'!K:K, MATCH(L113, 'Initial Study'!B:B, 0)+2)))),INDEX('Initial Study'!K:K, MATCH(L113, 'Initial Study'!B:B, 0)+2),"-"),"-")</f>
        <v/>
      </c>
      <c r="AA113">
        <f>IF(S113="RE", Y113 &amp; "BT/" &amp; IF(Z113 &lt;&gt; "-", Z113 &amp; "BT", ""), IF(OR(S113="LTDR", S113="LTSR"), Y113 &amp; "BL" &amp; IF(Z113 &lt;&gt; "-", "/" &amp; Z113 &amp; "BT", ""), IF(OR(S113="RTDR", S113="RTSR"), Y113 &amp; "BR" &amp; IF(Z113 &lt;&gt; "-", "/" &amp; Z113 &amp; "BT", ""), IF(Z113 &lt;&gt; "-", Y113 &amp; "BT/" &amp; Z113 &amp; "BT", Y113 &amp; "BT"))))</f>
        <v/>
      </c>
    </row>
    <row r="114">
      <c r="A114" t="n">
        <v>0</v>
      </c>
      <c r="B114" t="inlineStr">
        <is>
          <t>NC 218</t>
        </is>
      </c>
      <c r="C114" t="n">
        <v>0.006</v>
      </c>
      <c r="D114" t="inlineStr">
        <is>
          <t>E</t>
        </is>
      </c>
      <c r="E114" t="inlineStr">
        <is>
          <t>SR 1001</t>
        </is>
      </c>
      <c r="F114" t="inlineStr">
        <is>
          <t>NC 200</t>
        </is>
      </c>
      <c r="G114" t="inlineStr">
        <is>
          <t>NC 218</t>
        </is>
      </c>
      <c r="H114" t="n">
        <v>9.792</v>
      </c>
      <c r="I114" t="inlineStr">
        <is>
          <t>NIS</t>
        </is>
      </c>
      <c r="L114" t="n">
        <v>106370455</v>
      </c>
      <c r="M114" s="6" t="n">
        <v>44121</v>
      </c>
      <c r="N114" t="n">
        <v>23</v>
      </c>
      <c r="O114" t="n">
        <v>1</v>
      </c>
      <c r="P114" t="n">
        <v>7</v>
      </c>
      <c r="Q114" t="n">
        <v>1</v>
      </c>
      <c r="R114" t="inlineStr">
        <is>
          <t>O</t>
        </is>
      </c>
      <c r="S114">
        <f>IFERROR(VLOOKUP(N114,Index!$A$1:$B$26,2,FALSE),"")</f>
        <v/>
      </c>
      <c r="T114">
        <f>AA114</f>
        <v/>
      </c>
      <c r="V114">
        <f>IFERROR(INDEX(DetailedFiche!Q:Q,MATCH(L114,DetailedFiche!J:J,0)),"")</f>
        <v/>
      </c>
      <c r="W114">
        <f>IFERROR(INDEX(DetailedFiche!R:R,MATCH(L114,DetailedFiche!J:J,0)),"")</f>
        <v/>
      </c>
      <c r="Y114">
        <f>IFERROR(IF(AND(INDEX('Initial Study'!K:K, MATCH(L114, 'Initial Study'!B:B, 0)+1)&lt;&gt;0,INDEX('Initial Study'!K:K, MATCH(L114, 'Initial Study'!B:B, 0)+1)&lt;&gt;""),INDEX('Initial Study'!K:K, MATCH(L114, 'Initial Study'!B:B, 0)+1),""),"")</f>
        <v/>
      </c>
      <c r="Z114">
        <f>IFERROR(IF(AND(INDEX('Initial Study'!K:K, MATCH(L114, 'Initial Study'!B:B, 0)+2)&lt;&gt;0,INDEX('Initial Study'!K:K, MATCH(L114, 'Initial Study'!B:B, 0)+2)&lt;&gt;"",NOT(ISNUMBER(INDEX('Initial Study'!K:K, MATCH(L114, 'Initial Study'!B:B, 0)+2)))),INDEX('Initial Study'!K:K, MATCH(L114, 'Initial Study'!B:B, 0)+2),"-"),"-")</f>
        <v/>
      </c>
      <c r="AA114">
        <f>IF(S114="RE", Y114 &amp; "BT/" &amp; IF(Z114 &lt;&gt; "-", Z114 &amp; "BT", ""), IF(OR(S114="LTDR", S114="LTSR"), Y114 &amp; "BL" &amp; IF(Z114 &lt;&gt; "-", "/" &amp; Z114 &amp; "BT", ""), IF(OR(S114="RTDR", S114="RTSR"), Y114 &amp; "BR" &amp; IF(Z114 &lt;&gt; "-", "/" &amp; Z114 &amp; "BT", ""), IF(Z114 &lt;&gt; "-", Y114 &amp; "BT/" &amp; Z114 &amp; "BT", Y114 &amp; "BT"))))</f>
        <v/>
      </c>
    </row>
    <row r="115">
      <c r="A115" t="n">
        <v>650</v>
      </c>
      <c r="B115" t="inlineStr">
        <is>
          <t>NC 218</t>
        </is>
      </c>
      <c r="C115" t="n">
        <v>0.028</v>
      </c>
      <c r="D115" t="inlineStr">
        <is>
          <t>E</t>
        </is>
      </c>
      <c r="E115" t="inlineStr">
        <is>
          <t>SR 1001</t>
        </is>
      </c>
      <c r="F115" t="inlineStr">
        <is>
          <t>NC 200</t>
        </is>
      </c>
      <c r="G115" t="inlineStr">
        <is>
          <t>NC 218</t>
        </is>
      </c>
      <c r="H115" t="n">
        <v>9.814</v>
      </c>
      <c r="I115" t="inlineStr">
        <is>
          <t>NIS</t>
        </is>
      </c>
      <c r="L115" t="n">
        <v>104859857</v>
      </c>
      <c r="M115" s="6" t="n">
        <v>42633</v>
      </c>
      <c r="N115" t="n">
        <v>21</v>
      </c>
      <c r="O115" t="n">
        <v>1</v>
      </c>
      <c r="P115" t="n">
        <v>0</v>
      </c>
      <c r="Q115" t="n">
        <v>1</v>
      </c>
      <c r="R115" t="inlineStr">
        <is>
          <t>O</t>
        </is>
      </c>
      <c r="S115">
        <f>IFERROR(VLOOKUP(N115,Index!$A$1:$B$26,2,FALSE),"")</f>
        <v/>
      </c>
      <c r="T115">
        <f>AA115</f>
        <v/>
      </c>
      <c r="V115">
        <f>IFERROR(INDEX(DetailedFiche!Q:Q,MATCH(L115,DetailedFiche!J:J,0)),"")</f>
        <v/>
      </c>
      <c r="W115">
        <f>IFERROR(INDEX(DetailedFiche!R:R,MATCH(L115,DetailedFiche!J:J,0)),"")</f>
        <v/>
      </c>
      <c r="Y115">
        <f>IFERROR(IF(AND(INDEX('Initial Study'!K:K, MATCH(L115, 'Initial Study'!B:B, 0)+1)&lt;&gt;0,INDEX('Initial Study'!K:K, MATCH(L115, 'Initial Study'!B:B, 0)+1)&lt;&gt;""),INDEX('Initial Study'!K:K, MATCH(L115, 'Initial Study'!B:B, 0)+1),""),"")</f>
        <v/>
      </c>
      <c r="Z115">
        <f>IFERROR(IF(AND(INDEX('Initial Study'!K:K, MATCH(L115, 'Initial Study'!B:B, 0)+2)&lt;&gt;0,INDEX('Initial Study'!K:K, MATCH(L115, 'Initial Study'!B:B, 0)+2)&lt;&gt;"",NOT(ISNUMBER(INDEX('Initial Study'!K:K, MATCH(L115, 'Initial Study'!B:B, 0)+2)))),INDEX('Initial Study'!K:K, MATCH(L115, 'Initial Study'!B:B, 0)+2),"-"),"-")</f>
        <v/>
      </c>
      <c r="AA115">
        <f>IF(S115="RE", Y115 &amp; "BT/" &amp; IF(Z115 &lt;&gt; "-", Z115 &amp; "BT", ""), IF(OR(S115="LTDR", S115="LTSR"), Y115 &amp; "BL" &amp; IF(Z115 &lt;&gt; "-", "/" &amp; Z115 &amp; "BT", ""), IF(OR(S115="RTDR", S115="RTSR"), Y115 &amp; "BR" &amp; IF(Z115 &lt;&gt; "-", "/" &amp; Z115 &amp; "BT", ""), IF(Z115 &lt;&gt; "-", Y115 &amp; "BT/" &amp; Z115 &amp; "BT", Y115 &amp; "BT"))))</f>
        <v/>
      </c>
    </row>
    <row r="116">
      <c r="A116" t="n">
        <v>637</v>
      </c>
      <c r="B116" t="inlineStr">
        <is>
          <t>SIKES MILL</t>
        </is>
      </c>
      <c r="C116" t="n">
        <v>0.095</v>
      </c>
      <c r="D116" t="inlineStr">
        <is>
          <t>N</t>
        </is>
      </c>
      <c r="E116" t="inlineStr">
        <is>
          <t>BRIEF</t>
        </is>
      </c>
      <c r="F116" t="inlineStr">
        <is>
          <t>OLD FERRY</t>
        </is>
      </c>
      <c r="G116" t="inlineStr">
        <is>
          <t>SIKES MILL</t>
        </is>
      </c>
      <c r="H116" t="n">
        <v>999.999</v>
      </c>
      <c r="I116" t="inlineStr">
        <is>
          <t>NIS</t>
        </is>
      </c>
      <c r="L116" t="n">
        <v>105713579</v>
      </c>
      <c r="M116" s="6" t="n">
        <v>43452</v>
      </c>
      <c r="N116" t="n">
        <v>17</v>
      </c>
      <c r="O116" t="n">
        <v>1</v>
      </c>
      <c r="P116" t="n">
        <v>0</v>
      </c>
      <c r="Q116" t="n">
        <v>1</v>
      </c>
      <c r="R116" t="inlineStr">
        <is>
          <t>O</t>
        </is>
      </c>
      <c r="S116">
        <f>IFERROR(VLOOKUP(N116,Index!$A$1:$B$26,2,FALSE),"")</f>
        <v/>
      </c>
      <c r="T116">
        <f>AA116</f>
        <v/>
      </c>
      <c r="V116">
        <f>IFERROR(INDEX(DetailedFiche!Q:Q,MATCH(L116,DetailedFiche!J:J,0)),"")</f>
        <v/>
      </c>
      <c r="W116">
        <f>IFERROR(INDEX(DetailedFiche!R:R,MATCH(L116,DetailedFiche!J:J,0)),"")</f>
        <v/>
      </c>
      <c r="Y116">
        <f>IFERROR(IF(AND(INDEX('Initial Study'!K:K, MATCH(L116, 'Initial Study'!B:B, 0)+1)&lt;&gt;0,INDEX('Initial Study'!K:K, MATCH(L116, 'Initial Study'!B:B, 0)+1)&lt;&gt;""),INDEX('Initial Study'!K:K, MATCH(L116, 'Initial Study'!B:B, 0)+1),""),"")</f>
        <v/>
      </c>
      <c r="Z116">
        <f>IFERROR(IF(AND(INDEX('Initial Study'!K:K, MATCH(L116, 'Initial Study'!B:B, 0)+2)&lt;&gt;0,INDEX('Initial Study'!K:K, MATCH(L116, 'Initial Study'!B:B, 0)+2)&lt;&gt;"",NOT(ISNUMBER(INDEX('Initial Study'!K:K, MATCH(L116, 'Initial Study'!B:B, 0)+2)))),INDEX('Initial Study'!K:K, MATCH(L116, 'Initial Study'!B:B, 0)+2),"-"),"-")</f>
        <v/>
      </c>
      <c r="AA116">
        <f>IF(S116="RE", Y116 &amp; "BT/" &amp; IF(Z116 &lt;&gt; "-", Z116 &amp; "BT", ""), IF(OR(S116="LTDR", S116="LTSR"), Y116 &amp; "BL" &amp; IF(Z116 &lt;&gt; "-", "/" &amp; Z116 &amp; "BT", ""), IF(OR(S116="RTDR", S116="RTSR"), Y116 &amp; "BR" &amp; IF(Z116 &lt;&gt; "-", "/" &amp; Z116 &amp; "BT", ""), IF(Z116 &lt;&gt; "-", Y116 &amp; "BT/" &amp; Z116 &amp; "BT", Y116 &amp; "BT"))))</f>
        <v/>
      </c>
    </row>
    <row r="117">
      <c r="A117" t="n">
        <v>637</v>
      </c>
      <c r="B117" t="inlineStr">
        <is>
          <t>SIKES MILL</t>
        </is>
      </c>
      <c r="C117" t="n">
        <v>0.19</v>
      </c>
      <c r="D117" t="inlineStr">
        <is>
          <t>N</t>
        </is>
      </c>
      <c r="E117" t="inlineStr">
        <is>
          <t>BRIEF</t>
        </is>
      </c>
      <c r="F117" t="inlineStr">
        <is>
          <t>OLD FERRY</t>
        </is>
      </c>
      <c r="G117" t="inlineStr">
        <is>
          <t>SIKES MILL</t>
        </is>
      </c>
      <c r="H117" t="n">
        <v>999.999</v>
      </c>
      <c r="I117" t="inlineStr">
        <is>
          <t>NIS</t>
        </is>
      </c>
      <c r="L117" t="n">
        <v>108485442</v>
      </c>
      <c r="M117" s="6" t="n">
        <v>46146</v>
      </c>
      <c r="N117" t="n">
        <v>17</v>
      </c>
      <c r="O117" t="n">
        <v>1</v>
      </c>
      <c r="Q117" t="n">
        <v>1</v>
      </c>
      <c r="R117" t="inlineStr">
        <is>
          <t>O</t>
        </is>
      </c>
      <c r="S117">
        <f>IFERROR(VLOOKUP(N117,Index!$A$1:$B$26,2,FALSE),"")</f>
        <v/>
      </c>
      <c r="T117">
        <f>AA117</f>
        <v/>
      </c>
      <c r="V117">
        <f>IFERROR(INDEX(DetailedFiche!Q:Q,MATCH(L117,DetailedFiche!J:J,0)),"")</f>
        <v/>
      </c>
      <c r="W117">
        <f>IFERROR(INDEX(DetailedFiche!R:R,MATCH(L117,DetailedFiche!J:J,0)),"")</f>
        <v/>
      </c>
      <c r="Y117">
        <f>IFERROR(IF(AND(INDEX('Initial Study'!K:K, MATCH(L117, 'Initial Study'!B:B, 0)+1)&lt;&gt;0,INDEX('Initial Study'!K:K, MATCH(L117, 'Initial Study'!B:B, 0)+1)&lt;&gt;""),INDEX('Initial Study'!K:K, MATCH(L117, 'Initial Study'!B:B, 0)+1),""),"")</f>
        <v/>
      </c>
      <c r="Z117">
        <f>IFERROR(IF(AND(INDEX('Initial Study'!K:K, MATCH(L117, 'Initial Study'!B:B, 0)+2)&lt;&gt;0,INDEX('Initial Study'!K:K, MATCH(L117, 'Initial Study'!B:B, 0)+2)&lt;&gt;"",NOT(ISNUMBER(INDEX('Initial Study'!K:K, MATCH(L117, 'Initial Study'!B:B, 0)+2)))),INDEX('Initial Study'!K:K, MATCH(L117, 'Initial Study'!B:B, 0)+2),"-"),"-")</f>
        <v/>
      </c>
      <c r="AA117">
        <f>IF(S117="RE", Y117 &amp; "BT/" &amp; IF(Z117 &lt;&gt; "-", Z117 &amp; "BT", ""), IF(OR(S117="LTDR", S117="LTSR"), Y117 &amp; "BL" &amp; IF(Z117 &lt;&gt; "-", "/" &amp; Z117 &amp; "BT", ""), IF(OR(S117="RTDR", S117="RTSR"), Y117 &amp; "BR" &amp; IF(Z117 &lt;&gt; "-", "/" &amp; Z117 &amp; "BT", ""), IF(Z117 &lt;&gt; "-", Y117 &amp; "BT/" &amp; Z117 &amp; "BT", Y117 &amp; "BT"))))</f>
        <v/>
      </c>
    </row>
    <row r="118">
      <c r="A118" t="n">
        <v>637</v>
      </c>
      <c r="B118" t="inlineStr">
        <is>
          <t>SIKES MILL</t>
        </is>
      </c>
      <c r="C118" t="n">
        <v>0.35</v>
      </c>
      <c r="D118" t="inlineStr">
        <is>
          <t>S</t>
        </is>
      </c>
      <c r="E118" t="inlineStr">
        <is>
          <t>BRIEF</t>
        </is>
      </c>
      <c r="F118" t="inlineStr">
        <is>
          <t>NC 218</t>
        </is>
      </c>
      <c r="G118" t="inlineStr">
        <is>
          <t>SIKES MILL</t>
        </is>
      </c>
      <c r="H118" t="n">
        <v>999.999</v>
      </c>
      <c r="I118" t="inlineStr">
        <is>
          <t>NIS</t>
        </is>
      </c>
      <c r="L118" t="n">
        <v>107562589</v>
      </c>
      <c r="M118" s="6" t="n">
        <v>45274</v>
      </c>
      <c r="N118" t="n">
        <v>19</v>
      </c>
      <c r="O118" t="n">
        <v>1</v>
      </c>
      <c r="P118" t="n">
        <v>0</v>
      </c>
      <c r="Q118" t="n">
        <v>1</v>
      </c>
      <c r="R118" t="inlineStr">
        <is>
          <t>O</t>
        </is>
      </c>
      <c r="S118">
        <f>IFERROR(VLOOKUP(N118,Index!$A$1:$B$26,2,FALSE),"")</f>
        <v/>
      </c>
      <c r="T118">
        <f>AA118</f>
        <v/>
      </c>
      <c r="V118">
        <f>IFERROR(INDEX(DetailedFiche!Q:Q,MATCH(L118,DetailedFiche!J:J,0)),"")</f>
        <v/>
      </c>
      <c r="W118">
        <f>IFERROR(INDEX(DetailedFiche!R:R,MATCH(L118,DetailedFiche!J:J,0)),"")</f>
        <v/>
      </c>
      <c r="Y118">
        <f>IFERROR(IF(AND(INDEX('Initial Study'!K:K, MATCH(L118, 'Initial Study'!B:B, 0)+1)&lt;&gt;0,INDEX('Initial Study'!K:K, MATCH(L118, 'Initial Study'!B:B, 0)+1)&lt;&gt;""),INDEX('Initial Study'!K:K, MATCH(L118, 'Initial Study'!B:B, 0)+1),""),"")</f>
        <v/>
      </c>
      <c r="Z118">
        <f>IFERROR(IF(AND(INDEX('Initial Study'!K:K, MATCH(L118, 'Initial Study'!B:B, 0)+2)&lt;&gt;0,INDEX('Initial Study'!K:K, MATCH(L118, 'Initial Study'!B:B, 0)+2)&lt;&gt;"",NOT(ISNUMBER(INDEX('Initial Study'!K:K, MATCH(L118, 'Initial Study'!B:B, 0)+2)))),INDEX('Initial Study'!K:K, MATCH(L118, 'Initial Study'!B:B, 0)+2),"-"),"-")</f>
        <v/>
      </c>
      <c r="AA118">
        <f>IF(S118="RE", Y118 &amp; "BT/" &amp; IF(Z118 &lt;&gt; "-", Z118 &amp; "BT", ""), IF(OR(S118="LTDR", S118="LTSR"), Y118 &amp; "BL" &amp; IF(Z118 &lt;&gt; "-", "/" &amp; Z118 &amp; "BT", ""), IF(OR(S118="RTDR", S118="RTSR"), Y118 &amp; "BR" &amp; IF(Z118 &lt;&gt; "-", "/" &amp; Z118 &amp; "BT", ""), IF(Z118 &lt;&gt; "-", Y118 &amp; "BT/" &amp; Z118 &amp; "BT", Y118 &amp; "BT"))))</f>
        <v/>
      </c>
    </row>
    <row r="119">
      <c r="A119" t="n">
        <v>558</v>
      </c>
      <c r="B119" t="inlineStr">
        <is>
          <t>SIKES MILL</t>
        </is>
      </c>
      <c r="C119" t="n">
        <v>0.3</v>
      </c>
      <c r="D119" t="inlineStr">
        <is>
          <t>N</t>
        </is>
      </c>
      <c r="E119" t="inlineStr">
        <is>
          <t>CARRIKER</t>
        </is>
      </c>
      <c r="F119" t="inlineStr">
        <is>
          <t>*LCL OLD FISH RD</t>
        </is>
      </c>
      <c r="G119" t="inlineStr">
        <is>
          <t>SIKES MILL</t>
        </is>
      </c>
      <c r="H119" t="n">
        <v>999.999</v>
      </c>
      <c r="I119" t="inlineStr">
        <is>
          <t>NIS</t>
        </is>
      </c>
      <c r="L119" t="n">
        <v>108496852</v>
      </c>
      <c r="M119" s="6" t="n">
        <v>46155</v>
      </c>
      <c r="N119" t="n">
        <v>17</v>
      </c>
      <c r="O119" t="n">
        <v>1</v>
      </c>
      <c r="P119" t="n">
        <v>0</v>
      </c>
      <c r="Q119" t="n">
        <v>5</v>
      </c>
      <c r="R119" t="inlineStr">
        <is>
          <t>O</t>
        </is>
      </c>
      <c r="S119">
        <f>IFERROR(VLOOKUP(N119,Index!$A$1:$B$26,2,FALSE),"")</f>
        <v/>
      </c>
      <c r="T119">
        <f>AA119</f>
        <v/>
      </c>
      <c r="V119">
        <f>IFERROR(INDEX(DetailedFiche!Q:Q,MATCH(L119,DetailedFiche!J:J,0)),"")</f>
        <v/>
      </c>
      <c r="W119">
        <f>IFERROR(INDEX(DetailedFiche!R:R,MATCH(L119,DetailedFiche!J:J,0)),"")</f>
        <v/>
      </c>
      <c r="Y119">
        <f>IFERROR(IF(AND(INDEX('Initial Study'!K:K, MATCH(L119, 'Initial Study'!B:B, 0)+1)&lt;&gt;0,INDEX('Initial Study'!K:K, MATCH(L119, 'Initial Study'!B:B, 0)+1)&lt;&gt;""),INDEX('Initial Study'!K:K, MATCH(L119, 'Initial Study'!B:B, 0)+1),""),"")</f>
        <v/>
      </c>
      <c r="Z119">
        <f>IFERROR(IF(AND(INDEX('Initial Study'!K:K, MATCH(L119, 'Initial Study'!B:B, 0)+2)&lt;&gt;0,INDEX('Initial Study'!K:K, MATCH(L119, 'Initial Study'!B:B, 0)+2)&lt;&gt;"",NOT(ISNUMBER(INDEX('Initial Study'!K:K, MATCH(L119, 'Initial Study'!B:B, 0)+2)))),INDEX('Initial Study'!K:K, MATCH(L119, 'Initial Study'!B:B, 0)+2),"-"),"-")</f>
        <v/>
      </c>
      <c r="AA119">
        <f>IF(S119="RE", Y119 &amp; "BT/" &amp; IF(Z119 &lt;&gt; "-", Z119 &amp; "BT", ""), IF(OR(S119="LTDR", S119="LTSR"), Y119 &amp; "BL" &amp; IF(Z119 &lt;&gt; "-", "/" &amp; Z119 &amp; "BT", ""), IF(OR(S119="RTDR", S119="RTSR"), Y119 &amp; "BR" &amp; IF(Z119 &lt;&gt; "-", "/" &amp; Z119 &amp; "BT", ""), IF(Z119 &lt;&gt; "-", Y119 &amp; "BT/" &amp; Z119 &amp; "BT", Y119 &amp; "BT"))))</f>
        <v/>
      </c>
    </row>
    <row r="120">
      <c r="A120" t="n">
        <v>558</v>
      </c>
      <c r="B120" t="inlineStr">
        <is>
          <t>SIKES MILL</t>
        </is>
      </c>
      <c r="C120" t="n">
        <v>0.038</v>
      </c>
      <c r="D120" t="inlineStr">
        <is>
          <t>N</t>
        </is>
      </c>
      <c r="E120" t="inlineStr">
        <is>
          <t>CLONTZ LONG</t>
        </is>
      </c>
      <c r="F120" t="inlineStr">
        <is>
          <t>*LCL TYLER RIDGE CT</t>
        </is>
      </c>
      <c r="G120" t="inlineStr">
        <is>
          <t>SIKES MILL</t>
        </is>
      </c>
      <c r="H120" t="n">
        <v>999.999</v>
      </c>
      <c r="I120" t="inlineStr">
        <is>
          <t>NIS</t>
        </is>
      </c>
      <c r="L120" t="n">
        <v>107553868</v>
      </c>
      <c r="M120" s="6" t="n">
        <v>45262</v>
      </c>
      <c r="N120" t="n">
        <v>17</v>
      </c>
      <c r="O120" t="n">
        <v>1</v>
      </c>
      <c r="P120" t="n">
        <v>0</v>
      </c>
      <c r="Q120" t="n">
        <v>5</v>
      </c>
      <c r="R120" t="inlineStr">
        <is>
          <t>O</t>
        </is>
      </c>
      <c r="S120">
        <f>IFERROR(VLOOKUP(N120,Index!$A$1:$B$26,2,FALSE),"")</f>
        <v/>
      </c>
      <c r="T120">
        <f>AA120</f>
        <v/>
      </c>
      <c r="V120">
        <f>IFERROR(INDEX(DetailedFiche!Q:Q,MATCH(L120,DetailedFiche!J:J,0)),"")</f>
        <v/>
      </c>
      <c r="W120">
        <f>IFERROR(INDEX(DetailedFiche!R:R,MATCH(L120,DetailedFiche!J:J,0)),"")</f>
        <v/>
      </c>
      <c r="Y120">
        <f>IFERROR(IF(AND(INDEX('Initial Study'!K:K, MATCH(L120, 'Initial Study'!B:B, 0)+1)&lt;&gt;0,INDEX('Initial Study'!K:K, MATCH(L120, 'Initial Study'!B:B, 0)+1)&lt;&gt;""),INDEX('Initial Study'!K:K, MATCH(L120, 'Initial Study'!B:B, 0)+1),""),"")</f>
        <v/>
      </c>
      <c r="Z120">
        <f>IFERROR(IF(AND(INDEX('Initial Study'!K:K, MATCH(L120, 'Initial Study'!B:B, 0)+2)&lt;&gt;0,INDEX('Initial Study'!K:K, MATCH(L120, 'Initial Study'!B:B, 0)+2)&lt;&gt;"",NOT(ISNUMBER(INDEX('Initial Study'!K:K, MATCH(L120, 'Initial Study'!B:B, 0)+2)))),INDEX('Initial Study'!K:K, MATCH(L120, 'Initial Study'!B:B, 0)+2),"-"),"-")</f>
        <v/>
      </c>
      <c r="AA120">
        <f>IF(S120="RE", Y120 &amp; "BT/" &amp; IF(Z120 &lt;&gt; "-", Z120 &amp; "BT", ""), IF(OR(S120="LTDR", S120="LTSR"), Y120 &amp; "BL" &amp; IF(Z120 &lt;&gt; "-", "/" &amp; Z120 &amp; "BT", ""), IF(OR(S120="RTDR", S120="RTSR"), Y120 &amp; "BR" &amp; IF(Z120 &lt;&gt; "-", "/" &amp; Z120 &amp; "BT", ""), IF(Z120 &lt;&gt; "-", Y120 &amp; "BT/" &amp; Z120 &amp; "BT", Y120 &amp; "BT"))))</f>
        <v/>
      </c>
    </row>
    <row r="121">
      <c r="A121" t="n">
        <v>558</v>
      </c>
      <c r="B121" t="inlineStr">
        <is>
          <t>SIKES MILL</t>
        </is>
      </c>
      <c r="C121" t="n">
        <v>0.15</v>
      </c>
      <c r="D121" t="inlineStr">
        <is>
          <t>S</t>
        </is>
      </c>
      <c r="E121" t="inlineStr">
        <is>
          <t>CLONTZ LONG</t>
        </is>
      </c>
      <c r="F121" t="inlineStr">
        <is>
          <t>UNIONVILLE</t>
        </is>
      </c>
      <c r="G121" t="inlineStr">
        <is>
          <t>SIKES MILL</t>
        </is>
      </c>
      <c r="H121" t="n">
        <v>999.999</v>
      </c>
      <c r="I121" t="inlineStr">
        <is>
          <t>NIS</t>
        </is>
      </c>
      <c r="L121" t="n">
        <v>107408108</v>
      </c>
      <c r="M121" s="6" t="n">
        <v>45134</v>
      </c>
      <c r="N121" t="n">
        <v>29</v>
      </c>
      <c r="O121" t="n">
        <v>1</v>
      </c>
      <c r="P121" t="n">
        <v>0</v>
      </c>
      <c r="Q121" t="n">
        <v>1</v>
      </c>
      <c r="R121" t="inlineStr">
        <is>
          <t>O</t>
        </is>
      </c>
      <c r="S121">
        <f>IFERROR(VLOOKUP(N121,Index!$A$1:$B$26,2,FALSE),"")</f>
        <v/>
      </c>
      <c r="T121">
        <f>AA121</f>
        <v/>
      </c>
      <c r="V121">
        <f>IFERROR(INDEX(DetailedFiche!Q:Q,MATCH(L121,DetailedFiche!J:J,0)),"")</f>
        <v/>
      </c>
      <c r="W121">
        <f>IFERROR(INDEX(DetailedFiche!R:R,MATCH(L121,DetailedFiche!J:J,0)),"")</f>
        <v/>
      </c>
      <c r="Y121">
        <f>IFERROR(IF(AND(INDEX('Initial Study'!K:K, MATCH(L121, 'Initial Study'!B:B, 0)+1)&lt;&gt;0,INDEX('Initial Study'!K:K, MATCH(L121, 'Initial Study'!B:B, 0)+1)&lt;&gt;""),INDEX('Initial Study'!K:K, MATCH(L121, 'Initial Study'!B:B, 0)+1),""),"")</f>
        <v/>
      </c>
      <c r="Z121">
        <f>IFERROR(IF(AND(INDEX('Initial Study'!K:K, MATCH(L121, 'Initial Study'!B:B, 0)+2)&lt;&gt;0,INDEX('Initial Study'!K:K, MATCH(L121, 'Initial Study'!B:B, 0)+2)&lt;&gt;"",NOT(ISNUMBER(INDEX('Initial Study'!K:K, MATCH(L121, 'Initial Study'!B:B, 0)+2)))),INDEX('Initial Study'!K:K, MATCH(L121, 'Initial Study'!B:B, 0)+2),"-"),"-")</f>
        <v/>
      </c>
      <c r="AA121">
        <f>IF(S121="RE", Y121 &amp; "BT/" &amp; IF(Z121 &lt;&gt; "-", Z121 &amp; "BT", ""), IF(OR(S121="LTDR", S121="LTSR"), Y121 &amp; "BL" &amp; IF(Z121 &lt;&gt; "-", "/" &amp; Z121 &amp; "BT", ""), IF(OR(S121="RTDR", S121="RTSR"), Y121 &amp; "BR" &amp; IF(Z121 &lt;&gt; "-", "/" &amp; Z121 &amp; "BT", ""), IF(Z121 &lt;&gt; "-", Y121 &amp; "BT/" &amp; Z121 &amp; "BT", Y121 &amp; "BT"))))</f>
        <v/>
      </c>
    </row>
    <row r="122">
      <c r="A122" t="n">
        <v>558</v>
      </c>
      <c r="B122" t="inlineStr">
        <is>
          <t>SIKES MILL</t>
        </is>
      </c>
      <c r="C122" t="n">
        <v>0.25</v>
      </c>
      <c r="D122" t="inlineStr">
        <is>
          <t>S</t>
        </is>
      </c>
      <c r="E122" t="inlineStr">
        <is>
          <t>CLONTZ LONG</t>
        </is>
      </c>
      <c r="F122" t="inlineStr">
        <is>
          <t>UNIONVILLE</t>
        </is>
      </c>
      <c r="G122" t="inlineStr">
        <is>
          <t>SIKES MILL</t>
        </is>
      </c>
      <c r="H122" t="n">
        <v>999.999</v>
      </c>
      <c r="I122" t="inlineStr">
        <is>
          <t>NIS</t>
        </is>
      </c>
      <c r="L122" t="n">
        <v>107535602</v>
      </c>
      <c r="M122" s="6" t="n">
        <v>45250</v>
      </c>
      <c r="N122" t="n">
        <v>17</v>
      </c>
      <c r="O122" t="n">
        <v>1</v>
      </c>
      <c r="P122" t="n">
        <v>0</v>
      </c>
      <c r="Q122" t="n">
        <v>5</v>
      </c>
      <c r="R122" t="inlineStr">
        <is>
          <t>O</t>
        </is>
      </c>
      <c r="S122">
        <f>IFERROR(VLOOKUP(N122,Index!$A$1:$B$26,2,FALSE),"")</f>
        <v/>
      </c>
      <c r="T122">
        <f>AA122</f>
        <v/>
      </c>
      <c r="V122">
        <f>IFERROR(INDEX(DetailedFiche!Q:Q,MATCH(L122,DetailedFiche!J:J,0)),"")</f>
        <v/>
      </c>
      <c r="W122">
        <f>IFERROR(INDEX(DetailedFiche!R:R,MATCH(L122,DetailedFiche!J:J,0)),"")</f>
        <v/>
      </c>
      <c r="Y122">
        <f>IFERROR(IF(AND(INDEX('Initial Study'!K:K, MATCH(L122, 'Initial Study'!B:B, 0)+1)&lt;&gt;0,INDEX('Initial Study'!K:K, MATCH(L122, 'Initial Study'!B:B, 0)+1)&lt;&gt;""),INDEX('Initial Study'!K:K, MATCH(L122, 'Initial Study'!B:B, 0)+1),""),"")</f>
        <v/>
      </c>
      <c r="Z122">
        <f>IFERROR(IF(AND(INDEX('Initial Study'!K:K, MATCH(L122, 'Initial Study'!B:B, 0)+2)&lt;&gt;0,INDEX('Initial Study'!K:K, MATCH(L122, 'Initial Study'!B:B, 0)+2)&lt;&gt;"",NOT(ISNUMBER(INDEX('Initial Study'!K:K, MATCH(L122, 'Initial Study'!B:B, 0)+2)))),INDEX('Initial Study'!K:K, MATCH(L122, 'Initial Study'!B:B, 0)+2),"-"),"-")</f>
        <v/>
      </c>
      <c r="AA122">
        <f>IF(S122="RE", Y122 &amp; "BT/" &amp; IF(Z122 &lt;&gt; "-", Z122 &amp; "BT", ""), IF(OR(S122="LTDR", S122="LTSR"), Y122 &amp; "BL" &amp; IF(Z122 &lt;&gt; "-", "/" &amp; Z122 &amp; "BT", ""), IF(OR(S122="RTDR", S122="RTSR"), Y122 &amp; "BR" &amp; IF(Z122 &lt;&gt; "-", "/" &amp; Z122 &amp; "BT", ""), IF(Z122 &lt;&gt; "-", Y122 &amp; "BT/" &amp; Z122 &amp; "BT", Y122 &amp; "BT"))))</f>
        <v/>
      </c>
    </row>
    <row r="123">
      <c r="A123" t="n">
        <v>558</v>
      </c>
      <c r="B123" t="inlineStr">
        <is>
          <t>SIKES MILL</t>
        </is>
      </c>
      <c r="C123" t="n">
        <v>0.095</v>
      </c>
      <c r="D123" t="inlineStr">
        <is>
          <t>S</t>
        </is>
      </c>
      <c r="E123" t="inlineStr">
        <is>
          <t>HAIGLER BAUCOM</t>
        </is>
      </c>
      <c r="F123" t="inlineStr">
        <is>
          <t>HENRY SMITH</t>
        </is>
      </c>
      <c r="G123" t="inlineStr">
        <is>
          <t>SIKES MILL</t>
        </is>
      </c>
      <c r="H123" t="n">
        <v>999.999</v>
      </c>
      <c r="I123" t="inlineStr">
        <is>
          <t>NIS</t>
        </is>
      </c>
      <c r="L123" t="n">
        <v>106918739</v>
      </c>
      <c r="M123" s="6" t="n">
        <v>44662</v>
      </c>
      <c r="N123" t="n">
        <v>19</v>
      </c>
      <c r="O123" t="n">
        <v>1</v>
      </c>
      <c r="P123" t="n">
        <v>0</v>
      </c>
      <c r="Q123" t="n">
        <v>1</v>
      </c>
      <c r="R123" t="inlineStr">
        <is>
          <t>O</t>
        </is>
      </c>
      <c r="S123">
        <f>IFERROR(VLOOKUP(N123,Index!$A$1:$B$26,2,FALSE),"")</f>
        <v/>
      </c>
      <c r="T123">
        <f>AA123</f>
        <v/>
      </c>
      <c r="V123">
        <f>IFERROR(INDEX(DetailedFiche!Q:Q,MATCH(L123,DetailedFiche!J:J,0)),"")</f>
        <v/>
      </c>
      <c r="W123">
        <f>IFERROR(INDEX(DetailedFiche!R:R,MATCH(L123,DetailedFiche!J:J,0)),"")</f>
        <v/>
      </c>
      <c r="Y123">
        <f>IFERROR(IF(AND(INDEX('Initial Study'!K:K, MATCH(L123, 'Initial Study'!B:B, 0)+1)&lt;&gt;0,INDEX('Initial Study'!K:K, MATCH(L123, 'Initial Study'!B:B, 0)+1)&lt;&gt;""),INDEX('Initial Study'!K:K, MATCH(L123, 'Initial Study'!B:B, 0)+1),""),"")</f>
        <v/>
      </c>
      <c r="Z123">
        <f>IFERROR(IF(AND(INDEX('Initial Study'!K:K, MATCH(L123, 'Initial Study'!B:B, 0)+2)&lt;&gt;0,INDEX('Initial Study'!K:K, MATCH(L123, 'Initial Study'!B:B, 0)+2)&lt;&gt;"",NOT(ISNUMBER(INDEX('Initial Study'!K:K, MATCH(L123, 'Initial Study'!B:B, 0)+2)))),INDEX('Initial Study'!K:K, MATCH(L123, 'Initial Study'!B:B, 0)+2),"-"),"-")</f>
        <v/>
      </c>
      <c r="AA123">
        <f>IF(S123="RE", Y123 &amp; "BT/" &amp; IF(Z123 &lt;&gt; "-", Z123 &amp; "BT", ""), IF(OR(S123="LTDR", S123="LTSR"), Y123 &amp; "BL" &amp; IF(Z123 &lt;&gt; "-", "/" &amp; Z123 &amp; "BT", ""), IF(OR(S123="RTDR", S123="RTSR"), Y123 &amp; "BR" &amp; IF(Z123 &lt;&gt; "-", "/" &amp; Z123 &amp; "BT", ""), IF(Z123 &lt;&gt; "-", Y123 &amp; "BT/" &amp; Z123 &amp; "BT", Y123 &amp; "BT"))))</f>
        <v/>
      </c>
    </row>
    <row r="124">
      <c r="A124" t="n">
        <v>558</v>
      </c>
      <c r="B124" t="inlineStr">
        <is>
          <t>SIKES MILL</t>
        </is>
      </c>
      <c r="C124" t="n">
        <v>0.17</v>
      </c>
      <c r="D124" t="inlineStr">
        <is>
          <t>S</t>
        </is>
      </c>
      <c r="E124" t="inlineStr">
        <is>
          <t>HAIGLER BAUCOM</t>
        </is>
      </c>
      <c r="F124" t="inlineStr">
        <is>
          <t>PIEDMONT SCHOOL</t>
        </is>
      </c>
      <c r="G124" t="inlineStr">
        <is>
          <t>SIKES MILL</t>
        </is>
      </c>
      <c r="H124" t="n">
        <v>999.999</v>
      </c>
      <c r="I124" t="inlineStr">
        <is>
          <t>NIS</t>
        </is>
      </c>
      <c r="L124" t="n">
        <v>106479132</v>
      </c>
      <c r="M124" s="6" t="n">
        <v>44230</v>
      </c>
      <c r="N124" t="n">
        <v>19</v>
      </c>
      <c r="O124" t="n">
        <v>1</v>
      </c>
      <c r="P124" t="n">
        <v>0</v>
      </c>
      <c r="Q124" t="n">
        <v>1</v>
      </c>
      <c r="R124" t="inlineStr">
        <is>
          <t>C</t>
        </is>
      </c>
      <c r="S124">
        <f>IFERROR(VLOOKUP(N124,Index!$A$1:$B$26,2,FALSE),"")</f>
        <v/>
      </c>
      <c r="T124">
        <f>AA124</f>
        <v/>
      </c>
      <c r="V124">
        <f>IFERROR(INDEX(DetailedFiche!Q:Q,MATCH(L124,DetailedFiche!J:J,0)),"")</f>
        <v/>
      </c>
      <c r="W124">
        <f>IFERROR(INDEX(DetailedFiche!R:R,MATCH(L124,DetailedFiche!J:J,0)),"")</f>
        <v/>
      </c>
      <c r="Y124">
        <f>IFERROR(IF(AND(INDEX('Initial Study'!K:K, MATCH(L124, 'Initial Study'!B:B, 0)+1)&lt;&gt;0,INDEX('Initial Study'!K:K, MATCH(L124, 'Initial Study'!B:B, 0)+1)&lt;&gt;""),INDEX('Initial Study'!K:K, MATCH(L124, 'Initial Study'!B:B, 0)+1),""),"")</f>
        <v/>
      </c>
      <c r="Z124">
        <f>IFERROR(IF(AND(INDEX('Initial Study'!K:K, MATCH(L124, 'Initial Study'!B:B, 0)+2)&lt;&gt;0,INDEX('Initial Study'!K:K, MATCH(L124, 'Initial Study'!B:B, 0)+2)&lt;&gt;"",NOT(ISNUMBER(INDEX('Initial Study'!K:K, MATCH(L124, 'Initial Study'!B:B, 0)+2)))),INDEX('Initial Study'!K:K, MATCH(L124, 'Initial Study'!B:B, 0)+2),"-"),"-")</f>
        <v/>
      </c>
      <c r="AA124">
        <f>IF(S124="RE", Y124 &amp; "BT/" &amp; IF(Z124 &lt;&gt; "-", Z124 &amp; "BT", ""), IF(OR(S124="LTDR", S124="LTSR"), Y124 &amp; "BL" &amp; IF(Z124 &lt;&gt; "-", "/" &amp; Z124 &amp; "BT", ""), IF(OR(S124="RTDR", S124="RTSR"), Y124 &amp; "BR" &amp; IF(Z124 &lt;&gt; "-", "/" &amp; Z124 &amp; "BT", ""), IF(Z124 &lt;&gt; "-", Y124 &amp; "BT/" &amp; Z124 &amp; "BT", Y124 &amp; "BT"))))</f>
        <v/>
      </c>
    </row>
    <row r="125">
      <c r="A125" t="n">
        <v>558</v>
      </c>
      <c r="B125" t="inlineStr">
        <is>
          <t>SIKES MILL</t>
        </is>
      </c>
      <c r="C125" t="n">
        <v>0.057</v>
      </c>
      <c r="D125" t="inlineStr">
        <is>
          <t>N</t>
        </is>
      </c>
      <c r="E125" t="inlineStr">
        <is>
          <t>HENRY SMITH</t>
        </is>
      </c>
      <c r="F125" t="inlineStr">
        <is>
          <t>*LCL TOM HELMS ROAD</t>
        </is>
      </c>
      <c r="G125" t="inlineStr">
        <is>
          <t>SIKES MILL</t>
        </is>
      </c>
      <c r="H125" t="n">
        <v>999.999</v>
      </c>
      <c r="I125" t="inlineStr">
        <is>
          <t>NIS</t>
        </is>
      </c>
      <c r="L125" t="n">
        <v>106910959</v>
      </c>
      <c r="M125" s="6" t="n">
        <v>44652</v>
      </c>
      <c r="N125" t="n">
        <v>24</v>
      </c>
      <c r="O125" t="n">
        <v>1</v>
      </c>
      <c r="P125" t="n">
        <v>4</v>
      </c>
      <c r="Q125" t="n">
        <v>1</v>
      </c>
      <c r="R125" t="inlineStr">
        <is>
          <t>O</t>
        </is>
      </c>
      <c r="S125">
        <f>IFERROR(VLOOKUP(N125,Index!$A$1:$B$26,2,FALSE),"")</f>
        <v/>
      </c>
      <c r="T125">
        <f>AA125</f>
        <v/>
      </c>
      <c r="V125">
        <f>IFERROR(INDEX(DetailedFiche!Q:Q,MATCH(L125,DetailedFiche!J:J,0)),"")</f>
        <v/>
      </c>
      <c r="W125">
        <f>IFERROR(INDEX(DetailedFiche!R:R,MATCH(L125,DetailedFiche!J:J,0)),"")</f>
        <v/>
      </c>
      <c r="Y125">
        <f>IFERROR(IF(AND(INDEX('Initial Study'!K:K, MATCH(L125, 'Initial Study'!B:B, 0)+1)&lt;&gt;0,INDEX('Initial Study'!K:K, MATCH(L125, 'Initial Study'!B:B, 0)+1)&lt;&gt;""),INDEX('Initial Study'!K:K, MATCH(L125, 'Initial Study'!B:B, 0)+1),""),"")</f>
        <v/>
      </c>
      <c r="Z125">
        <f>IFERROR(IF(AND(INDEX('Initial Study'!K:K, MATCH(L125, 'Initial Study'!B:B, 0)+2)&lt;&gt;0,INDEX('Initial Study'!K:K, MATCH(L125, 'Initial Study'!B:B, 0)+2)&lt;&gt;"",NOT(ISNUMBER(INDEX('Initial Study'!K:K, MATCH(L125, 'Initial Study'!B:B, 0)+2)))),INDEX('Initial Study'!K:K, MATCH(L125, 'Initial Study'!B:B, 0)+2),"-"),"-")</f>
        <v/>
      </c>
      <c r="AA125">
        <f>IF(S125="RE", Y125 &amp; "BT/" &amp; IF(Z125 &lt;&gt; "-", Z125 &amp; "BT", ""), IF(OR(S125="LTDR", S125="LTSR"), Y125 &amp; "BL" &amp; IF(Z125 &lt;&gt; "-", "/" &amp; Z125 &amp; "BT", ""), IF(OR(S125="RTDR", S125="RTSR"), Y125 &amp; "BR" &amp; IF(Z125 &lt;&gt; "-", "/" &amp; Z125 &amp; "BT", ""), IF(Z125 &lt;&gt; "-", Y125 &amp; "BT/" &amp; Z125 &amp; "BT", Y125 &amp; "BT"))))</f>
        <v/>
      </c>
    </row>
    <row r="126">
      <c r="A126" t="n">
        <v>558</v>
      </c>
      <c r="B126" t="inlineStr">
        <is>
          <t>SIKES MILL</t>
        </is>
      </c>
      <c r="C126" t="n">
        <v>0.095</v>
      </c>
      <c r="D126" t="inlineStr">
        <is>
          <t>S</t>
        </is>
      </c>
      <c r="E126" t="inlineStr">
        <is>
          <t>HENRY SMITH</t>
        </is>
      </c>
      <c r="F126" t="inlineStr">
        <is>
          <t>TOM HELMS</t>
        </is>
      </c>
      <c r="G126" t="inlineStr">
        <is>
          <t>SIKES MILL</t>
        </is>
      </c>
      <c r="H126" t="n">
        <v>999.999</v>
      </c>
      <c r="I126" t="inlineStr">
        <is>
          <t>NIS</t>
        </is>
      </c>
      <c r="L126" t="n">
        <v>107217101</v>
      </c>
      <c r="M126" s="6" t="n">
        <v>44945</v>
      </c>
      <c r="N126" t="n">
        <v>24</v>
      </c>
      <c r="O126" t="n">
        <v>2</v>
      </c>
      <c r="P126" t="n">
        <v>4</v>
      </c>
      <c r="Q126" t="n">
        <v>1</v>
      </c>
      <c r="R126" t="inlineStr">
        <is>
          <t>C</t>
        </is>
      </c>
      <c r="S126">
        <f>IFERROR(VLOOKUP(N126,Index!$A$1:$B$26,2,FALSE),"")</f>
        <v/>
      </c>
      <c r="T126">
        <f>AA126</f>
        <v/>
      </c>
      <c r="V126">
        <f>IFERROR(INDEX(DetailedFiche!Q:Q,MATCH(L126,DetailedFiche!J:J,0)),"")</f>
        <v/>
      </c>
      <c r="W126">
        <f>IFERROR(INDEX(DetailedFiche!R:R,MATCH(L126,DetailedFiche!J:J,0)),"")</f>
        <v/>
      </c>
      <c r="Y126">
        <f>IFERROR(IF(AND(INDEX('Initial Study'!K:K, MATCH(L126, 'Initial Study'!B:B, 0)+1)&lt;&gt;0,INDEX('Initial Study'!K:K, MATCH(L126, 'Initial Study'!B:B, 0)+1)&lt;&gt;""),INDEX('Initial Study'!K:K, MATCH(L126, 'Initial Study'!B:B, 0)+1),""),"")</f>
        <v/>
      </c>
      <c r="Z126">
        <f>IFERROR(IF(AND(INDEX('Initial Study'!K:K, MATCH(L126, 'Initial Study'!B:B, 0)+2)&lt;&gt;0,INDEX('Initial Study'!K:K, MATCH(L126, 'Initial Study'!B:B, 0)+2)&lt;&gt;"",NOT(ISNUMBER(INDEX('Initial Study'!K:K, MATCH(L126, 'Initial Study'!B:B, 0)+2)))),INDEX('Initial Study'!K:K, MATCH(L126, 'Initial Study'!B:B, 0)+2),"-"),"-")</f>
        <v/>
      </c>
      <c r="AA126">
        <f>IF(S126="RE", Y126 &amp; "BT/" &amp; IF(Z126 &lt;&gt; "-", Z126 &amp; "BT", ""), IF(OR(S126="LTDR", S126="LTSR"), Y126 &amp; "BL" &amp; IF(Z126 &lt;&gt; "-", "/" &amp; Z126 &amp; "BT", ""), IF(OR(S126="RTDR", S126="RTSR"), Y126 &amp; "BR" &amp; IF(Z126 &lt;&gt; "-", "/" &amp; Z126 &amp; "BT", ""), IF(Z126 &lt;&gt; "-", Y126 &amp; "BT/" &amp; Z126 &amp; "BT", Y126 &amp; "BT"))))</f>
        <v/>
      </c>
    </row>
    <row r="127">
      <c r="A127" t="n">
        <v>558</v>
      </c>
      <c r="B127" t="inlineStr">
        <is>
          <t>SIKES MILL</t>
        </is>
      </c>
      <c r="C127" t="n">
        <v>0.19</v>
      </c>
      <c r="D127" t="inlineStr">
        <is>
          <t>S</t>
        </is>
      </c>
      <c r="E127" t="inlineStr">
        <is>
          <t>HENRY SMITH</t>
        </is>
      </c>
      <c r="F127" t="inlineStr">
        <is>
          <t>TOM HELMS</t>
        </is>
      </c>
      <c r="G127" t="inlineStr">
        <is>
          <t>SIKES MILL</t>
        </is>
      </c>
      <c r="H127" t="n">
        <v>999.999</v>
      </c>
      <c r="I127" t="inlineStr">
        <is>
          <t>NIS</t>
        </is>
      </c>
      <c r="L127" t="n">
        <v>106612846</v>
      </c>
      <c r="M127" s="6" t="n">
        <v>44377</v>
      </c>
      <c r="N127" t="n">
        <v>21</v>
      </c>
      <c r="O127" t="n">
        <v>1</v>
      </c>
      <c r="P127" t="n">
        <v>0</v>
      </c>
      <c r="Q127" t="n">
        <v>1</v>
      </c>
      <c r="R127" t="inlineStr">
        <is>
          <t>C</t>
        </is>
      </c>
      <c r="S127">
        <f>IFERROR(VLOOKUP(N127,Index!$A$1:$B$26,2,FALSE),"")</f>
        <v/>
      </c>
      <c r="T127">
        <f>AA127</f>
        <v/>
      </c>
      <c r="V127">
        <f>IFERROR(INDEX(DetailedFiche!Q:Q,MATCH(L127,DetailedFiche!J:J,0)),"")</f>
        <v/>
      </c>
      <c r="W127">
        <f>IFERROR(INDEX(DetailedFiche!R:R,MATCH(L127,DetailedFiche!J:J,0)),"")</f>
        <v/>
      </c>
      <c r="Y127">
        <f>IFERROR(IF(AND(INDEX('Initial Study'!K:K, MATCH(L127, 'Initial Study'!B:B, 0)+1)&lt;&gt;0,INDEX('Initial Study'!K:K, MATCH(L127, 'Initial Study'!B:B, 0)+1)&lt;&gt;""),INDEX('Initial Study'!K:K, MATCH(L127, 'Initial Study'!B:B, 0)+1),""),"")</f>
        <v/>
      </c>
      <c r="Z127">
        <f>IFERROR(IF(AND(INDEX('Initial Study'!K:K, MATCH(L127, 'Initial Study'!B:B, 0)+2)&lt;&gt;0,INDEX('Initial Study'!K:K, MATCH(L127, 'Initial Study'!B:B, 0)+2)&lt;&gt;"",NOT(ISNUMBER(INDEX('Initial Study'!K:K, MATCH(L127, 'Initial Study'!B:B, 0)+2)))),INDEX('Initial Study'!K:K, MATCH(L127, 'Initial Study'!B:B, 0)+2),"-"),"-")</f>
        <v/>
      </c>
      <c r="AA127">
        <f>IF(S127="RE", Y127 &amp; "BT/" &amp; IF(Z127 &lt;&gt; "-", Z127 &amp; "BT", ""), IF(OR(S127="LTDR", S127="LTSR"), Y127 &amp; "BL" &amp; IF(Z127 &lt;&gt; "-", "/" &amp; Z127 &amp; "BT", ""), IF(OR(S127="RTDR", S127="RTSR"), Y127 &amp; "BR" &amp; IF(Z127 &lt;&gt; "-", "/" &amp; Z127 &amp; "BT", ""), IF(Z127 &lt;&gt; "-", Y127 &amp; "BT/" &amp; Z127 &amp; "BT", Y127 &amp; "BT"))))</f>
        <v/>
      </c>
    </row>
    <row r="128">
      <c r="A128" t="n">
        <v>558</v>
      </c>
      <c r="B128" t="inlineStr">
        <is>
          <t>SIKES MILL</t>
        </is>
      </c>
      <c r="C128" t="n">
        <v>0.21</v>
      </c>
      <c r="D128" t="inlineStr">
        <is>
          <t>N</t>
        </is>
      </c>
      <c r="E128" t="inlineStr">
        <is>
          <t>HENRY SMITH</t>
        </is>
      </c>
      <c r="F128" t="inlineStr">
        <is>
          <t>HAIGLER BAUCOM</t>
        </is>
      </c>
      <c r="G128" t="inlineStr">
        <is>
          <t>SIKES MILL</t>
        </is>
      </c>
      <c r="H128" t="n">
        <v>999.999</v>
      </c>
      <c r="I128" t="inlineStr">
        <is>
          <t>NIS</t>
        </is>
      </c>
      <c r="L128" t="n">
        <v>107337337</v>
      </c>
      <c r="M128" s="6" t="n">
        <v>45062</v>
      </c>
      <c r="N128" t="n">
        <v>21</v>
      </c>
      <c r="O128" t="n">
        <v>1</v>
      </c>
      <c r="P128" t="n">
        <v>0</v>
      </c>
      <c r="Q128" t="n">
        <v>1</v>
      </c>
      <c r="R128" t="inlineStr">
        <is>
          <t>O</t>
        </is>
      </c>
      <c r="S128">
        <f>IFERROR(VLOOKUP(N128,Index!$A$1:$B$26,2,FALSE),"")</f>
        <v/>
      </c>
      <c r="T128">
        <f>AA128</f>
        <v/>
      </c>
      <c r="V128">
        <f>IFERROR(INDEX(DetailedFiche!Q:Q,MATCH(L128,DetailedFiche!J:J,0)),"")</f>
        <v/>
      </c>
      <c r="W128">
        <f>IFERROR(INDEX(DetailedFiche!R:R,MATCH(L128,DetailedFiche!J:J,0)),"")</f>
        <v/>
      </c>
      <c r="Y128">
        <f>IFERROR(IF(AND(INDEX('Initial Study'!K:K, MATCH(L128, 'Initial Study'!B:B, 0)+1)&lt;&gt;0,INDEX('Initial Study'!K:K, MATCH(L128, 'Initial Study'!B:B, 0)+1)&lt;&gt;""),INDEX('Initial Study'!K:K, MATCH(L128, 'Initial Study'!B:B, 0)+1),""),"")</f>
        <v/>
      </c>
      <c r="Z128">
        <f>IFERROR(IF(AND(INDEX('Initial Study'!K:K, MATCH(L128, 'Initial Study'!B:B, 0)+2)&lt;&gt;0,INDEX('Initial Study'!K:K, MATCH(L128, 'Initial Study'!B:B, 0)+2)&lt;&gt;"",NOT(ISNUMBER(INDEX('Initial Study'!K:K, MATCH(L128, 'Initial Study'!B:B, 0)+2)))),INDEX('Initial Study'!K:K, MATCH(L128, 'Initial Study'!B:B, 0)+2),"-"),"-")</f>
        <v/>
      </c>
      <c r="AA128">
        <f>IF(S128="RE", Y128 &amp; "BT/" &amp; IF(Z128 &lt;&gt; "-", Z128 &amp; "BT", ""), IF(OR(S128="LTDR", S128="LTSR"), Y128 &amp; "BL" &amp; IF(Z128 &lt;&gt; "-", "/" &amp; Z128 &amp; "BT", ""), IF(OR(S128="RTDR", S128="RTSR"), Y128 &amp; "BR" &amp; IF(Z128 &lt;&gt; "-", "/" &amp; Z128 &amp; "BT", ""), IF(Z128 &lt;&gt; "-", Y128 &amp; "BT/" &amp; Z128 &amp; "BT", Y128 &amp; "BT"))))</f>
        <v/>
      </c>
    </row>
    <row r="129">
      <c r="A129" t="n">
        <v>0</v>
      </c>
      <c r="B129" t="inlineStr">
        <is>
          <t>SIKES MILL</t>
        </is>
      </c>
      <c r="C129" t="n">
        <v>0</v>
      </c>
      <c r="E129" t="inlineStr">
        <is>
          <t>NC 218</t>
        </is>
      </c>
      <c r="F129" t="inlineStr">
        <is>
          <t>*LCL OLD FISH RD</t>
        </is>
      </c>
      <c r="G129" t="inlineStr">
        <is>
          <t>SIKES MILL</t>
        </is>
      </c>
      <c r="H129" t="n">
        <v>999.999</v>
      </c>
      <c r="I129" t="inlineStr">
        <is>
          <t>NIS</t>
        </is>
      </c>
      <c r="L129" t="n">
        <v>106882446</v>
      </c>
      <c r="M129" s="6" t="n">
        <v>44619</v>
      </c>
      <c r="N129" t="n">
        <v>21</v>
      </c>
      <c r="O129" t="n">
        <v>2</v>
      </c>
      <c r="P129" t="n">
        <v>7</v>
      </c>
      <c r="Q129" t="n">
        <v>1</v>
      </c>
      <c r="R129" t="inlineStr">
        <is>
          <t>O</t>
        </is>
      </c>
      <c r="S129">
        <f>IFERROR(VLOOKUP(N129,Index!$A$1:$B$26,2,FALSE),"")</f>
        <v/>
      </c>
      <c r="T129">
        <f>AA129</f>
        <v/>
      </c>
      <c r="V129">
        <f>IFERROR(INDEX(DetailedFiche!Q:Q,MATCH(L129,DetailedFiche!J:J,0)),"")</f>
        <v/>
      </c>
      <c r="W129">
        <f>IFERROR(INDEX(DetailedFiche!R:R,MATCH(L129,DetailedFiche!J:J,0)),"")</f>
        <v/>
      </c>
      <c r="Y129">
        <f>IFERROR(IF(AND(INDEX('Initial Study'!K:K, MATCH(L129, 'Initial Study'!B:B, 0)+1)&lt;&gt;0,INDEX('Initial Study'!K:K, MATCH(L129, 'Initial Study'!B:B, 0)+1)&lt;&gt;""),INDEX('Initial Study'!K:K, MATCH(L129, 'Initial Study'!B:B, 0)+1),""),"")</f>
        <v/>
      </c>
      <c r="Z129">
        <f>IFERROR(IF(AND(INDEX('Initial Study'!K:K, MATCH(L129, 'Initial Study'!B:B, 0)+2)&lt;&gt;0,INDEX('Initial Study'!K:K, MATCH(L129, 'Initial Study'!B:B, 0)+2)&lt;&gt;"",NOT(ISNUMBER(INDEX('Initial Study'!K:K, MATCH(L129, 'Initial Study'!B:B, 0)+2)))),INDEX('Initial Study'!K:K, MATCH(L129, 'Initial Study'!B:B, 0)+2),"-"),"-")</f>
        <v/>
      </c>
      <c r="AA129">
        <f>IF(S129="RE", Y129 &amp; "BT/" &amp; IF(Z129 &lt;&gt; "-", Z129 &amp; "BT", ""), IF(OR(S129="LTDR", S129="LTSR"), Y129 &amp; "BL" &amp; IF(Z129 &lt;&gt; "-", "/" &amp; Z129 &amp; "BT", ""), IF(OR(S129="RTDR", S129="RTSR"), Y129 &amp; "BR" &amp; IF(Z129 &lt;&gt; "-", "/" &amp; Z129 &amp; "BT", ""), IF(Z129 &lt;&gt; "-", Y129 &amp; "BT/" &amp; Z129 &amp; "BT", Y129 &amp; "BT"))))</f>
        <v/>
      </c>
    </row>
    <row r="130">
      <c r="A130" t="n">
        <v>637</v>
      </c>
      <c r="B130" t="inlineStr">
        <is>
          <t>SIKES MILL</t>
        </is>
      </c>
      <c r="C130" t="n">
        <v>0.11</v>
      </c>
      <c r="D130" t="inlineStr">
        <is>
          <t>N</t>
        </is>
      </c>
      <c r="E130" t="inlineStr">
        <is>
          <t>NC 218</t>
        </is>
      </c>
      <c r="F130" t="inlineStr">
        <is>
          <t>BRIEF</t>
        </is>
      </c>
      <c r="G130" t="inlineStr">
        <is>
          <t>SIKES MILL</t>
        </is>
      </c>
      <c r="H130" t="n">
        <v>999.999</v>
      </c>
      <c r="I130" t="inlineStr">
        <is>
          <t>NIS</t>
        </is>
      </c>
      <c r="L130" t="n">
        <v>107575353</v>
      </c>
      <c r="M130" s="6" t="n">
        <v>45286</v>
      </c>
      <c r="N130" t="n">
        <v>19</v>
      </c>
      <c r="O130" t="n">
        <v>2</v>
      </c>
      <c r="P130" t="n">
        <v>0</v>
      </c>
      <c r="Q130" t="n">
        <v>1</v>
      </c>
      <c r="R130" t="inlineStr">
        <is>
          <t>O</t>
        </is>
      </c>
      <c r="S130">
        <f>IFERROR(VLOOKUP(N130,Index!$A$1:$B$26,2,FALSE),"")</f>
        <v/>
      </c>
      <c r="T130">
        <f>AA130</f>
        <v/>
      </c>
      <c r="V130">
        <f>IFERROR(INDEX(DetailedFiche!Q:Q,MATCH(L130,DetailedFiche!J:J,0)),"")</f>
        <v/>
      </c>
      <c r="W130">
        <f>IFERROR(INDEX(DetailedFiche!R:R,MATCH(L130,DetailedFiche!J:J,0)),"")</f>
        <v/>
      </c>
      <c r="Y130">
        <f>IFERROR(IF(AND(INDEX('Initial Study'!K:K, MATCH(L130, 'Initial Study'!B:B, 0)+1)&lt;&gt;0,INDEX('Initial Study'!K:K, MATCH(L130, 'Initial Study'!B:B, 0)+1)&lt;&gt;""),INDEX('Initial Study'!K:K, MATCH(L130, 'Initial Study'!B:B, 0)+1),""),"")</f>
        <v/>
      </c>
      <c r="Z130">
        <f>IFERROR(IF(AND(INDEX('Initial Study'!K:K, MATCH(L130, 'Initial Study'!B:B, 0)+2)&lt;&gt;0,INDEX('Initial Study'!K:K, MATCH(L130, 'Initial Study'!B:B, 0)+2)&lt;&gt;"",NOT(ISNUMBER(INDEX('Initial Study'!K:K, MATCH(L130, 'Initial Study'!B:B, 0)+2)))),INDEX('Initial Study'!K:K, MATCH(L130, 'Initial Study'!B:B, 0)+2),"-"),"-")</f>
        <v/>
      </c>
      <c r="AA130">
        <f>IF(S130="RE", Y130 &amp; "BT/" &amp; IF(Z130 &lt;&gt; "-", Z130 &amp; "BT", ""), IF(OR(S130="LTDR", S130="LTSR"), Y130 &amp; "BL" &amp; IF(Z130 &lt;&gt; "-", "/" &amp; Z130 &amp; "BT", ""), IF(OR(S130="RTDR", S130="RTSR"), Y130 &amp; "BR" &amp; IF(Z130 &lt;&gt; "-", "/" &amp; Z130 &amp; "BT", ""), IF(Z130 &lt;&gt; "-", Y130 &amp; "BT/" &amp; Z130 &amp; "BT", Y130 &amp; "BT"))))</f>
        <v/>
      </c>
    </row>
    <row r="131">
      <c r="A131" t="n">
        <v>637</v>
      </c>
      <c r="B131" t="inlineStr">
        <is>
          <t>SIKES MILL</t>
        </is>
      </c>
      <c r="C131" t="n">
        <v>0.19</v>
      </c>
      <c r="D131" t="inlineStr">
        <is>
          <t>N</t>
        </is>
      </c>
      <c r="E131" t="inlineStr">
        <is>
          <t>NC 218</t>
        </is>
      </c>
      <c r="F131" t="inlineStr">
        <is>
          <t>BRIEF</t>
        </is>
      </c>
      <c r="G131" t="inlineStr">
        <is>
          <t>SIKES MILL</t>
        </is>
      </c>
      <c r="H131" t="n">
        <v>999.999</v>
      </c>
      <c r="I131" t="inlineStr">
        <is>
          <t>NIS</t>
        </is>
      </c>
      <c r="L131" t="n">
        <v>107132496</v>
      </c>
      <c r="M131" s="6" t="n">
        <v>44868</v>
      </c>
      <c r="N131" t="n">
        <v>28</v>
      </c>
      <c r="O131" t="n">
        <v>1</v>
      </c>
      <c r="P131" t="n">
        <v>0</v>
      </c>
      <c r="Q131" t="n">
        <v>1</v>
      </c>
      <c r="R131" t="inlineStr">
        <is>
          <t>O</t>
        </is>
      </c>
      <c r="S131">
        <f>IFERROR(VLOOKUP(N131,Index!$A$1:$B$26,2,FALSE),"")</f>
        <v/>
      </c>
      <c r="T131">
        <f>AA131</f>
        <v/>
      </c>
      <c r="V131">
        <f>IFERROR(INDEX(DetailedFiche!Q:Q,MATCH(L131,DetailedFiche!J:J,0)),"")</f>
        <v/>
      </c>
      <c r="W131">
        <f>IFERROR(INDEX(DetailedFiche!R:R,MATCH(L131,DetailedFiche!J:J,0)),"")</f>
        <v/>
      </c>
      <c r="Y131">
        <f>IFERROR(IF(AND(INDEX('Initial Study'!K:K, MATCH(L131, 'Initial Study'!B:B, 0)+1)&lt;&gt;0,INDEX('Initial Study'!K:K, MATCH(L131, 'Initial Study'!B:B, 0)+1)&lt;&gt;""),INDEX('Initial Study'!K:K, MATCH(L131, 'Initial Study'!B:B, 0)+1),""),"")</f>
        <v/>
      </c>
      <c r="Z131">
        <f>IFERROR(IF(AND(INDEX('Initial Study'!K:K, MATCH(L131, 'Initial Study'!B:B, 0)+2)&lt;&gt;0,INDEX('Initial Study'!K:K, MATCH(L131, 'Initial Study'!B:B, 0)+2)&lt;&gt;"",NOT(ISNUMBER(INDEX('Initial Study'!K:K, MATCH(L131, 'Initial Study'!B:B, 0)+2)))),INDEX('Initial Study'!K:K, MATCH(L131, 'Initial Study'!B:B, 0)+2),"-"),"-")</f>
        <v/>
      </c>
      <c r="AA131">
        <f>IF(S131="RE", Y131 &amp; "BT/" &amp; IF(Z131 &lt;&gt; "-", Z131 &amp; "BT", ""), IF(OR(S131="LTDR", S131="LTSR"), Y131 &amp; "BL" &amp; IF(Z131 &lt;&gt; "-", "/" &amp; Z131 &amp; "BT", ""), IF(OR(S131="RTDR", S131="RTSR"), Y131 &amp; "BR" &amp; IF(Z131 &lt;&gt; "-", "/" &amp; Z131 &amp; "BT", ""), IF(Z131 &lt;&gt; "-", Y131 &amp; "BT/" &amp; Z131 &amp; "BT", Y131 &amp; "BT"))))</f>
        <v/>
      </c>
    </row>
    <row r="132">
      <c r="A132" t="n">
        <v>637</v>
      </c>
      <c r="B132" t="inlineStr">
        <is>
          <t>SIKES MILL</t>
        </is>
      </c>
      <c r="C132" t="n">
        <v>0.44</v>
      </c>
      <c r="D132" t="inlineStr">
        <is>
          <t>N</t>
        </is>
      </c>
      <c r="E132" t="inlineStr">
        <is>
          <t>NC 218</t>
        </is>
      </c>
      <c r="F132" t="inlineStr">
        <is>
          <t>BRIEF</t>
        </is>
      </c>
      <c r="G132" t="inlineStr">
        <is>
          <t>SIKES MILL</t>
        </is>
      </c>
      <c r="H132" t="n">
        <v>999.999</v>
      </c>
      <c r="I132" t="inlineStr">
        <is>
          <t>NIS</t>
        </is>
      </c>
      <c r="L132" t="n">
        <v>108296735</v>
      </c>
      <c r="M132" s="6" t="n">
        <v>45967</v>
      </c>
      <c r="N132" t="n">
        <v>29</v>
      </c>
      <c r="O132" t="n">
        <v>1</v>
      </c>
      <c r="P132" t="n">
        <v>0</v>
      </c>
      <c r="Q132" t="n">
        <v>5</v>
      </c>
      <c r="R132" t="inlineStr">
        <is>
          <t>O</t>
        </is>
      </c>
      <c r="S132">
        <f>IFERROR(VLOOKUP(N132,Index!$A$1:$B$26,2,FALSE),"")</f>
        <v/>
      </c>
      <c r="T132">
        <f>AA132</f>
        <v/>
      </c>
      <c r="V132">
        <f>IFERROR(INDEX(DetailedFiche!Q:Q,MATCH(L132,DetailedFiche!J:J,0)),"")</f>
        <v/>
      </c>
      <c r="W132">
        <f>IFERROR(INDEX(DetailedFiche!R:R,MATCH(L132,DetailedFiche!J:J,0)),"")</f>
        <v/>
      </c>
      <c r="Y132">
        <f>IFERROR(IF(AND(INDEX('Initial Study'!K:K, MATCH(L132, 'Initial Study'!B:B, 0)+1)&lt;&gt;0,INDEX('Initial Study'!K:K, MATCH(L132, 'Initial Study'!B:B, 0)+1)&lt;&gt;""),INDEX('Initial Study'!K:K, MATCH(L132, 'Initial Study'!B:B, 0)+1),""),"")</f>
        <v/>
      </c>
      <c r="Z132">
        <f>IFERROR(IF(AND(INDEX('Initial Study'!K:K, MATCH(L132, 'Initial Study'!B:B, 0)+2)&lt;&gt;0,INDEX('Initial Study'!K:K, MATCH(L132, 'Initial Study'!B:B, 0)+2)&lt;&gt;"",NOT(ISNUMBER(INDEX('Initial Study'!K:K, MATCH(L132, 'Initial Study'!B:B, 0)+2)))),INDEX('Initial Study'!K:K, MATCH(L132, 'Initial Study'!B:B, 0)+2),"-"),"-")</f>
        <v/>
      </c>
      <c r="AA132">
        <f>IF(S132="RE", Y132 &amp; "BT/" &amp; IF(Z132 &lt;&gt; "-", Z132 &amp; "BT", ""), IF(OR(S132="LTDR", S132="LTSR"), Y132 &amp; "BL" &amp; IF(Z132 &lt;&gt; "-", "/" &amp; Z132 &amp; "BT", ""), IF(OR(S132="RTDR", S132="RTSR"), Y132 &amp; "BR" &amp; IF(Z132 &lt;&gt; "-", "/" &amp; Z132 &amp; "BT", ""), IF(Z132 &lt;&gt; "-", Y132 &amp; "BT/" &amp; Z132 &amp; "BT", Y132 &amp; "BT"))))</f>
        <v/>
      </c>
    </row>
    <row r="133">
      <c r="A133" t="n">
        <v>637</v>
      </c>
      <c r="B133" t="inlineStr">
        <is>
          <t>SIKES MILL</t>
        </is>
      </c>
      <c r="C133" t="n">
        <v>0</v>
      </c>
      <c r="E133" t="inlineStr">
        <is>
          <t>OLD FERRY</t>
        </is>
      </c>
      <c r="F133" t="inlineStr">
        <is>
          <t>*LCL BIGGERS CEMETERY RD</t>
        </is>
      </c>
      <c r="G133" t="inlineStr">
        <is>
          <t>SIKES MILL</t>
        </is>
      </c>
      <c r="H133" t="n">
        <v>999.999</v>
      </c>
      <c r="I133" t="inlineStr">
        <is>
          <t>NIS</t>
        </is>
      </c>
      <c r="L133" t="n">
        <v>107885248</v>
      </c>
      <c r="M133" s="6" t="n">
        <v>45581</v>
      </c>
      <c r="N133" t="n">
        <v>23</v>
      </c>
      <c r="O133" t="n">
        <v>1</v>
      </c>
      <c r="P133" t="n">
        <v>7</v>
      </c>
      <c r="Q133" t="n">
        <v>1</v>
      </c>
      <c r="R133" t="inlineStr">
        <is>
          <t>O</t>
        </is>
      </c>
      <c r="S133">
        <f>IFERROR(VLOOKUP(N133,Index!$A$1:$B$26,2,FALSE),"")</f>
        <v/>
      </c>
      <c r="T133">
        <f>AA133</f>
        <v/>
      </c>
      <c r="V133">
        <f>IFERROR(INDEX(DetailedFiche!Q:Q,MATCH(L133,DetailedFiche!J:J,0)),"")</f>
        <v/>
      </c>
      <c r="W133">
        <f>IFERROR(INDEX(DetailedFiche!R:R,MATCH(L133,DetailedFiche!J:J,0)),"")</f>
        <v/>
      </c>
      <c r="Y133">
        <f>IFERROR(IF(AND(INDEX('Initial Study'!K:K, MATCH(L133, 'Initial Study'!B:B, 0)+1)&lt;&gt;0,INDEX('Initial Study'!K:K, MATCH(L133, 'Initial Study'!B:B, 0)+1)&lt;&gt;""),INDEX('Initial Study'!K:K, MATCH(L133, 'Initial Study'!B:B, 0)+1),""),"")</f>
        <v/>
      </c>
      <c r="Z133">
        <f>IFERROR(IF(AND(INDEX('Initial Study'!K:K, MATCH(L133, 'Initial Study'!B:B, 0)+2)&lt;&gt;0,INDEX('Initial Study'!K:K, MATCH(L133, 'Initial Study'!B:B, 0)+2)&lt;&gt;"",NOT(ISNUMBER(INDEX('Initial Study'!K:K, MATCH(L133, 'Initial Study'!B:B, 0)+2)))),INDEX('Initial Study'!K:K, MATCH(L133, 'Initial Study'!B:B, 0)+2),"-"),"-")</f>
        <v/>
      </c>
      <c r="AA133">
        <f>IF(S133="RE", Y133 &amp; "BT/" &amp; IF(Z133 &lt;&gt; "-", Z133 &amp; "BT", ""), IF(OR(S133="LTDR", S133="LTSR"), Y133 &amp; "BL" &amp; IF(Z133 &lt;&gt; "-", "/" &amp; Z133 &amp; "BT", ""), IF(OR(S133="RTDR", S133="RTSR"), Y133 &amp; "BR" &amp; IF(Z133 &lt;&gt; "-", "/" &amp; Z133 &amp; "BT", ""), IF(Z133 &lt;&gt; "-", Y133 &amp; "BT/" &amp; Z133 &amp; "BT", Y133 &amp; "BT"))))</f>
        <v/>
      </c>
    </row>
    <row r="134">
      <c r="A134" t="n">
        <v>637</v>
      </c>
      <c r="B134" t="inlineStr">
        <is>
          <t>SIKES MILL</t>
        </is>
      </c>
      <c r="C134" t="n">
        <v>0.019</v>
      </c>
      <c r="D134" t="inlineStr">
        <is>
          <t>S</t>
        </is>
      </c>
      <c r="E134" t="inlineStr">
        <is>
          <t>OLD FERRY</t>
        </is>
      </c>
      <c r="F134" t="inlineStr">
        <is>
          <t>BRIEF</t>
        </is>
      </c>
      <c r="G134" t="inlineStr">
        <is>
          <t>SIKES MILL</t>
        </is>
      </c>
      <c r="H134" t="n">
        <v>999.999</v>
      </c>
      <c r="I134" t="inlineStr">
        <is>
          <t>NIS</t>
        </is>
      </c>
      <c r="L134" t="n">
        <v>106029162</v>
      </c>
      <c r="M134" s="6" t="n">
        <v>43756</v>
      </c>
      <c r="N134" t="n">
        <v>29</v>
      </c>
      <c r="O134" t="n">
        <v>1</v>
      </c>
      <c r="P134" t="n">
        <v>0</v>
      </c>
      <c r="Q134" t="n">
        <v>3</v>
      </c>
      <c r="R134" t="inlineStr">
        <is>
          <t>C</t>
        </is>
      </c>
      <c r="S134">
        <f>IFERROR(VLOOKUP(N134,Index!$A$1:$B$26,2,FALSE),"")</f>
        <v/>
      </c>
      <c r="T134">
        <f>AA134</f>
        <v/>
      </c>
      <c r="V134">
        <f>IFERROR(INDEX(DetailedFiche!Q:Q,MATCH(L134,DetailedFiche!J:J,0)),"")</f>
        <v/>
      </c>
      <c r="W134">
        <f>IFERROR(INDEX(DetailedFiche!R:R,MATCH(L134,DetailedFiche!J:J,0)),"")</f>
        <v/>
      </c>
      <c r="Y134">
        <f>IFERROR(IF(AND(INDEX('Initial Study'!K:K, MATCH(L134, 'Initial Study'!B:B, 0)+1)&lt;&gt;0,INDEX('Initial Study'!K:K, MATCH(L134, 'Initial Study'!B:B, 0)+1)&lt;&gt;""),INDEX('Initial Study'!K:K, MATCH(L134, 'Initial Study'!B:B, 0)+1),""),"")</f>
        <v/>
      </c>
      <c r="Z134">
        <f>IFERROR(IF(AND(INDEX('Initial Study'!K:K, MATCH(L134, 'Initial Study'!B:B, 0)+2)&lt;&gt;0,INDEX('Initial Study'!K:K, MATCH(L134, 'Initial Study'!B:B, 0)+2)&lt;&gt;"",NOT(ISNUMBER(INDEX('Initial Study'!K:K, MATCH(L134, 'Initial Study'!B:B, 0)+2)))),INDEX('Initial Study'!K:K, MATCH(L134, 'Initial Study'!B:B, 0)+2),"-"),"-")</f>
        <v/>
      </c>
      <c r="AA134">
        <f>IF(S134="RE", Y134 &amp; "BT/" &amp; IF(Z134 &lt;&gt; "-", Z134 &amp; "BT", ""), IF(OR(S134="LTDR", S134="LTSR"), Y134 &amp; "BL" &amp; IF(Z134 &lt;&gt; "-", "/" &amp; Z134 &amp; "BT", ""), IF(OR(S134="RTDR", S134="RTSR"), Y134 &amp; "BR" &amp; IF(Z134 &lt;&gt; "-", "/" &amp; Z134 &amp; "BT", ""), IF(Z134 &lt;&gt; "-", Y134 &amp; "BT/" &amp; Z134 &amp; "BT", Y134 &amp; "BT"))))</f>
        <v/>
      </c>
    </row>
    <row r="135">
      <c r="A135" t="n">
        <v>637</v>
      </c>
      <c r="B135" t="inlineStr">
        <is>
          <t>SIKES MILL</t>
        </is>
      </c>
      <c r="C135" t="n">
        <v>0.076</v>
      </c>
      <c r="D135" t="inlineStr">
        <is>
          <t>S</t>
        </is>
      </c>
      <c r="E135" t="inlineStr">
        <is>
          <t>OLD FERRY</t>
        </is>
      </c>
      <c r="F135" t="inlineStr">
        <is>
          <t>BRIEF</t>
        </is>
      </c>
      <c r="G135" t="inlineStr">
        <is>
          <t>SIKES MILL</t>
        </is>
      </c>
      <c r="H135" t="n">
        <v>999.999</v>
      </c>
      <c r="I135" t="inlineStr">
        <is>
          <t>NIS</t>
        </is>
      </c>
      <c r="L135" t="n">
        <v>106285749</v>
      </c>
      <c r="M135" s="6" t="n">
        <v>44036</v>
      </c>
      <c r="N135" t="n">
        <v>29</v>
      </c>
      <c r="O135" t="n">
        <v>2</v>
      </c>
      <c r="P135" t="n">
        <v>0</v>
      </c>
      <c r="Q135" t="n">
        <v>1</v>
      </c>
      <c r="R135" t="inlineStr">
        <is>
          <t>O</t>
        </is>
      </c>
      <c r="S135">
        <f>IFERROR(VLOOKUP(N135,Index!$A$1:$B$26,2,FALSE),"")</f>
        <v/>
      </c>
      <c r="T135">
        <f>AA135</f>
        <v/>
      </c>
      <c r="V135">
        <f>IFERROR(INDEX(DetailedFiche!Q:Q,MATCH(L135,DetailedFiche!J:J,0)),"")</f>
        <v/>
      </c>
      <c r="W135">
        <f>IFERROR(INDEX(DetailedFiche!R:R,MATCH(L135,DetailedFiche!J:J,0)),"")</f>
        <v/>
      </c>
      <c r="Y135">
        <f>IFERROR(IF(AND(INDEX('Initial Study'!K:K, MATCH(L135, 'Initial Study'!B:B, 0)+1)&lt;&gt;0,INDEX('Initial Study'!K:K, MATCH(L135, 'Initial Study'!B:B, 0)+1)&lt;&gt;""),INDEX('Initial Study'!K:K, MATCH(L135, 'Initial Study'!B:B, 0)+1),""),"")</f>
        <v/>
      </c>
      <c r="Z135">
        <f>IFERROR(IF(AND(INDEX('Initial Study'!K:K, MATCH(L135, 'Initial Study'!B:B, 0)+2)&lt;&gt;0,INDEX('Initial Study'!K:K, MATCH(L135, 'Initial Study'!B:B, 0)+2)&lt;&gt;"",NOT(ISNUMBER(INDEX('Initial Study'!K:K, MATCH(L135, 'Initial Study'!B:B, 0)+2)))),INDEX('Initial Study'!K:K, MATCH(L135, 'Initial Study'!B:B, 0)+2),"-"),"-")</f>
        <v/>
      </c>
      <c r="AA135">
        <f>IF(S135="RE", Y135 &amp; "BT/" &amp; IF(Z135 &lt;&gt; "-", Z135 &amp; "BT", ""), IF(OR(S135="LTDR", S135="LTSR"), Y135 &amp; "BL" &amp; IF(Z135 &lt;&gt; "-", "/" &amp; Z135 &amp; "BT", ""), IF(OR(S135="RTDR", S135="RTSR"), Y135 &amp; "BR" &amp; IF(Z135 &lt;&gt; "-", "/" &amp; Z135 &amp; "BT", ""), IF(Z135 &lt;&gt; "-", Y135 &amp; "BT/" &amp; Z135 &amp; "BT", Y135 &amp; "BT"))))</f>
        <v/>
      </c>
    </row>
    <row r="136">
      <c r="A136" t="n">
        <v>637</v>
      </c>
      <c r="B136" t="inlineStr">
        <is>
          <t>SIKES MILL</t>
        </is>
      </c>
      <c r="C136" t="n">
        <v>0.08500000000000001</v>
      </c>
      <c r="D136" t="inlineStr">
        <is>
          <t>N</t>
        </is>
      </c>
      <c r="E136" t="inlineStr">
        <is>
          <t>OLD FERRY</t>
        </is>
      </c>
      <c r="F136" t="inlineStr">
        <is>
          <t>*LCL BIGGERS CEMETRY RD</t>
        </is>
      </c>
      <c r="G136" t="inlineStr">
        <is>
          <t>SIKES MILL</t>
        </is>
      </c>
      <c r="H136" t="n">
        <v>999.999</v>
      </c>
      <c r="I136" t="inlineStr">
        <is>
          <t>NIS</t>
        </is>
      </c>
      <c r="L136" t="n">
        <v>108310676</v>
      </c>
      <c r="M136" s="6" t="n">
        <v>45979</v>
      </c>
      <c r="N136" t="n">
        <v>19</v>
      </c>
      <c r="O136" t="n">
        <v>1</v>
      </c>
      <c r="P136" t="n">
        <v>0</v>
      </c>
      <c r="Q136" t="n">
        <v>1</v>
      </c>
      <c r="R136" t="inlineStr">
        <is>
          <t>O</t>
        </is>
      </c>
      <c r="S136">
        <f>IFERROR(VLOOKUP(N136,Index!$A$1:$B$26,2,FALSE),"")</f>
        <v/>
      </c>
      <c r="T136">
        <f>AA136</f>
        <v/>
      </c>
      <c r="V136">
        <f>IFERROR(INDEX(DetailedFiche!Q:Q,MATCH(L136,DetailedFiche!J:J,0)),"")</f>
        <v/>
      </c>
      <c r="W136">
        <f>IFERROR(INDEX(DetailedFiche!R:R,MATCH(L136,DetailedFiche!J:J,0)),"")</f>
        <v/>
      </c>
      <c r="Y136">
        <f>IFERROR(IF(AND(INDEX('Initial Study'!K:K, MATCH(L136, 'Initial Study'!B:B, 0)+1)&lt;&gt;0,INDEX('Initial Study'!K:K, MATCH(L136, 'Initial Study'!B:B, 0)+1)&lt;&gt;""),INDEX('Initial Study'!K:K, MATCH(L136, 'Initial Study'!B:B, 0)+1),""),"")</f>
        <v/>
      </c>
      <c r="Z136">
        <f>IFERROR(IF(AND(INDEX('Initial Study'!K:K, MATCH(L136, 'Initial Study'!B:B, 0)+2)&lt;&gt;0,INDEX('Initial Study'!K:K, MATCH(L136, 'Initial Study'!B:B, 0)+2)&lt;&gt;"",NOT(ISNUMBER(INDEX('Initial Study'!K:K, MATCH(L136, 'Initial Study'!B:B, 0)+2)))),INDEX('Initial Study'!K:K, MATCH(L136, 'Initial Study'!B:B, 0)+2),"-"),"-")</f>
        <v/>
      </c>
      <c r="AA136">
        <f>IF(S136="RE", Y136 &amp; "BT/" &amp; IF(Z136 &lt;&gt; "-", Z136 &amp; "BT", ""), IF(OR(S136="LTDR", S136="LTSR"), Y136 &amp; "BL" &amp; IF(Z136 &lt;&gt; "-", "/" &amp; Z136 &amp; "BT", ""), IF(OR(S136="RTDR", S136="RTSR"), Y136 &amp; "BR" &amp; IF(Z136 &lt;&gt; "-", "/" &amp; Z136 &amp; "BT", ""), IF(Z136 &lt;&gt; "-", Y136 &amp; "BT/" &amp; Z136 &amp; "BT", Y136 &amp; "BT"))))</f>
        <v/>
      </c>
    </row>
    <row r="137">
      <c r="A137" t="n">
        <v>558</v>
      </c>
      <c r="B137" t="inlineStr">
        <is>
          <t>SIKES MILL</t>
        </is>
      </c>
      <c r="C137" t="n">
        <v>0.19</v>
      </c>
      <c r="D137" t="inlineStr">
        <is>
          <t>N</t>
        </is>
      </c>
      <c r="E137" t="inlineStr">
        <is>
          <t>OLD FERRY</t>
        </is>
      </c>
      <c r="F137" t="inlineStr">
        <is>
          <t>*LCL BIGGERS CEMETERY RD</t>
        </is>
      </c>
      <c r="G137" t="inlineStr">
        <is>
          <t>SIKES MILL</t>
        </is>
      </c>
      <c r="H137" t="n">
        <v>999.999</v>
      </c>
      <c r="I137" t="inlineStr">
        <is>
          <t>NIS</t>
        </is>
      </c>
      <c r="L137" t="n">
        <v>106626412</v>
      </c>
      <c r="M137" s="6" t="n">
        <v>44386</v>
      </c>
      <c r="N137" t="n">
        <v>29</v>
      </c>
      <c r="O137" t="n">
        <v>2</v>
      </c>
      <c r="P137" t="n">
        <v>0</v>
      </c>
      <c r="Q137" t="n">
        <v>1</v>
      </c>
      <c r="R137" t="inlineStr">
        <is>
          <t>O</t>
        </is>
      </c>
      <c r="S137">
        <f>IFERROR(VLOOKUP(N137,Index!$A$1:$B$26,2,FALSE),"")</f>
        <v/>
      </c>
      <c r="T137">
        <f>AA137</f>
        <v/>
      </c>
      <c r="V137">
        <f>IFERROR(INDEX(DetailedFiche!Q:Q,MATCH(L137,DetailedFiche!J:J,0)),"")</f>
        <v/>
      </c>
      <c r="W137">
        <f>IFERROR(INDEX(DetailedFiche!R:R,MATCH(L137,DetailedFiche!J:J,0)),"")</f>
        <v/>
      </c>
      <c r="Y137">
        <f>IFERROR(IF(AND(INDEX('Initial Study'!K:K, MATCH(L137, 'Initial Study'!B:B, 0)+1)&lt;&gt;0,INDEX('Initial Study'!K:K, MATCH(L137, 'Initial Study'!B:B, 0)+1)&lt;&gt;""),INDEX('Initial Study'!K:K, MATCH(L137, 'Initial Study'!B:B, 0)+1),""),"")</f>
        <v/>
      </c>
      <c r="Z137">
        <f>IFERROR(IF(AND(INDEX('Initial Study'!K:K, MATCH(L137, 'Initial Study'!B:B, 0)+2)&lt;&gt;0,INDEX('Initial Study'!K:K, MATCH(L137, 'Initial Study'!B:B, 0)+2)&lt;&gt;"",NOT(ISNUMBER(INDEX('Initial Study'!K:K, MATCH(L137, 'Initial Study'!B:B, 0)+2)))),INDEX('Initial Study'!K:K, MATCH(L137, 'Initial Study'!B:B, 0)+2),"-"),"-")</f>
        <v/>
      </c>
      <c r="AA137">
        <f>IF(S137="RE", Y137 &amp; "BT/" &amp; IF(Z137 &lt;&gt; "-", Z137 &amp; "BT", ""), IF(OR(S137="LTDR", S137="LTSR"), Y137 &amp; "BL" &amp; IF(Z137 &lt;&gt; "-", "/" &amp; Z137 &amp; "BT", ""), IF(OR(S137="RTDR", S137="RTSR"), Y137 &amp; "BR" &amp; IF(Z137 &lt;&gt; "-", "/" &amp; Z137 &amp; "BT", ""), IF(Z137 &lt;&gt; "-", Y137 &amp; "BT/" &amp; Z137 &amp; "BT", Y137 &amp; "BT"))))</f>
        <v/>
      </c>
    </row>
    <row r="138">
      <c r="A138" t="n">
        <v>0</v>
      </c>
      <c r="B138" t="inlineStr">
        <is>
          <t>SIKES MILL</t>
        </is>
      </c>
      <c r="C138" t="n">
        <v>0.2</v>
      </c>
      <c r="D138" t="inlineStr">
        <is>
          <t>S</t>
        </is>
      </c>
      <c r="E138" t="inlineStr">
        <is>
          <t>OLD FERRY</t>
        </is>
      </c>
      <c r="F138" t="inlineStr">
        <is>
          <t>BRIEF</t>
        </is>
      </c>
      <c r="G138" t="inlineStr">
        <is>
          <t>SIKES MILL</t>
        </is>
      </c>
      <c r="H138" t="n">
        <v>999.999</v>
      </c>
      <c r="I138" t="inlineStr">
        <is>
          <t>NIS</t>
        </is>
      </c>
      <c r="L138" t="n">
        <v>106023012</v>
      </c>
      <c r="M138" s="6" t="n">
        <v>43753</v>
      </c>
      <c r="N138" t="n">
        <v>17</v>
      </c>
      <c r="O138" t="n">
        <v>1</v>
      </c>
      <c r="P138" t="n">
        <v>0</v>
      </c>
      <c r="Q138" t="n">
        <v>5</v>
      </c>
      <c r="R138" t="inlineStr">
        <is>
          <t>O</t>
        </is>
      </c>
      <c r="S138">
        <f>IFERROR(VLOOKUP(N138,Index!$A$1:$B$26,2,FALSE),"")</f>
        <v/>
      </c>
      <c r="T138">
        <f>AA138</f>
        <v/>
      </c>
      <c r="V138">
        <f>IFERROR(INDEX(DetailedFiche!Q:Q,MATCH(L138,DetailedFiche!J:J,0)),"")</f>
        <v/>
      </c>
      <c r="W138">
        <f>IFERROR(INDEX(DetailedFiche!R:R,MATCH(L138,DetailedFiche!J:J,0)),"")</f>
        <v/>
      </c>
      <c r="Y138">
        <f>IFERROR(IF(AND(INDEX('Initial Study'!K:K, MATCH(L138, 'Initial Study'!B:B, 0)+1)&lt;&gt;0,INDEX('Initial Study'!K:K, MATCH(L138, 'Initial Study'!B:B, 0)+1)&lt;&gt;""),INDEX('Initial Study'!K:K, MATCH(L138, 'Initial Study'!B:B, 0)+1),""),"")</f>
        <v/>
      </c>
      <c r="Z138">
        <f>IFERROR(IF(AND(INDEX('Initial Study'!K:K, MATCH(L138, 'Initial Study'!B:B, 0)+2)&lt;&gt;0,INDEX('Initial Study'!K:K, MATCH(L138, 'Initial Study'!B:B, 0)+2)&lt;&gt;"",NOT(ISNUMBER(INDEX('Initial Study'!K:K, MATCH(L138, 'Initial Study'!B:B, 0)+2)))),INDEX('Initial Study'!K:K, MATCH(L138, 'Initial Study'!B:B, 0)+2),"-"),"-")</f>
        <v/>
      </c>
      <c r="AA138">
        <f>IF(S138="RE", Y138 &amp; "BT/" &amp; IF(Z138 &lt;&gt; "-", Z138 &amp; "BT", ""), IF(OR(S138="LTDR", S138="LTSR"), Y138 &amp; "BL" &amp; IF(Z138 &lt;&gt; "-", "/" &amp; Z138 &amp; "BT", ""), IF(OR(S138="RTDR", S138="RTSR"), Y138 &amp; "BR" &amp; IF(Z138 &lt;&gt; "-", "/" &amp; Z138 &amp; "BT", ""), IF(Z138 &lt;&gt; "-", Y138 &amp; "BT/" &amp; Z138 &amp; "BT", Y138 &amp; "BT"))))</f>
        <v/>
      </c>
    </row>
    <row r="139">
      <c r="A139" t="n">
        <v>637</v>
      </c>
      <c r="B139" t="inlineStr">
        <is>
          <t>SIKES MILL</t>
        </is>
      </c>
      <c r="C139" t="n">
        <v>0.3</v>
      </c>
      <c r="D139" t="inlineStr">
        <is>
          <t>N</t>
        </is>
      </c>
      <c r="E139" t="inlineStr">
        <is>
          <t>OLD FERRY</t>
        </is>
      </c>
      <c r="F139" t="inlineStr">
        <is>
          <t>*LCL BIGGERS CEMETRY RD</t>
        </is>
      </c>
      <c r="G139" t="inlineStr">
        <is>
          <t>SIKES MILL</t>
        </is>
      </c>
      <c r="H139" t="n">
        <v>999.999</v>
      </c>
      <c r="I139" t="inlineStr">
        <is>
          <t>NIS</t>
        </is>
      </c>
      <c r="L139" t="n">
        <v>107748214</v>
      </c>
      <c r="M139" s="6" t="n">
        <v>45455</v>
      </c>
      <c r="N139" t="n">
        <v>17</v>
      </c>
      <c r="O139" t="n">
        <v>1</v>
      </c>
      <c r="P139" t="n">
        <v>0</v>
      </c>
      <c r="Q139" t="n">
        <v>1</v>
      </c>
      <c r="R139" t="inlineStr">
        <is>
          <t>O</t>
        </is>
      </c>
      <c r="S139">
        <f>IFERROR(VLOOKUP(N139,Index!$A$1:$B$26,2,FALSE),"")</f>
        <v/>
      </c>
      <c r="T139">
        <f>AA139</f>
        <v/>
      </c>
      <c r="V139">
        <f>IFERROR(INDEX(DetailedFiche!Q:Q,MATCH(L139,DetailedFiche!J:J,0)),"")</f>
        <v/>
      </c>
      <c r="W139">
        <f>IFERROR(INDEX(DetailedFiche!R:R,MATCH(L139,DetailedFiche!J:J,0)),"")</f>
        <v/>
      </c>
      <c r="Y139">
        <f>IFERROR(IF(AND(INDEX('Initial Study'!K:K, MATCH(L139, 'Initial Study'!B:B, 0)+1)&lt;&gt;0,INDEX('Initial Study'!K:K, MATCH(L139, 'Initial Study'!B:B, 0)+1)&lt;&gt;""),INDEX('Initial Study'!K:K, MATCH(L139, 'Initial Study'!B:B, 0)+1),""),"")</f>
        <v/>
      </c>
      <c r="Z139">
        <f>IFERROR(IF(AND(INDEX('Initial Study'!K:K, MATCH(L139, 'Initial Study'!B:B, 0)+2)&lt;&gt;0,INDEX('Initial Study'!K:K, MATCH(L139, 'Initial Study'!B:B, 0)+2)&lt;&gt;"",NOT(ISNUMBER(INDEX('Initial Study'!K:K, MATCH(L139, 'Initial Study'!B:B, 0)+2)))),INDEX('Initial Study'!K:K, MATCH(L139, 'Initial Study'!B:B, 0)+2),"-"),"-")</f>
        <v/>
      </c>
      <c r="AA139">
        <f>IF(S139="RE", Y139 &amp; "BT/" &amp; IF(Z139 &lt;&gt; "-", Z139 &amp; "BT", ""), IF(OR(S139="LTDR", S139="LTSR"), Y139 &amp; "BL" &amp; IF(Z139 &lt;&gt; "-", "/" &amp; Z139 &amp; "BT", ""), IF(OR(S139="RTDR", S139="RTSR"), Y139 &amp; "BR" &amp; IF(Z139 &lt;&gt; "-", "/" &amp; Z139 &amp; "BT", ""), IF(Z139 &lt;&gt; "-", Y139 &amp; "BT/" &amp; Z139 &amp; "BT", Y139 &amp; "BT"))))</f>
        <v/>
      </c>
    </row>
    <row r="140">
      <c r="A140" t="n">
        <v>558</v>
      </c>
      <c r="B140" t="inlineStr">
        <is>
          <t>SIKES MILL</t>
        </is>
      </c>
      <c r="C140" t="n">
        <v>0</v>
      </c>
      <c r="E140" t="inlineStr">
        <is>
          <t>PIEDMONT SCHOOL</t>
        </is>
      </c>
      <c r="F140" t="inlineStr">
        <is>
          <t>HENRY SMITH</t>
        </is>
      </c>
      <c r="G140" t="inlineStr">
        <is>
          <t>SIKES MILL</t>
        </is>
      </c>
      <c r="H140" t="n">
        <v>999.999</v>
      </c>
      <c r="I140" t="inlineStr">
        <is>
          <t>NIS</t>
        </is>
      </c>
      <c r="L140" t="n">
        <v>105787598</v>
      </c>
      <c r="M140" s="6" t="n">
        <v>43524</v>
      </c>
      <c r="N140" t="n">
        <v>24</v>
      </c>
      <c r="O140" t="n">
        <v>1</v>
      </c>
      <c r="P140" t="n">
        <v>8</v>
      </c>
      <c r="Q140" t="n">
        <v>1</v>
      </c>
      <c r="R140" t="inlineStr">
        <is>
          <t>C</t>
        </is>
      </c>
      <c r="S140">
        <f>IFERROR(VLOOKUP(N140,Index!$A$1:$B$26,2,FALSE),"")</f>
        <v/>
      </c>
      <c r="T140">
        <f>AA140</f>
        <v/>
      </c>
      <c r="V140">
        <f>IFERROR(INDEX(DetailedFiche!Q:Q,MATCH(L140,DetailedFiche!J:J,0)),"")</f>
        <v/>
      </c>
      <c r="W140">
        <f>IFERROR(INDEX(DetailedFiche!R:R,MATCH(L140,DetailedFiche!J:J,0)),"")</f>
        <v/>
      </c>
      <c r="Y140">
        <f>IFERROR(IF(AND(INDEX('Initial Study'!K:K, MATCH(L140, 'Initial Study'!B:B, 0)+1)&lt;&gt;0,INDEX('Initial Study'!K:K, MATCH(L140, 'Initial Study'!B:B, 0)+1)&lt;&gt;""),INDEX('Initial Study'!K:K, MATCH(L140, 'Initial Study'!B:B, 0)+1),""),"")</f>
        <v/>
      </c>
      <c r="Z140">
        <f>IFERROR(IF(AND(INDEX('Initial Study'!K:K, MATCH(L140, 'Initial Study'!B:B, 0)+2)&lt;&gt;0,INDEX('Initial Study'!K:K, MATCH(L140, 'Initial Study'!B:B, 0)+2)&lt;&gt;"",NOT(ISNUMBER(INDEX('Initial Study'!K:K, MATCH(L140, 'Initial Study'!B:B, 0)+2)))),INDEX('Initial Study'!K:K, MATCH(L140, 'Initial Study'!B:B, 0)+2),"-"),"-")</f>
        <v/>
      </c>
      <c r="AA140">
        <f>IF(S140="RE", Y140 &amp; "BT/" &amp; IF(Z140 &lt;&gt; "-", Z140 &amp; "BT", ""), IF(OR(S140="LTDR", S140="LTSR"), Y140 &amp; "BL" &amp; IF(Z140 &lt;&gt; "-", "/" &amp; Z140 &amp; "BT", ""), IF(OR(S140="RTDR", S140="RTSR"), Y140 &amp; "BR" &amp; IF(Z140 &lt;&gt; "-", "/" &amp; Z140 &amp; "BT", ""), IF(Z140 &lt;&gt; "-", Y140 &amp; "BT/" &amp; Z140 &amp; "BT", Y140 &amp; "BT"))))</f>
        <v/>
      </c>
    </row>
    <row r="141">
      <c r="A141" t="n">
        <v>558</v>
      </c>
      <c r="B141" t="inlineStr">
        <is>
          <t>SIKES MILL</t>
        </is>
      </c>
      <c r="C141" t="n">
        <v>0.22</v>
      </c>
      <c r="D141" t="inlineStr">
        <is>
          <t>N</t>
        </is>
      </c>
      <c r="E141" t="inlineStr">
        <is>
          <t>PIEDMONT SCHOOL</t>
        </is>
      </c>
      <c r="F141" t="inlineStr">
        <is>
          <t>HAIGLER BAUCOM</t>
        </is>
      </c>
      <c r="G141" t="inlineStr">
        <is>
          <t>SIKES MILL</t>
        </is>
      </c>
      <c r="H141" t="n">
        <v>999.999</v>
      </c>
      <c r="I141" t="inlineStr">
        <is>
          <t>NIS</t>
        </is>
      </c>
      <c r="L141" t="n">
        <v>104745060</v>
      </c>
      <c r="M141" s="6" t="n">
        <v>42516</v>
      </c>
      <c r="N141" t="n">
        <v>21</v>
      </c>
      <c r="O141" t="n">
        <v>1</v>
      </c>
      <c r="P141" t="n">
        <v>0</v>
      </c>
      <c r="Q141" t="n">
        <v>1</v>
      </c>
      <c r="R141" t="inlineStr">
        <is>
          <t>O</t>
        </is>
      </c>
      <c r="S141">
        <f>IFERROR(VLOOKUP(N141,Index!$A$1:$B$26,2,FALSE),"")</f>
        <v/>
      </c>
      <c r="T141">
        <f>AA141</f>
        <v/>
      </c>
      <c r="V141">
        <f>IFERROR(INDEX(DetailedFiche!Q:Q,MATCH(L141,DetailedFiche!J:J,0)),"")</f>
        <v/>
      </c>
      <c r="W141">
        <f>IFERROR(INDEX(DetailedFiche!R:R,MATCH(L141,DetailedFiche!J:J,0)),"")</f>
        <v/>
      </c>
      <c r="Y141">
        <f>IFERROR(IF(AND(INDEX('Initial Study'!K:K, MATCH(L141, 'Initial Study'!B:B, 0)+1)&lt;&gt;0,INDEX('Initial Study'!K:K, MATCH(L141, 'Initial Study'!B:B, 0)+1)&lt;&gt;""),INDEX('Initial Study'!K:K, MATCH(L141, 'Initial Study'!B:B, 0)+1),""),"")</f>
        <v/>
      </c>
      <c r="Z141">
        <f>IFERROR(IF(AND(INDEX('Initial Study'!K:K, MATCH(L141, 'Initial Study'!B:B, 0)+2)&lt;&gt;0,INDEX('Initial Study'!K:K, MATCH(L141, 'Initial Study'!B:B, 0)+2)&lt;&gt;"",NOT(ISNUMBER(INDEX('Initial Study'!K:K, MATCH(L141, 'Initial Study'!B:B, 0)+2)))),INDEX('Initial Study'!K:K, MATCH(L141, 'Initial Study'!B:B, 0)+2),"-"),"-")</f>
        <v/>
      </c>
      <c r="AA141">
        <f>IF(S141="RE", Y141 &amp; "BT/" &amp; IF(Z141 &lt;&gt; "-", Z141 &amp; "BT", ""), IF(OR(S141="LTDR", S141="LTSR"), Y141 &amp; "BL" &amp; IF(Z141 &lt;&gt; "-", "/" &amp; Z141 &amp; "BT", ""), IF(OR(S141="RTDR", S141="RTSR"), Y141 &amp; "BR" &amp; IF(Z141 &lt;&gt; "-", "/" &amp; Z141 &amp; "BT", ""), IF(Z141 &lt;&gt; "-", Y141 &amp; "BT/" &amp; Z141 &amp; "BT", Y141 &amp; "BT"))))</f>
        <v/>
      </c>
    </row>
    <row r="142">
      <c r="A142" t="n">
        <v>558</v>
      </c>
      <c r="B142" t="inlineStr">
        <is>
          <t>SR 1001</t>
        </is>
      </c>
      <c r="C142" t="n">
        <v>0</v>
      </c>
      <c r="E142" t="inlineStr">
        <is>
          <t>US 601</t>
        </is>
      </c>
      <c r="F142" t="inlineStr">
        <is>
          <t>US 74</t>
        </is>
      </c>
      <c r="G142" t="inlineStr">
        <is>
          <t>SR 1001</t>
        </is>
      </c>
      <c r="H142" t="n">
        <v>0</v>
      </c>
      <c r="I142" t="inlineStr">
        <is>
          <t>NIS</t>
        </is>
      </c>
      <c r="L142" t="n">
        <v>108010266</v>
      </c>
      <c r="M142" s="6" t="n">
        <v>45691</v>
      </c>
      <c r="N142" t="n">
        <v>21</v>
      </c>
      <c r="O142" t="n">
        <v>1</v>
      </c>
      <c r="P142" t="n">
        <v>8</v>
      </c>
      <c r="Q142" t="n">
        <v>1</v>
      </c>
      <c r="R142" t="inlineStr">
        <is>
          <t>O</t>
        </is>
      </c>
      <c r="S142">
        <f>IFERROR(VLOOKUP(N142,Index!$A$1:$B$26,2,FALSE),"")</f>
        <v/>
      </c>
      <c r="T142">
        <f>AA142</f>
        <v/>
      </c>
      <c r="V142">
        <f>IFERROR(INDEX(DetailedFiche!Q:Q,MATCH(L142,DetailedFiche!J:J,0)),"")</f>
        <v/>
      </c>
      <c r="W142">
        <f>IFERROR(INDEX(DetailedFiche!R:R,MATCH(L142,DetailedFiche!J:J,0)),"")</f>
        <v/>
      </c>
      <c r="Y142">
        <f>IFERROR(IF(AND(INDEX('Initial Study'!K:K, MATCH(L142, 'Initial Study'!B:B, 0)+1)&lt;&gt;0,INDEX('Initial Study'!K:K, MATCH(L142, 'Initial Study'!B:B, 0)+1)&lt;&gt;""),INDEX('Initial Study'!K:K, MATCH(L142, 'Initial Study'!B:B, 0)+1),""),"")</f>
        <v/>
      </c>
      <c r="Z142">
        <f>IFERROR(IF(AND(INDEX('Initial Study'!K:K, MATCH(L142, 'Initial Study'!B:B, 0)+2)&lt;&gt;0,INDEX('Initial Study'!K:K, MATCH(L142, 'Initial Study'!B:B, 0)+2)&lt;&gt;"",NOT(ISNUMBER(INDEX('Initial Study'!K:K, MATCH(L142, 'Initial Study'!B:B, 0)+2)))),INDEX('Initial Study'!K:K, MATCH(L142, 'Initial Study'!B:B, 0)+2),"-"),"-")</f>
        <v/>
      </c>
      <c r="AA142">
        <f>IF(S142="RE", Y142 &amp; "BT/" &amp; IF(Z142 &lt;&gt; "-", Z142 &amp; "BT", ""), IF(OR(S142="LTDR", S142="LTSR"), Y142 &amp; "BL" &amp; IF(Z142 &lt;&gt; "-", "/" &amp; Z142 &amp; "BT", ""), IF(OR(S142="RTDR", S142="RTSR"), Y142 &amp; "BR" &amp; IF(Z142 &lt;&gt; "-", "/" &amp; Z142 &amp; "BT", ""), IF(Z142 &lt;&gt; "-", Y142 &amp; "BT/" &amp; Z142 &amp; "BT", Y142 &amp; "BT"))))</f>
        <v/>
      </c>
    </row>
    <row r="143">
      <c r="A143" t="n">
        <v>0</v>
      </c>
      <c r="B143" t="inlineStr">
        <is>
          <t>SR 1001</t>
        </is>
      </c>
      <c r="C143" t="n">
        <v>0</v>
      </c>
      <c r="E143" t="inlineStr">
        <is>
          <t>US 601</t>
        </is>
      </c>
      <c r="F143" t="inlineStr">
        <is>
          <t>SR 1504</t>
        </is>
      </c>
      <c r="G143" t="inlineStr">
        <is>
          <t>SR 1001</t>
        </is>
      </c>
      <c r="H143" t="n">
        <v>0</v>
      </c>
      <c r="I143" t="inlineStr">
        <is>
          <t>NIS</t>
        </is>
      </c>
      <c r="L143" t="n">
        <v>106852598</v>
      </c>
      <c r="M143" s="6" t="n">
        <v>44597</v>
      </c>
      <c r="N143" t="n">
        <v>19</v>
      </c>
      <c r="O143" t="n">
        <v>1</v>
      </c>
      <c r="P143" t="n">
        <v>8</v>
      </c>
      <c r="Q143" t="n">
        <v>5</v>
      </c>
      <c r="R143" t="inlineStr">
        <is>
          <t>O</t>
        </is>
      </c>
      <c r="S143">
        <f>IFERROR(VLOOKUP(N143,Index!$A$1:$B$26,2,FALSE),"")</f>
        <v/>
      </c>
      <c r="T143">
        <f>AA143</f>
        <v/>
      </c>
      <c r="V143">
        <f>IFERROR(INDEX(DetailedFiche!Q:Q,MATCH(L143,DetailedFiche!J:J,0)),"")</f>
        <v/>
      </c>
      <c r="W143">
        <f>IFERROR(INDEX(DetailedFiche!R:R,MATCH(L143,DetailedFiche!J:J,0)),"")</f>
        <v/>
      </c>
      <c r="Y143">
        <f>IFERROR(IF(AND(INDEX('Initial Study'!K:K, MATCH(L143, 'Initial Study'!B:B, 0)+1)&lt;&gt;0,INDEX('Initial Study'!K:K, MATCH(L143, 'Initial Study'!B:B, 0)+1)&lt;&gt;""),INDEX('Initial Study'!K:K, MATCH(L143, 'Initial Study'!B:B, 0)+1),""),"")</f>
        <v/>
      </c>
      <c r="Z143">
        <f>IFERROR(IF(AND(INDEX('Initial Study'!K:K, MATCH(L143, 'Initial Study'!B:B, 0)+2)&lt;&gt;0,INDEX('Initial Study'!K:K, MATCH(L143, 'Initial Study'!B:B, 0)+2)&lt;&gt;"",NOT(ISNUMBER(INDEX('Initial Study'!K:K, MATCH(L143, 'Initial Study'!B:B, 0)+2)))),INDEX('Initial Study'!K:K, MATCH(L143, 'Initial Study'!B:B, 0)+2),"-"),"-")</f>
        <v/>
      </c>
      <c r="AA143">
        <f>IF(S143="RE", Y143 &amp; "BT/" &amp; IF(Z143 &lt;&gt; "-", Z143 &amp; "BT", ""), IF(OR(S143="LTDR", S143="LTSR"), Y143 &amp; "BL" &amp; IF(Z143 &lt;&gt; "-", "/" &amp; Z143 &amp; "BT", ""), IF(OR(S143="RTDR", S143="RTSR"), Y143 &amp; "BR" &amp; IF(Z143 &lt;&gt; "-", "/" &amp; Z143 &amp; "BT", ""), IF(Z143 &lt;&gt; "-", Y143 &amp; "BT/" &amp; Z143 &amp; "BT", Y143 &amp; "BT"))))</f>
        <v/>
      </c>
    </row>
    <row r="144">
      <c r="A144" t="n">
        <v>0</v>
      </c>
      <c r="B144" t="inlineStr">
        <is>
          <t>SR 1001</t>
        </is>
      </c>
      <c r="C144" t="n">
        <v>0</v>
      </c>
      <c r="E144" t="inlineStr">
        <is>
          <t>US 601</t>
        </is>
      </c>
      <c r="F144" t="inlineStr">
        <is>
          <t>DEAD END</t>
        </is>
      </c>
      <c r="G144" t="inlineStr">
        <is>
          <t>SR 1001</t>
        </is>
      </c>
      <c r="H144" t="n">
        <v>0</v>
      </c>
      <c r="I144" t="inlineStr">
        <is>
          <t>NIS</t>
        </is>
      </c>
      <c r="L144" t="n">
        <v>106345655</v>
      </c>
      <c r="M144" s="6" t="n">
        <v>44088</v>
      </c>
      <c r="N144" t="n">
        <v>30</v>
      </c>
      <c r="O144" t="n">
        <v>1</v>
      </c>
      <c r="P144" t="n">
        <v>8</v>
      </c>
      <c r="Q144" t="n">
        <v>5</v>
      </c>
      <c r="R144" t="inlineStr">
        <is>
          <t>A</t>
        </is>
      </c>
      <c r="S144">
        <f>IFERROR(VLOOKUP(N144,Index!$A$1:$B$26,2,FALSE),"")</f>
        <v/>
      </c>
      <c r="T144">
        <f>AA144</f>
        <v/>
      </c>
      <c r="V144">
        <f>IFERROR(INDEX(DetailedFiche!Q:Q,MATCH(L144,DetailedFiche!J:J,0)),"")</f>
        <v/>
      </c>
      <c r="W144">
        <f>IFERROR(INDEX(DetailedFiche!R:R,MATCH(L144,DetailedFiche!J:J,0)),"")</f>
        <v/>
      </c>
      <c r="Y144">
        <f>IFERROR(IF(AND(INDEX('Initial Study'!K:K, MATCH(L144, 'Initial Study'!B:B, 0)+1)&lt;&gt;0,INDEX('Initial Study'!K:K, MATCH(L144, 'Initial Study'!B:B, 0)+1)&lt;&gt;""),INDEX('Initial Study'!K:K, MATCH(L144, 'Initial Study'!B:B, 0)+1),""),"")</f>
        <v/>
      </c>
      <c r="Z144">
        <f>IFERROR(IF(AND(INDEX('Initial Study'!K:K, MATCH(L144, 'Initial Study'!B:B, 0)+2)&lt;&gt;0,INDEX('Initial Study'!K:K, MATCH(L144, 'Initial Study'!B:B, 0)+2)&lt;&gt;"",NOT(ISNUMBER(INDEX('Initial Study'!K:K, MATCH(L144, 'Initial Study'!B:B, 0)+2)))),INDEX('Initial Study'!K:K, MATCH(L144, 'Initial Study'!B:B, 0)+2),"-"),"-")</f>
        <v/>
      </c>
      <c r="AA144">
        <f>IF(S144="RE", Y144 &amp; "BT/" &amp; IF(Z144 &lt;&gt; "-", Z144 &amp; "BT", ""), IF(OR(S144="LTDR", S144="LTSR"), Y144 &amp; "BL" &amp; IF(Z144 &lt;&gt; "-", "/" &amp; Z144 &amp; "BT", ""), IF(OR(S144="RTDR", S144="RTSR"), Y144 &amp; "BR" &amp; IF(Z144 &lt;&gt; "-", "/" &amp; Z144 &amp; "BT", ""), IF(Z144 &lt;&gt; "-", Y144 &amp; "BT/" &amp; Z144 &amp; "BT", Y144 &amp; "BT"))))</f>
        <v/>
      </c>
    </row>
    <row r="145">
      <c r="A145" t="n">
        <v>0</v>
      </c>
      <c r="B145" t="inlineStr">
        <is>
          <t>SR 1001</t>
        </is>
      </c>
      <c r="C145" t="n">
        <v>0</v>
      </c>
      <c r="E145" t="inlineStr">
        <is>
          <t>US 601</t>
        </is>
      </c>
      <c r="F145" t="inlineStr">
        <is>
          <t>SR 1620</t>
        </is>
      </c>
      <c r="G145" t="inlineStr">
        <is>
          <t>SR 1001</t>
        </is>
      </c>
      <c r="H145" t="n">
        <v>0</v>
      </c>
      <c r="I145" t="inlineStr">
        <is>
          <t>NIS</t>
        </is>
      </c>
      <c r="L145" t="n">
        <v>106219230</v>
      </c>
      <c r="M145" s="6" t="n">
        <v>43956</v>
      </c>
      <c r="N145" t="n">
        <v>19</v>
      </c>
      <c r="O145" t="n">
        <v>2</v>
      </c>
      <c r="P145" t="n">
        <v>8</v>
      </c>
      <c r="Q145" t="n">
        <v>5</v>
      </c>
      <c r="R145" t="inlineStr">
        <is>
          <t>B</t>
        </is>
      </c>
      <c r="S145">
        <f>IFERROR(VLOOKUP(N145,Index!$A$1:$B$26,2,FALSE),"")</f>
        <v/>
      </c>
      <c r="T145">
        <f>AA145</f>
        <v/>
      </c>
      <c r="V145">
        <f>IFERROR(INDEX(DetailedFiche!Q:Q,MATCH(L145,DetailedFiche!J:J,0)),"")</f>
        <v/>
      </c>
      <c r="W145">
        <f>IFERROR(INDEX(DetailedFiche!R:R,MATCH(L145,DetailedFiche!J:J,0)),"")</f>
        <v/>
      </c>
      <c r="Y145">
        <f>IFERROR(IF(AND(INDEX('Initial Study'!K:K, MATCH(L145, 'Initial Study'!B:B, 0)+1)&lt;&gt;0,INDEX('Initial Study'!K:K, MATCH(L145, 'Initial Study'!B:B, 0)+1)&lt;&gt;""),INDEX('Initial Study'!K:K, MATCH(L145, 'Initial Study'!B:B, 0)+1),""),"")</f>
        <v/>
      </c>
      <c r="Z145">
        <f>IFERROR(IF(AND(INDEX('Initial Study'!K:K, MATCH(L145, 'Initial Study'!B:B, 0)+2)&lt;&gt;0,INDEX('Initial Study'!K:K, MATCH(L145, 'Initial Study'!B:B, 0)+2)&lt;&gt;"",NOT(ISNUMBER(INDEX('Initial Study'!K:K, MATCH(L145, 'Initial Study'!B:B, 0)+2)))),INDEX('Initial Study'!K:K, MATCH(L145, 'Initial Study'!B:B, 0)+2),"-"),"-")</f>
        <v/>
      </c>
      <c r="AA145">
        <f>IF(S145="RE", Y145 &amp; "BT/" &amp; IF(Z145 &lt;&gt; "-", Z145 &amp; "BT", ""), IF(OR(S145="LTDR", S145="LTSR"), Y145 &amp; "BL" &amp; IF(Z145 &lt;&gt; "-", "/" &amp; Z145 &amp; "BT", ""), IF(OR(S145="RTDR", S145="RTSR"), Y145 &amp; "BR" &amp; IF(Z145 &lt;&gt; "-", "/" &amp; Z145 &amp; "BT", ""), IF(Z145 &lt;&gt; "-", Y145 &amp; "BT/" &amp; Z145 &amp; "BT", Y145 &amp; "BT"))))</f>
        <v/>
      </c>
    </row>
    <row r="146">
      <c r="A146" t="n">
        <v>0</v>
      </c>
      <c r="B146" t="inlineStr">
        <is>
          <t>SR 1001</t>
        </is>
      </c>
      <c r="C146" t="n">
        <v>0</v>
      </c>
      <c r="E146" t="inlineStr">
        <is>
          <t>US 601</t>
        </is>
      </c>
      <c r="G146" t="inlineStr">
        <is>
          <t>SR 1001</t>
        </is>
      </c>
      <c r="H146" t="n">
        <v>0</v>
      </c>
      <c r="I146" t="inlineStr">
        <is>
          <t>NIS</t>
        </is>
      </c>
      <c r="L146" t="n">
        <v>105752124</v>
      </c>
      <c r="M146" s="6" t="n">
        <v>43488</v>
      </c>
      <c r="N146" t="n">
        <v>21</v>
      </c>
      <c r="O146" t="n">
        <v>2</v>
      </c>
      <c r="P146" t="n">
        <v>8</v>
      </c>
      <c r="Q146" t="n">
        <v>5</v>
      </c>
      <c r="R146" t="inlineStr">
        <is>
          <t>C</t>
        </is>
      </c>
      <c r="S146">
        <f>IFERROR(VLOOKUP(N146,Index!$A$1:$B$26,2,FALSE),"")</f>
        <v/>
      </c>
      <c r="T146">
        <f>AA146</f>
        <v/>
      </c>
      <c r="V146">
        <f>IFERROR(INDEX(DetailedFiche!Q:Q,MATCH(L146,DetailedFiche!J:J,0)),"")</f>
        <v/>
      </c>
      <c r="W146">
        <f>IFERROR(INDEX(DetailedFiche!R:R,MATCH(L146,DetailedFiche!J:J,0)),"")</f>
        <v/>
      </c>
      <c r="Y146">
        <f>IFERROR(IF(AND(INDEX('Initial Study'!K:K, MATCH(L146, 'Initial Study'!B:B, 0)+1)&lt;&gt;0,INDEX('Initial Study'!K:K, MATCH(L146, 'Initial Study'!B:B, 0)+1)&lt;&gt;""),INDEX('Initial Study'!K:K, MATCH(L146, 'Initial Study'!B:B, 0)+1),""),"")</f>
        <v/>
      </c>
      <c r="Z146">
        <f>IFERROR(IF(AND(INDEX('Initial Study'!K:K, MATCH(L146, 'Initial Study'!B:B, 0)+2)&lt;&gt;0,INDEX('Initial Study'!K:K, MATCH(L146, 'Initial Study'!B:B, 0)+2)&lt;&gt;"",NOT(ISNUMBER(INDEX('Initial Study'!K:K, MATCH(L146, 'Initial Study'!B:B, 0)+2)))),INDEX('Initial Study'!K:K, MATCH(L146, 'Initial Study'!B:B, 0)+2),"-"),"-")</f>
        <v/>
      </c>
      <c r="AA146">
        <f>IF(S146="RE", Y146 &amp; "BT/" &amp; IF(Z146 &lt;&gt; "-", Z146 &amp; "BT", ""), IF(OR(S146="LTDR", S146="LTSR"), Y146 &amp; "BL" &amp; IF(Z146 &lt;&gt; "-", "/" &amp; Z146 &amp; "BT", ""), IF(OR(S146="RTDR", S146="RTSR"), Y146 &amp; "BR" &amp; IF(Z146 &lt;&gt; "-", "/" &amp; Z146 &amp; "BT", ""), IF(Z146 &lt;&gt; "-", Y146 &amp; "BT/" &amp; Z146 &amp; "BT", Y146 &amp; "BT"))))</f>
        <v/>
      </c>
    </row>
    <row r="147">
      <c r="A147" t="n">
        <v>0</v>
      </c>
      <c r="B147" t="inlineStr">
        <is>
          <t>SR 1001</t>
        </is>
      </c>
      <c r="C147" t="n">
        <v>0</v>
      </c>
      <c r="E147" t="inlineStr">
        <is>
          <t>US 601</t>
        </is>
      </c>
      <c r="F147" t="inlineStr">
        <is>
          <t>SR 1460</t>
        </is>
      </c>
      <c r="G147" t="inlineStr">
        <is>
          <t>SR 1001</t>
        </is>
      </c>
      <c r="H147" t="n">
        <v>0</v>
      </c>
      <c r="I147" t="inlineStr">
        <is>
          <t>NIS</t>
        </is>
      </c>
      <c r="L147" t="n">
        <v>105477289</v>
      </c>
      <c r="M147" s="6" t="n">
        <v>43231</v>
      </c>
      <c r="N147" t="n">
        <v>24</v>
      </c>
      <c r="O147" t="n">
        <v>1</v>
      </c>
      <c r="P147" t="n">
        <v>8</v>
      </c>
      <c r="Q147" t="n">
        <v>5</v>
      </c>
      <c r="R147" t="inlineStr">
        <is>
          <t>C</t>
        </is>
      </c>
      <c r="S147">
        <f>IFERROR(VLOOKUP(N147,Index!$A$1:$B$26,2,FALSE),"")</f>
        <v/>
      </c>
      <c r="T147">
        <f>AA147</f>
        <v/>
      </c>
      <c r="V147">
        <f>IFERROR(INDEX(DetailedFiche!Q:Q,MATCH(L147,DetailedFiche!J:J,0)),"")</f>
        <v/>
      </c>
      <c r="W147">
        <f>IFERROR(INDEX(DetailedFiche!R:R,MATCH(L147,DetailedFiche!J:J,0)),"")</f>
        <v/>
      </c>
      <c r="Y147">
        <f>IFERROR(IF(AND(INDEX('Initial Study'!K:K, MATCH(L147, 'Initial Study'!B:B, 0)+1)&lt;&gt;0,INDEX('Initial Study'!K:K, MATCH(L147, 'Initial Study'!B:B, 0)+1)&lt;&gt;""),INDEX('Initial Study'!K:K, MATCH(L147, 'Initial Study'!B:B, 0)+1),""),"")</f>
        <v/>
      </c>
      <c r="Z147">
        <f>IFERROR(IF(AND(INDEX('Initial Study'!K:K, MATCH(L147, 'Initial Study'!B:B, 0)+2)&lt;&gt;0,INDEX('Initial Study'!K:K, MATCH(L147, 'Initial Study'!B:B, 0)+2)&lt;&gt;"",NOT(ISNUMBER(INDEX('Initial Study'!K:K, MATCH(L147, 'Initial Study'!B:B, 0)+2)))),INDEX('Initial Study'!K:K, MATCH(L147, 'Initial Study'!B:B, 0)+2),"-"),"-")</f>
        <v/>
      </c>
      <c r="AA147">
        <f>IF(S147="RE", Y147 &amp; "BT/" &amp; IF(Z147 &lt;&gt; "-", Z147 &amp; "BT", ""), IF(OR(S147="LTDR", S147="LTSR"), Y147 &amp; "BL" &amp; IF(Z147 &lt;&gt; "-", "/" &amp; Z147 &amp; "BT", ""), IF(OR(S147="RTDR", S147="RTSR"), Y147 &amp; "BR" &amp; IF(Z147 &lt;&gt; "-", "/" &amp; Z147 &amp; "BT", ""), IF(Z147 &lt;&gt; "-", Y147 &amp; "BT/" &amp; Z147 &amp; "BT", Y147 &amp; "BT"))))</f>
        <v/>
      </c>
    </row>
    <row r="148">
      <c r="A148" t="n">
        <v>0</v>
      </c>
      <c r="B148" t="inlineStr">
        <is>
          <t>SIKES MILL</t>
        </is>
      </c>
      <c r="C148" t="n">
        <v>1.35</v>
      </c>
      <c r="D148" t="inlineStr">
        <is>
          <t>S</t>
        </is>
      </c>
      <c r="E148" t="inlineStr">
        <is>
          <t>BAUCOM</t>
        </is>
      </c>
      <c r="F148" t="inlineStr">
        <is>
          <t>US 601</t>
        </is>
      </c>
      <c r="G148" t="inlineStr">
        <is>
          <t>SR 1001</t>
        </is>
      </c>
      <c r="H148" t="n">
        <v>0.002</v>
      </c>
      <c r="I148" t="inlineStr">
        <is>
          <t>NIS</t>
        </is>
      </c>
      <c r="L148" t="n">
        <v>106252525</v>
      </c>
      <c r="M148" s="6" t="n">
        <v>43989</v>
      </c>
      <c r="N148" t="n">
        <v>19</v>
      </c>
      <c r="O148" t="n">
        <v>1</v>
      </c>
      <c r="P148" t="n">
        <v>8</v>
      </c>
      <c r="Q148" t="n">
        <v>5</v>
      </c>
      <c r="R148" t="inlineStr">
        <is>
          <t>O</t>
        </is>
      </c>
      <c r="S148">
        <f>IFERROR(VLOOKUP(N148,Index!$A$1:$B$26,2,FALSE),"")</f>
        <v/>
      </c>
      <c r="T148">
        <f>AA148</f>
        <v/>
      </c>
      <c r="V148">
        <f>IFERROR(INDEX(DetailedFiche!Q:Q,MATCH(L148,DetailedFiche!J:J,0)),"")</f>
        <v/>
      </c>
      <c r="W148">
        <f>IFERROR(INDEX(DetailedFiche!R:R,MATCH(L148,DetailedFiche!J:J,0)),"")</f>
        <v/>
      </c>
      <c r="Y148">
        <f>IFERROR(IF(AND(INDEX('Initial Study'!K:K, MATCH(L148, 'Initial Study'!B:B, 0)+1)&lt;&gt;0,INDEX('Initial Study'!K:K, MATCH(L148, 'Initial Study'!B:B, 0)+1)&lt;&gt;""),INDEX('Initial Study'!K:K, MATCH(L148, 'Initial Study'!B:B, 0)+1),""),"")</f>
        <v/>
      </c>
      <c r="Z148">
        <f>IFERROR(IF(AND(INDEX('Initial Study'!K:K, MATCH(L148, 'Initial Study'!B:B, 0)+2)&lt;&gt;0,INDEX('Initial Study'!K:K, MATCH(L148, 'Initial Study'!B:B, 0)+2)&lt;&gt;"",NOT(ISNUMBER(INDEX('Initial Study'!K:K, MATCH(L148, 'Initial Study'!B:B, 0)+2)))),INDEX('Initial Study'!K:K, MATCH(L148, 'Initial Study'!B:B, 0)+2),"-"),"-")</f>
        <v/>
      </c>
      <c r="AA148">
        <f>IF(S148="RE", Y148 &amp; "BT/" &amp; IF(Z148 &lt;&gt; "-", Z148 &amp; "BT", ""), IF(OR(S148="LTDR", S148="LTSR"), Y148 &amp; "BL" &amp; IF(Z148 &lt;&gt; "-", "/" &amp; Z148 &amp; "BT", ""), IF(OR(S148="RTDR", S148="RTSR"), Y148 &amp; "BR" &amp; IF(Z148 &lt;&gt; "-", "/" &amp; Z148 &amp; "BT", ""), IF(Z148 &lt;&gt; "-", Y148 &amp; "BT/" &amp; Z148 &amp; "BT", Y148 &amp; "BT"))))</f>
        <v/>
      </c>
    </row>
    <row r="149">
      <c r="A149" t="n">
        <v>558</v>
      </c>
      <c r="B149" t="inlineStr">
        <is>
          <t>SR 1001</t>
        </is>
      </c>
      <c r="C149" t="n">
        <v>0.002</v>
      </c>
      <c r="D149" t="inlineStr">
        <is>
          <t>N</t>
        </is>
      </c>
      <c r="E149" t="inlineStr">
        <is>
          <t>US 601</t>
        </is>
      </c>
      <c r="F149" t="inlineStr">
        <is>
          <t>SPRING LAKE</t>
        </is>
      </c>
      <c r="G149" t="inlineStr">
        <is>
          <t>SR 1001</t>
        </is>
      </c>
      <c r="H149" t="n">
        <v>0.002</v>
      </c>
      <c r="I149" t="inlineStr">
        <is>
          <t>NIS</t>
        </is>
      </c>
      <c r="L149" t="n">
        <v>105520586</v>
      </c>
      <c r="M149" s="6" t="n">
        <v>43243</v>
      </c>
      <c r="N149" t="n">
        <v>21</v>
      </c>
      <c r="O149" t="n">
        <v>1</v>
      </c>
      <c r="P149" t="n">
        <v>0</v>
      </c>
      <c r="Q149" t="n">
        <v>1</v>
      </c>
      <c r="R149" t="inlineStr">
        <is>
          <t>O</t>
        </is>
      </c>
      <c r="S149">
        <f>IFERROR(VLOOKUP(N149,Index!$A$1:$B$26,2,FALSE),"")</f>
        <v/>
      </c>
      <c r="T149">
        <f>AA149</f>
        <v/>
      </c>
      <c r="V149">
        <f>IFERROR(INDEX(DetailedFiche!Q:Q,MATCH(L149,DetailedFiche!J:J,0)),"")</f>
        <v/>
      </c>
      <c r="W149">
        <f>IFERROR(INDEX(DetailedFiche!R:R,MATCH(L149,DetailedFiche!J:J,0)),"")</f>
        <v/>
      </c>
      <c r="Y149">
        <f>IFERROR(IF(AND(INDEX('Initial Study'!K:K, MATCH(L149, 'Initial Study'!B:B, 0)+1)&lt;&gt;0,INDEX('Initial Study'!K:K, MATCH(L149, 'Initial Study'!B:B, 0)+1)&lt;&gt;""),INDEX('Initial Study'!K:K, MATCH(L149, 'Initial Study'!B:B, 0)+1),""),"")</f>
        <v/>
      </c>
      <c r="Z149">
        <f>IFERROR(IF(AND(INDEX('Initial Study'!K:K, MATCH(L149, 'Initial Study'!B:B, 0)+2)&lt;&gt;0,INDEX('Initial Study'!K:K, MATCH(L149, 'Initial Study'!B:B, 0)+2)&lt;&gt;"",NOT(ISNUMBER(INDEX('Initial Study'!K:K, MATCH(L149, 'Initial Study'!B:B, 0)+2)))),INDEX('Initial Study'!K:K, MATCH(L149, 'Initial Study'!B:B, 0)+2),"-"),"-")</f>
        <v/>
      </c>
      <c r="AA149">
        <f>IF(S149="RE", Y149 &amp; "BT/" &amp; IF(Z149 &lt;&gt; "-", Z149 &amp; "BT", ""), IF(OR(S149="LTDR", S149="LTSR"), Y149 &amp; "BL" &amp; IF(Z149 &lt;&gt; "-", "/" &amp; Z149 &amp; "BT", ""), IF(OR(S149="RTDR", S149="RTSR"), Y149 &amp; "BR" &amp; IF(Z149 &lt;&gt; "-", "/" &amp; Z149 &amp; "BT", ""), IF(Z149 &lt;&gt; "-", Y149 &amp; "BT/" &amp; Z149 &amp; "BT", Y149 &amp; "BT"))))</f>
        <v/>
      </c>
    </row>
    <row r="150">
      <c r="A150" t="n">
        <v>0</v>
      </c>
      <c r="B150" t="inlineStr">
        <is>
          <t>SR 1001</t>
        </is>
      </c>
      <c r="C150" t="n">
        <v>0.002</v>
      </c>
      <c r="D150" t="inlineStr">
        <is>
          <t>NE</t>
        </is>
      </c>
      <c r="E150" t="inlineStr">
        <is>
          <t>US 601</t>
        </is>
      </c>
      <c r="F150" t="inlineStr">
        <is>
          <t>SPRING LAKE</t>
        </is>
      </c>
      <c r="G150" t="inlineStr">
        <is>
          <t>SR 1001</t>
        </is>
      </c>
      <c r="H150" t="n">
        <v>0.002</v>
      </c>
      <c r="I150" t="inlineStr">
        <is>
          <t>NIS</t>
        </is>
      </c>
      <c r="L150" t="n">
        <v>105326274</v>
      </c>
      <c r="M150" s="6" t="n">
        <v>43064</v>
      </c>
      <c r="N150" t="n">
        <v>21</v>
      </c>
      <c r="O150" t="n">
        <v>1</v>
      </c>
      <c r="P150" t="n">
        <v>9</v>
      </c>
      <c r="Q150" t="n">
        <v>1</v>
      </c>
      <c r="R150" t="inlineStr">
        <is>
          <t>O</t>
        </is>
      </c>
      <c r="S150">
        <f>IFERROR(VLOOKUP(N150,Index!$A$1:$B$26,2,FALSE),"")</f>
        <v/>
      </c>
      <c r="T150">
        <f>AA150</f>
        <v/>
      </c>
      <c r="V150">
        <f>IFERROR(INDEX(DetailedFiche!Q:Q,MATCH(L150,DetailedFiche!J:J,0)),"")</f>
        <v/>
      </c>
      <c r="W150">
        <f>IFERROR(INDEX(DetailedFiche!R:R,MATCH(L150,DetailedFiche!J:J,0)),"")</f>
        <v/>
      </c>
      <c r="Y150">
        <f>IFERROR(IF(AND(INDEX('Initial Study'!K:K, MATCH(L150, 'Initial Study'!B:B, 0)+1)&lt;&gt;0,INDEX('Initial Study'!K:K, MATCH(L150, 'Initial Study'!B:B, 0)+1)&lt;&gt;""),INDEX('Initial Study'!K:K, MATCH(L150, 'Initial Study'!B:B, 0)+1),""),"")</f>
        <v/>
      </c>
      <c r="Z150">
        <f>IFERROR(IF(AND(INDEX('Initial Study'!K:K, MATCH(L150, 'Initial Study'!B:B, 0)+2)&lt;&gt;0,INDEX('Initial Study'!K:K, MATCH(L150, 'Initial Study'!B:B, 0)+2)&lt;&gt;"",NOT(ISNUMBER(INDEX('Initial Study'!K:K, MATCH(L150, 'Initial Study'!B:B, 0)+2)))),INDEX('Initial Study'!K:K, MATCH(L150, 'Initial Study'!B:B, 0)+2),"-"),"-")</f>
        <v/>
      </c>
      <c r="AA150">
        <f>IF(S150="RE", Y150 &amp; "BT/" &amp; IF(Z150 &lt;&gt; "-", Z150 &amp; "BT", ""), IF(OR(S150="LTDR", S150="LTSR"), Y150 &amp; "BL" &amp; IF(Z150 &lt;&gt; "-", "/" &amp; Z150 &amp; "BT", ""), IF(OR(S150="RTDR", S150="RTSR"), Y150 &amp; "BR" &amp; IF(Z150 &lt;&gt; "-", "/" &amp; Z150 &amp; "BT", ""), IF(Z150 &lt;&gt; "-", Y150 &amp; "BT/" &amp; Z150 &amp; "BT", Y150 &amp; "BT"))))</f>
        <v/>
      </c>
    </row>
    <row r="151">
      <c r="A151" t="n">
        <v>0</v>
      </c>
      <c r="B151" t="inlineStr">
        <is>
          <t>SR 1001</t>
        </is>
      </c>
      <c r="C151" t="n">
        <v>0.003</v>
      </c>
      <c r="D151" t="inlineStr">
        <is>
          <t>E</t>
        </is>
      </c>
      <c r="E151" t="inlineStr">
        <is>
          <t>US 601</t>
        </is>
      </c>
      <c r="F151" t="inlineStr">
        <is>
          <t>SR 1620</t>
        </is>
      </c>
      <c r="G151" t="inlineStr">
        <is>
          <t>SR 1001</t>
        </is>
      </c>
      <c r="H151" t="n">
        <v>0.003</v>
      </c>
      <c r="I151" t="inlineStr">
        <is>
          <t>NIS</t>
        </is>
      </c>
      <c r="L151" t="n">
        <v>105007511</v>
      </c>
      <c r="M151" s="6" t="n">
        <v>42777</v>
      </c>
      <c r="N151" t="n">
        <v>27</v>
      </c>
      <c r="O151" t="n">
        <v>1</v>
      </c>
      <c r="P151" t="n">
        <v>8</v>
      </c>
      <c r="Q151" t="n">
        <v>5</v>
      </c>
      <c r="R151" t="inlineStr">
        <is>
          <t>B</t>
        </is>
      </c>
      <c r="S151">
        <f>IFERROR(VLOOKUP(N151,Index!$A$1:$B$26,2,FALSE),"")</f>
        <v/>
      </c>
      <c r="T151">
        <f>AA151</f>
        <v/>
      </c>
      <c r="V151">
        <f>IFERROR(INDEX(DetailedFiche!Q:Q,MATCH(L151,DetailedFiche!J:J,0)),"")</f>
        <v/>
      </c>
      <c r="W151">
        <f>IFERROR(INDEX(DetailedFiche!R:R,MATCH(L151,DetailedFiche!J:J,0)),"")</f>
        <v/>
      </c>
      <c r="Y151">
        <f>IFERROR(IF(AND(INDEX('Initial Study'!K:K, MATCH(L151, 'Initial Study'!B:B, 0)+1)&lt;&gt;0,INDEX('Initial Study'!K:K, MATCH(L151, 'Initial Study'!B:B, 0)+1)&lt;&gt;""),INDEX('Initial Study'!K:K, MATCH(L151, 'Initial Study'!B:B, 0)+1),""),"")</f>
        <v/>
      </c>
      <c r="Z151">
        <f>IFERROR(IF(AND(INDEX('Initial Study'!K:K, MATCH(L151, 'Initial Study'!B:B, 0)+2)&lt;&gt;0,INDEX('Initial Study'!K:K, MATCH(L151, 'Initial Study'!B:B, 0)+2)&lt;&gt;"",NOT(ISNUMBER(INDEX('Initial Study'!K:K, MATCH(L151, 'Initial Study'!B:B, 0)+2)))),INDEX('Initial Study'!K:K, MATCH(L151, 'Initial Study'!B:B, 0)+2),"-"),"-")</f>
        <v/>
      </c>
      <c r="AA151">
        <f>IF(S151="RE", Y151 &amp; "BT/" &amp; IF(Z151 &lt;&gt; "-", Z151 &amp; "BT", ""), IF(OR(S151="LTDR", S151="LTSR"), Y151 &amp; "BL" &amp; IF(Z151 &lt;&gt; "-", "/" &amp; Z151 &amp; "BT", ""), IF(OR(S151="RTDR", S151="RTSR"), Y151 &amp; "BR" &amp; IF(Z151 &lt;&gt; "-", "/" &amp; Z151 &amp; "BT", ""), IF(Z151 &lt;&gt; "-", Y151 &amp; "BT/" &amp; Z151 &amp; "BT", Y151 &amp; "BT"))))</f>
        <v/>
      </c>
    </row>
    <row r="152">
      <c r="A152" t="n">
        <v>558</v>
      </c>
      <c r="B152" t="inlineStr">
        <is>
          <t>SR 1001</t>
        </is>
      </c>
      <c r="C152" t="n">
        <v>0.004</v>
      </c>
      <c r="D152" t="inlineStr">
        <is>
          <t>N</t>
        </is>
      </c>
      <c r="E152" t="inlineStr">
        <is>
          <t>US 601</t>
        </is>
      </c>
      <c r="F152" t="inlineStr">
        <is>
          <t>SR 1620</t>
        </is>
      </c>
      <c r="G152" t="inlineStr">
        <is>
          <t>SR 1001</t>
        </is>
      </c>
      <c r="H152" t="n">
        <v>0.004</v>
      </c>
      <c r="I152" t="inlineStr">
        <is>
          <t>NIS</t>
        </is>
      </c>
      <c r="L152" t="n">
        <v>107405557</v>
      </c>
      <c r="M152" s="6" t="n">
        <v>45129</v>
      </c>
      <c r="N152" t="n">
        <v>21</v>
      </c>
      <c r="O152" t="n">
        <v>1</v>
      </c>
      <c r="P152" t="n">
        <v>9</v>
      </c>
      <c r="Q152" t="n">
        <v>1</v>
      </c>
      <c r="R152" t="inlineStr">
        <is>
          <t>O</t>
        </is>
      </c>
      <c r="S152">
        <f>IFERROR(VLOOKUP(N152,Index!$A$1:$B$26,2,FALSE),"")</f>
        <v/>
      </c>
      <c r="T152">
        <f>AA152</f>
        <v/>
      </c>
      <c r="V152">
        <f>IFERROR(INDEX(DetailedFiche!Q:Q,MATCH(L152,DetailedFiche!J:J,0)),"")</f>
        <v/>
      </c>
      <c r="W152">
        <f>IFERROR(INDEX(DetailedFiche!R:R,MATCH(L152,DetailedFiche!J:J,0)),"")</f>
        <v/>
      </c>
      <c r="Y152">
        <f>IFERROR(IF(AND(INDEX('Initial Study'!K:K, MATCH(L152, 'Initial Study'!B:B, 0)+1)&lt;&gt;0,INDEX('Initial Study'!K:K, MATCH(L152, 'Initial Study'!B:B, 0)+1)&lt;&gt;""),INDEX('Initial Study'!K:K, MATCH(L152, 'Initial Study'!B:B, 0)+1),""),"")</f>
        <v/>
      </c>
      <c r="Z152">
        <f>IFERROR(IF(AND(INDEX('Initial Study'!K:K, MATCH(L152, 'Initial Study'!B:B, 0)+2)&lt;&gt;0,INDEX('Initial Study'!K:K, MATCH(L152, 'Initial Study'!B:B, 0)+2)&lt;&gt;"",NOT(ISNUMBER(INDEX('Initial Study'!K:K, MATCH(L152, 'Initial Study'!B:B, 0)+2)))),INDEX('Initial Study'!K:K, MATCH(L152, 'Initial Study'!B:B, 0)+2),"-"),"-")</f>
        <v/>
      </c>
      <c r="AA152">
        <f>IF(S152="RE", Y152 &amp; "BT/" &amp; IF(Z152 &lt;&gt; "-", Z152 &amp; "BT", ""), IF(OR(S152="LTDR", S152="LTSR"), Y152 &amp; "BL" &amp; IF(Z152 &lt;&gt; "-", "/" &amp; Z152 &amp; "BT", ""), IF(OR(S152="RTDR", S152="RTSR"), Y152 &amp; "BR" &amp; IF(Z152 &lt;&gt; "-", "/" &amp; Z152 &amp; "BT", ""), IF(Z152 &lt;&gt; "-", Y152 &amp; "BT/" &amp; Z152 &amp; "BT", Y152 &amp; "BT"))))</f>
        <v/>
      </c>
    </row>
    <row r="153">
      <c r="A153" t="n">
        <v>558</v>
      </c>
      <c r="B153" t="inlineStr">
        <is>
          <t>SR 1001</t>
        </is>
      </c>
      <c r="C153" t="n">
        <v>0.004</v>
      </c>
      <c r="D153" t="inlineStr">
        <is>
          <t>NE</t>
        </is>
      </c>
      <c r="E153" t="inlineStr">
        <is>
          <t>US 601</t>
        </is>
      </c>
      <c r="F153" t="inlineStr">
        <is>
          <t>SR 1665</t>
        </is>
      </c>
      <c r="G153" t="inlineStr">
        <is>
          <t>SR 1001</t>
        </is>
      </c>
      <c r="H153" t="n">
        <v>0.004</v>
      </c>
      <c r="I153" t="inlineStr">
        <is>
          <t>NIS</t>
        </is>
      </c>
      <c r="L153" t="n">
        <v>106020271</v>
      </c>
      <c r="M153" s="6" t="n">
        <v>43746</v>
      </c>
      <c r="N153" t="n">
        <v>21</v>
      </c>
      <c r="O153" t="n">
        <v>1</v>
      </c>
      <c r="P153" t="n">
        <v>0</v>
      </c>
      <c r="Q153" t="n">
        <v>1</v>
      </c>
      <c r="R153" t="inlineStr">
        <is>
          <t>O</t>
        </is>
      </c>
      <c r="S153">
        <f>IFERROR(VLOOKUP(N153,Index!$A$1:$B$26,2,FALSE),"")</f>
        <v/>
      </c>
      <c r="T153">
        <f>AA153</f>
        <v/>
      </c>
      <c r="V153">
        <f>IFERROR(INDEX(DetailedFiche!Q:Q,MATCH(L153,DetailedFiche!J:J,0)),"")</f>
        <v/>
      </c>
      <c r="W153">
        <f>IFERROR(INDEX(DetailedFiche!R:R,MATCH(L153,DetailedFiche!J:J,0)),"")</f>
        <v/>
      </c>
      <c r="Y153">
        <f>IFERROR(IF(AND(INDEX('Initial Study'!K:K, MATCH(L153, 'Initial Study'!B:B, 0)+1)&lt;&gt;0,INDEX('Initial Study'!K:K, MATCH(L153, 'Initial Study'!B:B, 0)+1)&lt;&gt;""),INDEX('Initial Study'!K:K, MATCH(L153, 'Initial Study'!B:B, 0)+1),""),"")</f>
        <v/>
      </c>
      <c r="Z153">
        <f>IFERROR(IF(AND(INDEX('Initial Study'!K:K, MATCH(L153, 'Initial Study'!B:B, 0)+2)&lt;&gt;0,INDEX('Initial Study'!K:K, MATCH(L153, 'Initial Study'!B:B, 0)+2)&lt;&gt;"",NOT(ISNUMBER(INDEX('Initial Study'!K:K, MATCH(L153, 'Initial Study'!B:B, 0)+2)))),INDEX('Initial Study'!K:K, MATCH(L153, 'Initial Study'!B:B, 0)+2),"-"),"-")</f>
        <v/>
      </c>
      <c r="AA153">
        <f>IF(S153="RE", Y153 &amp; "BT/" &amp; IF(Z153 &lt;&gt; "-", Z153 &amp; "BT", ""), IF(OR(S153="LTDR", S153="LTSR"), Y153 &amp; "BL" &amp; IF(Z153 &lt;&gt; "-", "/" &amp; Z153 &amp; "BT", ""), IF(OR(S153="RTDR", S153="RTSR"), Y153 &amp; "BR" &amp; IF(Z153 &lt;&gt; "-", "/" &amp; Z153 &amp; "BT", ""), IF(Z153 &lt;&gt; "-", Y153 &amp; "BT/" &amp; Z153 &amp; "BT", Y153 &amp; "BT"))))</f>
        <v/>
      </c>
    </row>
    <row r="154">
      <c r="A154" t="n">
        <v>558</v>
      </c>
      <c r="B154" t="inlineStr">
        <is>
          <t>SR 1001</t>
        </is>
      </c>
      <c r="C154" t="n">
        <v>0.005</v>
      </c>
      <c r="D154" t="inlineStr">
        <is>
          <t>N</t>
        </is>
      </c>
      <c r="E154" t="inlineStr">
        <is>
          <t>US 601</t>
        </is>
      </c>
      <c r="F154" t="inlineStr">
        <is>
          <t>SR 1620</t>
        </is>
      </c>
      <c r="G154" t="inlineStr">
        <is>
          <t>SR 1001</t>
        </is>
      </c>
      <c r="H154" t="n">
        <v>0.005</v>
      </c>
      <c r="I154" t="inlineStr">
        <is>
          <t>NIS</t>
        </is>
      </c>
      <c r="L154" t="n">
        <v>107088923</v>
      </c>
      <c r="M154" s="6" t="n">
        <v>44825</v>
      </c>
      <c r="N154" t="n">
        <v>21</v>
      </c>
      <c r="O154" t="n">
        <v>1</v>
      </c>
      <c r="P154" t="n">
        <v>8</v>
      </c>
      <c r="Q154" t="n">
        <v>1</v>
      </c>
      <c r="R154" t="inlineStr">
        <is>
          <t>O</t>
        </is>
      </c>
      <c r="S154">
        <f>IFERROR(VLOOKUP(N154,Index!$A$1:$B$26,2,FALSE),"")</f>
        <v/>
      </c>
      <c r="T154">
        <f>AA154</f>
        <v/>
      </c>
      <c r="V154">
        <f>IFERROR(INDEX(DetailedFiche!Q:Q,MATCH(L154,DetailedFiche!J:J,0)),"")</f>
        <v/>
      </c>
      <c r="W154">
        <f>IFERROR(INDEX(DetailedFiche!R:R,MATCH(L154,DetailedFiche!J:J,0)),"")</f>
        <v/>
      </c>
      <c r="Y154">
        <f>IFERROR(IF(AND(INDEX('Initial Study'!K:K, MATCH(L154, 'Initial Study'!B:B, 0)+1)&lt;&gt;0,INDEX('Initial Study'!K:K, MATCH(L154, 'Initial Study'!B:B, 0)+1)&lt;&gt;""),INDEX('Initial Study'!K:K, MATCH(L154, 'Initial Study'!B:B, 0)+1),""),"")</f>
        <v/>
      </c>
      <c r="Z154">
        <f>IFERROR(IF(AND(INDEX('Initial Study'!K:K, MATCH(L154, 'Initial Study'!B:B, 0)+2)&lt;&gt;0,INDEX('Initial Study'!K:K, MATCH(L154, 'Initial Study'!B:B, 0)+2)&lt;&gt;"",NOT(ISNUMBER(INDEX('Initial Study'!K:K, MATCH(L154, 'Initial Study'!B:B, 0)+2)))),INDEX('Initial Study'!K:K, MATCH(L154, 'Initial Study'!B:B, 0)+2),"-"),"-")</f>
        <v/>
      </c>
      <c r="AA154">
        <f>IF(S154="RE", Y154 &amp; "BT/" &amp; IF(Z154 &lt;&gt; "-", Z154 &amp; "BT", ""), IF(OR(S154="LTDR", S154="LTSR"), Y154 &amp; "BL" &amp; IF(Z154 &lt;&gt; "-", "/" &amp; Z154 &amp; "BT", ""), IF(OR(S154="RTDR", S154="RTSR"), Y154 &amp; "BR" &amp; IF(Z154 &lt;&gt; "-", "/" &amp; Z154 &amp; "BT", ""), IF(Z154 &lt;&gt; "-", Y154 &amp; "BT/" &amp; Z154 &amp; "BT", Y154 &amp; "BT"))))</f>
        <v/>
      </c>
    </row>
    <row r="155">
      <c r="A155" t="n">
        <v>0</v>
      </c>
      <c r="B155" t="inlineStr">
        <is>
          <t>SR 1001</t>
        </is>
      </c>
      <c r="C155" t="n">
        <v>0.008</v>
      </c>
      <c r="D155" t="inlineStr">
        <is>
          <t>N</t>
        </is>
      </c>
      <c r="E155" t="inlineStr">
        <is>
          <t>US 601</t>
        </is>
      </c>
      <c r="F155" t="inlineStr">
        <is>
          <t>SR 1620</t>
        </is>
      </c>
      <c r="G155" t="inlineStr">
        <is>
          <t>SR 1001</t>
        </is>
      </c>
      <c r="H155" t="n">
        <v>0.008</v>
      </c>
      <c r="I155" t="inlineStr">
        <is>
          <t>NIS</t>
        </is>
      </c>
      <c r="L155" t="n">
        <v>104867496</v>
      </c>
      <c r="M155" s="6" t="n">
        <v>42643</v>
      </c>
      <c r="N155" t="n">
        <v>19</v>
      </c>
      <c r="O155" t="n">
        <v>1</v>
      </c>
      <c r="P155" t="n">
        <v>8</v>
      </c>
      <c r="Q155" t="n">
        <v>5</v>
      </c>
      <c r="R155" t="inlineStr">
        <is>
          <t>O</t>
        </is>
      </c>
      <c r="S155">
        <f>IFERROR(VLOOKUP(N155,Index!$A$1:$B$26,2,FALSE),"")</f>
        <v/>
      </c>
      <c r="T155">
        <f>AA155</f>
        <v/>
      </c>
      <c r="V155">
        <f>IFERROR(INDEX(DetailedFiche!Q:Q,MATCH(L155,DetailedFiche!J:J,0)),"")</f>
        <v/>
      </c>
      <c r="W155">
        <f>IFERROR(INDEX(DetailedFiche!R:R,MATCH(L155,DetailedFiche!J:J,0)),"")</f>
        <v/>
      </c>
      <c r="Y155">
        <f>IFERROR(IF(AND(INDEX('Initial Study'!K:K, MATCH(L155, 'Initial Study'!B:B, 0)+1)&lt;&gt;0,INDEX('Initial Study'!K:K, MATCH(L155, 'Initial Study'!B:B, 0)+1)&lt;&gt;""),INDEX('Initial Study'!K:K, MATCH(L155, 'Initial Study'!B:B, 0)+1),""),"")</f>
        <v/>
      </c>
      <c r="Z155">
        <f>IFERROR(IF(AND(INDEX('Initial Study'!K:K, MATCH(L155, 'Initial Study'!B:B, 0)+2)&lt;&gt;0,INDEX('Initial Study'!K:K, MATCH(L155, 'Initial Study'!B:B, 0)+2)&lt;&gt;"",NOT(ISNUMBER(INDEX('Initial Study'!K:K, MATCH(L155, 'Initial Study'!B:B, 0)+2)))),INDEX('Initial Study'!K:K, MATCH(L155, 'Initial Study'!B:B, 0)+2),"-"),"-")</f>
        <v/>
      </c>
      <c r="AA155">
        <f>IF(S155="RE", Y155 &amp; "BT/" &amp; IF(Z155 &lt;&gt; "-", Z155 &amp; "BT", ""), IF(OR(S155="LTDR", S155="LTSR"), Y155 &amp; "BL" &amp; IF(Z155 &lt;&gt; "-", "/" &amp; Z155 &amp; "BT", ""), IF(OR(S155="RTDR", S155="RTSR"), Y155 &amp; "BR" &amp; IF(Z155 &lt;&gt; "-", "/" &amp; Z155 &amp; "BT", ""), IF(Z155 &lt;&gt; "-", Y155 &amp; "BT/" &amp; Z155 &amp; "BT", Y155 &amp; "BT"))))</f>
        <v/>
      </c>
    </row>
    <row r="156">
      <c r="A156" t="n">
        <v>558</v>
      </c>
      <c r="B156" t="inlineStr">
        <is>
          <t>SR 1001</t>
        </is>
      </c>
      <c r="C156" t="n">
        <v>0.01</v>
      </c>
      <c r="D156" t="inlineStr">
        <is>
          <t>NE</t>
        </is>
      </c>
      <c r="E156" t="inlineStr">
        <is>
          <t>US 601</t>
        </is>
      </c>
      <c r="F156" t="inlineStr">
        <is>
          <t>SR 1620</t>
        </is>
      </c>
      <c r="G156" t="inlineStr">
        <is>
          <t>SR 1001</t>
        </is>
      </c>
      <c r="H156" t="n">
        <v>0.01</v>
      </c>
      <c r="I156" t="inlineStr">
        <is>
          <t>NIS</t>
        </is>
      </c>
      <c r="L156" t="n">
        <v>107615459</v>
      </c>
      <c r="M156" s="6" t="n">
        <v>45327</v>
      </c>
      <c r="N156" t="n">
        <v>29</v>
      </c>
      <c r="O156" t="n">
        <v>1</v>
      </c>
      <c r="P156" t="n">
        <v>0</v>
      </c>
      <c r="Q156" t="n">
        <v>3</v>
      </c>
      <c r="R156" t="inlineStr">
        <is>
          <t>O</t>
        </is>
      </c>
      <c r="S156">
        <f>IFERROR(VLOOKUP(N156,Index!$A$1:$B$26,2,FALSE),"")</f>
        <v/>
      </c>
      <c r="T156">
        <f>AA156</f>
        <v/>
      </c>
      <c r="V156">
        <f>IFERROR(INDEX(DetailedFiche!Q:Q,MATCH(L156,DetailedFiche!J:J,0)),"")</f>
        <v/>
      </c>
      <c r="W156">
        <f>IFERROR(INDEX(DetailedFiche!R:R,MATCH(L156,DetailedFiche!J:J,0)),"")</f>
        <v/>
      </c>
      <c r="Y156">
        <f>IFERROR(IF(AND(INDEX('Initial Study'!K:K, MATCH(L156, 'Initial Study'!B:B, 0)+1)&lt;&gt;0,INDEX('Initial Study'!K:K, MATCH(L156, 'Initial Study'!B:B, 0)+1)&lt;&gt;""),INDEX('Initial Study'!K:K, MATCH(L156, 'Initial Study'!B:B, 0)+1),""),"")</f>
        <v/>
      </c>
      <c r="Z156">
        <f>IFERROR(IF(AND(INDEX('Initial Study'!K:K, MATCH(L156, 'Initial Study'!B:B, 0)+2)&lt;&gt;0,INDEX('Initial Study'!K:K, MATCH(L156, 'Initial Study'!B:B, 0)+2)&lt;&gt;"",NOT(ISNUMBER(INDEX('Initial Study'!K:K, MATCH(L156, 'Initial Study'!B:B, 0)+2)))),INDEX('Initial Study'!K:K, MATCH(L156, 'Initial Study'!B:B, 0)+2),"-"),"-")</f>
        <v/>
      </c>
      <c r="AA156">
        <f>IF(S156="RE", Y156 &amp; "BT/" &amp; IF(Z156 &lt;&gt; "-", Z156 &amp; "BT", ""), IF(OR(S156="LTDR", S156="LTSR"), Y156 &amp; "BL" &amp; IF(Z156 &lt;&gt; "-", "/" &amp; Z156 &amp; "BT", ""), IF(OR(S156="RTDR", S156="RTSR"), Y156 &amp; "BR" &amp; IF(Z156 &lt;&gt; "-", "/" &amp; Z156 &amp; "BT", ""), IF(Z156 &lt;&gt; "-", Y156 &amp; "BT/" &amp; Z156 &amp; "BT", Y156 &amp; "BT"))))</f>
        <v/>
      </c>
    </row>
    <row r="157">
      <c r="A157" t="n">
        <v>558</v>
      </c>
      <c r="B157" t="inlineStr">
        <is>
          <t>SIKES MILL</t>
        </is>
      </c>
      <c r="C157" t="n">
        <v>0.038</v>
      </c>
      <c r="D157" t="inlineStr">
        <is>
          <t>N</t>
        </is>
      </c>
      <c r="E157" t="inlineStr">
        <is>
          <t>US 601</t>
        </is>
      </c>
      <c r="F157" t="inlineStr">
        <is>
          <t>SPRING LAKE</t>
        </is>
      </c>
      <c r="G157" t="inlineStr">
        <is>
          <t>SR 1001</t>
        </is>
      </c>
      <c r="H157" t="n">
        <v>0.038</v>
      </c>
      <c r="I157" t="inlineStr">
        <is>
          <t>NIS</t>
        </is>
      </c>
      <c r="L157" t="n">
        <v>107395905</v>
      </c>
      <c r="M157" s="6" t="n">
        <v>45121</v>
      </c>
      <c r="N157" t="n">
        <v>19</v>
      </c>
      <c r="O157" t="n">
        <v>1</v>
      </c>
      <c r="P157" t="n">
        <v>0</v>
      </c>
      <c r="Q157" t="n">
        <v>1</v>
      </c>
      <c r="R157" t="inlineStr">
        <is>
          <t>O</t>
        </is>
      </c>
      <c r="S157">
        <f>IFERROR(VLOOKUP(N157,Index!$A$1:$B$26,2,FALSE),"")</f>
        <v/>
      </c>
      <c r="T157">
        <f>AA157</f>
        <v/>
      </c>
      <c r="V157">
        <f>IFERROR(INDEX(DetailedFiche!Q:Q,MATCH(L157,DetailedFiche!J:J,0)),"")</f>
        <v/>
      </c>
      <c r="W157">
        <f>IFERROR(INDEX(DetailedFiche!R:R,MATCH(L157,DetailedFiche!J:J,0)),"")</f>
        <v/>
      </c>
      <c r="Y157">
        <f>IFERROR(IF(AND(INDEX('Initial Study'!K:K, MATCH(L157, 'Initial Study'!B:B, 0)+1)&lt;&gt;0,INDEX('Initial Study'!K:K, MATCH(L157, 'Initial Study'!B:B, 0)+1)&lt;&gt;""),INDEX('Initial Study'!K:K, MATCH(L157, 'Initial Study'!B:B, 0)+1),""),"")</f>
        <v/>
      </c>
      <c r="Z157">
        <f>IFERROR(IF(AND(INDEX('Initial Study'!K:K, MATCH(L157, 'Initial Study'!B:B, 0)+2)&lt;&gt;0,INDEX('Initial Study'!K:K, MATCH(L157, 'Initial Study'!B:B, 0)+2)&lt;&gt;"",NOT(ISNUMBER(INDEX('Initial Study'!K:K, MATCH(L157, 'Initial Study'!B:B, 0)+2)))),INDEX('Initial Study'!K:K, MATCH(L157, 'Initial Study'!B:B, 0)+2),"-"),"-")</f>
        <v/>
      </c>
      <c r="AA157">
        <f>IF(S157="RE", Y157 &amp; "BT/" &amp; IF(Z157 &lt;&gt; "-", Z157 &amp; "BT", ""), IF(OR(S157="LTDR", S157="LTSR"), Y157 &amp; "BL" &amp; IF(Z157 &lt;&gt; "-", "/" &amp; Z157 &amp; "BT", ""), IF(OR(S157="RTDR", S157="RTSR"), Y157 &amp; "BR" &amp; IF(Z157 &lt;&gt; "-", "/" &amp; Z157 &amp; "BT", ""), IF(Z157 &lt;&gt; "-", Y157 &amp; "BT/" &amp; Z157 &amp; "BT", Y157 &amp; "BT"))))</f>
        <v/>
      </c>
    </row>
    <row r="158">
      <c r="A158" t="n">
        <v>0</v>
      </c>
      <c r="B158" t="inlineStr">
        <is>
          <t>SIKES MILL</t>
        </is>
      </c>
      <c r="C158" t="n">
        <v>0.74</v>
      </c>
      <c r="D158" t="inlineStr">
        <is>
          <t>SW</t>
        </is>
      </c>
      <c r="E158" t="inlineStr">
        <is>
          <t>SPRING LAKE</t>
        </is>
      </c>
      <c r="F158" t="inlineStr">
        <is>
          <t>US 601</t>
        </is>
      </c>
      <c r="G158" t="inlineStr">
        <is>
          <t>SR 1001</t>
        </is>
      </c>
      <c r="H158" t="n">
        <v>0.145</v>
      </c>
      <c r="I158" t="inlineStr">
        <is>
          <t>NIS</t>
        </is>
      </c>
      <c r="L158" t="n">
        <v>104717808</v>
      </c>
      <c r="M158" s="6" t="n">
        <v>42486</v>
      </c>
      <c r="N158" t="n">
        <v>21</v>
      </c>
      <c r="O158" t="n">
        <v>1</v>
      </c>
      <c r="P158" t="n">
        <v>12</v>
      </c>
      <c r="Q158" t="n">
        <v>1</v>
      </c>
      <c r="R158" t="inlineStr">
        <is>
          <t>O</t>
        </is>
      </c>
      <c r="S158">
        <f>IFERROR(VLOOKUP(N158,Index!$A$1:$B$26,2,FALSE),"")</f>
        <v/>
      </c>
      <c r="T158">
        <f>AA158</f>
        <v/>
      </c>
      <c r="V158">
        <f>IFERROR(INDEX(DetailedFiche!Q:Q,MATCH(L158,DetailedFiche!J:J,0)),"")</f>
        <v/>
      </c>
      <c r="W158">
        <f>IFERROR(INDEX(DetailedFiche!R:R,MATCH(L158,DetailedFiche!J:J,0)),"")</f>
        <v/>
      </c>
      <c r="Y158">
        <f>IFERROR(IF(AND(INDEX('Initial Study'!K:K, MATCH(L158, 'Initial Study'!B:B, 0)+1)&lt;&gt;0,INDEX('Initial Study'!K:K, MATCH(L158, 'Initial Study'!B:B, 0)+1)&lt;&gt;""),INDEX('Initial Study'!K:K, MATCH(L158, 'Initial Study'!B:B, 0)+1),""),"")</f>
        <v/>
      </c>
      <c r="Z158">
        <f>IFERROR(IF(AND(INDEX('Initial Study'!K:K, MATCH(L158, 'Initial Study'!B:B, 0)+2)&lt;&gt;0,INDEX('Initial Study'!K:K, MATCH(L158, 'Initial Study'!B:B, 0)+2)&lt;&gt;"",NOT(ISNUMBER(INDEX('Initial Study'!K:K, MATCH(L158, 'Initial Study'!B:B, 0)+2)))),INDEX('Initial Study'!K:K, MATCH(L158, 'Initial Study'!B:B, 0)+2),"-"),"-")</f>
        <v/>
      </c>
      <c r="AA158">
        <f>IF(S158="RE", Y158 &amp; "BT/" &amp; IF(Z158 &lt;&gt; "-", Z158 &amp; "BT", ""), IF(OR(S158="LTDR", S158="LTSR"), Y158 &amp; "BL" &amp; IF(Z158 &lt;&gt; "-", "/" &amp; Z158 &amp; "BT", ""), IF(OR(S158="RTDR", S158="RTSR"), Y158 &amp; "BR" &amp; IF(Z158 &lt;&gt; "-", "/" &amp; Z158 &amp; "BT", ""), IF(Z158 &lt;&gt; "-", Y158 &amp; "BT/" &amp; Z158 &amp; "BT", Y158 &amp; "BT"))))</f>
        <v/>
      </c>
    </row>
    <row r="159">
      <c r="A159" t="n">
        <v>558</v>
      </c>
      <c r="B159" t="inlineStr">
        <is>
          <t>SR 1001</t>
        </is>
      </c>
      <c r="C159" t="n">
        <v>0.2</v>
      </c>
      <c r="D159" t="inlineStr">
        <is>
          <t>N</t>
        </is>
      </c>
      <c r="E159" t="inlineStr">
        <is>
          <t>US 601</t>
        </is>
      </c>
      <c r="F159" t="inlineStr">
        <is>
          <t>SR 1620</t>
        </is>
      </c>
      <c r="G159" t="inlineStr">
        <is>
          <t>SR 1001</t>
        </is>
      </c>
      <c r="H159" t="n">
        <v>0.2</v>
      </c>
      <c r="I159" t="inlineStr">
        <is>
          <t>NIS</t>
        </is>
      </c>
      <c r="L159" t="n">
        <v>107643542</v>
      </c>
      <c r="M159" s="6" t="n">
        <v>45353</v>
      </c>
      <c r="N159" t="n">
        <v>19</v>
      </c>
      <c r="O159" t="n">
        <v>1</v>
      </c>
      <c r="P159" t="n">
        <v>0</v>
      </c>
      <c r="Q159" t="n">
        <v>2</v>
      </c>
      <c r="R159" t="inlineStr">
        <is>
          <t>C</t>
        </is>
      </c>
      <c r="S159">
        <f>IFERROR(VLOOKUP(N159,Index!$A$1:$B$26,2,FALSE),"")</f>
        <v/>
      </c>
      <c r="T159">
        <f>AA159</f>
        <v/>
      </c>
      <c r="V159">
        <f>IFERROR(INDEX(DetailedFiche!Q:Q,MATCH(L159,DetailedFiche!J:J,0)),"")</f>
        <v/>
      </c>
      <c r="W159">
        <f>IFERROR(INDEX(DetailedFiche!R:R,MATCH(L159,DetailedFiche!J:J,0)),"")</f>
        <v/>
      </c>
      <c r="Y159">
        <f>IFERROR(IF(AND(INDEX('Initial Study'!K:K, MATCH(L159, 'Initial Study'!B:B, 0)+1)&lt;&gt;0,INDEX('Initial Study'!K:K, MATCH(L159, 'Initial Study'!B:B, 0)+1)&lt;&gt;""),INDEX('Initial Study'!K:K, MATCH(L159, 'Initial Study'!B:B, 0)+1),""),"")</f>
        <v/>
      </c>
      <c r="Z159">
        <f>IFERROR(IF(AND(INDEX('Initial Study'!K:K, MATCH(L159, 'Initial Study'!B:B, 0)+2)&lt;&gt;0,INDEX('Initial Study'!K:K, MATCH(L159, 'Initial Study'!B:B, 0)+2)&lt;&gt;"",NOT(ISNUMBER(INDEX('Initial Study'!K:K, MATCH(L159, 'Initial Study'!B:B, 0)+2)))),INDEX('Initial Study'!K:K, MATCH(L159, 'Initial Study'!B:B, 0)+2),"-"),"-")</f>
        <v/>
      </c>
      <c r="AA159">
        <f>IF(S159="RE", Y159 &amp; "BT/" &amp; IF(Z159 &lt;&gt; "-", Z159 &amp; "BT", ""), IF(OR(S159="LTDR", S159="LTSR"), Y159 &amp; "BL" &amp; IF(Z159 &lt;&gt; "-", "/" &amp; Z159 &amp; "BT", ""), IF(OR(S159="RTDR", S159="RTSR"), Y159 &amp; "BR" &amp; IF(Z159 &lt;&gt; "-", "/" &amp; Z159 &amp; "BT", ""), IF(Z159 &lt;&gt; "-", Y159 &amp; "BT/" &amp; Z159 &amp; "BT", Y159 &amp; "BT"))))</f>
        <v/>
      </c>
    </row>
    <row r="160">
      <c r="A160" t="n">
        <v>558</v>
      </c>
      <c r="B160" t="inlineStr">
        <is>
          <t>SR 1001</t>
        </is>
      </c>
      <c r="C160" t="n">
        <v>0.23</v>
      </c>
      <c r="D160" t="inlineStr">
        <is>
          <t>E</t>
        </is>
      </c>
      <c r="E160" t="inlineStr">
        <is>
          <t>US 601</t>
        </is>
      </c>
      <c r="F160" t="inlineStr">
        <is>
          <t>SPRING LAKE</t>
        </is>
      </c>
      <c r="G160" t="inlineStr">
        <is>
          <t>SR 1001</t>
        </is>
      </c>
      <c r="H160" t="n">
        <v>0.23</v>
      </c>
      <c r="I160" t="inlineStr">
        <is>
          <t>NIS</t>
        </is>
      </c>
      <c r="L160" t="n">
        <v>108184095</v>
      </c>
      <c r="M160" s="6" t="n">
        <v>45859</v>
      </c>
      <c r="N160" t="n">
        <v>19</v>
      </c>
      <c r="O160" t="n">
        <v>1</v>
      </c>
      <c r="P160" t="n">
        <v>0</v>
      </c>
      <c r="Q160" t="n">
        <v>1</v>
      </c>
      <c r="R160" t="inlineStr">
        <is>
          <t>A</t>
        </is>
      </c>
      <c r="S160">
        <f>IFERROR(VLOOKUP(N160,Index!$A$1:$B$26,2,FALSE),"")</f>
        <v/>
      </c>
      <c r="T160">
        <f>AA160</f>
        <v/>
      </c>
      <c r="V160">
        <f>IFERROR(INDEX(DetailedFiche!Q:Q,MATCH(L160,DetailedFiche!J:J,0)),"")</f>
        <v/>
      </c>
      <c r="W160">
        <f>IFERROR(INDEX(DetailedFiche!R:R,MATCH(L160,DetailedFiche!J:J,0)),"")</f>
        <v/>
      </c>
      <c r="Y160">
        <f>IFERROR(IF(AND(INDEX('Initial Study'!K:K, MATCH(L160, 'Initial Study'!B:B, 0)+1)&lt;&gt;0,INDEX('Initial Study'!K:K, MATCH(L160, 'Initial Study'!B:B, 0)+1)&lt;&gt;""),INDEX('Initial Study'!K:K, MATCH(L160, 'Initial Study'!B:B, 0)+1),""),"")</f>
        <v/>
      </c>
      <c r="Z160">
        <f>IFERROR(IF(AND(INDEX('Initial Study'!K:K, MATCH(L160, 'Initial Study'!B:B, 0)+2)&lt;&gt;0,INDEX('Initial Study'!K:K, MATCH(L160, 'Initial Study'!B:B, 0)+2)&lt;&gt;"",NOT(ISNUMBER(INDEX('Initial Study'!K:K, MATCH(L160, 'Initial Study'!B:B, 0)+2)))),INDEX('Initial Study'!K:K, MATCH(L160, 'Initial Study'!B:B, 0)+2),"-"),"-")</f>
        <v/>
      </c>
      <c r="AA160">
        <f>IF(S160="RE", Y160 &amp; "BT/" &amp; IF(Z160 &lt;&gt; "-", Z160 &amp; "BT", ""), IF(OR(S160="LTDR", S160="LTSR"), Y160 &amp; "BL" &amp; IF(Z160 &lt;&gt; "-", "/" &amp; Z160 &amp; "BT", ""), IF(OR(S160="RTDR", S160="RTSR"), Y160 &amp; "BR" &amp; IF(Z160 &lt;&gt; "-", "/" &amp; Z160 &amp; "BT", ""), IF(Z160 &lt;&gt; "-", Y160 &amp; "BT/" &amp; Z160 &amp; "BT", Y160 &amp; "BT"))))</f>
        <v/>
      </c>
    </row>
    <row r="161">
      <c r="A161" t="n">
        <v>558</v>
      </c>
      <c r="B161" t="inlineStr">
        <is>
          <t>SR 1001</t>
        </is>
      </c>
      <c r="C161" t="n">
        <v>0.3</v>
      </c>
      <c r="D161" t="inlineStr">
        <is>
          <t>N</t>
        </is>
      </c>
      <c r="E161" t="inlineStr">
        <is>
          <t>US 601</t>
        </is>
      </c>
      <c r="F161" t="inlineStr">
        <is>
          <t>SR 1620</t>
        </is>
      </c>
      <c r="G161" t="inlineStr">
        <is>
          <t>SR 1001</t>
        </is>
      </c>
      <c r="H161" t="n">
        <v>0.3</v>
      </c>
      <c r="I161" t="inlineStr">
        <is>
          <t>NIS</t>
        </is>
      </c>
      <c r="L161" t="n">
        <v>107224114</v>
      </c>
      <c r="M161" s="6" t="n">
        <v>44950</v>
      </c>
      <c r="N161" t="n">
        <v>19</v>
      </c>
      <c r="O161" t="n">
        <v>1</v>
      </c>
      <c r="P161" t="n">
        <v>0</v>
      </c>
      <c r="Q161" t="n">
        <v>5</v>
      </c>
      <c r="R161" t="inlineStr">
        <is>
          <t>O</t>
        </is>
      </c>
      <c r="S161">
        <f>IFERROR(VLOOKUP(N161,Index!$A$1:$B$26,2,FALSE),"")</f>
        <v/>
      </c>
      <c r="T161">
        <f>AA161</f>
        <v/>
      </c>
      <c r="V161">
        <f>IFERROR(INDEX(DetailedFiche!Q:Q,MATCH(L161,DetailedFiche!J:J,0)),"")</f>
        <v/>
      </c>
      <c r="W161">
        <f>IFERROR(INDEX(DetailedFiche!R:R,MATCH(L161,DetailedFiche!J:J,0)),"")</f>
        <v/>
      </c>
      <c r="Y161">
        <f>IFERROR(IF(AND(INDEX('Initial Study'!K:K, MATCH(L161, 'Initial Study'!B:B, 0)+1)&lt;&gt;0,INDEX('Initial Study'!K:K, MATCH(L161, 'Initial Study'!B:B, 0)+1)&lt;&gt;""),INDEX('Initial Study'!K:K, MATCH(L161, 'Initial Study'!B:B, 0)+1),""),"")</f>
        <v/>
      </c>
      <c r="Z161">
        <f>IFERROR(IF(AND(INDEX('Initial Study'!K:K, MATCH(L161, 'Initial Study'!B:B, 0)+2)&lt;&gt;0,INDEX('Initial Study'!K:K, MATCH(L161, 'Initial Study'!B:B, 0)+2)&lt;&gt;"",NOT(ISNUMBER(INDEX('Initial Study'!K:K, MATCH(L161, 'Initial Study'!B:B, 0)+2)))),INDEX('Initial Study'!K:K, MATCH(L161, 'Initial Study'!B:B, 0)+2),"-"),"-")</f>
        <v/>
      </c>
      <c r="AA161">
        <f>IF(S161="RE", Y161 &amp; "BT/" &amp; IF(Z161 &lt;&gt; "-", Z161 &amp; "BT", ""), IF(OR(S161="LTDR", S161="LTSR"), Y161 &amp; "BL" &amp; IF(Z161 &lt;&gt; "-", "/" &amp; Z161 &amp; "BT", ""), IF(OR(S161="RTDR", S161="RTSR"), Y161 &amp; "BR" &amp; IF(Z161 &lt;&gt; "-", "/" &amp; Z161 &amp; "BT", ""), IF(Z161 &lt;&gt; "-", Y161 &amp; "BT/" &amp; Z161 &amp; "BT", Y161 &amp; "BT"))))</f>
        <v/>
      </c>
    </row>
    <row r="162">
      <c r="A162" t="n">
        <v>558</v>
      </c>
      <c r="B162" t="inlineStr">
        <is>
          <t>SR 1001</t>
        </is>
      </c>
      <c r="C162" t="n">
        <v>0.35</v>
      </c>
      <c r="D162" t="inlineStr">
        <is>
          <t>N</t>
        </is>
      </c>
      <c r="E162" t="inlineStr">
        <is>
          <t>US 601</t>
        </is>
      </c>
      <c r="F162" t="inlineStr">
        <is>
          <t>SR 1620</t>
        </is>
      </c>
      <c r="G162" t="inlineStr">
        <is>
          <t>SR 1001</t>
        </is>
      </c>
      <c r="H162" t="n">
        <v>0.35</v>
      </c>
      <c r="I162" t="inlineStr">
        <is>
          <t>NIS</t>
        </is>
      </c>
      <c r="L162" t="n">
        <v>105876758</v>
      </c>
      <c r="M162" s="6" t="n">
        <v>43612</v>
      </c>
      <c r="N162" t="n">
        <v>19</v>
      </c>
      <c r="O162" t="n">
        <v>1</v>
      </c>
      <c r="P162" t="n">
        <v>0</v>
      </c>
      <c r="Q162" t="n">
        <v>1</v>
      </c>
      <c r="R162" t="inlineStr">
        <is>
          <t>A</t>
        </is>
      </c>
      <c r="S162">
        <f>IFERROR(VLOOKUP(N162,Index!$A$1:$B$26,2,FALSE),"")</f>
        <v/>
      </c>
      <c r="T162">
        <f>AA162</f>
        <v/>
      </c>
      <c r="V162">
        <f>IFERROR(INDEX(DetailedFiche!Q:Q,MATCH(L162,DetailedFiche!J:J,0)),"")</f>
        <v/>
      </c>
      <c r="W162">
        <f>IFERROR(INDEX(DetailedFiche!R:R,MATCH(L162,DetailedFiche!J:J,0)),"")</f>
        <v/>
      </c>
      <c r="Y162">
        <f>IFERROR(IF(AND(INDEX('Initial Study'!K:K, MATCH(L162, 'Initial Study'!B:B, 0)+1)&lt;&gt;0,INDEX('Initial Study'!K:K, MATCH(L162, 'Initial Study'!B:B, 0)+1)&lt;&gt;""),INDEX('Initial Study'!K:K, MATCH(L162, 'Initial Study'!B:B, 0)+1),""),"")</f>
        <v/>
      </c>
      <c r="Z162">
        <f>IFERROR(IF(AND(INDEX('Initial Study'!K:K, MATCH(L162, 'Initial Study'!B:B, 0)+2)&lt;&gt;0,INDEX('Initial Study'!K:K, MATCH(L162, 'Initial Study'!B:B, 0)+2)&lt;&gt;"",NOT(ISNUMBER(INDEX('Initial Study'!K:K, MATCH(L162, 'Initial Study'!B:B, 0)+2)))),INDEX('Initial Study'!K:K, MATCH(L162, 'Initial Study'!B:B, 0)+2),"-"),"-")</f>
        <v/>
      </c>
      <c r="AA162">
        <f>IF(S162="RE", Y162 &amp; "BT/" &amp; IF(Z162 &lt;&gt; "-", Z162 &amp; "BT", ""), IF(OR(S162="LTDR", S162="LTSR"), Y162 &amp; "BL" &amp; IF(Z162 &lt;&gt; "-", "/" &amp; Z162 &amp; "BT", ""), IF(OR(S162="RTDR", S162="RTSR"), Y162 &amp; "BR" &amp; IF(Z162 &lt;&gt; "-", "/" &amp; Z162 &amp; "BT", ""), IF(Z162 &lt;&gt; "-", Y162 &amp; "BT/" &amp; Z162 &amp; "BT", Y162 &amp; "BT"))))</f>
        <v/>
      </c>
    </row>
    <row r="163">
      <c r="A163" t="n">
        <v>558</v>
      </c>
      <c r="B163" t="inlineStr">
        <is>
          <t>SR 1001</t>
        </is>
      </c>
      <c r="C163" t="n">
        <v>1</v>
      </c>
      <c r="D163" t="inlineStr">
        <is>
          <t>S</t>
        </is>
      </c>
      <c r="E163" t="inlineStr">
        <is>
          <t>SR 1620</t>
        </is>
      </c>
      <c r="F163" t="inlineStr">
        <is>
          <t>SPRING LAKE</t>
        </is>
      </c>
      <c r="G163" t="inlineStr">
        <is>
          <t>SR 1001</t>
        </is>
      </c>
      <c r="H163" t="n">
        <v>0.352</v>
      </c>
      <c r="I163" t="inlineStr">
        <is>
          <t>NIS</t>
        </is>
      </c>
      <c r="L163" t="n">
        <v>107943300</v>
      </c>
      <c r="M163" s="6" t="n">
        <v>45627</v>
      </c>
      <c r="N163" t="n">
        <v>17</v>
      </c>
      <c r="O163" t="n">
        <v>1</v>
      </c>
      <c r="P163" t="n">
        <v>0</v>
      </c>
      <c r="Q163" t="n">
        <v>5</v>
      </c>
      <c r="R163" t="inlineStr">
        <is>
          <t>O</t>
        </is>
      </c>
      <c r="S163">
        <f>IFERROR(VLOOKUP(N163,Index!$A$1:$B$26,2,FALSE),"")</f>
        <v/>
      </c>
      <c r="T163">
        <f>AA163</f>
        <v/>
      </c>
      <c r="V163">
        <f>IFERROR(INDEX(DetailedFiche!Q:Q,MATCH(L163,DetailedFiche!J:J,0)),"")</f>
        <v/>
      </c>
      <c r="W163">
        <f>IFERROR(INDEX(DetailedFiche!R:R,MATCH(L163,DetailedFiche!J:J,0)),"")</f>
        <v/>
      </c>
      <c r="Y163">
        <f>IFERROR(IF(AND(INDEX('Initial Study'!K:K, MATCH(L163, 'Initial Study'!B:B, 0)+1)&lt;&gt;0,INDEX('Initial Study'!K:K, MATCH(L163, 'Initial Study'!B:B, 0)+1)&lt;&gt;""),INDEX('Initial Study'!K:K, MATCH(L163, 'Initial Study'!B:B, 0)+1),""),"")</f>
        <v/>
      </c>
      <c r="Z163">
        <f>IFERROR(IF(AND(INDEX('Initial Study'!K:K, MATCH(L163, 'Initial Study'!B:B, 0)+2)&lt;&gt;0,INDEX('Initial Study'!K:K, MATCH(L163, 'Initial Study'!B:B, 0)+2)&lt;&gt;"",NOT(ISNUMBER(INDEX('Initial Study'!K:K, MATCH(L163, 'Initial Study'!B:B, 0)+2)))),INDEX('Initial Study'!K:K, MATCH(L163, 'Initial Study'!B:B, 0)+2),"-"),"-")</f>
        <v/>
      </c>
      <c r="AA163">
        <f>IF(S163="RE", Y163 &amp; "BT/" &amp; IF(Z163 &lt;&gt; "-", Z163 &amp; "BT", ""), IF(OR(S163="LTDR", S163="LTSR"), Y163 &amp; "BL" &amp; IF(Z163 &lt;&gt; "-", "/" &amp; Z163 &amp; "BT", ""), IF(OR(S163="RTDR", S163="RTSR"), Y163 &amp; "BR" &amp; IF(Z163 &lt;&gt; "-", "/" &amp; Z163 &amp; "BT", ""), IF(Z163 &lt;&gt; "-", Y163 &amp; "BT/" &amp; Z163 &amp; "BT", Y163 &amp; "BT"))))</f>
        <v/>
      </c>
    </row>
    <row r="164">
      <c r="A164" t="n">
        <v>0</v>
      </c>
      <c r="B164" t="inlineStr">
        <is>
          <t>SR 1001</t>
        </is>
      </c>
      <c r="C164" t="n">
        <v>1</v>
      </c>
      <c r="D164" t="inlineStr">
        <is>
          <t>S</t>
        </is>
      </c>
      <c r="E164" t="inlineStr">
        <is>
          <t>SR 1620</t>
        </is>
      </c>
      <c r="F164" t="inlineStr">
        <is>
          <t>SPRING LAKE</t>
        </is>
      </c>
      <c r="G164" t="inlineStr">
        <is>
          <t>SR 1001</t>
        </is>
      </c>
      <c r="H164" t="n">
        <v>0.352</v>
      </c>
      <c r="I164" t="inlineStr">
        <is>
          <t>NIS</t>
        </is>
      </c>
      <c r="L164" t="n">
        <v>106392203</v>
      </c>
      <c r="M164" s="6" t="n">
        <v>44136</v>
      </c>
      <c r="N164" t="n">
        <v>19</v>
      </c>
      <c r="O164" t="n">
        <v>2</v>
      </c>
      <c r="P164" t="n">
        <v>0</v>
      </c>
      <c r="Q164" t="n">
        <v>5</v>
      </c>
      <c r="R164" t="inlineStr">
        <is>
          <t>O</t>
        </is>
      </c>
      <c r="S164">
        <f>IFERROR(VLOOKUP(N164,Index!$A$1:$B$26,2,FALSE),"")</f>
        <v/>
      </c>
      <c r="T164">
        <f>AA164</f>
        <v/>
      </c>
      <c r="V164">
        <f>IFERROR(INDEX(DetailedFiche!Q:Q,MATCH(L164,DetailedFiche!J:J,0)),"")</f>
        <v/>
      </c>
      <c r="W164">
        <f>IFERROR(INDEX(DetailedFiche!R:R,MATCH(L164,DetailedFiche!J:J,0)),"")</f>
        <v/>
      </c>
      <c r="Y164">
        <f>IFERROR(IF(AND(INDEX('Initial Study'!K:K, MATCH(L164, 'Initial Study'!B:B, 0)+1)&lt;&gt;0,INDEX('Initial Study'!K:K, MATCH(L164, 'Initial Study'!B:B, 0)+1)&lt;&gt;""),INDEX('Initial Study'!K:K, MATCH(L164, 'Initial Study'!B:B, 0)+1),""),"")</f>
        <v/>
      </c>
      <c r="Z164">
        <f>IFERROR(IF(AND(INDEX('Initial Study'!K:K, MATCH(L164, 'Initial Study'!B:B, 0)+2)&lt;&gt;0,INDEX('Initial Study'!K:K, MATCH(L164, 'Initial Study'!B:B, 0)+2)&lt;&gt;"",NOT(ISNUMBER(INDEX('Initial Study'!K:K, MATCH(L164, 'Initial Study'!B:B, 0)+2)))),INDEX('Initial Study'!K:K, MATCH(L164, 'Initial Study'!B:B, 0)+2),"-"),"-")</f>
        <v/>
      </c>
      <c r="AA164">
        <f>IF(S164="RE", Y164 &amp; "BT/" &amp; IF(Z164 &lt;&gt; "-", Z164 &amp; "BT", ""), IF(OR(S164="LTDR", S164="LTSR"), Y164 &amp; "BL" &amp; IF(Z164 &lt;&gt; "-", "/" &amp; Z164 &amp; "BT", ""), IF(OR(S164="RTDR", S164="RTSR"), Y164 &amp; "BR" &amp; IF(Z164 &lt;&gt; "-", "/" &amp; Z164 &amp; "BT", ""), IF(Z164 &lt;&gt; "-", Y164 &amp; "BT/" &amp; Z164 &amp; "BT", Y164 &amp; "BT"))))</f>
        <v/>
      </c>
    </row>
    <row r="165">
      <c r="A165" t="n">
        <v>558</v>
      </c>
      <c r="B165" t="inlineStr">
        <is>
          <t>SR 1001</t>
        </is>
      </c>
      <c r="C165" t="n">
        <v>0.5</v>
      </c>
      <c r="D165" t="inlineStr">
        <is>
          <t>E</t>
        </is>
      </c>
      <c r="E165" t="inlineStr">
        <is>
          <t>US 601</t>
        </is>
      </c>
      <c r="F165" t="inlineStr">
        <is>
          <t>SPRING LAKE</t>
        </is>
      </c>
      <c r="G165" t="inlineStr">
        <is>
          <t>SR 1001</t>
        </is>
      </c>
      <c r="H165" t="n">
        <v>0.5</v>
      </c>
      <c r="I165" t="inlineStr">
        <is>
          <t>NIS</t>
        </is>
      </c>
      <c r="L165" t="n">
        <v>108339974</v>
      </c>
      <c r="M165" s="6" t="n">
        <v>45993</v>
      </c>
      <c r="N165" t="n">
        <v>17</v>
      </c>
      <c r="O165" t="n">
        <v>2</v>
      </c>
      <c r="P165" t="n">
        <v>0</v>
      </c>
      <c r="Q165" t="n">
        <v>1</v>
      </c>
      <c r="R165" t="inlineStr">
        <is>
          <t>O</t>
        </is>
      </c>
      <c r="S165">
        <f>IFERROR(VLOOKUP(N165,Index!$A$1:$B$26,2,FALSE),"")</f>
        <v/>
      </c>
      <c r="T165">
        <f>AA165</f>
        <v/>
      </c>
      <c r="V165">
        <f>IFERROR(INDEX(DetailedFiche!Q:Q,MATCH(L165,DetailedFiche!J:J,0)),"")</f>
        <v/>
      </c>
      <c r="W165">
        <f>IFERROR(INDEX(DetailedFiche!R:R,MATCH(L165,DetailedFiche!J:J,0)),"")</f>
        <v/>
      </c>
      <c r="Y165">
        <f>IFERROR(IF(AND(INDEX('Initial Study'!K:K, MATCH(L165, 'Initial Study'!B:B, 0)+1)&lt;&gt;0,INDEX('Initial Study'!K:K, MATCH(L165, 'Initial Study'!B:B, 0)+1)&lt;&gt;""),INDEX('Initial Study'!K:K, MATCH(L165, 'Initial Study'!B:B, 0)+1),""),"")</f>
        <v/>
      </c>
      <c r="Z165">
        <f>IFERROR(IF(AND(INDEX('Initial Study'!K:K, MATCH(L165, 'Initial Study'!B:B, 0)+2)&lt;&gt;0,INDEX('Initial Study'!K:K, MATCH(L165, 'Initial Study'!B:B, 0)+2)&lt;&gt;"",NOT(ISNUMBER(INDEX('Initial Study'!K:K, MATCH(L165, 'Initial Study'!B:B, 0)+2)))),INDEX('Initial Study'!K:K, MATCH(L165, 'Initial Study'!B:B, 0)+2),"-"),"-")</f>
        <v/>
      </c>
      <c r="AA165">
        <f>IF(S165="RE", Y165 &amp; "BT/" &amp; IF(Z165 &lt;&gt; "-", Z165 &amp; "BT", ""), IF(OR(S165="LTDR", S165="LTSR"), Y165 &amp; "BL" &amp; IF(Z165 &lt;&gt; "-", "/" &amp; Z165 &amp; "BT", ""), IF(OR(S165="RTDR", S165="RTSR"), Y165 &amp; "BR" &amp; IF(Z165 &lt;&gt; "-", "/" &amp; Z165 &amp; "BT", ""), IF(Z165 &lt;&gt; "-", Y165 &amp; "BT/" &amp; Z165 &amp; "BT", Y165 &amp; "BT"))))</f>
        <v/>
      </c>
    </row>
    <row r="166">
      <c r="A166" t="n">
        <v>0</v>
      </c>
      <c r="B166" t="inlineStr">
        <is>
          <t>SR 1001</t>
        </is>
      </c>
      <c r="C166" t="n">
        <v>0.5</v>
      </c>
      <c r="D166" t="inlineStr">
        <is>
          <t>N</t>
        </is>
      </c>
      <c r="E166" t="inlineStr">
        <is>
          <t>US 601</t>
        </is>
      </c>
      <c r="F166" t="inlineStr">
        <is>
          <t>SR 1620</t>
        </is>
      </c>
      <c r="G166" t="inlineStr">
        <is>
          <t>SR 1001</t>
        </is>
      </c>
      <c r="H166" t="n">
        <v>0.5</v>
      </c>
      <c r="I166" t="inlineStr">
        <is>
          <t>NIS</t>
        </is>
      </c>
      <c r="L166" t="n">
        <v>107466297</v>
      </c>
      <c r="M166" s="6" t="n">
        <v>45189</v>
      </c>
      <c r="N166" t="n">
        <v>29</v>
      </c>
      <c r="O166" t="n">
        <v>1</v>
      </c>
      <c r="P166" t="n">
        <v>0</v>
      </c>
      <c r="Q166" t="n">
        <v>1</v>
      </c>
      <c r="R166" t="inlineStr">
        <is>
          <t>C</t>
        </is>
      </c>
      <c r="S166">
        <f>IFERROR(VLOOKUP(N166,Index!$A$1:$B$26,2,FALSE),"")</f>
        <v/>
      </c>
      <c r="T166">
        <f>AA166</f>
        <v/>
      </c>
      <c r="V166">
        <f>IFERROR(INDEX(DetailedFiche!Q:Q,MATCH(L166,DetailedFiche!J:J,0)),"")</f>
        <v/>
      </c>
      <c r="W166">
        <f>IFERROR(INDEX(DetailedFiche!R:R,MATCH(L166,DetailedFiche!J:J,0)),"")</f>
        <v/>
      </c>
      <c r="Y166">
        <f>IFERROR(IF(AND(INDEX('Initial Study'!K:K, MATCH(L166, 'Initial Study'!B:B, 0)+1)&lt;&gt;0,INDEX('Initial Study'!K:K, MATCH(L166, 'Initial Study'!B:B, 0)+1)&lt;&gt;""),INDEX('Initial Study'!K:K, MATCH(L166, 'Initial Study'!B:B, 0)+1),""),"")</f>
        <v/>
      </c>
      <c r="Z166">
        <f>IFERROR(IF(AND(INDEX('Initial Study'!K:K, MATCH(L166, 'Initial Study'!B:B, 0)+2)&lt;&gt;0,INDEX('Initial Study'!K:K, MATCH(L166, 'Initial Study'!B:B, 0)+2)&lt;&gt;"",NOT(ISNUMBER(INDEX('Initial Study'!K:K, MATCH(L166, 'Initial Study'!B:B, 0)+2)))),INDEX('Initial Study'!K:K, MATCH(L166, 'Initial Study'!B:B, 0)+2),"-"),"-")</f>
        <v/>
      </c>
      <c r="AA166">
        <f>IF(S166="RE", Y166 &amp; "BT/" &amp; IF(Z166 &lt;&gt; "-", Z166 &amp; "BT", ""), IF(OR(S166="LTDR", S166="LTSR"), Y166 &amp; "BL" &amp; IF(Z166 &lt;&gt; "-", "/" &amp; Z166 &amp; "BT", ""), IF(OR(S166="RTDR", S166="RTSR"), Y166 &amp; "BR" &amp; IF(Z166 &lt;&gt; "-", "/" &amp; Z166 &amp; "BT", ""), IF(Z166 &lt;&gt; "-", Y166 &amp; "BT/" &amp; Z166 &amp; "BT", Y166 &amp; "BT"))))</f>
        <v/>
      </c>
    </row>
    <row r="167">
      <c r="A167" t="n">
        <v>558</v>
      </c>
      <c r="B167" t="inlineStr">
        <is>
          <t>SR 1001</t>
        </is>
      </c>
      <c r="C167" t="n">
        <v>0.68</v>
      </c>
      <c r="D167" t="inlineStr">
        <is>
          <t>N</t>
        </is>
      </c>
      <c r="E167" t="inlineStr">
        <is>
          <t>US 601</t>
        </is>
      </c>
      <c r="F167" t="inlineStr">
        <is>
          <t>SR 1620</t>
        </is>
      </c>
      <c r="G167" t="inlineStr">
        <is>
          <t>SR 1001</t>
        </is>
      </c>
      <c r="H167" t="n">
        <v>0.68</v>
      </c>
      <c r="I167" t="inlineStr">
        <is>
          <t>NIS</t>
        </is>
      </c>
      <c r="L167" t="n">
        <v>105741595</v>
      </c>
      <c r="M167" s="6" t="n">
        <v>43479</v>
      </c>
      <c r="N167" t="n">
        <v>17</v>
      </c>
      <c r="O167" t="n">
        <v>1</v>
      </c>
      <c r="P167" t="n">
        <v>0</v>
      </c>
      <c r="Q167" t="n">
        <v>3</v>
      </c>
      <c r="R167" t="inlineStr">
        <is>
          <t>O</t>
        </is>
      </c>
      <c r="S167">
        <f>IFERROR(VLOOKUP(N167,Index!$A$1:$B$26,2,FALSE),"")</f>
        <v/>
      </c>
      <c r="T167">
        <f>AA167</f>
        <v/>
      </c>
      <c r="V167">
        <f>IFERROR(INDEX(DetailedFiche!Q:Q,MATCH(L167,DetailedFiche!J:J,0)),"")</f>
        <v/>
      </c>
      <c r="W167">
        <f>IFERROR(INDEX(DetailedFiche!R:R,MATCH(L167,DetailedFiche!J:J,0)),"")</f>
        <v/>
      </c>
      <c r="Y167">
        <f>IFERROR(IF(AND(INDEX('Initial Study'!K:K, MATCH(L167, 'Initial Study'!B:B, 0)+1)&lt;&gt;0,INDEX('Initial Study'!K:K, MATCH(L167, 'Initial Study'!B:B, 0)+1)&lt;&gt;""),INDEX('Initial Study'!K:K, MATCH(L167, 'Initial Study'!B:B, 0)+1),""),"")</f>
        <v/>
      </c>
      <c r="Z167">
        <f>IFERROR(IF(AND(INDEX('Initial Study'!K:K, MATCH(L167, 'Initial Study'!B:B, 0)+2)&lt;&gt;0,INDEX('Initial Study'!K:K, MATCH(L167, 'Initial Study'!B:B, 0)+2)&lt;&gt;"",NOT(ISNUMBER(INDEX('Initial Study'!K:K, MATCH(L167, 'Initial Study'!B:B, 0)+2)))),INDEX('Initial Study'!K:K, MATCH(L167, 'Initial Study'!B:B, 0)+2),"-"),"-")</f>
        <v/>
      </c>
      <c r="AA167">
        <f>IF(S167="RE", Y167 &amp; "BT/" &amp; IF(Z167 &lt;&gt; "-", Z167 &amp; "BT", ""), IF(OR(S167="LTDR", S167="LTSR"), Y167 &amp; "BL" &amp; IF(Z167 &lt;&gt; "-", "/" &amp; Z167 &amp; "BT", ""), IF(OR(S167="RTDR", S167="RTSR"), Y167 &amp; "BR" &amp; IF(Z167 &lt;&gt; "-", "/" &amp; Z167 &amp; "BT", ""), IF(Z167 &lt;&gt; "-", Y167 &amp; "BT/" &amp; Z167 &amp; "BT", Y167 &amp; "BT"))))</f>
        <v/>
      </c>
    </row>
    <row r="168">
      <c r="A168" t="n">
        <v>558</v>
      </c>
      <c r="B168" t="inlineStr">
        <is>
          <t>SIKES MILL</t>
        </is>
      </c>
      <c r="C168" t="n">
        <v>0.19</v>
      </c>
      <c r="D168" t="inlineStr">
        <is>
          <t>S</t>
        </is>
      </c>
      <c r="E168" t="inlineStr">
        <is>
          <t>SPRING LAKE</t>
        </is>
      </c>
      <c r="F168" t="inlineStr">
        <is>
          <t>US 601</t>
        </is>
      </c>
      <c r="G168" t="inlineStr">
        <is>
          <t>SR 1001</t>
        </is>
      </c>
      <c r="H168" t="n">
        <v>0.695</v>
      </c>
      <c r="I168" t="inlineStr">
        <is>
          <t>NIS</t>
        </is>
      </c>
      <c r="L168" t="n">
        <v>107653448</v>
      </c>
      <c r="M168" s="6" t="n">
        <v>45363</v>
      </c>
      <c r="N168" t="n">
        <v>29</v>
      </c>
      <c r="O168" t="n">
        <v>1</v>
      </c>
      <c r="P168" t="n">
        <v>0</v>
      </c>
      <c r="Q168" t="n">
        <v>5</v>
      </c>
      <c r="R168" t="inlineStr">
        <is>
          <t>O</t>
        </is>
      </c>
      <c r="S168">
        <f>IFERROR(VLOOKUP(N168,Index!$A$1:$B$26,2,FALSE),"")</f>
        <v/>
      </c>
      <c r="T168">
        <f>AA168</f>
        <v/>
      </c>
      <c r="V168">
        <f>IFERROR(INDEX(DetailedFiche!Q:Q,MATCH(L168,DetailedFiche!J:J,0)),"")</f>
        <v/>
      </c>
      <c r="W168">
        <f>IFERROR(INDEX(DetailedFiche!R:R,MATCH(L168,DetailedFiche!J:J,0)),"")</f>
        <v/>
      </c>
      <c r="Y168">
        <f>IFERROR(IF(AND(INDEX('Initial Study'!K:K, MATCH(L168, 'Initial Study'!B:B, 0)+1)&lt;&gt;0,INDEX('Initial Study'!K:K, MATCH(L168, 'Initial Study'!B:B, 0)+1)&lt;&gt;""),INDEX('Initial Study'!K:K, MATCH(L168, 'Initial Study'!B:B, 0)+1),""),"")</f>
        <v/>
      </c>
      <c r="Z168">
        <f>IFERROR(IF(AND(INDEX('Initial Study'!K:K, MATCH(L168, 'Initial Study'!B:B, 0)+2)&lt;&gt;0,INDEX('Initial Study'!K:K, MATCH(L168, 'Initial Study'!B:B, 0)+2)&lt;&gt;"",NOT(ISNUMBER(INDEX('Initial Study'!K:K, MATCH(L168, 'Initial Study'!B:B, 0)+2)))),INDEX('Initial Study'!K:K, MATCH(L168, 'Initial Study'!B:B, 0)+2),"-"),"-")</f>
        <v/>
      </c>
      <c r="AA168">
        <f>IF(S168="RE", Y168 &amp; "BT/" &amp; IF(Z168 &lt;&gt; "-", Z168 &amp; "BT", ""), IF(OR(S168="LTDR", S168="LTSR"), Y168 &amp; "BL" &amp; IF(Z168 &lt;&gt; "-", "/" &amp; Z168 &amp; "BT", ""), IF(OR(S168="RTDR", S168="RTSR"), Y168 &amp; "BR" &amp; IF(Z168 &lt;&gt; "-", "/" &amp; Z168 &amp; "BT", ""), IF(Z168 &lt;&gt; "-", Y168 &amp; "BT/" &amp; Z168 &amp; "BT", Y168 &amp; "BT"))))</f>
        <v/>
      </c>
    </row>
    <row r="169">
      <c r="A169" t="n">
        <v>0</v>
      </c>
      <c r="B169" t="inlineStr">
        <is>
          <t>SR 1001</t>
        </is>
      </c>
      <c r="C169" t="n">
        <v>0.7</v>
      </c>
      <c r="D169" t="inlineStr">
        <is>
          <t>N</t>
        </is>
      </c>
      <c r="E169" t="inlineStr">
        <is>
          <t>US 601</t>
        </is>
      </c>
      <c r="F169" t="inlineStr">
        <is>
          <t>SR 1620</t>
        </is>
      </c>
      <c r="G169" t="inlineStr">
        <is>
          <t>SR 1001</t>
        </is>
      </c>
      <c r="H169" t="n">
        <v>0.7</v>
      </c>
      <c r="I169" t="inlineStr">
        <is>
          <t>NIS</t>
        </is>
      </c>
      <c r="L169" t="n">
        <v>108424807</v>
      </c>
      <c r="M169" s="6" t="n">
        <v>46088</v>
      </c>
      <c r="N169" t="n">
        <v>29</v>
      </c>
      <c r="O169" t="n">
        <v>1</v>
      </c>
      <c r="P169" t="n">
        <v>0</v>
      </c>
      <c r="Q169" t="n">
        <v>1</v>
      </c>
      <c r="R169" t="inlineStr">
        <is>
          <t>O</t>
        </is>
      </c>
      <c r="S169">
        <f>IFERROR(VLOOKUP(N169,Index!$A$1:$B$26,2,FALSE),"")</f>
        <v/>
      </c>
      <c r="T169">
        <f>AA169</f>
        <v/>
      </c>
      <c r="V169">
        <f>IFERROR(INDEX(DetailedFiche!Q:Q,MATCH(L169,DetailedFiche!J:J,0)),"")</f>
        <v/>
      </c>
      <c r="W169">
        <f>IFERROR(INDEX(DetailedFiche!R:R,MATCH(L169,DetailedFiche!J:J,0)),"")</f>
        <v/>
      </c>
      <c r="Y169">
        <f>IFERROR(IF(AND(INDEX('Initial Study'!K:K, MATCH(L169, 'Initial Study'!B:B, 0)+1)&lt;&gt;0,INDEX('Initial Study'!K:K, MATCH(L169, 'Initial Study'!B:B, 0)+1)&lt;&gt;""),INDEX('Initial Study'!K:K, MATCH(L169, 'Initial Study'!B:B, 0)+1),""),"")</f>
        <v/>
      </c>
      <c r="Z169">
        <f>IFERROR(IF(AND(INDEX('Initial Study'!K:K, MATCH(L169, 'Initial Study'!B:B, 0)+2)&lt;&gt;0,INDEX('Initial Study'!K:K, MATCH(L169, 'Initial Study'!B:B, 0)+2)&lt;&gt;"",NOT(ISNUMBER(INDEX('Initial Study'!K:K, MATCH(L169, 'Initial Study'!B:B, 0)+2)))),INDEX('Initial Study'!K:K, MATCH(L169, 'Initial Study'!B:B, 0)+2),"-"),"-")</f>
        <v/>
      </c>
      <c r="AA169">
        <f>IF(S169="RE", Y169 &amp; "BT/" &amp; IF(Z169 &lt;&gt; "-", Z169 &amp; "BT", ""), IF(OR(S169="LTDR", S169="LTSR"), Y169 &amp; "BL" &amp; IF(Z169 &lt;&gt; "-", "/" &amp; Z169 &amp; "BT", ""), IF(OR(S169="RTDR", S169="RTSR"), Y169 &amp; "BR" &amp; IF(Z169 &lt;&gt; "-", "/" &amp; Z169 &amp; "BT", ""), IF(Z169 &lt;&gt; "-", Y169 &amp; "BT/" &amp; Z169 &amp; "BT", Y169 &amp; "BT"))))</f>
        <v/>
      </c>
    </row>
    <row r="170">
      <c r="A170" t="n">
        <v>558</v>
      </c>
      <c r="B170" t="inlineStr">
        <is>
          <t>SR 1001</t>
        </is>
      </c>
      <c r="C170" t="n">
        <v>0.5</v>
      </c>
      <c r="D170" t="inlineStr">
        <is>
          <t>S</t>
        </is>
      </c>
      <c r="E170" t="inlineStr">
        <is>
          <t>BAUCOM</t>
        </is>
      </c>
      <c r="F170" t="inlineStr">
        <is>
          <t>US 601</t>
        </is>
      </c>
      <c r="G170" t="inlineStr">
        <is>
          <t>SR 1001</t>
        </is>
      </c>
      <c r="H170" t="n">
        <v>0.852</v>
      </c>
      <c r="I170" t="inlineStr">
        <is>
          <t>NIS</t>
        </is>
      </c>
      <c r="L170" t="n">
        <v>104938752</v>
      </c>
      <c r="M170" s="6" t="n">
        <v>42710</v>
      </c>
      <c r="N170" t="n">
        <v>17</v>
      </c>
      <c r="O170" t="n">
        <v>1</v>
      </c>
      <c r="P170" t="n">
        <v>0</v>
      </c>
      <c r="Q170" t="n">
        <v>5</v>
      </c>
      <c r="R170" t="inlineStr">
        <is>
          <t>O</t>
        </is>
      </c>
      <c r="S170">
        <f>IFERROR(VLOOKUP(N170,Index!$A$1:$B$26,2,FALSE),"")</f>
        <v/>
      </c>
      <c r="T170">
        <f>AA170</f>
        <v/>
      </c>
      <c r="V170">
        <f>IFERROR(INDEX(DetailedFiche!Q:Q,MATCH(L170,DetailedFiche!J:J,0)),"")</f>
        <v/>
      </c>
      <c r="W170">
        <f>IFERROR(INDEX(DetailedFiche!R:R,MATCH(L170,DetailedFiche!J:J,0)),"")</f>
        <v/>
      </c>
      <c r="Y170">
        <f>IFERROR(IF(AND(INDEX('Initial Study'!K:K, MATCH(L170, 'Initial Study'!B:B, 0)+1)&lt;&gt;0,INDEX('Initial Study'!K:K, MATCH(L170, 'Initial Study'!B:B, 0)+1)&lt;&gt;""),INDEX('Initial Study'!K:K, MATCH(L170, 'Initial Study'!B:B, 0)+1),""),"")</f>
        <v/>
      </c>
      <c r="Z170">
        <f>IFERROR(IF(AND(INDEX('Initial Study'!K:K, MATCH(L170, 'Initial Study'!B:B, 0)+2)&lt;&gt;0,INDEX('Initial Study'!K:K, MATCH(L170, 'Initial Study'!B:B, 0)+2)&lt;&gt;"",NOT(ISNUMBER(INDEX('Initial Study'!K:K, MATCH(L170, 'Initial Study'!B:B, 0)+2)))),INDEX('Initial Study'!K:K, MATCH(L170, 'Initial Study'!B:B, 0)+2),"-"),"-")</f>
        <v/>
      </c>
      <c r="AA170">
        <f>IF(S170="RE", Y170 &amp; "BT/" &amp; IF(Z170 &lt;&gt; "-", Z170 &amp; "BT", ""), IF(OR(S170="LTDR", S170="LTSR"), Y170 &amp; "BL" &amp; IF(Z170 &lt;&gt; "-", "/" &amp; Z170 &amp; "BT", ""), IF(OR(S170="RTDR", S170="RTSR"), Y170 &amp; "BR" &amp; IF(Z170 &lt;&gt; "-", "/" &amp; Z170 &amp; "BT", ""), IF(Z170 &lt;&gt; "-", Y170 &amp; "BT/" &amp; Z170 &amp; "BT", Y170 &amp; "BT"))))</f>
        <v/>
      </c>
    </row>
    <row r="171">
      <c r="A171" t="n">
        <v>0</v>
      </c>
      <c r="B171" t="inlineStr">
        <is>
          <t>SIKES MILL</t>
        </is>
      </c>
      <c r="C171" t="n">
        <v>0.002</v>
      </c>
      <c r="D171" t="inlineStr">
        <is>
          <t>S</t>
        </is>
      </c>
      <c r="E171" t="inlineStr">
        <is>
          <t>SPRING LAKE</t>
        </is>
      </c>
      <c r="F171" t="inlineStr">
        <is>
          <t>US 601</t>
        </is>
      </c>
      <c r="G171" t="inlineStr">
        <is>
          <t>SR 1001</t>
        </is>
      </c>
      <c r="H171" t="n">
        <v>0.883</v>
      </c>
      <c r="I171" t="inlineStr">
        <is>
          <t>NIS</t>
        </is>
      </c>
      <c r="L171" t="n">
        <v>106059402</v>
      </c>
      <c r="M171" s="6" t="n">
        <v>43777</v>
      </c>
      <c r="N171" t="n">
        <v>19</v>
      </c>
      <c r="O171" t="n">
        <v>2</v>
      </c>
      <c r="P171" t="n">
        <v>0</v>
      </c>
      <c r="Q171" t="n">
        <v>4</v>
      </c>
      <c r="R171" t="inlineStr">
        <is>
          <t>B</t>
        </is>
      </c>
      <c r="S171">
        <f>IFERROR(VLOOKUP(N171,Index!$A$1:$B$26,2,FALSE),"")</f>
        <v/>
      </c>
      <c r="T171">
        <f>AA171</f>
        <v/>
      </c>
      <c r="V171">
        <f>IFERROR(INDEX(DetailedFiche!Q:Q,MATCH(L171,DetailedFiche!J:J,0)),"")</f>
        <v/>
      </c>
      <c r="W171">
        <f>IFERROR(INDEX(DetailedFiche!R:R,MATCH(L171,DetailedFiche!J:J,0)),"")</f>
        <v/>
      </c>
      <c r="Y171">
        <f>IFERROR(IF(AND(INDEX('Initial Study'!K:K, MATCH(L171, 'Initial Study'!B:B, 0)+1)&lt;&gt;0,INDEX('Initial Study'!K:K, MATCH(L171, 'Initial Study'!B:B, 0)+1)&lt;&gt;""),INDEX('Initial Study'!K:K, MATCH(L171, 'Initial Study'!B:B, 0)+1),""),"")</f>
        <v/>
      </c>
      <c r="Z171">
        <f>IFERROR(IF(AND(INDEX('Initial Study'!K:K, MATCH(L171, 'Initial Study'!B:B, 0)+2)&lt;&gt;0,INDEX('Initial Study'!K:K, MATCH(L171, 'Initial Study'!B:B, 0)+2)&lt;&gt;"",NOT(ISNUMBER(INDEX('Initial Study'!K:K, MATCH(L171, 'Initial Study'!B:B, 0)+2)))),INDEX('Initial Study'!K:K, MATCH(L171, 'Initial Study'!B:B, 0)+2),"-"),"-")</f>
        <v/>
      </c>
      <c r="AA171">
        <f>IF(S171="RE", Y171 &amp; "BT/" &amp; IF(Z171 &lt;&gt; "-", Z171 &amp; "BT", ""), IF(OR(S171="LTDR", S171="LTSR"), Y171 &amp; "BL" &amp; IF(Z171 &lt;&gt; "-", "/" &amp; Z171 &amp; "BT", ""), IF(OR(S171="RTDR", S171="RTSR"), Y171 &amp; "BR" &amp; IF(Z171 &lt;&gt; "-", "/" &amp; Z171 &amp; "BT", ""), IF(Z171 &lt;&gt; "-", Y171 &amp; "BT/" &amp; Z171 &amp; "BT", Y171 &amp; "BT"))))</f>
        <v/>
      </c>
    </row>
    <row r="172">
      <c r="A172" t="n">
        <v>558</v>
      </c>
      <c r="B172" t="inlineStr">
        <is>
          <t>SR 1001</t>
        </is>
      </c>
      <c r="C172" t="n">
        <v>0.004</v>
      </c>
      <c r="D172" t="inlineStr">
        <is>
          <t>N</t>
        </is>
      </c>
      <c r="E172" t="inlineStr">
        <is>
          <t>SPRING LAKE</t>
        </is>
      </c>
      <c r="F172" t="inlineStr">
        <is>
          <t>SR 1620</t>
        </is>
      </c>
      <c r="G172" t="inlineStr">
        <is>
          <t>SR 1001</t>
        </is>
      </c>
      <c r="H172" t="n">
        <v>0.889</v>
      </c>
      <c r="I172" t="inlineStr">
        <is>
          <t>NIS</t>
        </is>
      </c>
      <c r="L172" t="n">
        <v>106976262</v>
      </c>
      <c r="M172" s="6" t="n">
        <v>44714</v>
      </c>
      <c r="N172" t="n">
        <v>19</v>
      </c>
      <c r="O172" t="n">
        <v>1</v>
      </c>
      <c r="P172" t="n">
        <v>0</v>
      </c>
      <c r="Q172" t="n">
        <v>5</v>
      </c>
      <c r="R172" t="inlineStr">
        <is>
          <t>C</t>
        </is>
      </c>
      <c r="S172">
        <f>IFERROR(VLOOKUP(N172,Index!$A$1:$B$26,2,FALSE),"")</f>
        <v/>
      </c>
      <c r="T172">
        <f>AA172</f>
        <v/>
      </c>
      <c r="V172">
        <f>IFERROR(INDEX(DetailedFiche!Q:Q,MATCH(L172,DetailedFiche!J:J,0)),"")</f>
        <v/>
      </c>
      <c r="W172">
        <f>IFERROR(INDEX(DetailedFiche!R:R,MATCH(L172,DetailedFiche!J:J,0)),"")</f>
        <v/>
      </c>
      <c r="Y172">
        <f>IFERROR(IF(AND(INDEX('Initial Study'!K:K, MATCH(L172, 'Initial Study'!B:B, 0)+1)&lt;&gt;0,INDEX('Initial Study'!K:K, MATCH(L172, 'Initial Study'!B:B, 0)+1)&lt;&gt;""),INDEX('Initial Study'!K:K, MATCH(L172, 'Initial Study'!B:B, 0)+1),""),"")</f>
        <v/>
      </c>
      <c r="Z172">
        <f>IFERROR(IF(AND(INDEX('Initial Study'!K:K, MATCH(L172, 'Initial Study'!B:B, 0)+2)&lt;&gt;0,INDEX('Initial Study'!K:K, MATCH(L172, 'Initial Study'!B:B, 0)+2)&lt;&gt;"",NOT(ISNUMBER(INDEX('Initial Study'!K:K, MATCH(L172, 'Initial Study'!B:B, 0)+2)))),INDEX('Initial Study'!K:K, MATCH(L172, 'Initial Study'!B:B, 0)+2),"-"),"-")</f>
        <v/>
      </c>
      <c r="AA172">
        <f>IF(S172="RE", Y172 &amp; "BT/" &amp; IF(Z172 &lt;&gt; "-", Z172 &amp; "BT", ""), IF(OR(S172="LTDR", S172="LTSR"), Y172 &amp; "BL" &amp; IF(Z172 &lt;&gt; "-", "/" &amp; Z172 &amp; "BT", ""), IF(OR(S172="RTDR", S172="RTSR"), Y172 &amp; "BR" &amp; IF(Z172 &lt;&gt; "-", "/" &amp; Z172 &amp; "BT", ""), IF(Z172 &lt;&gt; "-", Y172 &amp; "BT/" &amp; Z172 &amp; "BT", Y172 &amp; "BT"))))</f>
        <v/>
      </c>
    </row>
    <row r="173">
      <c r="A173" t="n">
        <v>558</v>
      </c>
      <c r="B173" t="inlineStr">
        <is>
          <t>SIKES MILL</t>
        </is>
      </c>
      <c r="C173" t="n">
        <v>0.076</v>
      </c>
      <c r="D173" t="inlineStr">
        <is>
          <t>N</t>
        </is>
      </c>
      <c r="E173" t="inlineStr">
        <is>
          <t>SPRING LAKE</t>
        </is>
      </c>
      <c r="F173" t="inlineStr">
        <is>
          <t>BAUCOM</t>
        </is>
      </c>
      <c r="G173" t="inlineStr">
        <is>
          <t>SR 1001</t>
        </is>
      </c>
      <c r="H173" t="n">
        <v>0.961</v>
      </c>
      <c r="I173" t="inlineStr">
        <is>
          <t>NIS</t>
        </is>
      </c>
      <c r="L173" t="n">
        <v>105442537</v>
      </c>
      <c r="M173" s="6" t="n">
        <v>43202</v>
      </c>
      <c r="N173" t="n">
        <v>19</v>
      </c>
      <c r="O173" t="n">
        <v>1</v>
      </c>
      <c r="P173" t="n">
        <v>0</v>
      </c>
      <c r="Q173" t="n">
        <v>1</v>
      </c>
      <c r="R173" t="inlineStr">
        <is>
          <t>O</t>
        </is>
      </c>
      <c r="S173">
        <f>IFERROR(VLOOKUP(N173,Index!$A$1:$B$26,2,FALSE),"")</f>
        <v/>
      </c>
      <c r="T173">
        <f>AA173</f>
        <v/>
      </c>
      <c r="V173">
        <f>IFERROR(INDEX(DetailedFiche!Q:Q,MATCH(L173,DetailedFiche!J:J,0)),"")</f>
        <v/>
      </c>
      <c r="W173">
        <f>IFERROR(INDEX(DetailedFiche!R:R,MATCH(L173,DetailedFiche!J:J,0)),"")</f>
        <v/>
      </c>
      <c r="Y173">
        <f>IFERROR(IF(AND(INDEX('Initial Study'!K:K, MATCH(L173, 'Initial Study'!B:B, 0)+1)&lt;&gt;0,INDEX('Initial Study'!K:K, MATCH(L173, 'Initial Study'!B:B, 0)+1)&lt;&gt;""),INDEX('Initial Study'!K:K, MATCH(L173, 'Initial Study'!B:B, 0)+1),""),"")</f>
        <v/>
      </c>
      <c r="Z173">
        <f>IFERROR(IF(AND(INDEX('Initial Study'!K:K, MATCH(L173, 'Initial Study'!B:B, 0)+2)&lt;&gt;0,INDEX('Initial Study'!K:K, MATCH(L173, 'Initial Study'!B:B, 0)+2)&lt;&gt;"",NOT(ISNUMBER(INDEX('Initial Study'!K:K, MATCH(L173, 'Initial Study'!B:B, 0)+2)))),INDEX('Initial Study'!K:K, MATCH(L173, 'Initial Study'!B:B, 0)+2),"-"),"-")</f>
        <v/>
      </c>
      <c r="AA173">
        <f>IF(S173="RE", Y173 &amp; "BT/" &amp; IF(Z173 &lt;&gt; "-", Z173 &amp; "BT", ""), IF(OR(S173="LTDR", S173="LTSR"), Y173 &amp; "BL" &amp; IF(Z173 &lt;&gt; "-", "/" &amp; Z173 &amp; "BT", ""), IF(OR(S173="RTDR", S173="RTSR"), Y173 &amp; "BR" &amp; IF(Z173 &lt;&gt; "-", "/" &amp; Z173 &amp; "BT", ""), IF(Z173 &lt;&gt; "-", Y173 &amp; "BT/" &amp; Z173 &amp; "BT", Y173 &amp; "BT"))))</f>
        <v/>
      </c>
    </row>
    <row r="174">
      <c r="A174" t="n">
        <v>558</v>
      </c>
      <c r="B174" t="inlineStr">
        <is>
          <t>SR 1001</t>
        </is>
      </c>
      <c r="C174" t="n">
        <v>1</v>
      </c>
      <c r="D174" t="inlineStr">
        <is>
          <t>N</t>
        </is>
      </c>
      <c r="E174" t="inlineStr">
        <is>
          <t>US 601</t>
        </is>
      </c>
      <c r="F174" t="inlineStr">
        <is>
          <t>SR 1620</t>
        </is>
      </c>
      <c r="G174" t="inlineStr">
        <is>
          <t>SR 1001</t>
        </is>
      </c>
      <c r="H174" t="n">
        <v>1</v>
      </c>
      <c r="I174" t="inlineStr">
        <is>
          <t>NIS</t>
        </is>
      </c>
      <c r="L174" t="n">
        <v>107900538</v>
      </c>
      <c r="M174" s="6" t="n">
        <v>45586</v>
      </c>
      <c r="N174" t="n">
        <v>14</v>
      </c>
      <c r="O174" t="n">
        <v>1</v>
      </c>
      <c r="P174" t="n">
        <v>0</v>
      </c>
      <c r="Q174" t="n">
        <v>1</v>
      </c>
      <c r="R174" t="inlineStr">
        <is>
          <t>C</t>
        </is>
      </c>
      <c r="S174">
        <f>IFERROR(VLOOKUP(N174,Index!$A$1:$B$26,2,FALSE),"")</f>
        <v/>
      </c>
      <c r="T174">
        <f>AA174</f>
        <v/>
      </c>
      <c r="V174">
        <f>IFERROR(INDEX(DetailedFiche!Q:Q,MATCH(L174,DetailedFiche!J:J,0)),"")</f>
        <v/>
      </c>
      <c r="W174">
        <f>IFERROR(INDEX(DetailedFiche!R:R,MATCH(L174,DetailedFiche!J:J,0)),"")</f>
        <v/>
      </c>
      <c r="Y174">
        <f>IFERROR(IF(AND(INDEX('Initial Study'!K:K, MATCH(L174, 'Initial Study'!B:B, 0)+1)&lt;&gt;0,INDEX('Initial Study'!K:K, MATCH(L174, 'Initial Study'!B:B, 0)+1)&lt;&gt;""),INDEX('Initial Study'!K:K, MATCH(L174, 'Initial Study'!B:B, 0)+1),""),"")</f>
        <v/>
      </c>
      <c r="Z174">
        <f>IFERROR(IF(AND(INDEX('Initial Study'!K:K, MATCH(L174, 'Initial Study'!B:B, 0)+2)&lt;&gt;0,INDEX('Initial Study'!K:K, MATCH(L174, 'Initial Study'!B:B, 0)+2)&lt;&gt;"",NOT(ISNUMBER(INDEX('Initial Study'!K:K, MATCH(L174, 'Initial Study'!B:B, 0)+2)))),INDEX('Initial Study'!K:K, MATCH(L174, 'Initial Study'!B:B, 0)+2),"-"),"-")</f>
        <v/>
      </c>
      <c r="AA174">
        <f>IF(S174="RE", Y174 &amp; "BT/" &amp; IF(Z174 &lt;&gt; "-", Z174 &amp; "BT", ""), IF(OR(S174="LTDR", S174="LTSR"), Y174 &amp; "BL" &amp; IF(Z174 &lt;&gt; "-", "/" &amp; Z174 &amp; "BT", ""), IF(OR(S174="RTDR", S174="RTSR"), Y174 &amp; "BR" &amp; IF(Z174 &lt;&gt; "-", "/" &amp; Z174 &amp; "BT", ""), IF(Z174 &lt;&gt; "-", Y174 &amp; "BT/" &amp; Z174 &amp; "BT", Y174 &amp; "BT"))))</f>
        <v/>
      </c>
    </row>
    <row r="175">
      <c r="A175" t="n">
        <v>0</v>
      </c>
      <c r="B175" t="inlineStr">
        <is>
          <t>SR 1001</t>
        </is>
      </c>
      <c r="C175" t="n">
        <v>1</v>
      </c>
      <c r="D175" t="inlineStr">
        <is>
          <t>N</t>
        </is>
      </c>
      <c r="E175" t="inlineStr">
        <is>
          <t>US 601</t>
        </is>
      </c>
      <c r="F175" t="inlineStr">
        <is>
          <t>SR 1620</t>
        </is>
      </c>
      <c r="G175" t="inlineStr">
        <is>
          <t>SR 1001</t>
        </is>
      </c>
      <c r="H175" t="n">
        <v>1</v>
      </c>
      <c r="I175" t="inlineStr">
        <is>
          <t>NIS</t>
        </is>
      </c>
      <c r="L175" t="n">
        <v>106572928</v>
      </c>
      <c r="M175" s="6" t="n">
        <v>44327</v>
      </c>
      <c r="N175" t="n">
        <v>19</v>
      </c>
      <c r="O175" t="n">
        <v>1</v>
      </c>
      <c r="P175" t="n">
        <v>0</v>
      </c>
      <c r="Q175" t="n">
        <v>1</v>
      </c>
      <c r="R175" t="inlineStr">
        <is>
          <t>C</t>
        </is>
      </c>
      <c r="S175">
        <f>IFERROR(VLOOKUP(N175,Index!$A$1:$B$26,2,FALSE),"")</f>
        <v/>
      </c>
      <c r="T175">
        <f>AA175</f>
        <v/>
      </c>
      <c r="V175">
        <f>IFERROR(INDEX(DetailedFiche!Q:Q,MATCH(L175,DetailedFiche!J:J,0)),"")</f>
        <v/>
      </c>
      <c r="W175">
        <f>IFERROR(INDEX(DetailedFiche!R:R,MATCH(L175,DetailedFiche!J:J,0)),"")</f>
        <v/>
      </c>
      <c r="Y175">
        <f>IFERROR(IF(AND(INDEX('Initial Study'!K:K, MATCH(L175, 'Initial Study'!B:B, 0)+1)&lt;&gt;0,INDEX('Initial Study'!K:K, MATCH(L175, 'Initial Study'!B:B, 0)+1)&lt;&gt;""),INDEX('Initial Study'!K:K, MATCH(L175, 'Initial Study'!B:B, 0)+1),""),"")</f>
        <v/>
      </c>
      <c r="Z175">
        <f>IFERROR(IF(AND(INDEX('Initial Study'!K:K, MATCH(L175, 'Initial Study'!B:B, 0)+2)&lt;&gt;0,INDEX('Initial Study'!K:K, MATCH(L175, 'Initial Study'!B:B, 0)+2)&lt;&gt;"",NOT(ISNUMBER(INDEX('Initial Study'!K:K, MATCH(L175, 'Initial Study'!B:B, 0)+2)))),INDEX('Initial Study'!K:K, MATCH(L175, 'Initial Study'!B:B, 0)+2),"-"),"-")</f>
        <v/>
      </c>
      <c r="AA175">
        <f>IF(S175="RE", Y175 &amp; "BT/" &amp; IF(Z175 &lt;&gt; "-", Z175 &amp; "BT", ""), IF(OR(S175="LTDR", S175="LTSR"), Y175 &amp; "BL" &amp; IF(Z175 &lt;&gt; "-", "/" &amp; Z175 &amp; "BT", ""), IF(OR(S175="RTDR", S175="RTSR"), Y175 &amp; "BR" &amp; IF(Z175 &lt;&gt; "-", "/" &amp; Z175 &amp; "BT", ""), IF(Z175 &lt;&gt; "-", Y175 &amp; "BT/" &amp; Z175 &amp; "BT", Y175 &amp; "BT"))))</f>
        <v/>
      </c>
    </row>
    <row r="176">
      <c r="A176" t="n">
        <v>0</v>
      </c>
      <c r="B176" t="inlineStr">
        <is>
          <t>SIKES MILL</t>
        </is>
      </c>
      <c r="C176" t="n">
        <v>0.13</v>
      </c>
      <c r="D176" t="inlineStr">
        <is>
          <t>N</t>
        </is>
      </c>
      <c r="E176" t="inlineStr">
        <is>
          <t>SPRING LAKE</t>
        </is>
      </c>
      <c r="F176" t="inlineStr">
        <is>
          <t>CHANEY</t>
        </is>
      </c>
      <c r="G176" t="inlineStr">
        <is>
          <t>SR 1001</t>
        </is>
      </c>
      <c r="H176" t="n">
        <v>1.015</v>
      </c>
      <c r="I176" t="inlineStr">
        <is>
          <t>NIS</t>
        </is>
      </c>
      <c r="L176" t="n">
        <v>107715447</v>
      </c>
      <c r="M176" s="6" t="n">
        <v>45419</v>
      </c>
      <c r="N176" t="n">
        <v>17</v>
      </c>
      <c r="O176" t="n">
        <v>1</v>
      </c>
      <c r="P176" t="n">
        <v>0</v>
      </c>
      <c r="Q176" t="n">
        <v>5</v>
      </c>
      <c r="R176" t="inlineStr">
        <is>
          <t>O</t>
        </is>
      </c>
      <c r="S176">
        <f>IFERROR(VLOOKUP(N176,Index!$A$1:$B$26,2,FALSE),"")</f>
        <v/>
      </c>
      <c r="T176">
        <f>AA176</f>
        <v/>
      </c>
      <c r="V176">
        <f>IFERROR(INDEX(DetailedFiche!Q:Q,MATCH(L176,DetailedFiche!J:J,0)),"")</f>
        <v/>
      </c>
      <c r="W176">
        <f>IFERROR(INDEX(DetailedFiche!R:R,MATCH(L176,DetailedFiche!J:J,0)),"")</f>
        <v/>
      </c>
      <c r="Y176">
        <f>IFERROR(IF(AND(INDEX('Initial Study'!K:K, MATCH(L176, 'Initial Study'!B:B, 0)+1)&lt;&gt;0,INDEX('Initial Study'!K:K, MATCH(L176, 'Initial Study'!B:B, 0)+1)&lt;&gt;""),INDEX('Initial Study'!K:K, MATCH(L176, 'Initial Study'!B:B, 0)+1),""),"")</f>
        <v/>
      </c>
      <c r="Z176">
        <f>IFERROR(IF(AND(INDEX('Initial Study'!K:K, MATCH(L176, 'Initial Study'!B:B, 0)+2)&lt;&gt;0,INDEX('Initial Study'!K:K, MATCH(L176, 'Initial Study'!B:B, 0)+2)&lt;&gt;"",NOT(ISNUMBER(INDEX('Initial Study'!K:K, MATCH(L176, 'Initial Study'!B:B, 0)+2)))),INDEX('Initial Study'!K:K, MATCH(L176, 'Initial Study'!B:B, 0)+2),"-"),"-")</f>
        <v/>
      </c>
      <c r="AA176">
        <f>IF(S176="RE", Y176 &amp; "BT/" &amp; IF(Z176 &lt;&gt; "-", Z176 &amp; "BT", ""), IF(OR(S176="LTDR", S176="LTSR"), Y176 &amp; "BL" &amp; IF(Z176 &lt;&gt; "-", "/" &amp; Z176 &amp; "BT", ""), IF(OR(S176="RTDR", S176="RTSR"), Y176 &amp; "BR" &amp; IF(Z176 &lt;&gt; "-", "/" &amp; Z176 &amp; "BT", ""), IF(Z176 &lt;&gt; "-", Y176 &amp; "BT/" &amp; Z176 &amp; "BT", Y176 &amp; "BT"))))</f>
        <v/>
      </c>
    </row>
    <row r="177">
      <c r="A177" t="n">
        <v>0</v>
      </c>
      <c r="B177" t="inlineStr">
        <is>
          <t>SR 1001</t>
        </is>
      </c>
      <c r="C177" t="n">
        <v>0.19</v>
      </c>
      <c r="D177" t="inlineStr">
        <is>
          <t>N</t>
        </is>
      </c>
      <c r="E177" t="inlineStr">
        <is>
          <t>SPRING LAKE</t>
        </is>
      </c>
      <c r="F177" t="inlineStr">
        <is>
          <t>SR 1620</t>
        </is>
      </c>
      <c r="G177" t="inlineStr">
        <is>
          <t>SR 1001</t>
        </is>
      </c>
      <c r="H177" t="n">
        <v>1.075</v>
      </c>
      <c r="I177" t="inlineStr">
        <is>
          <t>NIS</t>
        </is>
      </c>
      <c r="L177" t="n">
        <v>108256185</v>
      </c>
      <c r="M177" s="6" t="n">
        <v>45935</v>
      </c>
      <c r="N177" t="n">
        <v>17</v>
      </c>
      <c r="O177" t="n">
        <v>1</v>
      </c>
      <c r="P177" t="n">
        <v>0</v>
      </c>
      <c r="Q177" t="n">
        <v>1</v>
      </c>
      <c r="R177" t="inlineStr">
        <is>
          <t>O</t>
        </is>
      </c>
      <c r="S177">
        <f>IFERROR(VLOOKUP(N177,Index!$A$1:$B$26,2,FALSE),"")</f>
        <v/>
      </c>
      <c r="T177">
        <f>AA177</f>
        <v/>
      </c>
      <c r="V177">
        <f>IFERROR(INDEX(DetailedFiche!Q:Q,MATCH(L177,DetailedFiche!J:J,0)),"")</f>
        <v/>
      </c>
      <c r="W177">
        <f>IFERROR(INDEX(DetailedFiche!R:R,MATCH(L177,DetailedFiche!J:J,0)),"")</f>
        <v/>
      </c>
      <c r="Y177">
        <f>IFERROR(IF(AND(INDEX('Initial Study'!K:K, MATCH(L177, 'Initial Study'!B:B, 0)+1)&lt;&gt;0,INDEX('Initial Study'!K:K, MATCH(L177, 'Initial Study'!B:B, 0)+1)&lt;&gt;""),INDEX('Initial Study'!K:K, MATCH(L177, 'Initial Study'!B:B, 0)+1),""),"")</f>
        <v/>
      </c>
      <c r="Z177">
        <f>IFERROR(IF(AND(INDEX('Initial Study'!K:K, MATCH(L177, 'Initial Study'!B:B, 0)+2)&lt;&gt;0,INDEX('Initial Study'!K:K, MATCH(L177, 'Initial Study'!B:B, 0)+2)&lt;&gt;"",NOT(ISNUMBER(INDEX('Initial Study'!K:K, MATCH(L177, 'Initial Study'!B:B, 0)+2)))),INDEX('Initial Study'!K:K, MATCH(L177, 'Initial Study'!B:B, 0)+2),"-"),"-")</f>
        <v/>
      </c>
      <c r="AA177">
        <f>IF(S177="RE", Y177 &amp; "BT/" &amp; IF(Z177 &lt;&gt; "-", Z177 &amp; "BT", ""), IF(OR(S177="LTDR", S177="LTSR"), Y177 &amp; "BL" &amp; IF(Z177 &lt;&gt; "-", "/" &amp; Z177 &amp; "BT", ""), IF(OR(S177="RTDR", S177="RTSR"), Y177 &amp; "BR" &amp; IF(Z177 &lt;&gt; "-", "/" &amp; Z177 &amp; "BT", ""), IF(Z177 &lt;&gt; "-", Y177 &amp; "BT/" &amp; Z177 &amp; "BT", Y177 &amp; "BT"))))</f>
        <v/>
      </c>
    </row>
    <row r="178">
      <c r="A178" t="n">
        <v>558</v>
      </c>
      <c r="B178" t="inlineStr">
        <is>
          <t>SIKES MILL</t>
        </is>
      </c>
      <c r="C178" t="n">
        <v>0.26</v>
      </c>
      <c r="D178" t="inlineStr">
        <is>
          <t>S</t>
        </is>
      </c>
      <c r="E178" t="inlineStr">
        <is>
          <t>BAUCOM</t>
        </is>
      </c>
      <c r="F178" t="inlineStr">
        <is>
          <t>US 601</t>
        </is>
      </c>
      <c r="G178" t="inlineStr">
        <is>
          <t>SR 1001</t>
        </is>
      </c>
      <c r="H178" t="n">
        <v>1.092</v>
      </c>
      <c r="I178" t="inlineStr">
        <is>
          <t>NIS</t>
        </is>
      </c>
      <c r="L178" t="n">
        <v>105898128</v>
      </c>
      <c r="M178" s="6" t="n">
        <v>43629</v>
      </c>
      <c r="N178" t="n">
        <v>17</v>
      </c>
      <c r="O178" t="n">
        <v>1</v>
      </c>
      <c r="P178" t="n">
        <v>0</v>
      </c>
      <c r="Q178" t="n">
        <v>5</v>
      </c>
      <c r="R178" t="inlineStr">
        <is>
          <t>O</t>
        </is>
      </c>
      <c r="S178">
        <f>IFERROR(VLOOKUP(N178,Index!$A$1:$B$26,2,FALSE),"")</f>
        <v/>
      </c>
      <c r="T178">
        <f>AA178</f>
        <v/>
      </c>
      <c r="V178">
        <f>IFERROR(INDEX(DetailedFiche!Q:Q,MATCH(L178,DetailedFiche!J:J,0)),"")</f>
        <v/>
      </c>
      <c r="W178">
        <f>IFERROR(INDEX(DetailedFiche!R:R,MATCH(L178,DetailedFiche!J:J,0)),"")</f>
        <v/>
      </c>
      <c r="Y178">
        <f>IFERROR(IF(AND(INDEX('Initial Study'!K:K, MATCH(L178, 'Initial Study'!B:B, 0)+1)&lt;&gt;0,INDEX('Initial Study'!K:K, MATCH(L178, 'Initial Study'!B:B, 0)+1)&lt;&gt;""),INDEX('Initial Study'!K:K, MATCH(L178, 'Initial Study'!B:B, 0)+1),""),"")</f>
        <v/>
      </c>
      <c r="Z178">
        <f>IFERROR(IF(AND(INDEX('Initial Study'!K:K, MATCH(L178, 'Initial Study'!B:B, 0)+2)&lt;&gt;0,INDEX('Initial Study'!K:K, MATCH(L178, 'Initial Study'!B:B, 0)+2)&lt;&gt;"",NOT(ISNUMBER(INDEX('Initial Study'!K:K, MATCH(L178, 'Initial Study'!B:B, 0)+2)))),INDEX('Initial Study'!K:K, MATCH(L178, 'Initial Study'!B:B, 0)+2),"-"),"-")</f>
        <v/>
      </c>
      <c r="AA178">
        <f>IF(S178="RE", Y178 &amp; "BT/" &amp; IF(Z178 &lt;&gt; "-", Z178 &amp; "BT", ""), IF(OR(S178="LTDR", S178="LTSR"), Y178 &amp; "BL" &amp; IF(Z178 &lt;&gt; "-", "/" &amp; Z178 &amp; "BT", ""), IF(OR(S178="RTDR", S178="RTSR"), Y178 &amp; "BR" &amp; IF(Z178 &lt;&gt; "-", "/" &amp; Z178 &amp; "BT", ""), IF(Z178 &lt;&gt; "-", Y178 &amp; "BT/" &amp; Z178 &amp; "BT", Y178 &amp; "BT"))))</f>
        <v/>
      </c>
    </row>
    <row r="179">
      <c r="A179" t="n">
        <v>0</v>
      </c>
      <c r="B179" t="inlineStr">
        <is>
          <t>SIKES MILL</t>
        </is>
      </c>
      <c r="C179" t="n">
        <v>1.1</v>
      </c>
      <c r="D179" t="inlineStr">
        <is>
          <t>N</t>
        </is>
      </c>
      <c r="E179" t="inlineStr">
        <is>
          <t>CONCORD</t>
        </is>
      </c>
      <c r="F179" t="inlineStr">
        <is>
          <t>BAUCOM</t>
        </is>
      </c>
      <c r="G179" t="inlineStr">
        <is>
          <t>SR 1001</t>
        </is>
      </c>
      <c r="H179" t="n">
        <v>1.1</v>
      </c>
      <c r="I179" t="inlineStr">
        <is>
          <t>NIS</t>
        </is>
      </c>
      <c r="L179" t="n">
        <v>106028073</v>
      </c>
      <c r="M179" s="6" t="n">
        <v>43756</v>
      </c>
      <c r="N179" t="n">
        <v>17</v>
      </c>
      <c r="O179" t="n">
        <v>1</v>
      </c>
      <c r="P179" t="n">
        <v>0</v>
      </c>
      <c r="Q179" t="n">
        <v>5</v>
      </c>
      <c r="R179" t="inlineStr">
        <is>
          <t>O</t>
        </is>
      </c>
      <c r="S179">
        <f>IFERROR(VLOOKUP(N179,Index!$A$1:$B$26,2,FALSE),"")</f>
        <v/>
      </c>
      <c r="T179">
        <f>AA179</f>
        <v/>
      </c>
      <c r="V179">
        <f>IFERROR(INDEX(DetailedFiche!Q:Q,MATCH(L179,DetailedFiche!J:J,0)),"")</f>
        <v/>
      </c>
      <c r="W179">
        <f>IFERROR(INDEX(DetailedFiche!R:R,MATCH(L179,DetailedFiche!J:J,0)),"")</f>
        <v/>
      </c>
      <c r="Y179">
        <f>IFERROR(IF(AND(INDEX('Initial Study'!K:K, MATCH(L179, 'Initial Study'!B:B, 0)+1)&lt;&gt;0,INDEX('Initial Study'!K:K, MATCH(L179, 'Initial Study'!B:B, 0)+1)&lt;&gt;""),INDEX('Initial Study'!K:K, MATCH(L179, 'Initial Study'!B:B, 0)+1),""),"")</f>
        <v/>
      </c>
      <c r="Z179">
        <f>IFERROR(IF(AND(INDEX('Initial Study'!K:K, MATCH(L179, 'Initial Study'!B:B, 0)+2)&lt;&gt;0,INDEX('Initial Study'!K:K, MATCH(L179, 'Initial Study'!B:B, 0)+2)&lt;&gt;"",NOT(ISNUMBER(INDEX('Initial Study'!K:K, MATCH(L179, 'Initial Study'!B:B, 0)+2)))),INDEX('Initial Study'!K:K, MATCH(L179, 'Initial Study'!B:B, 0)+2),"-"),"-")</f>
        <v/>
      </c>
      <c r="AA179">
        <f>IF(S179="RE", Y179 &amp; "BT/" &amp; IF(Z179 &lt;&gt; "-", Z179 &amp; "BT", ""), IF(OR(S179="LTDR", S179="LTSR"), Y179 &amp; "BL" &amp; IF(Z179 &lt;&gt; "-", "/" &amp; Z179 &amp; "BT", ""), IF(OR(S179="RTDR", S179="RTSR"), Y179 &amp; "BR" &amp; IF(Z179 &lt;&gt; "-", "/" &amp; Z179 &amp; "BT", ""), IF(Z179 &lt;&gt; "-", Y179 &amp; "BT/" &amp; Z179 &amp; "BT", Y179 &amp; "BT"))))</f>
        <v/>
      </c>
    </row>
    <row r="180">
      <c r="A180" t="n">
        <v>558</v>
      </c>
      <c r="B180" t="inlineStr">
        <is>
          <t>SR 1001</t>
        </is>
      </c>
      <c r="C180" t="n">
        <v>0.24</v>
      </c>
      <c r="D180" t="inlineStr">
        <is>
          <t>S</t>
        </is>
      </c>
      <c r="E180" t="inlineStr">
        <is>
          <t>SR 1620</t>
        </is>
      </c>
      <c r="F180" t="inlineStr">
        <is>
          <t>US 601</t>
        </is>
      </c>
      <c r="G180" t="inlineStr">
        <is>
          <t>SR 1001</t>
        </is>
      </c>
      <c r="H180" t="n">
        <v>1.112</v>
      </c>
      <c r="I180" t="inlineStr">
        <is>
          <t>NIS</t>
        </is>
      </c>
      <c r="L180" t="n">
        <v>108478263</v>
      </c>
      <c r="M180" s="6" t="n">
        <v>46136</v>
      </c>
      <c r="N180" t="n">
        <v>23</v>
      </c>
      <c r="O180" t="n">
        <v>1</v>
      </c>
      <c r="P180" t="n">
        <v>0</v>
      </c>
      <c r="Q180" t="n">
        <v>1</v>
      </c>
      <c r="R180" t="inlineStr">
        <is>
          <t>O</t>
        </is>
      </c>
      <c r="S180">
        <f>IFERROR(VLOOKUP(N180,Index!$A$1:$B$26,2,FALSE),"")</f>
        <v/>
      </c>
      <c r="T180">
        <f>AA180</f>
        <v/>
      </c>
      <c r="V180">
        <f>IFERROR(INDEX(DetailedFiche!Q:Q,MATCH(L180,DetailedFiche!J:J,0)),"")</f>
        <v/>
      </c>
      <c r="W180">
        <f>IFERROR(INDEX(DetailedFiche!R:R,MATCH(L180,DetailedFiche!J:J,0)),"")</f>
        <v/>
      </c>
      <c r="Y180">
        <f>IFERROR(IF(AND(INDEX('Initial Study'!K:K, MATCH(L180, 'Initial Study'!B:B, 0)+1)&lt;&gt;0,INDEX('Initial Study'!K:K, MATCH(L180, 'Initial Study'!B:B, 0)+1)&lt;&gt;""),INDEX('Initial Study'!K:K, MATCH(L180, 'Initial Study'!B:B, 0)+1),""),"")</f>
        <v/>
      </c>
      <c r="Z180">
        <f>IFERROR(IF(AND(INDEX('Initial Study'!K:K, MATCH(L180, 'Initial Study'!B:B, 0)+2)&lt;&gt;0,INDEX('Initial Study'!K:K, MATCH(L180, 'Initial Study'!B:B, 0)+2)&lt;&gt;"",NOT(ISNUMBER(INDEX('Initial Study'!K:K, MATCH(L180, 'Initial Study'!B:B, 0)+2)))),INDEX('Initial Study'!K:K, MATCH(L180, 'Initial Study'!B:B, 0)+2),"-"),"-")</f>
        <v/>
      </c>
      <c r="AA180">
        <f>IF(S180="RE", Y180 &amp; "BT/" &amp; IF(Z180 &lt;&gt; "-", Z180 &amp; "BT", ""), IF(OR(S180="LTDR", S180="LTSR"), Y180 &amp; "BL" &amp; IF(Z180 &lt;&gt; "-", "/" &amp; Z180 &amp; "BT", ""), IF(OR(S180="RTDR", S180="RTSR"), Y180 &amp; "BR" &amp; IF(Z180 &lt;&gt; "-", "/" &amp; Z180 &amp; "BT", ""), IF(Z180 &lt;&gt; "-", Y180 &amp; "BT/" &amp; Z180 &amp; "BT", Y180 &amp; "BT"))))</f>
        <v/>
      </c>
    </row>
    <row r="181">
      <c r="A181" t="n">
        <v>558</v>
      </c>
      <c r="B181" t="inlineStr">
        <is>
          <t>SIKES MILL</t>
        </is>
      </c>
      <c r="C181" t="n">
        <v>0.23</v>
      </c>
      <c r="D181" t="inlineStr">
        <is>
          <t>SW</t>
        </is>
      </c>
      <c r="E181" t="inlineStr">
        <is>
          <t>BAUCOM</t>
        </is>
      </c>
      <c r="F181" t="inlineStr">
        <is>
          <t>US 601</t>
        </is>
      </c>
      <c r="G181" t="inlineStr">
        <is>
          <t>SR 1001</t>
        </is>
      </c>
      <c r="H181" t="n">
        <v>1.122</v>
      </c>
      <c r="I181" t="inlineStr">
        <is>
          <t>NIS</t>
        </is>
      </c>
      <c r="L181" t="n">
        <v>105934391</v>
      </c>
      <c r="M181" s="6" t="n">
        <v>43668</v>
      </c>
      <c r="N181" t="n">
        <v>19</v>
      </c>
      <c r="O181" t="n">
        <v>1</v>
      </c>
      <c r="P181" t="n">
        <v>0</v>
      </c>
      <c r="Q181" t="n">
        <v>1</v>
      </c>
      <c r="R181" t="inlineStr">
        <is>
          <t>O</t>
        </is>
      </c>
      <c r="S181">
        <f>IFERROR(VLOOKUP(N181,Index!$A$1:$B$26,2,FALSE),"")</f>
        <v/>
      </c>
      <c r="T181">
        <f>AA181</f>
        <v/>
      </c>
      <c r="V181">
        <f>IFERROR(INDEX(DetailedFiche!Q:Q,MATCH(L181,DetailedFiche!J:J,0)),"")</f>
        <v/>
      </c>
      <c r="W181">
        <f>IFERROR(INDEX(DetailedFiche!R:R,MATCH(L181,DetailedFiche!J:J,0)),"")</f>
        <v/>
      </c>
      <c r="Y181">
        <f>IFERROR(IF(AND(INDEX('Initial Study'!K:K, MATCH(L181, 'Initial Study'!B:B, 0)+1)&lt;&gt;0,INDEX('Initial Study'!K:K, MATCH(L181, 'Initial Study'!B:B, 0)+1)&lt;&gt;""),INDEX('Initial Study'!K:K, MATCH(L181, 'Initial Study'!B:B, 0)+1),""),"")</f>
        <v/>
      </c>
      <c r="Z181">
        <f>IFERROR(IF(AND(INDEX('Initial Study'!K:K, MATCH(L181, 'Initial Study'!B:B, 0)+2)&lt;&gt;0,INDEX('Initial Study'!K:K, MATCH(L181, 'Initial Study'!B:B, 0)+2)&lt;&gt;"",NOT(ISNUMBER(INDEX('Initial Study'!K:K, MATCH(L181, 'Initial Study'!B:B, 0)+2)))),INDEX('Initial Study'!K:K, MATCH(L181, 'Initial Study'!B:B, 0)+2),"-"),"-")</f>
        <v/>
      </c>
      <c r="AA181">
        <f>IF(S181="RE", Y181 &amp; "BT/" &amp; IF(Z181 &lt;&gt; "-", Z181 &amp; "BT", ""), IF(OR(S181="LTDR", S181="LTSR"), Y181 &amp; "BL" &amp; IF(Z181 &lt;&gt; "-", "/" &amp; Z181 &amp; "BT", ""), IF(OR(S181="RTDR", S181="RTSR"), Y181 &amp; "BR" &amp; IF(Z181 &lt;&gt; "-", "/" &amp; Z181 &amp; "BT", ""), IF(Z181 &lt;&gt; "-", Y181 &amp; "BT/" &amp; Z181 &amp; "BT", Y181 &amp; "BT"))))</f>
        <v/>
      </c>
    </row>
    <row r="182">
      <c r="A182" t="n">
        <v>558</v>
      </c>
      <c r="B182" t="inlineStr">
        <is>
          <t>SIKES MILL</t>
        </is>
      </c>
      <c r="C182" t="n">
        <v>1.16</v>
      </c>
      <c r="D182" t="inlineStr">
        <is>
          <t>N</t>
        </is>
      </c>
      <c r="E182" t="inlineStr">
        <is>
          <t>US 601</t>
        </is>
      </c>
      <c r="F182" t="inlineStr">
        <is>
          <t>BAUCOM</t>
        </is>
      </c>
      <c r="G182" t="inlineStr">
        <is>
          <t>SR 1001</t>
        </is>
      </c>
      <c r="H182" t="n">
        <v>1.16</v>
      </c>
      <c r="I182" t="inlineStr">
        <is>
          <t>NIS</t>
        </is>
      </c>
      <c r="L182" t="n">
        <v>107470651</v>
      </c>
      <c r="M182" s="6" t="n">
        <v>45188</v>
      </c>
      <c r="N182" t="n">
        <v>17</v>
      </c>
      <c r="O182" t="n">
        <v>1</v>
      </c>
      <c r="P182" t="n">
        <v>0</v>
      </c>
      <c r="Q182" t="n">
        <v>5</v>
      </c>
      <c r="R182" t="inlineStr">
        <is>
          <t>O</t>
        </is>
      </c>
      <c r="S182">
        <f>IFERROR(VLOOKUP(N182,Index!$A$1:$B$26,2,FALSE),"")</f>
        <v/>
      </c>
      <c r="T182">
        <f>AA182</f>
        <v/>
      </c>
      <c r="V182">
        <f>IFERROR(INDEX(DetailedFiche!Q:Q,MATCH(L182,DetailedFiche!J:J,0)),"")</f>
        <v/>
      </c>
      <c r="W182">
        <f>IFERROR(INDEX(DetailedFiche!R:R,MATCH(L182,DetailedFiche!J:J,0)),"")</f>
        <v/>
      </c>
      <c r="Y182">
        <f>IFERROR(IF(AND(INDEX('Initial Study'!K:K, MATCH(L182, 'Initial Study'!B:B, 0)+1)&lt;&gt;0,INDEX('Initial Study'!K:K, MATCH(L182, 'Initial Study'!B:B, 0)+1)&lt;&gt;""),INDEX('Initial Study'!K:K, MATCH(L182, 'Initial Study'!B:B, 0)+1),""),"")</f>
        <v/>
      </c>
      <c r="Z182">
        <f>IFERROR(IF(AND(INDEX('Initial Study'!K:K, MATCH(L182, 'Initial Study'!B:B, 0)+2)&lt;&gt;0,INDEX('Initial Study'!K:K, MATCH(L182, 'Initial Study'!B:B, 0)+2)&lt;&gt;"",NOT(ISNUMBER(INDEX('Initial Study'!K:K, MATCH(L182, 'Initial Study'!B:B, 0)+2)))),INDEX('Initial Study'!K:K, MATCH(L182, 'Initial Study'!B:B, 0)+2),"-"),"-")</f>
        <v/>
      </c>
      <c r="AA182">
        <f>IF(S182="RE", Y182 &amp; "BT/" &amp; IF(Z182 &lt;&gt; "-", Z182 &amp; "BT", ""), IF(OR(S182="LTDR", S182="LTSR"), Y182 &amp; "BL" &amp; IF(Z182 &lt;&gt; "-", "/" &amp; Z182 &amp; "BT", ""), IF(OR(S182="RTDR", S182="RTSR"), Y182 &amp; "BR" &amp; IF(Z182 &lt;&gt; "-", "/" &amp; Z182 &amp; "BT", ""), IF(Z182 &lt;&gt; "-", Y182 &amp; "BT/" &amp; Z182 &amp; "BT", Y182 &amp; "BT"))))</f>
        <v/>
      </c>
    </row>
    <row r="183">
      <c r="A183" t="n">
        <v>558</v>
      </c>
      <c r="B183" t="inlineStr">
        <is>
          <t>SR 1001</t>
        </is>
      </c>
      <c r="C183" t="n">
        <v>0.1</v>
      </c>
      <c r="D183" t="inlineStr">
        <is>
          <t>W</t>
        </is>
      </c>
      <c r="E183" t="inlineStr">
        <is>
          <t>SR 1620</t>
        </is>
      </c>
      <c r="F183" t="inlineStr">
        <is>
          <t>NC 200</t>
        </is>
      </c>
      <c r="G183" t="inlineStr">
        <is>
          <t>SR 1001</t>
        </is>
      </c>
      <c r="H183" t="n">
        <v>1.252</v>
      </c>
      <c r="I183" t="inlineStr">
        <is>
          <t>NIS</t>
        </is>
      </c>
      <c r="L183" t="n">
        <v>105723366</v>
      </c>
      <c r="M183" s="6" t="n">
        <v>43461</v>
      </c>
      <c r="N183" t="n">
        <v>28</v>
      </c>
      <c r="O183" t="n">
        <v>1</v>
      </c>
      <c r="P183" t="n">
        <v>0</v>
      </c>
      <c r="Q183" t="n">
        <v>1</v>
      </c>
      <c r="R183" t="inlineStr">
        <is>
          <t>O</t>
        </is>
      </c>
      <c r="S183">
        <f>IFERROR(VLOOKUP(N183,Index!$A$1:$B$26,2,FALSE),"")</f>
        <v/>
      </c>
      <c r="T183">
        <f>AA183</f>
        <v/>
      </c>
      <c r="V183">
        <f>IFERROR(INDEX(DetailedFiche!Q:Q,MATCH(L183,DetailedFiche!J:J,0)),"")</f>
        <v/>
      </c>
      <c r="W183">
        <f>IFERROR(INDEX(DetailedFiche!R:R,MATCH(L183,DetailedFiche!J:J,0)),"")</f>
        <v/>
      </c>
      <c r="Y183">
        <f>IFERROR(IF(AND(INDEX('Initial Study'!K:K, MATCH(L183, 'Initial Study'!B:B, 0)+1)&lt;&gt;0,INDEX('Initial Study'!K:K, MATCH(L183, 'Initial Study'!B:B, 0)+1)&lt;&gt;""),INDEX('Initial Study'!K:K, MATCH(L183, 'Initial Study'!B:B, 0)+1),""),"")</f>
        <v/>
      </c>
      <c r="Z183">
        <f>IFERROR(IF(AND(INDEX('Initial Study'!K:K, MATCH(L183, 'Initial Study'!B:B, 0)+2)&lt;&gt;0,INDEX('Initial Study'!K:K, MATCH(L183, 'Initial Study'!B:B, 0)+2)&lt;&gt;"",NOT(ISNUMBER(INDEX('Initial Study'!K:K, MATCH(L183, 'Initial Study'!B:B, 0)+2)))),INDEX('Initial Study'!K:K, MATCH(L183, 'Initial Study'!B:B, 0)+2),"-"),"-")</f>
        <v/>
      </c>
      <c r="AA183">
        <f>IF(S183="RE", Y183 &amp; "BT/" &amp; IF(Z183 &lt;&gt; "-", Z183 &amp; "BT", ""), IF(OR(S183="LTDR", S183="LTSR"), Y183 &amp; "BL" &amp; IF(Z183 &lt;&gt; "-", "/" &amp; Z183 &amp; "BT", ""), IF(OR(S183="RTDR", S183="RTSR"), Y183 &amp; "BR" &amp; IF(Z183 &lt;&gt; "-", "/" &amp; Z183 &amp; "BT", ""), IF(Z183 &lt;&gt; "-", Y183 &amp; "BT/" &amp; Z183 &amp; "BT", Y183 &amp; "BT"))))</f>
        <v/>
      </c>
    </row>
    <row r="184">
      <c r="A184" t="n">
        <v>558</v>
      </c>
      <c r="B184" t="inlineStr">
        <is>
          <t>SIKES MILL</t>
        </is>
      </c>
      <c r="C184" t="n">
        <v>0.019</v>
      </c>
      <c r="D184" t="inlineStr">
        <is>
          <t>S</t>
        </is>
      </c>
      <c r="E184" t="inlineStr">
        <is>
          <t>BAUCOM</t>
        </is>
      </c>
      <c r="F184" t="inlineStr">
        <is>
          <t>SPRING LAKE</t>
        </is>
      </c>
      <c r="G184" t="inlineStr">
        <is>
          <t>SR 1001</t>
        </is>
      </c>
      <c r="H184" t="n">
        <v>1.333</v>
      </c>
      <c r="I184" t="inlineStr">
        <is>
          <t>NIS</t>
        </is>
      </c>
      <c r="L184" t="n">
        <v>106776645</v>
      </c>
      <c r="M184" s="6" t="n">
        <v>44519</v>
      </c>
      <c r="N184" t="n">
        <v>17</v>
      </c>
      <c r="O184" t="n">
        <v>1</v>
      </c>
      <c r="P184" t="n">
        <v>0</v>
      </c>
      <c r="Q184" t="n">
        <v>5</v>
      </c>
      <c r="R184" t="inlineStr">
        <is>
          <t>O</t>
        </is>
      </c>
      <c r="S184">
        <f>IFERROR(VLOOKUP(N184,Index!$A$1:$B$26,2,FALSE),"")</f>
        <v/>
      </c>
      <c r="T184">
        <f>AA184</f>
        <v/>
      </c>
      <c r="V184">
        <f>IFERROR(INDEX(DetailedFiche!Q:Q,MATCH(L184,DetailedFiche!J:J,0)),"")</f>
        <v/>
      </c>
      <c r="W184">
        <f>IFERROR(INDEX(DetailedFiche!R:R,MATCH(L184,DetailedFiche!J:J,0)),"")</f>
        <v/>
      </c>
      <c r="Y184">
        <f>IFERROR(IF(AND(INDEX('Initial Study'!K:K, MATCH(L184, 'Initial Study'!B:B, 0)+1)&lt;&gt;0,INDEX('Initial Study'!K:K, MATCH(L184, 'Initial Study'!B:B, 0)+1)&lt;&gt;""),INDEX('Initial Study'!K:K, MATCH(L184, 'Initial Study'!B:B, 0)+1),""),"")</f>
        <v/>
      </c>
      <c r="Z184">
        <f>IFERROR(IF(AND(INDEX('Initial Study'!K:K, MATCH(L184, 'Initial Study'!B:B, 0)+2)&lt;&gt;0,INDEX('Initial Study'!K:K, MATCH(L184, 'Initial Study'!B:B, 0)+2)&lt;&gt;"",NOT(ISNUMBER(INDEX('Initial Study'!K:K, MATCH(L184, 'Initial Study'!B:B, 0)+2)))),INDEX('Initial Study'!K:K, MATCH(L184, 'Initial Study'!B:B, 0)+2),"-"),"-")</f>
        <v/>
      </c>
      <c r="AA184">
        <f>IF(S184="RE", Y184 &amp; "BT/" &amp; IF(Z184 &lt;&gt; "-", Z184 &amp; "BT", ""), IF(OR(S184="LTDR", S184="LTSR"), Y184 &amp; "BL" &amp; IF(Z184 &lt;&gt; "-", "/" &amp; Z184 &amp; "BT", ""), IF(OR(S184="RTDR", S184="RTSR"), Y184 &amp; "BR" &amp; IF(Z184 &lt;&gt; "-", "/" &amp; Z184 &amp; "BT", ""), IF(Z184 &lt;&gt; "-", Y184 &amp; "BT/" &amp; Z184 &amp; "BT", Y184 &amp; "BT"))))</f>
        <v/>
      </c>
    </row>
    <row r="185">
      <c r="A185" t="n">
        <v>558</v>
      </c>
      <c r="B185" t="inlineStr">
        <is>
          <t>SIKES MILL</t>
        </is>
      </c>
      <c r="C185" t="n">
        <v>0.019</v>
      </c>
      <c r="D185" t="inlineStr">
        <is>
          <t>S</t>
        </is>
      </c>
      <c r="E185" t="inlineStr">
        <is>
          <t>BAUCOM</t>
        </is>
      </c>
      <c r="F185" t="inlineStr">
        <is>
          <t>US 601</t>
        </is>
      </c>
      <c r="G185" t="inlineStr">
        <is>
          <t>SR 1001</t>
        </is>
      </c>
      <c r="H185" t="n">
        <v>1.333</v>
      </c>
      <c r="I185" t="inlineStr">
        <is>
          <t>NIS</t>
        </is>
      </c>
      <c r="L185" t="n">
        <v>108314414</v>
      </c>
      <c r="M185" s="6" t="n">
        <v>45982</v>
      </c>
      <c r="N185" t="n">
        <v>21</v>
      </c>
      <c r="O185" t="n">
        <v>2</v>
      </c>
      <c r="P185" t="n">
        <v>0</v>
      </c>
      <c r="Q185" t="n">
        <v>1</v>
      </c>
      <c r="R185" t="inlineStr">
        <is>
          <t>O</t>
        </is>
      </c>
      <c r="S185">
        <f>IFERROR(VLOOKUP(N185,Index!$A$1:$B$26,2,FALSE),"")</f>
        <v/>
      </c>
      <c r="T185">
        <f>AA185</f>
        <v/>
      </c>
      <c r="V185">
        <f>IFERROR(INDEX(DetailedFiche!Q:Q,MATCH(L185,DetailedFiche!J:J,0)),"")</f>
        <v/>
      </c>
      <c r="W185">
        <f>IFERROR(INDEX(DetailedFiche!R:R,MATCH(L185,DetailedFiche!J:J,0)),"")</f>
        <v/>
      </c>
      <c r="Y185">
        <f>IFERROR(IF(AND(INDEX('Initial Study'!K:K, MATCH(L185, 'Initial Study'!B:B, 0)+1)&lt;&gt;0,INDEX('Initial Study'!K:K, MATCH(L185, 'Initial Study'!B:B, 0)+1)&lt;&gt;""),INDEX('Initial Study'!K:K, MATCH(L185, 'Initial Study'!B:B, 0)+1),""),"")</f>
        <v/>
      </c>
      <c r="Z185">
        <f>IFERROR(IF(AND(INDEX('Initial Study'!K:K, MATCH(L185, 'Initial Study'!B:B, 0)+2)&lt;&gt;0,INDEX('Initial Study'!K:K, MATCH(L185, 'Initial Study'!B:B, 0)+2)&lt;&gt;"",NOT(ISNUMBER(INDEX('Initial Study'!K:K, MATCH(L185, 'Initial Study'!B:B, 0)+2)))),INDEX('Initial Study'!K:K, MATCH(L185, 'Initial Study'!B:B, 0)+2),"-"),"-")</f>
        <v/>
      </c>
      <c r="AA185">
        <f>IF(S185="RE", Y185 &amp; "BT/" &amp; IF(Z185 &lt;&gt; "-", Z185 &amp; "BT", ""), IF(OR(S185="LTDR", S185="LTSR"), Y185 &amp; "BL" &amp; IF(Z185 &lt;&gt; "-", "/" &amp; Z185 &amp; "BT", ""), IF(OR(S185="RTDR", S185="RTSR"), Y185 &amp; "BR" &amp; IF(Z185 &lt;&gt; "-", "/" &amp; Z185 &amp; "BT", ""), IF(Z185 &lt;&gt; "-", Y185 &amp; "BT/" &amp; Z185 &amp; "BT", Y185 &amp; "BT"))))</f>
        <v/>
      </c>
    </row>
    <row r="186">
      <c r="A186" t="n">
        <v>558</v>
      </c>
      <c r="B186" t="inlineStr">
        <is>
          <t>SR 1001</t>
        </is>
      </c>
      <c r="C186" t="n">
        <v>0.005</v>
      </c>
      <c r="D186" t="inlineStr">
        <is>
          <t>S</t>
        </is>
      </c>
      <c r="E186" t="inlineStr">
        <is>
          <t>SR 1620</t>
        </is>
      </c>
      <c r="F186" t="inlineStr">
        <is>
          <t>SPRING LAKE</t>
        </is>
      </c>
      <c r="G186" t="inlineStr">
        <is>
          <t>SR 1001</t>
        </is>
      </c>
      <c r="H186" t="n">
        <v>1.347</v>
      </c>
      <c r="I186" t="inlineStr">
        <is>
          <t>NIS</t>
        </is>
      </c>
      <c r="L186" t="n">
        <v>105596512</v>
      </c>
      <c r="M186" s="6" t="n">
        <v>43327</v>
      </c>
      <c r="N186" t="n">
        <v>19</v>
      </c>
      <c r="O186" t="n">
        <v>1</v>
      </c>
      <c r="P186" t="n">
        <v>0</v>
      </c>
      <c r="Q186" t="n">
        <v>1</v>
      </c>
      <c r="R186" t="inlineStr">
        <is>
          <t>O</t>
        </is>
      </c>
      <c r="S186">
        <f>IFERROR(VLOOKUP(N186,Index!$A$1:$B$26,2,FALSE),"")</f>
        <v/>
      </c>
      <c r="T186">
        <f>AA186</f>
        <v/>
      </c>
      <c r="V186">
        <f>IFERROR(INDEX(DetailedFiche!Q:Q,MATCH(L186,DetailedFiche!J:J,0)),"")</f>
        <v/>
      </c>
      <c r="W186">
        <f>IFERROR(INDEX(DetailedFiche!R:R,MATCH(L186,DetailedFiche!J:J,0)),"")</f>
        <v/>
      </c>
      <c r="Y186">
        <f>IFERROR(IF(AND(INDEX('Initial Study'!K:K, MATCH(L186, 'Initial Study'!B:B, 0)+1)&lt;&gt;0,INDEX('Initial Study'!K:K, MATCH(L186, 'Initial Study'!B:B, 0)+1)&lt;&gt;""),INDEX('Initial Study'!K:K, MATCH(L186, 'Initial Study'!B:B, 0)+1),""),"")</f>
        <v/>
      </c>
      <c r="Z186">
        <f>IFERROR(IF(AND(INDEX('Initial Study'!K:K, MATCH(L186, 'Initial Study'!B:B, 0)+2)&lt;&gt;0,INDEX('Initial Study'!K:K, MATCH(L186, 'Initial Study'!B:B, 0)+2)&lt;&gt;"",NOT(ISNUMBER(INDEX('Initial Study'!K:K, MATCH(L186, 'Initial Study'!B:B, 0)+2)))),INDEX('Initial Study'!K:K, MATCH(L186, 'Initial Study'!B:B, 0)+2),"-"),"-")</f>
        <v/>
      </c>
      <c r="AA186">
        <f>IF(S186="RE", Y186 &amp; "BT/" &amp; IF(Z186 &lt;&gt; "-", Z186 &amp; "BT", ""), IF(OR(S186="LTDR", S186="LTSR"), Y186 &amp; "BL" &amp; IF(Z186 &lt;&gt; "-", "/" &amp; Z186 &amp; "BT", ""), IF(OR(S186="RTDR", S186="RTSR"), Y186 &amp; "BR" &amp; IF(Z186 &lt;&gt; "-", "/" &amp; Z186 &amp; "BT", ""), IF(Z186 &lt;&gt; "-", Y186 &amp; "BT/" &amp; Z186 &amp; "BT", Y186 &amp; "BT"))))</f>
        <v/>
      </c>
    </row>
    <row r="187">
      <c r="A187" t="n">
        <v>558</v>
      </c>
      <c r="B187" t="inlineStr">
        <is>
          <t>SIKES MILL</t>
        </is>
      </c>
      <c r="C187" t="n">
        <v>0</v>
      </c>
      <c r="E187" t="inlineStr">
        <is>
          <t>BAUCOM</t>
        </is>
      </c>
      <c r="F187" t="inlineStr">
        <is>
          <t>US 601</t>
        </is>
      </c>
      <c r="G187" t="inlineStr">
        <is>
          <t>SR 1001</t>
        </is>
      </c>
      <c r="H187" t="n">
        <v>1.352</v>
      </c>
      <c r="I187" t="inlineStr">
        <is>
          <t>NIS</t>
        </is>
      </c>
      <c r="L187" t="n">
        <v>107030009</v>
      </c>
      <c r="M187" s="6" t="n">
        <v>44771</v>
      </c>
      <c r="N187" t="n">
        <v>13</v>
      </c>
      <c r="O187" t="n">
        <v>1</v>
      </c>
      <c r="P187" t="n">
        <v>8</v>
      </c>
      <c r="Q187" t="n">
        <v>1</v>
      </c>
      <c r="R187" t="inlineStr">
        <is>
          <t>O</t>
        </is>
      </c>
      <c r="S187">
        <f>IFERROR(VLOOKUP(N187,Index!$A$1:$B$26,2,FALSE),"")</f>
        <v/>
      </c>
      <c r="T187">
        <f>AA187</f>
        <v/>
      </c>
      <c r="V187">
        <f>IFERROR(INDEX(DetailedFiche!Q:Q,MATCH(L187,DetailedFiche!J:J,0)),"")</f>
        <v/>
      </c>
      <c r="W187">
        <f>IFERROR(INDEX(DetailedFiche!R:R,MATCH(L187,DetailedFiche!J:J,0)),"")</f>
        <v/>
      </c>
      <c r="Y187">
        <f>IFERROR(IF(AND(INDEX('Initial Study'!K:K, MATCH(L187, 'Initial Study'!B:B, 0)+1)&lt;&gt;0,INDEX('Initial Study'!K:K, MATCH(L187, 'Initial Study'!B:B, 0)+1)&lt;&gt;""),INDEX('Initial Study'!K:K, MATCH(L187, 'Initial Study'!B:B, 0)+1),""),"")</f>
        <v/>
      </c>
      <c r="Z187">
        <f>IFERROR(IF(AND(INDEX('Initial Study'!K:K, MATCH(L187, 'Initial Study'!B:B, 0)+2)&lt;&gt;0,INDEX('Initial Study'!K:K, MATCH(L187, 'Initial Study'!B:B, 0)+2)&lt;&gt;"",NOT(ISNUMBER(INDEX('Initial Study'!K:K, MATCH(L187, 'Initial Study'!B:B, 0)+2)))),INDEX('Initial Study'!K:K, MATCH(L187, 'Initial Study'!B:B, 0)+2),"-"),"-")</f>
        <v/>
      </c>
      <c r="AA187">
        <f>IF(S187="RE", Y187 &amp; "BT/" &amp; IF(Z187 &lt;&gt; "-", Z187 &amp; "BT", ""), IF(OR(S187="LTDR", S187="LTSR"), Y187 &amp; "BL" &amp; IF(Z187 &lt;&gt; "-", "/" &amp; Z187 &amp; "BT", ""), IF(OR(S187="RTDR", S187="RTSR"), Y187 &amp; "BR" &amp; IF(Z187 &lt;&gt; "-", "/" &amp; Z187 &amp; "BT", ""), IF(Z187 &lt;&gt; "-", Y187 &amp; "BT/" &amp; Z187 &amp; "BT", Y187 &amp; "BT"))))</f>
        <v/>
      </c>
    </row>
    <row r="188">
      <c r="A188" t="n">
        <v>0</v>
      </c>
      <c r="B188" t="inlineStr">
        <is>
          <t>SR 1001</t>
        </is>
      </c>
      <c r="C188" t="n">
        <v>0</v>
      </c>
      <c r="E188" t="inlineStr">
        <is>
          <t>SR 1620</t>
        </is>
      </c>
      <c r="F188" t="inlineStr">
        <is>
          <t>SR 1615</t>
        </is>
      </c>
      <c r="G188" t="inlineStr">
        <is>
          <t>SR 1001</t>
        </is>
      </c>
      <c r="H188" t="n">
        <v>1.352</v>
      </c>
      <c r="I188" t="inlineStr">
        <is>
          <t>NIS</t>
        </is>
      </c>
      <c r="L188" t="n">
        <v>106971893</v>
      </c>
      <c r="M188" s="6" t="n">
        <v>44709</v>
      </c>
      <c r="N188" t="n">
        <v>23</v>
      </c>
      <c r="O188" t="n">
        <v>1</v>
      </c>
      <c r="P188" t="n">
        <v>8</v>
      </c>
      <c r="Q188" t="n">
        <v>1</v>
      </c>
      <c r="R188" t="inlineStr">
        <is>
          <t>O</t>
        </is>
      </c>
      <c r="S188">
        <f>IFERROR(VLOOKUP(N188,Index!$A$1:$B$26,2,FALSE),"")</f>
        <v/>
      </c>
      <c r="T188">
        <f>AA188</f>
        <v/>
      </c>
      <c r="V188">
        <f>IFERROR(INDEX(DetailedFiche!Q:Q,MATCH(L188,DetailedFiche!J:J,0)),"")</f>
        <v/>
      </c>
      <c r="W188">
        <f>IFERROR(INDEX(DetailedFiche!R:R,MATCH(L188,DetailedFiche!J:J,0)),"")</f>
        <v/>
      </c>
      <c r="Y188">
        <f>IFERROR(IF(AND(INDEX('Initial Study'!K:K, MATCH(L188, 'Initial Study'!B:B, 0)+1)&lt;&gt;0,INDEX('Initial Study'!K:K, MATCH(L188, 'Initial Study'!B:B, 0)+1)&lt;&gt;""),INDEX('Initial Study'!K:K, MATCH(L188, 'Initial Study'!B:B, 0)+1),""),"")</f>
        <v/>
      </c>
      <c r="Z188">
        <f>IFERROR(IF(AND(INDEX('Initial Study'!K:K, MATCH(L188, 'Initial Study'!B:B, 0)+2)&lt;&gt;0,INDEX('Initial Study'!K:K, MATCH(L188, 'Initial Study'!B:B, 0)+2)&lt;&gt;"",NOT(ISNUMBER(INDEX('Initial Study'!K:K, MATCH(L188, 'Initial Study'!B:B, 0)+2)))),INDEX('Initial Study'!K:K, MATCH(L188, 'Initial Study'!B:B, 0)+2),"-"),"-")</f>
        <v/>
      </c>
      <c r="AA188">
        <f>IF(S188="RE", Y188 &amp; "BT/" &amp; IF(Z188 &lt;&gt; "-", Z188 &amp; "BT", ""), IF(OR(S188="LTDR", S188="LTSR"), Y188 &amp; "BL" &amp; IF(Z188 &lt;&gt; "-", "/" &amp; Z188 &amp; "BT", ""), IF(OR(S188="RTDR", S188="RTSR"), Y188 &amp; "BR" &amp; IF(Z188 &lt;&gt; "-", "/" &amp; Z188 &amp; "BT", ""), IF(Z188 &lt;&gt; "-", Y188 &amp; "BT/" &amp; Z188 &amp; "BT", Y188 &amp; "BT"))))</f>
        <v/>
      </c>
    </row>
    <row r="189">
      <c r="A189" t="n">
        <v>558</v>
      </c>
      <c r="B189" t="inlineStr">
        <is>
          <t>SIKES MILL</t>
        </is>
      </c>
      <c r="C189" t="n">
        <v>0.008999999999999999</v>
      </c>
      <c r="D189" t="inlineStr">
        <is>
          <t>N</t>
        </is>
      </c>
      <c r="E189" t="inlineStr">
        <is>
          <t>BAUCOM</t>
        </is>
      </c>
      <c r="F189" t="inlineStr">
        <is>
          <t>CHANEY</t>
        </is>
      </c>
      <c r="G189" t="inlineStr">
        <is>
          <t>SR 1001</t>
        </is>
      </c>
      <c r="H189" t="n">
        <v>1.361</v>
      </c>
      <c r="I189" t="inlineStr">
        <is>
          <t>NIS</t>
        </is>
      </c>
      <c r="L189" t="n">
        <v>104780506</v>
      </c>
      <c r="M189" s="6" t="n">
        <v>42553</v>
      </c>
      <c r="N189" t="n">
        <v>21</v>
      </c>
      <c r="O189" t="n">
        <v>1</v>
      </c>
      <c r="P189" t="n">
        <v>8</v>
      </c>
      <c r="Q189" t="n">
        <v>1</v>
      </c>
      <c r="R189" t="inlineStr">
        <is>
          <t>O</t>
        </is>
      </c>
      <c r="S189">
        <f>IFERROR(VLOOKUP(N189,Index!$A$1:$B$26,2,FALSE),"")</f>
        <v/>
      </c>
      <c r="T189">
        <f>AA189</f>
        <v/>
      </c>
      <c r="V189">
        <f>IFERROR(INDEX(DetailedFiche!Q:Q,MATCH(L189,DetailedFiche!J:J,0)),"")</f>
        <v/>
      </c>
      <c r="W189">
        <f>IFERROR(INDEX(DetailedFiche!R:R,MATCH(L189,DetailedFiche!J:J,0)),"")</f>
        <v/>
      </c>
      <c r="Y189">
        <f>IFERROR(IF(AND(INDEX('Initial Study'!K:K, MATCH(L189, 'Initial Study'!B:B, 0)+1)&lt;&gt;0,INDEX('Initial Study'!K:K, MATCH(L189, 'Initial Study'!B:B, 0)+1)&lt;&gt;""),INDEX('Initial Study'!K:K, MATCH(L189, 'Initial Study'!B:B, 0)+1),""),"")</f>
        <v/>
      </c>
      <c r="Z189">
        <f>IFERROR(IF(AND(INDEX('Initial Study'!K:K, MATCH(L189, 'Initial Study'!B:B, 0)+2)&lt;&gt;0,INDEX('Initial Study'!K:K, MATCH(L189, 'Initial Study'!B:B, 0)+2)&lt;&gt;"",NOT(ISNUMBER(INDEX('Initial Study'!K:K, MATCH(L189, 'Initial Study'!B:B, 0)+2)))),INDEX('Initial Study'!K:K, MATCH(L189, 'Initial Study'!B:B, 0)+2),"-"),"-")</f>
        <v/>
      </c>
      <c r="AA189">
        <f>IF(S189="RE", Y189 &amp; "BT/" &amp; IF(Z189 &lt;&gt; "-", Z189 &amp; "BT", ""), IF(OR(S189="LTDR", S189="LTSR"), Y189 &amp; "BL" &amp; IF(Z189 &lt;&gt; "-", "/" &amp; Z189 &amp; "BT", ""), IF(OR(S189="RTDR", S189="RTSR"), Y189 &amp; "BR" &amp; IF(Z189 &lt;&gt; "-", "/" &amp; Z189 &amp; "BT", ""), IF(Z189 &lt;&gt; "-", Y189 &amp; "BT/" &amp; Z189 &amp; "BT", Y189 &amp; "BT"))))</f>
        <v/>
      </c>
    </row>
    <row r="190">
      <c r="A190" t="n">
        <v>0</v>
      </c>
      <c r="B190" t="inlineStr">
        <is>
          <t>SR 1001</t>
        </is>
      </c>
      <c r="C190" t="n">
        <v>0.019</v>
      </c>
      <c r="D190" t="inlineStr">
        <is>
          <t>E</t>
        </is>
      </c>
      <c r="E190" t="inlineStr">
        <is>
          <t>SR 1620</t>
        </is>
      </c>
      <c r="F190" t="inlineStr">
        <is>
          <t>US 601</t>
        </is>
      </c>
      <c r="G190" t="inlineStr">
        <is>
          <t>SR 1001</t>
        </is>
      </c>
      <c r="H190" t="n">
        <v>1.371</v>
      </c>
      <c r="I190" t="inlineStr">
        <is>
          <t>NIS</t>
        </is>
      </c>
      <c r="L190" t="n">
        <v>106072796</v>
      </c>
      <c r="M190" s="6" t="n">
        <v>43792</v>
      </c>
      <c r="N190" t="n">
        <v>19</v>
      </c>
      <c r="O190" t="n">
        <v>1</v>
      </c>
      <c r="P190" t="n">
        <v>0</v>
      </c>
      <c r="Q190" t="n">
        <v>1</v>
      </c>
      <c r="R190" t="inlineStr">
        <is>
          <t>O</t>
        </is>
      </c>
      <c r="S190">
        <f>IFERROR(VLOOKUP(N190,Index!$A$1:$B$26,2,FALSE),"")</f>
        <v/>
      </c>
      <c r="T190">
        <f>AA190</f>
        <v/>
      </c>
      <c r="V190">
        <f>IFERROR(INDEX(DetailedFiche!Q:Q,MATCH(L190,DetailedFiche!J:J,0)),"")</f>
        <v/>
      </c>
      <c r="W190">
        <f>IFERROR(INDEX(DetailedFiche!R:R,MATCH(L190,DetailedFiche!J:J,0)),"")</f>
        <v/>
      </c>
      <c r="Y190">
        <f>IFERROR(IF(AND(INDEX('Initial Study'!K:K, MATCH(L190, 'Initial Study'!B:B, 0)+1)&lt;&gt;0,INDEX('Initial Study'!K:K, MATCH(L190, 'Initial Study'!B:B, 0)+1)&lt;&gt;""),INDEX('Initial Study'!K:K, MATCH(L190, 'Initial Study'!B:B, 0)+1),""),"")</f>
        <v/>
      </c>
      <c r="Z190">
        <f>IFERROR(IF(AND(INDEX('Initial Study'!K:K, MATCH(L190, 'Initial Study'!B:B, 0)+2)&lt;&gt;0,INDEX('Initial Study'!K:K, MATCH(L190, 'Initial Study'!B:B, 0)+2)&lt;&gt;"",NOT(ISNUMBER(INDEX('Initial Study'!K:K, MATCH(L190, 'Initial Study'!B:B, 0)+2)))),INDEX('Initial Study'!K:K, MATCH(L190, 'Initial Study'!B:B, 0)+2),"-"),"-")</f>
        <v/>
      </c>
      <c r="AA190">
        <f>IF(S190="RE", Y190 &amp; "BT/" &amp; IF(Z190 &lt;&gt; "-", Z190 &amp; "BT", ""), IF(OR(S190="LTDR", S190="LTSR"), Y190 &amp; "BL" &amp; IF(Z190 &lt;&gt; "-", "/" &amp; Z190 &amp; "BT", ""), IF(OR(S190="RTDR", S190="RTSR"), Y190 &amp; "BR" &amp; IF(Z190 &lt;&gt; "-", "/" &amp; Z190 &amp; "BT", ""), IF(Z190 &lt;&gt; "-", Y190 &amp; "BT/" &amp; Z190 &amp; "BT", Y190 &amp; "BT"))))</f>
        <v/>
      </c>
    </row>
    <row r="191">
      <c r="A191" t="n">
        <v>558</v>
      </c>
      <c r="B191" t="inlineStr">
        <is>
          <t>SR 1001</t>
        </is>
      </c>
      <c r="C191" t="n">
        <v>0.028</v>
      </c>
      <c r="D191" t="inlineStr">
        <is>
          <t>N</t>
        </is>
      </c>
      <c r="E191" t="inlineStr">
        <is>
          <t>SR 1620</t>
        </is>
      </c>
      <c r="F191" t="inlineStr">
        <is>
          <t>SR 1665</t>
        </is>
      </c>
      <c r="G191" t="inlineStr">
        <is>
          <t>SR 1001</t>
        </is>
      </c>
      <c r="H191" t="n">
        <v>1.38</v>
      </c>
      <c r="I191" t="inlineStr">
        <is>
          <t>NIS</t>
        </is>
      </c>
      <c r="L191" t="n">
        <v>108296963</v>
      </c>
      <c r="M191" s="6" t="n">
        <v>45959</v>
      </c>
      <c r="N191" t="n">
        <v>21</v>
      </c>
      <c r="O191" t="n">
        <v>2</v>
      </c>
      <c r="P191" t="n">
        <v>0</v>
      </c>
      <c r="Q191" t="n">
        <v>1</v>
      </c>
      <c r="R191" t="inlineStr">
        <is>
          <t>O</t>
        </is>
      </c>
      <c r="S191">
        <f>IFERROR(VLOOKUP(N191,Index!$A$1:$B$26,2,FALSE),"")</f>
        <v/>
      </c>
      <c r="T191">
        <f>AA191</f>
        <v/>
      </c>
      <c r="V191">
        <f>IFERROR(INDEX(DetailedFiche!Q:Q,MATCH(L191,DetailedFiche!J:J,0)),"")</f>
        <v/>
      </c>
      <c r="W191">
        <f>IFERROR(INDEX(DetailedFiche!R:R,MATCH(L191,DetailedFiche!J:J,0)),"")</f>
        <v/>
      </c>
      <c r="Y191">
        <f>IFERROR(IF(AND(INDEX('Initial Study'!K:K, MATCH(L191, 'Initial Study'!B:B, 0)+1)&lt;&gt;0,INDEX('Initial Study'!K:K, MATCH(L191, 'Initial Study'!B:B, 0)+1)&lt;&gt;""),INDEX('Initial Study'!K:K, MATCH(L191, 'Initial Study'!B:B, 0)+1),""),"")</f>
        <v/>
      </c>
      <c r="Z191">
        <f>IFERROR(IF(AND(INDEX('Initial Study'!K:K, MATCH(L191, 'Initial Study'!B:B, 0)+2)&lt;&gt;0,INDEX('Initial Study'!K:K, MATCH(L191, 'Initial Study'!B:B, 0)+2)&lt;&gt;"",NOT(ISNUMBER(INDEX('Initial Study'!K:K, MATCH(L191, 'Initial Study'!B:B, 0)+2)))),INDEX('Initial Study'!K:K, MATCH(L191, 'Initial Study'!B:B, 0)+2),"-"),"-")</f>
        <v/>
      </c>
      <c r="AA191">
        <f>IF(S191="RE", Y191 &amp; "BT/" &amp; IF(Z191 &lt;&gt; "-", Z191 &amp; "BT", ""), IF(OR(S191="LTDR", S191="LTSR"), Y191 &amp; "BL" &amp; IF(Z191 &lt;&gt; "-", "/" &amp; Z191 &amp; "BT", ""), IF(OR(S191="RTDR", S191="RTSR"), Y191 &amp; "BR" &amp; IF(Z191 &lt;&gt; "-", "/" &amp; Z191 &amp; "BT", ""), IF(Z191 &lt;&gt; "-", Y191 &amp; "BT/" &amp; Z191 &amp; "BT", Y191 &amp; "BT"))))</f>
        <v/>
      </c>
    </row>
    <row r="192">
      <c r="A192" t="n">
        <v>558</v>
      </c>
      <c r="B192" t="inlineStr">
        <is>
          <t>SIKES MILL</t>
        </is>
      </c>
      <c r="C192" t="n">
        <v>0.029</v>
      </c>
      <c r="D192" t="inlineStr">
        <is>
          <t>N</t>
        </is>
      </c>
      <c r="E192" t="inlineStr">
        <is>
          <t>BAUCOM</t>
        </is>
      </c>
      <c r="F192" t="inlineStr">
        <is>
          <t>CHANEY</t>
        </is>
      </c>
      <c r="G192" t="inlineStr">
        <is>
          <t>SR 1001</t>
        </is>
      </c>
      <c r="H192" t="n">
        <v>1.381</v>
      </c>
      <c r="I192" t="inlineStr">
        <is>
          <t>NIS</t>
        </is>
      </c>
      <c r="L192" t="n">
        <v>106254958</v>
      </c>
      <c r="M192" s="6" t="n">
        <v>44001</v>
      </c>
      <c r="N192" t="n">
        <v>19</v>
      </c>
      <c r="O192" t="n">
        <v>1</v>
      </c>
      <c r="P192" t="n">
        <v>8</v>
      </c>
      <c r="Q192" t="n">
        <v>1</v>
      </c>
      <c r="R192" t="inlineStr">
        <is>
          <t>C</t>
        </is>
      </c>
      <c r="S192">
        <f>IFERROR(VLOOKUP(N192,Index!$A$1:$B$26,2,FALSE),"")</f>
        <v/>
      </c>
      <c r="T192">
        <f>AA192</f>
        <v/>
      </c>
      <c r="V192">
        <f>IFERROR(INDEX(DetailedFiche!Q:Q,MATCH(L192,DetailedFiche!J:J,0)),"")</f>
        <v/>
      </c>
      <c r="W192">
        <f>IFERROR(INDEX(DetailedFiche!R:R,MATCH(L192,DetailedFiche!J:J,0)),"")</f>
        <v/>
      </c>
      <c r="Y192">
        <f>IFERROR(IF(AND(INDEX('Initial Study'!K:K, MATCH(L192, 'Initial Study'!B:B, 0)+1)&lt;&gt;0,INDEX('Initial Study'!K:K, MATCH(L192, 'Initial Study'!B:B, 0)+1)&lt;&gt;""),INDEX('Initial Study'!K:K, MATCH(L192, 'Initial Study'!B:B, 0)+1),""),"")</f>
        <v/>
      </c>
      <c r="Z192">
        <f>IFERROR(IF(AND(INDEX('Initial Study'!K:K, MATCH(L192, 'Initial Study'!B:B, 0)+2)&lt;&gt;0,INDEX('Initial Study'!K:K, MATCH(L192, 'Initial Study'!B:B, 0)+2)&lt;&gt;"",NOT(ISNUMBER(INDEX('Initial Study'!K:K, MATCH(L192, 'Initial Study'!B:B, 0)+2)))),INDEX('Initial Study'!K:K, MATCH(L192, 'Initial Study'!B:B, 0)+2),"-"),"-")</f>
        <v/>
      </c>
      <c r="AA192">
        <f>IF(S192="RE", Y192 &amp; "BT/" &amp; IF(Z192 &lt;&gt; "-", Z192 &amp; "BT", ""), IF(OR(S192="LTDR", S192="LTSR"), Y192 &amp; "BL" &amp; IF(Z192 &lt;&gt; "-", "/" &amp; Z192 &amp; "BT", ""), IF(OR(S192="RTDR", S192="RTSR"), Y192 &amp; "BR" &amp; IF(Z192 &lt;&gt; "-", "/" &amp; Z192 &amp; "BT", ""), IF(Z192 &lt;&gt; "-", Y192 &amp; "BT/" &amp; Z192 &amp; "BT", Y192 &amp; "BT"))))</f>
        <v/>
      </c>
    </row>
    <row r="193">
      <c r="A193" t="n">
        <v>558</v>
      </c>
      <c r="B193" t="inlineStr">
        <is>
          <t>SR 1001</t>
        </is>
      </c>
      <c r="C193" t="n">
        <v>0.053</v>
      </c>
      <c r="D193" t="inlineStr">
        <is>
          <t>N</t>
        </is>
      </c>
      <c r="E193" t="inlineStr">
        <is>
          <t>SR 1620</t>
        </is>
      </c>
      <c r="F193" t="inlineStr">
        <is>
          <t>SR 1665</t>
        </is>
      </c>
      <c r="G193" t="inlineStr">
        <is>
          <t>SR 1001</t>
        </is>
      </c>
      <c r="H193" t="n">
        <v>1.405</v>
      </c>
      <c r="I193" t="inlineStr">
        <is>
          <t>NIS</t>
        </is>
      </c>
      <c r="L193" t="n">
        <v>108285791</v>
      </c>
      <c r="M193" s="6" t="n">
        <v>45959</v>
      </c>
      <c r="N193" t="n">
        <v>29</v>
      </c>
      <c r="O193" t="n">
        <v>2</v>
      </c>
      <c r="P193" t="n">
        <v>0</v>
      </c>
      <c r="Q193" t="n">
        <v>1</v>
      </c>
      <c r="R193" t="inlineStr">
        <is>
          <t>O</t>
        </is>
      </c>
      <c r="S193">
        <f>IFERROR(VLOOKUP(N193,Index!$A$1:$B$26,2,FALSE),"")</f>
        <v/>
      </c>
      <c r="T193">
        <f>AA193</f>
        <v/>
      </c>
      <c r="V193">
        <f>IFERROR(INDEX(DetailedFiche!Q:Q,MATCH(L193,DetailedFiche!J:J,0)),"")</f>
        <v/>
      </c>
      <c r="W193">
        <f>IFERROR(INDEX(DetailedFiche!R:R,MATCH(L193,DetailedFiche!J:J,0)),"")</f>
        <v/>
      </c>
      <c r="Y193">
        <f>IFERROR(IF(AND(INDEX('Initial Study'!K:K, MATCH(L193, 'Initial Study'!B:B, 0)+1)&lt;&gt;0,INDEX('Initial Study'!K:K, MATCH(L193, 'Initial Study'!B:B, 0)+1)&lt;&gt;""),INDEX('Initial Study'!K:K, MATCH(L193, 'Initial Study'!B:B, 0)+1),""),"")</f>
        <v/>
      </c>
      <c r="Z193">
        <f>IFERROR(IF(AND(INDEX('Initial Study'!K:K, MATCH(L193, 'Initial Study'!B:B, 0)+2)&lt;&gt;0,INDEX('Initial Study'!K:K, MATCH(L193, 'Initial Study'!B:B, 0)+2)&lt;&gt;"",NOT(ISNUMBER(INDEX('Initial Study'!K:K, MATCH(L193, 'Initial Study'!B:B, 0)+2)))),INDEX('Initial Study'!K:K, MATCH(L193, 'Initial Study'!B:B, 0)+2),"-"),"-")</f>
        <v/>
      </c>
      <c r="AA193">
        <f>IF(S193="RE", Y193 &amp; "BT/" &amp; IF(Z193 &lt;&gt; "-", Z193 &amp; "BT", ""), IF(OR(S193="LTDR", S193="LTSR"), Y193 &amp; "BL" &amp; IF(Z193 &lt;&gt; "-", "/" &amp; Z193 &amp; "BT", ""), IF(OR(S193="RTDR", S193="RTSR"), Y193 &amp; "BR" &amp; IF(Z193 &lt;&gt; "-", "/" &amp; Z193 &amp; "BT", ""), IF(Z193 &lt;&gt; "-", Y193 &amp; "BT/" &amp; Z193 &amp; "BT", Y193 &amp; "BT"))))</f>
        <v/>
      </c>
    </row>
    <row r="194">
      <c r="A194" t="n">
        <v>558</v>
      </c>
      <c r="B194" t="inlineStr">
        <is>
          <t>SIKES MILL</t>
        </is>
      </c>
      <c r="C194" t="n">
        <v>0.057</v>
      </c>
      <c r="D194" t="inlineStr">
        <is>
          <t>E</t>
        </is>
      </c>
      <c r="E194" t="inlineStr">
        <is>
          <t>BAUCOM</t>
        </is>
      </c>
      <c r="F194" t="inlineStr">
        <is>
          <t>CHANEY</t>
        </is>
      </c>
      <c r="G194" t="inlineStr">
        <is>
          <t>SR 1001</t>
        </is>
      </c>
      <c r="H194" t="n">
        <v>1.409</v>
      </c>
      <c r="I194" t="inlineStr">
        <is>
          <t>NIS</t>
        </is>
      </c>
      <c r="L194" t="n">
        <v>106790781</v>
      </c>
      <c r="M194" s="6" t="n">
        <v>44533</v>
      </c>
      <c r="N194" t="n">
        <v>28</v>
      </c>
      <c r="O194" t="n">
        <v>1</v>
      </c>
      <c r="P194" t="n">
        <v>0</v>
      </c>
      <c r="Q194" t="n">
        <v>1</v>
      </c>
      <c r="R194" t="inlineStr">
        <is>
          <t>O</t>
        </is>
      </c>
      <c r="S194">
        <f>IFERROR(VLOOKUP(N194,Index!$A$1:$B$26,2,FALSE),"")</f>
        <v/>
      </c>
      <c r="T194">
        <f>AA194</f>
        <v/>
      </c>
      <c r="V194">
        <f>IFERROR(INDEX(DetailedFiche!Q:Q,MATCH(L194,DetailedFiche!J:J,0)),"")</f>
        <v/>
      </c>
      <c r="W194">
        <f>IFERROR(INDEX(DetailedFiche!R:R,MATCH(L194,DetailedFiche!J:J,0)),"")</f>
        <v/>
      </c>
      <c r="Y194">
        <f>IFERROR(IF(AND(INDEX('Initial Study'!K:K, MATCH(L194, 'Initial Study'!B:B, 0)+1)&lt;&gt;0,INDEX('Initial Study'!K:K, MATCH(L194, 'Initial Study'!B:B, 0)+1)&lt;&gt;""),INDEX('Initial Study'!K:K, MATCH(L194, 'Initial Study'!B:B, 0)+1),""),"")</f>
        <v/>
      </c>
      <c r="Z194">
        <f>IFERROR(IF(AND(INDEX('Initial Study'!K:K, MATCH(L194, 'Initial Study'!B:B, 0)+2)&lt;&gt;0,INDEX('Initial Study'!K:K, MATCH(L194, 'Initial Study'!B:B, 0)+2)&lt;&gt;"",NOT(ISNUMBER(INDEX('Initial Study'!K:K, MATCH(L194, 'Initial Study'!B:B, 0)+2)))),INDEX('Initial Study'!K:K, MATCH(L194, 'Initial Study'!B:B, 0)+2),"-"),"-")</f>
        <v/>
      </c>
      <c r="AA194">
        <f>IF(S194="RE", Y194 &amp; "BT/" &amp; IF(Z194 &lt;&gt; "-", Z194 &amp; "BT", ""), IF(OR(S194="LTDR", S194="LTSR"), Y194 &amp; "BL" &amp; IF(Z194 &lt;&gt; "-", "/" &amp; Z194 &amp; "BT", ""), IF(OR(S194="RTDR", S194="RTSR"), Y194 &amp; "BR" &amp; IF(Z194 &lt;&gt; "-", "/" &amp; Z194 &amp; "BT", ""), IF(Z194 &lt;&gt; "-", Y194 &amp; "BT/" &amp; Z194 &amp; "BT", Y194 &amp; "BT"))))</f>
        <v/>
      </c>
    </row>
    <row r="195">
      <c r="A195" t="n">
        <v>0</v>
      </c>
      <c r="B195" t="inlineStr">
        <is>
          <t>SR 1001</t>
        </is>
      </c>
      <c r="C195" t="n">
        <v>0.076</v>
      </c>
      <c r="D195" t="inlineStr">
        <is>
          <t>N</t>
        </is>
      </c>
      <c r="E195" t="inlineStr">
        <is>
          <t>SR 1620</t>
        </is>
      </c>
      <c r="F195" t="inlineStr">
        <is>
          <t>SR 1645</t>
        </is>
      </c>
      <c r="G195" t="inlineStr">
        <is>
          <t>SR 1001</t>
        </is>
      </c>
      <c r="H195" t="n">
        <v>1.428</v>
      </c>
      <c r="I195" t="inlineStr">
        <is>
          <t>NIS</t>
        </is>
      </c>
      <c r="L195" t="n">
        <v>107976497</v>
      </c>
      <c r="M195" s="6" t="n">
        <v>45655</v>
      </c>
      <c r="N195" t="n">
        <v>19</v>
      </c>
      <c r="O195" t="n">
        <v>2</v>
      </c>
      <c r="P195" t="n">
        <v>0</v>
      </c>
      <c r="Q195" t="n">
        <v>5</v>
      </c>
      <c r="R195" t="inlineStr">
        <is>
          <t>O</t>
        </is>
      </c>
      <c r="S195">
        <f>IFERROR(VLOOKUP(N195,Index!$A$1:$B$26,2,FALSE),"")</f>
        <v/>
      </c>
      <c r="T195">
        <f>AA195</f>
        <v/>
      </c>
      <c r="V195">
        <f>IFERROR(INDEX(DetailedFiche!Q:Q,MATCH(L195,DetailedFiche!J:J,0)),"")</f>
        <v/>
      </c>
      <c r="W195">
        <f>IFERROR(INDEX(DetailedFiche!R:R,MATCH(L195,DetailedFiche!J:J,0)),"")</f>
        <v/>
      </c>
      <c r="Y195">
        <f>IFERROR(IF(AND(INDEX('Initial Study'!K:K, MATCH(L195, 'Initial Study'!B:B, 0)+1)&lt;&gt;0,INDEX('Initial Study'!K:K, MATCH(L195, 'Initial Study'!B:B, 0)+1)&lt;&gt;""),INDEX('Initial Study'!K:K, MATCH(L195, 'Initial Study'!B:B, 0)+1),""),"")</f>
        <v/>
      </c>
      <c r="Z195">
        <f>IFERROR(IF(AND(INDEX('Initial Study'!K:K, MATCH(L195, 'Initial Study'!B:B, 0)+2)&lt;&gt;0,INDEX('Initial Study'!K:K, MATCH(L195, 'Initial Study'!B:B, 0)+2)&lt;&gt;"",NOT(ISNUMBER(INDEX('Initial Study'!K:K, MATCH(L195, 'Initial Study'!B:B, 0)+2)))),INDEX('Initial Study'!K:K, MATCH(L195, 'Initial Study'!B:B, 0)+2),"-"),"-")</f>
        <v/>
      </c>
      <c r="AA195">
        <f>IF(S195="RE", Y195 &amp; "BT/" &amp; IF(Z195 &lt;&gt; "-", Z195 &amp; "BT", ""), IF(OR(S195="LTDR", S195="LTSR"), Y195 &amp; "BL" &amp; IF(Z195 &lt;&gt; "-", "/" &amp; Z195 &amp; "BT", ""), IF(OR(S195="RTDR", S195="RTSR"), Y195 &amp; "BR" &amp; IF(Z195 &lt;&gt; "-", "/" &amp; Z195 &amp; "BT", ""), IF(Z195 &lt;&gt; "-", Y195 &amp; "BT/" &amp; Z195 &amp; "BT", Y195 &amp; "BT"))))</f>
        <v/>
      </c>
    </row>
    <row r="196">
      <c r="A196" t="n">
        <v>558</v>
      </c>
      <c r="B196" t="inlineStr">
        <is>
          <t>SIKES MILL</t>
        </is>
      </c>
      <c r="C196" t="n">
        <v>0.095</v>
      </c>
      <c r="D196" t="inlineStr">
        <is>
          <t>N</t>
        </is>
      </c>
      <c r="E196" t="inlineStr">
        <is>
          <t>BAUCOM</t>
        </is>
      </c>
      <c r="F196" t="inlineStr">
        <is>
          <t>CHANEY</t>
        </is>
      </c>
      <c r="G196" t="inlineStr">
        <is>
          <t>SR 1001</t>
        </is>
      </c>
      <c r="H196" t="n">
        <v>1.447</v>
      </c>
      <c r="I196" t="inlineStr">
        <is>
          <t>NIS</t>
        </is>
      </c>
      <c r="L196" t="n">
        <v>107319625</v>
      </c>
      <c r="M196" s="6" t="n">
        <v>45027</v>
      </c>
      <c r="N196" t="n">
        <v>29</v>
      </c>
      <c r="O196" t="n">
        <v>1</v>
      </c>
      <c r="P196" t="n">
        <v>0</v>
      </c>
      <c r="Q196" t="n">
        <v>1</v>
      </c>
      <c r="R196" t="inlineStr">
        <is>
          <t>O</t>
        </is>
      </c>
      <c r="S196">
        <f>IFERROR(VLOOKUP(N196,Index!$A$1:$B$26,2,FALSE),"")</f>
        <v/>
      </c>
      <c r="T196">
        <f>AA196</f>
        <v/>
      </c>
      <c r="V196">
        <f>IFERROR(INDEX(DetailedFiche!Q:Q,MATCH(L196,DetailedFiche!J:J,0)),"")</f>
        <v/>
      </c>
      <c r="W196">
        <f>IFERROR(INDEX(DetailedFiche!R:R,MATCH(L196,DetailedFiche!J:J,0)),"")</f>
        <v/>
      </c>
      <c r="Y196">
        <f>IFERROR(IF(AND(INDEX('Initial Study'!K:K, MATCH(L196, 'Initial Study'!B:B, 0)+1)&lt;&gt;0,INDEX('Initial Study'!K:K, MATCH(L196, 'Initial Study'!B:B, 0)+1)&lt;&gt;""),INDEX('Initial Study'!K:K, MATCH(L196, 'Initial Study'!B:B, 0)+1),""),"")</f>
        <v/>
      </c>
      <c r="Z196">
        <f>IFERROR(IF(AND(INDEX('Initial Study'!K:K, MATCH(L196, 'Initial Study'!B:B, 0)+2)&lt;&gt;0,INDEX('Initial Study'!K:K, MATCH(L196, 'Initial Study'!B:B, 0)+2)&lt;&gt;"",NOT(ISNUMBER(INDEX('Initial Study'!K:K, MATCH(L196, 'Initial Study'!B:B, 0)+2)))),INDEX('Initial Study'!K:K, MATCH(L196, 'Initial Study'!B:B, 0)+2),"-"),"-")</f>
        <v/>
      </c>
      <c r="AA196">
        <f>IF(S196="RE", Y196 &amp; "BT/" &amp; IF(Z196 &lt;&gt; "-", Z196 &amp; "BT", ""), IF(OR(S196="LTDR", S196="LTSR"), Y196 &amp; "BL" &amp; IF(Z196 &lt;&gt; "-", "/" &amp; Z196 &amp; "BT", ""), IF(OR(S196="RTDR", S196="RTSR"), Y196 &amp; "BR" &amp; IF(Z196 &lt;&gt; "-", "/" &amp; Z196 &amp; "BT", ""), IF(Z196 &lt;&gt; "-", Y196 &amp; "BT/" &amp; Z196 &amp; "BT", Y196 &amp; "BT"))))</f>
        <v/>
      </c>
    </row>
    <row r="197">
      <c r="A197" t="n">
        <v>0</v>
      </c>
      <c r="B197" t="inlineStr">
        <is>
          <t>SR 1001</t>
        </is>
      </c>
      <c r="C197" t="n">
        <v>0.7</v>
      </c>
      <c r="D197" t="inlineStr">
        <is>
          <t>S</t>
        </is>
      </c>
      <c r="E197" t="inlineStr">
        <is>
          <t>SR 1665</t>
        </is>
      </c>
      <c r="F197" t="inlineStr">
        <is>
          <t>SR 1620</t>
        </is>
      </c>
      <c r="G197" t="inlineStr">
        <is>
          <t>SR 1001</t>
        </is>
      </c>
      <c r="H197" t="n">
        <v>1.515</v>
      </c>
      <c r="I197" t="inlineStr">
        <is>
          <t>NIS</t>
        </is>
      </c>
      <c r="L197" t="n">
        <v>105713041</v>
      </c>
      <c r="M197" s="6" t="n">
        <v>43444</v>
      </c>
      <c r="N197" t="n">
        <v>29</v>
      </c>
      <c r="O197" t="n">
        <v>2</v>
      </c>
      <c r="P197" t="n">
        <v>0</v>
      </c>
      <c r="Q197" t="n">
        <v>1</v>
      </c>
      <c r="R197" t="inlineStr">
        <is>
          <t>O</t>
        </is>
      </c>
      <c r="S197">
        <f>IFERROR(VLOOKUP(N197,Index!$A$1:$B$26,2,FALSE),"")</f>
        <v/>
      </c>
      <c r="T197">
        <f>AA197</f>
        <v/>
      </c>
      <c r="V197">
        <f>IFERROR(INDEX(DetailedFiche!Q:Q,MATCH(L197,DetailedFiche!J:J,0)),"")</f>
        <v/>
      </c>
      <c r="W197">
        <f>IFERROR(INDEX(DetailedFiche!R:R,MATCH(L197,DetailedFiche!J:J,0)),"")</f>
        <v/>
      </c>
      <c r="Y197">
        <f>IFERROR(IF(AND(INDEX('Initial Study'!K:K, MATCH(L197, 'Initial Study'!B:B, 0)+1)&lt;&gt;0,INDEX('Initial Study'!K:K, MATCH(L197, 'Initial Study'!B:B, 0)+1)&lt;&gt;""),INDEX('Initial Study'!K:K, MATCH(L197, 'Initial Study'!B:B, 0)+1),""),"")</f>
        <v/>
      </c>
      <c r="Z197">
        <f>IFERROR(IF(AND(INDEX('Initial Study'!K:K, MATCH(L197, 'Initial Study'!B:B, 0)+2)&lt;&gt;0,INDEX('Initial Study'!K:K, MATCH(L197, 'Initial Study'!B:B, 0)+2)&lt;&gt;"",NOT(ISNUMBER(INDEX('Initial Study'!K:K, MATCH(L197, 'Initial Study'!B:B, 0)+2)))),INDEX('Initial Study'!K:K, MATCH(L197, 'Initial Study'!B:B, 0)+2),"-"),"-")</f>
        <v/>
      </c>
      <c r="AA197">
        <f>IF(S197="RE", Y197 &amp; "BT/" &amp; IF(Z197 &lt;&gt; "-", Z197 &amp; "BT", ""), IF(OR(S197="LTDR", S197="LTSR"), Y197 &amp; "BL" &amp; IF(Z197 &lt;&gt; "-", "/" &amp; Z197 &amp; "BT", ""), IF(OR(S197="RTDR", S197="RTSR"), Y197 &amp; "BR" &amp; IF(Z197 &lt;&gt; "-", "/" &amp; Z197 &amp; "BT", ""), IF(Z197 &lt;&gt; "-", Y197 &amp; "BT/" &amp; Z197 &amp; "BT", Y197 &amp; "BT"))))</f>
        <v/>
      </c>
    </row>
    <row r="198">
      <c r="A198" t="n">
        <v>0</v>
      </c>
      <c r="B198" t="inlineStr">
        <is>
          <t>SR 1001</t>
        </is>
      </c>
      <c r="C198" t="n">
        <v>0.19</v>
      </c>
      <c r="D198" t="inlineStr">
        <is>
          <t>N</t>
        </is>
      </c>
      <c r="E198" t="inlineStr">
        <is>
          <t>SR 1620</t>
        </is>
      </c>
      <c r="F198" t="inlineStr">
        <is>
          <t>SR 1665</t>
        </is>
      </c>
      <c r="G198" t="inlineStr">
        <is>
          <t>SR 1001</t>
        </is>
      </c>
      <c r="H198" t="n">
        <v>1.542</v>
      </c>
      <c r="I198" t="inlineStr">
        <is>
          <t>NIS</t>
        </is>
      </c>
      <c r="L198" t="n">
        <v>106844875</v>
      </c>
      <c r="M198" s="6" t="n">
        <v>44588</v>
      </c>
      <c r="N198" t="n">
        <v>17</v>
      </c>
      <c r="O198" t="n">
        <v>1</v>
      </c>
      <c r="P198" t="n">
        <v>0</v>
      </c>
      <c r="Q198" t="n">
        <v>5</v>
      </c>
      <c r="R198" t="inlineStr">
        <is>
          <t>O</t>
        </is>
      </c>
      <c r="S198">
        <f>IFERROR(VLOOKUP(N198,Index!$A$1:$B$26,2,FALSE),"")</f>
        <v/>
      </c>
      <c r="T198">
        <f>AA198</f>
        <v/>
      </c>
      <c r="V198">
        <f>IFERROR(INDEX(DetailedFiche!Q:Q,MATCH(L198,DetailedFiche!J:J,0)),"")</f>
        <v/>
      </c>
      <c r="W198">
        <f>IFERROR(INDEX(DetailedFiche!R:R,MATCH(L198,DetailedFiche!J:J,0)),"")</f>
        <v/>
      </c>
      <c r="Y198">
        <f>IFERROR(IF(AND(INDEX('Initial Study'!K:K, MATCH(L198, 'Initial Study'!B:B, 0)+1)&lt;&gt;0,INDEX('Initial Study'!K:K, MATCH(L198, 'Initial Study'!B:B, 0)+1)&lt;&gt;""),INDEX('Initial Study'!K:K, MATCH(L198, 'Initial Study'!B:B, 0)+1),""),"")</f>
        <v/>
      </c>
      <c r="Z198">
        <f>IFERROR(IF(AND(INDEX('Initial Study'!K:K, MATCH(L198, 'Initial Study'!B:B, 0)+2)&lt;&gt;0,INDEX('Initial Study'!K:K, MATCH(L198, 'Initial Study'!B:B, 0)+2)&lt;&gt;"",NOT(ISNUMBER(INDEX('Initial Study'!K:K, MATCH(L198, 'Initial Study'!B:B, 0)+2)))),INDEX('Initial Study'!K:K, MATCH(L198, 'Initial Study'!B:B, 0)+2),"-"),"-")</f>
        <v/>
      </c>
      <c r="AA198">
        <f>IF(S198="RE", Y198 &amp; "BT/" &amp; IF(Z198 &lt;&gt; "-", Z198 &amp; "BT", ""), IF(OR(S198="LTDR", S198="LTSR"), Y198 &amp; "BL" &amp; IF(Z198 &lt;&gt; "-", "/" &amp; Z198 &amp; "BT", ""), IF(OR(S198="RTDR", S198="RTSR"), Y198 &amp; "BR" &amp; IF(Z198 &lt;&gt; "-", "/" &amp; Z198 &amp; "BT", ""), IF(Z198 &lt;&gt; "-", Y198 &amp; "BT/" &amp; Z198 &amp; "BT", Y198 &amp; "BT"))))</f>
        <v/>
      </c>
    </row>
    <row r="199">
      <c r="A199" t="n">
        <v>558</v>
      </c>
      <c r="B199" t="inlineStr">
        <is>
          <t>SR 1001</t>
        </is>
      </c>
      <c r="C199" t="n">
        <v>0.25</v>
      </c>
      <c r="D199" t="inlineStr">
        <is>
          <t>N</t>
        </is>
      </c>
      <c r="E199" t="inlineStr">
        <is>
          <t>BAUCOM</t>
        </is>
      </c>
      <c r="F199" t="inlineStr">
        <is>
          <t>SPRING LAKE</t>
        </is>
      </c>
      <c r="G199" t="inlineStr">
        <is>
          <t>SR 1001</t>
        </is>
      </c>
      <c r="H199" t="n">
        <v>1.602</v>
      </c>
      <c r="I199" t="inlineStr">
        <is>
          <t>NIS</t>
        </is>
      </c>
      <c r="L199" t="n">
        <v>107128674</v>
      </c>
      <c r="M199" s="6" t="n">
        <v>44865</v>
      </c>
      <c r="N199" t="n">
        <v>21</v>
      </c>
      <c r="O199" t="n">
        <v>1</v>
      </c>
      <c r="P199" t="n">
        <v>0</v>
      </c>
      <c r="Q199" t="n">
        <v>1</v>
      </c>
      <c r="R199" t="inlineStr">
        <is>
          <t>C</t>
        </is>
      </c>
      <c r="S199">
        <f>IFERROR(VLOOKUP(N199,Index!$A$1:$B$26,2,FALSE),"")</f>
        <v/>
      </c>
      <c r="T199">
        <f>AA199</f>
        <v/>
      </c>
      <c r="V199">
        <f>IFERROR(INDEX(DetailedFiche!Q:Q,MATCH(L199,DetailedFiche!J:J,0)),"")</f>
        <v/>
      </c>
      <c r="W199">
        <f>IFERROR(INDEX(DetailedFiche!R:R,MATCH(L199,DetailedFiche!J:J,0)),"")</f>
        <v/>
      </c>
      <c r="Y199">
        <f>IFERROR(IF(AND(INDEX('Initial Study'!K:K, MATCH(L199, 'Initial Study'!B:B, 0)+1)&lt;&gt;0,INDEX('Initial Study'!K:K, MATCH(L199, 'Initial Study'!B:B, 0)+1)&lt;&gt;""),INDEX('Initial Study'!K:K, MATCH(L199, 'Initial Study'!B:B, 0)+1),""),"")</f>
        <v/>
      </c>
      <c r="Z199">
        <f>IFERROR(IF(AND(INDEX('Initial Study'!K:K, MATCH(L199, 'Initial Study'!B:B, 0)+2)&lt;&gt;0,INDEX('Initial Study'!K:K, MATCH(L199, 'Initial Study'!B:B, 0)+2)&lt;&gt;"",NOT(ISNUMBER(INDEX('Initial Study'!K:K, MATCH(L199, 'Initial Study'!B:B, 0)+2)))),INDEX('Initial Study'!K:K, MATCH(L199, 'Initial Study'!B:B, 0)+2),"-"),"-")</f>
        <v/>
      </c>
      <c r="AA199">
        <f>IF(S199="RE", Y199 &amp; "BT/" &amp; IF(Z199 &lt;&gt; "-", Z199 &amp; "BT", ""), IF(OR(S199="LTDR", S199="LTSR"), Y199 &amp; "BL" &amp; IF(Z199 &lt;&gt; "-", "/" &amp; Z199 &amp; "BT", ""), IF(OR(S199="RTDR", S199="RTSR"), Y199 &amp; "BR" &amp; IF(Z199 &lt;&gt; "-", "/" &amp; Z199 &amp; "BT", ""), IF(Z199 &lt;&gt; "-", Y199 &amp; "BT/" &amp; Z199 &amp; "BT", Y199 &amp; "BT"))))</f>
        <v/>
      </c>
    </row>
    <row r="200">
      <c r="A200" t="n">
        <v>558</v>
      </c>
      <c r="B200" t="inlineStr">
        <is>
          <t>SR 1001</t>
        </is>
      </c>
      <c r="C200" t="n">
        <v>0.25</v>
      </c>
      <c r="D200" t="inlineStr">
        <is>
          <t>N</t>
        </is>
      </c>
      <c r="E200" t="inlineStr">
        <is>
          <t>SR 1620</t>
        </is>
      </c>
      <c r="F200" t="inlineStr">
        <is>
          <t>SR 1665</t>
        </is>
      </c>
      <c r="G200" t="inlineStr">
        <is>
          <t>SR 1001</t>
        </is>
      </c>
      <c r="H200" t="n">
        <v>1.602</v>
      </c>
      <c r="I200" t="inlineStr">
        <is>
          <t>NIS</t>
        </is>
      </c>
      <c r="L200" t="n">
        <v>107595975</v>
      </c>
      <c r="M200" s="6" t="n">
        <v>45306</v>
      </c>
      <c r="N200" t="n">
        <v>19</v>
      </c>
      <c r="O200" t="n">
        <v>1</v>
      </c>
      <c r="P200" t="n">
        <v>0</v>
      </c>
      <c r="Q200" t="n">
        <v>1</v>
      </c>
      <c r="R200" t="inlineStr">
        <is>
          <t>O</t>
        </is>
      </c>
      <c r="S200">
        <f>IFERROR(VLOOKUP(N200,Index!$A$1:$B$26,2,FALSE),"")</f>
        <v/>
      </c>
      <c r="T200">
        <f>AA200</f>
        <v/>
      </c>
      <c r="V200">
        <f>IFERROR(INDEX(DetailedFiche!Q:Q,MATCH(L200,DetailedFiche!J:J,0)),"")</f>
        <v/>
      </c>
      <c r="W200">
        <f>IFERROR(INDEX(DetailedFiche!R:R,MATCH(L200,DetailedFiche!J:J,0)),"")</f>
        <v/>
      </c>
      <c r="Y200">
        <f>IFERROR(IF(AND(INDEX('Initial Study'!K:K, MATCH(L200, 'Initial Study'!B:B, 0)+1)&lt;&gt;0,INDEX('Initial Study'!K:K, MATCH(L200, 'Initial Study'!B:B, 0)+1)&lt;&gt;""),INDEX('Initial Study'!K:K, MATCH(L200, 'Initial Study'!B:B, 0)+1),""),"")</f>
        <v/>
      </c>
      <c r="Z200">
        <f>IFERROR(IF(AND(INDEX('Initial Study'!K:K, MATCH(L200, 'Initial Study'!B:B, 0)+2)&lt;&gt;0,INDEX('Initial Study'!K:K, MATCH(L200, 'Initial Study'!B:B, 0)+2)&lt;&gt;"",NOT(ISNUMBER(INDEX('Initial Study'!K:K, MATCH(L200, 'Initial Study'!B:B, 0)+2)))),INDEX('Initial Study'!K:K, MATCH(L200, 'Initial Study'!B:B, 0)+2),"-"),"-")</f>
        <v/>
      </c>
      <c r="AA200">
        <f>IF(S200="RE", Y200 &amp; "BT/" &amp; IF(Z200 &lt;&gt; "-", Z200 &amp; "BT", ""), IF(OR(S200="LTDR", S200="LTSR"), Y200 &amp; "BL" &amp; IF(Z200 &lt;&gt; "-", "/" &amp; Z200 &amp; "BT", ""), IF(OR(S200="RTDR", S200="RTSR"), Y200 &amp; "BR" &amp; IF(Z200 &lt;&gt; "-", "/" &amp; Z200 &amp; "BT", ""), IF(Z200 &lt;&gt; "-", Y200 &amp; "BT/" &amp; Z200 &amp; "BT", Y200 &amp; "BT"))))</f>
        <v/>
      </c>
    </row>
    <row r="201">
      <c r="A201" t="n">
        <v>0</v>
      </c>
      <c r="B201" t="inlineStr">
        <is>
          <t>SR 1001</t>
        </is>
      </c>
      <c r="C201" t="n">
        <v>0.3</v>
      </c>
      <c r="D201" t="inlineStr">
        <is>
          <t>N</t>
        </is>
      </c>
      <c r="E201" t="inlineStr">
        <is>
          <t>SR 1620</t>
        </is>
      </c>
      <c r="F201" t="inlineStr">
        <is>
          <t>SR 1665</t>
        </is>
      </c>
      <c r="G201" t="inlineStr">
        <is>
          <t>SR 1001</t>
        </is>
      </c>
      <c r="H201" t="n">
        <v>1.652</v>
      </c>
      <c r="I201" t="inlineStr">
        <is>
          <t>NIS</t>
        </is>
      </c>
      <c r="L201" t="n">
        <v>107125512</v>
      </c>
      <c r="M201" s="6" t="n">
        <v>44861</v>
      </c>
      <c r="N201" t="n">
        <v>27</v>
      </c>
      <c r="O201" t="n">
        <v>1</v>
      </c>
      <c r="P201" t="n">
        <v>0</v>
      </c>
      <c r="Q201" t="n">
        <v>5</v>
      </c>
      <c r="R201" t="inlineStr">
        <is>
          <t>C</t>
        </is>
      </c>
      <c r="S201">
        <f>IFERROR(VLOOKUP(N201,Index!$A$1:$B$26,2,FALSE),"")</f>
        <v/>
      </c>
      <c r="T201">
        <f>AA201</f>
        <v/>
      </c>
      <c r="V201">
        <f>IFERROR(INDEX(DetailedFiche!Q:Q,MATCH(L201,DetailedFiche!J:J,0)),"")</f>
        <v/>
      </c>
      <c r="W201">
        <f>IFERROR(INDEX(DetailedFiche!R:R,MATCH(L201,DetailedFiche!J:J,0)),"")</f>
        <v/>
      </c>
      <c r="Y201">
        <f>IFERROR(IF(AND(INDEX('Initial Study'!K:K, MATCH(L201, 'Initial Study'!B:B, 0)+1)&lt;&gt;0,INDEX('Initial Study'!K:K, MATCH(L201, 'Initial Study'!B:B, 0)+1)&lt;&gt;""),INDEX('Initial Study'!K:K, MATCH(L201, 'Initial Study'!B:B, 0)+1),""),"")</f>
        <v/>
      </c>
      <c r="Z201">
        <f>IFERROR(IF(AND(INDEX('Initial Study'!K:K, MATCH(L201, 'Initial Study'!B:B, 0)+2)&lt;&gt;0,INDEX('Initial Study'!K:K, MATCH(L201, 'Initial Study'!B:B, 0)+2)&lt;&gt;"",NOT(ISNUMBER(INDEX('Initial Study'!K:K, MATCH(L201, 'Initial Study'!B:B, 0)+2)))),INDEX('Initial Study'!K:K, MATCH(L201, 'Initial Study'!B:B, 0)+2),"-"),"-")</f>
        <v/>
      </c>
      <c r="AA201">
        <f>IF(S201="RE", Y201 &amp; "BT/" &amp; IF(Z201 &lt;&gt; "-", Z201 &amp; "BT", ""), IF(OR(S201="LTDR", S201="LTSR"), Y201 &amp; "BL" &amp; IF(Z201 &lt;&gt; "-", "/" &amp; Z201 &amp; "BT", ""), IF(OR(S201="RTDR", S201="RTSR"), Y201 &amp; "BR" &amp; IF(Z201 &lt;&gt; "-", "/" &amp; Z201 &amp; "BT", ""), IF(Z201 &lt;&gt; "-", Y201 &amp; "BT/" &amp; Z201 &amp; "BT", Y201 &amp; "BT"))))</f>
        <v/>
      </c>
    </row>
    <row r="202">
      <c r="A202" t="n">
        <v>558</v>
      </c>
      <c r="B202" t="inlineStr">
        <is>
          <t>SR 1001</t>
        </is>
      </c>
      <c r="C202" t="n">
        <v>0.5</v>
      </c>
      <c r="D202" t="inlineStr">
        <is>
          <t>S</t>
        </is>
      </c>
      <c r="E202" t="inlineStr">
        <is>
          <t>SR 1665</t>
        </is>
      </c>
      <c r="F202" t="inlineStr">
        <is>
          <t>SR 1620</t>
        </is>
      </c>
      <c r="G202" t="inlineStr">
        <is>
          <t>SR 1001</t>
        </is>
      </c>
      <c r="H202" t="n">
        <v>1.715</v>
      </c>
      <c r="I202" t="inlineStr">
        <is>
          <t>NIS</t>
        </is>
      </c>
      <c r="L202" t="n">
        <v>105778678</v>
      </c>
      <c r="M202" s="6" t="n">
        <v>43509</v>
      </c>
      <c r="N202" t="n">
        <v>17</v>
      </c>
      <c r="O202" t="n">
        <v>1</v>
      </c>
      <c r="P202" t="n">
        <v>0</v>
      </c>
      <c r="Q202" t="n">
        <v>1</v>
      </c>
      <c r="R202" t="inlineStr">
        <is>
          <t>O</t>
        </is>
      </c>
      <c r="S202">
        <f>IFERROR(VLOOKUP(N202,Index!$A$1:$B$26,2,FALSE),"")</f>
        <v/>
      </c>
      <c r="T202">
        <f>AA202</f>
        <v/>
      </c>
      <c r="V202">
        <f>IFERROR(INDEX(DetailedFiche!Q:Q,MATCH(L202,DetailedFiche!J:J,0)),"")</f>
        <v/>
      </c>
      <c r="W202">
        <f>IFERROR(INDEX(DetailedFiche!R:R,MATCH(L202,DetailedFiche!J:J,0)),"")</f>
        <v/>
      </c>
      <c r="Y202">
        <f>IFERROR(IF(AND(INDEX('Initial Study'!K:K, MATCH(L202, 'Initial Study'!B:B, 0)+1)&lt;&gt;0,INDEX('Initial Study'!K:K, MATCH(L202, 'Initial Study'!B:B, 0)+1)&lt;&gt;""),INDEX('Initial Study'!K:K, MATCH(L202, 'Initial Study'!B:B, 0)+1),""),"")</f>
        <v/>
      </c>
      <c r="Z202">
        <f>IFERROR(IF(AND(INDEX('Initial Study'!K:K, MATCH(L202, 'Initial Study'!B:B, 0)+2)&lt;&gt;0,INDEX('Initial Study'!K:K, MATCH(L202, 'Initial Study'!B:B, 0)+2)&lt;&gt;"",NOT(ISNUMBER(INDEX('Initial Study'!K:K, MATCH(L202, 'Initial Study'!B:B, 0)+2)))),INDEX('Initial Study'!K:K, MATCH(L202, 'Initial Study'!B:B, 0)+2),"-"),"-")</f>
        <v/>
      </c>
      <c r="AA202">
        <f>IF(S202="RE", Y202 &amp; "BT/" &amp; IF(Z202 &lt;&gt; "-", Z202 &amp; "BT", ""), IF(OR(S202="LTDR", S202="LTSR"), Y202 &amp; "BL" &amp; IF(Z202 &lt;&gt; "-", "/" &amp; Z202 &amp; "BT", ""), IF(OR(S202="RTDR", S202="RTSR"), Y202 &amp; "BR" &amp; IF(Z202 &lt;&gt; "-", "/" &amp; Z202 &amp; "BT", ""), IF(Z202 &lt;&gt; "-", Y202 &amp; "BT/" &amp; Z202 &amp; "BT", Y202 &amp; "BT"))))</f>
        <v/>
      </c>
    </row>
    <row r="203">
      <c r="A203" t="n">
        <v>0</v>
      </c>
      <c r="B203" t="inlineStr">
        <is>
          <t>SR 1001</t>
        </is>
      </c>
      <c r="C203" t="n">
        <v>0.5</v>
      </c>
      <c r="D203" t="inlineStr">
        <is>
          <t>S</t>
        </is>
      </c>
      <c r="E203" t="inlineStr">
        <is>
          <t>SR 1665</t>
        </is>
      </c>
      <c r="F203" t="inlineStr">
        <is>
          <t>SR 1620</t>
        </is>
      </c>
      <c r="G203" t="inlineStr">
        <is>
          <t>SR 1001</t>
        </is>
      </c>
      <c r="H203" t="n">
        <v>1.715</v>
      </c>
      <c r="I203" t="inlineStr">
        <is>
          <t>NIS</t>
        </is>
      </c>
      <c r="L203" t="n">
        <v>105554071</v>
      </c>
      <c r="M203" s="6" t="n">
        <v>43306</v>
      </c>
      <c r="N203" t="n">
        <v>19</v>
      </c>
      <c r="O203" t="n">
        <v>1</v>
      </c>
      <c r="P203" t="n">
        <v>0</v>
      </c>
      <c r="Q203" t="n">
        <v>5</v>
      </c>
      <c r="S203">
        <f>IFERROR(VLOOKUP(N203,Index!$A$1:$B$26,2,FALSE),"")</f>
        <v/>
      </c>
      <c r="T203">
        <f>AA203</f>
        <v/>
      </c>
      <c r="V203">
        <f>IFERROR(INDEX(DetailedFiche!Q:Q,MATCH(L203,DetailedFiche!J:J,0)),"")</f>
        <v/>
      </c>
      <c r="W203">
        <f>IFERROR(INDEX(DetailedFiche!R:R,MATCH(L203,DetailedFiche!J:J,0)),"")</f>
        <v/>
      </c>
      <c r="Y203">
        <f>IFERROR(IF(AND(INDEX('Initial Study'!K:K, MATCH(L203, 'Initial Study'!B:B, 0)+1)&lt;&gt;0,INDEX('Initial Study'!K:K, MATCH(L203, 'Initial Study'!B:B, 0)+1)&lt;&gt;""),INDEX('Initial Study'!K:K, MATCH(L203, 'Initial Study'!B:B, 0)+1),""),"")</f>
        <v/>
      </c>
      <c r="Z203">
        <f>IFERROR(IF(AND(INDEX('Initial Study'!K:K, MATCH(L203, 'Initial Study'!B:B, 0)+2)&lt;&gt;0,INDEX('Initial Study'!K:K, MATCH(L203, 'Initial Study'!B:B, 0)+2)&lt;&gt;"",NOT(ISNUMBER(INDEX('Initial Study'!K:K, MATCH(L203, 'Initial Study'!B:B, 0)+2)))),INDEX('Initial Study'!K:K, MATCH(L203, 'Initial Study'!B:B, 0)+2),"-"),"-")</f>
        <v/>
      </c>
      <c r="AA203">
        <f>IF(S203="RE", Y203 &amp; "BT/" &amp; IF(Z203 &lt;&gt; "-", Z203 &amp; "BT", ""), IF(OR(S203="LTDR", S203="LTSR"), Y203 &amp; "BL" &amp; IF(Z203 &lt;&gt; "-", "/" &amp; Z203 &amp; "BT", ""), IF(OR(S203="RTDR", S203="RTSR"), Y203 &amp; "BR" &amp; IF(Z203 &lt;&gt; "-", "/" &amp; Z203 &amp; "BT", ""), IF(Z203 &lt;&gt; "-", Y203 &amp; "BT/" &amp; Z203 &amp; "BT", Y203 &amp; "BT"))))</f>
        <v/>
      </c>
    </row>
    <row r="204">
      <c r="A204" t="n">
        <v>366</v>
      </c>
      <c r="B204" t="inlineStr">
        <is>
          <t>SR 1001</t>
        </is>
      </c>
      <c r="C204" t="n">
        <v>0.37</v>
      </c>
      <c r="D204" t="inlineStr">
        <is>
          <t>NE</t>
        </is>
      </c>
      <c r="E204" t="inlineStr">
        <is>
          <t>SR 1620</t>
        </is>
      </c>
      <c r="F204" t="inlineStr">
        <is>
          <t>SR 1665</t>
        </is>
      </c>
      <c r="G204" t="inlineStr">
        <is>
          <t>SR 1001</t>
        </is>
      </c>
      <c r="H204" t="n">
        <v>1.722</v>
      </c>
      <c r="I204" t="inlineStr">
        <is>
          <t>NIS</t>
        </is>
      </c>
      <c r="L204" t="n">
        <v>106547429</v>
      </c>
      <c r="M204" s="6" t="n">
        <v>44302</v>
      </c>
      <c r="N204" t="n">
        <v>19</v>
      </c>
      <c r="O204" t="n">
        <v>1</v>
      </c>
      <c r="P204" t="n">
        <v>0</v>
      </c>
      <c r="Q204" t="n">
        <v>1</v>
      </c>
      <c r="R204" t="inlineStr">
        <is>
          <t>O</t>
        </is>
      </c>
      <c r="S204">
        <f>IFERROR(VLOOKUP(N204,Index!$A$1:$B$26,2,FALSE),"")</f>
        <v/>
      </c>
      <c r="T204">
        <f>AA204</f>
        <v/>
      </c>
      <c r="V204">
        <f>IFERROR(INDEX(DetailedFiche!Q:Q,MATCH(L204,DetailedFiche!J:J,0)),"")</f>
        <v/>
      </c>
      <c r="W204">
        <f>IFERROR(INDEX(DetailedFiche!R:R,MATCH(L204,DetailedFiche!J:J,0)),"")</f>
        <v/>
      </c>
      <c r="Y204">
        <f>IFERROR(IF(AND(INDEX('Initial Study'!K:K, MATCH(L204, 'Initial Study'!B:B, 0)+1)&lt;&gt;0,INDEX('Initial Study'!K:K, MATCH(L204, 'Initial Study'!B:B, 0)+1)&lt;&gt;""),INDEX('Initial Study'!K:K, MATCH(L204, 'Initial Study'!B:B, 0)+1),""),"")</f>
        <v/>
      </c>
      <c r="Z204">
        <f>IFERROR(IF(AND(INDEX('Initial Study'!K:K, MATCH(L204, 'Initial Study'!B:B, 0)+2)&lt;&gt;0,INDEX('Initial Study'!K:K, MATCH(L204, 'Initial Study'!B:B, 0)+2)&lt;&gt;"",NOT(ISNUMBER(INDEX('Initial Study'!K:K, MATCH(L204, 'Initial Study'!B:B, 0)+2)))),INDEX('Initial Study'!K:K, MATCH(L204, 'Initial Study'!B:B, 0)+2),"-"),"-")</f>
        <v/>
      </c>
      <c r="AA204">
        <f>IF(S204="RE", Y204 &amp; "BT/" &amp; IF(Z204 &lt;&gt; "-", Z204 &amp; "BT", ""), IF(OR(S204="LTDR", S204="LTSR"), Y204 &amp; "BL" &amp; IF(Z204 &lt;&gt; "-", "/" &amp; Z204 &amp; "BT", ""), IF(OR(S204="RTDR", S204="RTSR"), Y204 &amp; "BR" &amp; IF(Z204 &lt;&gt; "-", "/" &amp; Z204 &amp; "BT", ""), IF(Z204 &lt;&gt; "-", Y204 &amp; "BT/" &amp; Z204 &amp; "BT", Y204 &amp; "BT"))))</f>
        <v/>
      </c>
    </row>
    <row r="205">
      <c r="A205" t="n">
        <v>558</v>
      </c>
      <c r="B205" t="inlineStr">
        <is>
          <t>SIKES MILL</t>
        </is>
      </c>
      <c r="C205" t="n">
        <v>0.38</v>
      </c>
      <c r="D205" t="inlineStr">
        <is>
          <t>NE</t>
        </is>
      </c>
      <c r="E205" t="inlineStr">
        <is>
          <t>BAUCOM</t>
        </is>
      </c>
      <c r="F205" t="inlineStr">
        <is>
          <t>CHANEY</t>
        </is>
      </c>
      <c r="G205" t="inlineStr">
        <is>
          <t>SR 1001</t>
        </is>
      </c>
      <c r="H205" t="n">
        <v>1.732</v>
      </c>
      <c r="I205" t="inlineStr">
        <is>
          <t>NIS</t>
        </is>
      </c>
      <c r="L205" t="n">
        <v>107720690</v>
      </c>
      <c r="M205" s="6" t="n">
        <v>45428</v>
      </c>
      <c r="N205" t="n">
        <v>19</v>
      </c>
      <c r="O205" t="n">
        <v>1</v>
      </c>
      <c r="P205" t="n">
        <v>0</v>
      </c>
      <c r="Q205" t="n">
        <v>3</v>
      </c>
      <c r="R205" t="inlineStr">
        <is>
          <t>O</t>
        </is>
      </c>
      <c r="S205">
        <f>IFERROR(VLOOKUP(N205,Index!$A$1:$B$26,2,FALSE),"")</f>
        <v/>
      </c>
      <c r="T205">
        <f>AA205</f>
        <v/>
      </c>
      <c r="V205">
        <f>IFERROR(INDEX(DetailedFiche!Q:Q,MATCH(L205,DetailedFiche!J:J,0)),"")</f>
        <v/>
      </c>
      <c r="W205">
        <f>IFERROR(INDEX(DetailedFiche!R:R,MATCH(L205,DetailedFiche!J:J,0)),"")</f>
        <v/>
      </c>
      <c r="Y205">
        <f>IFERROR(IF(AND(INDEX('Initial Study'!K:K, MATCH(L205, 'Initial Study'!B:B, 0)+1)&lt;&gt;0,INDEX('Initial Study'!K:K, MATCH(L205, 'Initial Study'!B:B, 0)+1)&lt;&gt;""),INDEX('Initial Study'!K:K, MATCH(L205, 'Initial Study'!B:B, 0)+1),""),"")</f>
        <v/>
      </c>
      <c r="Z205">
        <f>IFERROR(IF(AND(INDEX('Initial Study'!K:K, MATCH(L205, 'Initial Study'!B:B, 0)+2)&lt;&gt;0,INDEX('Initial Study'!K:K, MATCH(L205, 'Initial Study'!B:B, 0)+2)&lt;&gt;"",NOT(ISNUMBER(INDEX('Initial Study'!K:K, MATCH(L205, 'Initial Study'!B:B, 0)+2)))),INDEX('Initial Study'!K:K, MATCH(L205, 'Initial Study'!B:B, 0)+2),"-"),"-")</f>
        <v/>
      </c>
      <c r="AA205">
        <f>IF(S205="RE", Y205 &amp; "BT/" &amp; IF(Z205 &lt;&gt; "-", Z205 &amp; "BT", ""), IF(OR(S205="LTDR", S205="LTSR"), Y205 &amp; "BL" &amp; IF(Z205 &lt;&gt; "-", "/" &amp; Z205 &amp; "BT", ""), IF(OR(S205="RTDR", S205="RTSR"), Y205 &amp; "BR" &amp; IF(Z205 &lt;&gt; "-", "/" &amp; Z205 &amp; "BT", ""), IF(Z205 &lt;&gt; "-", Y205 &amp; "BT/" &amp; Z205 &amp; "BT", Y205 &amp; "BT"))))</f>
        <v/>
      </c>
    </row>
    <row r="206">
      <c r="A206" t="n">
        <v>558</v>
      </c>
      <c r="B206" t="inlineStr">
        <is>
          <t>SR 1001</t>
        </is>
      </c>
      <c r="C206" t="n">
        <v>0.4</v>
      </c>
      <c r="D206" t="inlineStr">
        <is>
          <t>SE</t>
        </is>
      </c>
      <c r="E206" t="inlineStr">
        <is>
          <t>SR 1665</t>
        </is>
      </c>
      <c r="F206" t="inlineStr">
        <is>
          <t>SR 1620</t>
        </is>
      </c>
      <c r="G206" t="inlineStr">
        <is>
          <t>SR 1001</t>
        </is>
      </c>
      <c r="H206" t="n">
        <v>1.815</v>
      </c>
      <c r="I206" t="inlineStr">
        <is>
          <t>NIS</t>
        </is>
      </c>
      <c r="L206" t="n">
        <v>107984794</v>
      </c>
      <c r="M206" s="6" t="n">
        <v>45664</v>
      </c>
      <c r="N206" t="n">
        <v>18</v>
      </c>
      <c r="O206" t="n">
        <v>1</v>
      </c>
      <c r="P206" t="n">
        <v>0</v>
      </c>
      <c r="Q206" t="n">
        <v>5</v>
      </c>
      <c r="R206" t="inlineStr">
        <is>
          <t>O</t>
        </is>
      </c>
      <c r="S206">
        <f>IFERROR(VLOOKUP(N206,Index!$A$1:$B$26,2,FALSE),"")</f>
        <v/>
      </c>
      <c r="T206">
        <f>AA206</f>
        <v/>
      </c>
      <c r="V206">
        <f>IFERROR(INDEX(DetailedFiche!Q:Q,MATCH(L206,DetailedFiche!J:J,0)),"")</f>
        <v/>
      </c>
      <c r="W206">
        <f>IFERROR(INDEX(DetailedFiche!R:R,MATCH(L206,DetailedFiche!J:J,0)),"")</f>
        <v/>
      </c>
      <c r="Y206">
        <f>IFERROR(IF(AND(INDEX('Initial Study'!K:K, MATCH(L206, 'Initial Study'!B:B, 0)+1)&lt;&gt;0,INDEX('Initial Study'!K:K, MATCH(L206, 'Initial Study'!B:B, 0)+1)&lt;&gt;""),INDEX('Initial Study'!K:K, MATCH(L206, 'Initial Study'!B:B, 0)+1),""),"")</f>
        <v/>
      </c>
      <c r="Z206">
        <f>IFERROR(IF(AND(INDEX('Initial Study'!K:K, MATCH(L206, 'Initial Study'!B:B, 0)+2)&lt;&gt;0,INDEX('Initial Study'!K:K, MATCH(L206, 'Initial Study'!B:B, 0)+2)&lt;&gt;"",NOT(ISNUMBER(INDEX('Initial Study'!K:K, MATCH(L206, 'Initial Study'!B:B, 0)+2)))),INDEX('Initial Study'!K:K, MATCH(L206, 'Initial Study'!B:B, 0)+2),"-"),"-")</f>
        <v/>
      </c>
      <c r="AA206">
        <f>IF(S206="RE", Y206 &amp; "BT/" &amp; IF(Z206 &lt;&gt; "-", Z206 &amp; "BT", ""), IF(OR(S206="LTDR", S206="LTSR"), Y206 &amp; "BL" &amp; IF(Z206 &lt;&gt; "-", "/" &amp; Z206 &amp; "BT", ""), IF(OR(S206="RTDR", S206="RTSR"), Y206 &amp; "BR" &amp; IF(Z206 &lt;&gt; "-", "/" &amp; Z206 &amp; "BT", ""), IF(Z206 &lt;&gt; "-", Y206 &amp; "BT/" &amp; Z206 &amp; "BT", Y206 &amp; "BT"))))</f>
        <v/>
      </c>
    </row>
    <row r="207">
      <c r="A207" t="n">
        <v>558</v>
      </c>
      <c r="B207" t="inlineStr">
        <is>
          <t>SIKES MILL</t>
        </is>
      </c>
      <c r="C207" t="n">
        <v>0.28</v>
      </c>
      <c r="D207" t="inlineStr">
        <is>
          <t>S</t>
        </is>
      </c>
      <c r="E207" t="inlineStr">
        <is>
          <t>CHANEY</t>
        </is>
      </c>
      <c r="F207" t="inlineStr">
        <is>
          <t>BAUCOM</t>
        </is>
      </c>
      <c r="G207" t="inlineStr">
        <is>
          <t>SR 1001</t>
        </is>
      </c>
      <c r="H207" t="n">
        <v>1.935</v>
      </c>
      <c r="I207" t="inlineStr">
        <is>
          <t>NIS</t>
        </is>
      </c>
      <c r="L207" t="n">
        <v>106961419</v>
      </c>
      <c r="M207" s="6" t="n">
        <v>44700</v>
      </c>
      <c r="N207" t="n">
        <v>21</v>
      </c>
      <c r="O207" t="n">
        <v>1</v>
      </c>
      <c r="P207" t="n">
        <v>0</v>
      </c>
      <c r="Q207" t="n">
        <v>1</v>
      </c>
      <c r="R207" t="inlineStr">
        <is>
          <t>O</t>
        </is>
      </c>
      <c r="S207">
        <f>IFERROR(VLOOKUP(N207,Index!$A$1:$B$26,2,FALSE),"")</f>
        <v/>
      </c>
      <c r="T207">
        <f>AA207</f>
        <v/>
      </c>
      <c r="V207">
        <f>IFERROR(INDEX(DetailedFiche!Q:Q,MATCH(L207,DetailedFiche!J:J,0)),"")</f>
        <v/>
      </c>
      <c r="W207">
        <f>IFERROR(INDEX(DetailedFiche!R:R,MATCH(L207,DetailedFiche!J:J,0)),"")</f>
        <v/>
      </c>
      <c r="Y207">
        <f>IFERROR(IF(AND(INDEX('Initial Study'!K:K, MATCH(L207, 'Initial Study'!B:B, 0)+1)&lt;&gt;0,INDEX('Initial Study'!K:K, MATCH(L207, 'Initial Study'!B:B, 0)+1)&lt;&gt;""),INDEX('Initial Study'!K:K, MATCH(L207, 'Initial Study'!B:B, 0)+1),""),"")</f>
        <v/>
      </c>
      <c r="Z207">
        <f>IFERROR(IF(AND(INDEX('Initial Study'!K:K, MATCH(L207, 'Initial Study'!B:B, 0)+2)&lt;&gt;0,INDEX('Initial Study'!K:K, MATCH(L207, 'Initial Study'!B:B, 0)+2)&lt;&gt;"",NOT(ISNUMBER(INDEX('Initial Study'!K:K, MATCH(L207, 'Initial Study'!B:B, 0)+2)))),INDEX('Initial Study'!K:K, MATCH(L207, 'Initial Study'!B:B, 0)+2),"-"),"-")</f>
        <v/>
      </c>
      <c r="AA207">
        <f>IF(S207="RE", Y207 &amp; "BT/" &amp; IF(Z207 &lt;&gt; "-", Z207 &amp; "BT", ""), IF(OR(S207="LTDR", S207="LTSR"), Y207 &amp; "BL" &amp; IF(Z207 &lt;&gt; "-", "/" &amp; Z207 &amp; "BT", ""), IF(OR(S207="RTDR", S207="RTSR"), Y207 &amp; "BR" &amp; IF(Z207 &lt;&gt; "-", "/" &amp; Z207 &amp; "BT", ""), IF(Z207 &lt;&gt; "-", Y207 &amp; "BT/" &amp; Z207 &amp; "BT", Y207 &amp; "BT"))))</f>
        <v/>
      </c>
    </row>
    <row r="208">
      <c r="A208" t="n">
        <v>558</v>
      </c>
      <c r="B208" t="inlineStr">
        <is>
          <t>SR 1001</t>
        </is>
      </c>
      <c r="C208" t="n">
        <v>0.25</v>
      </c>
      <c r="D208" t="inlineStr">
        <is>
          <t>S</t>
        </is>
      </c>
      <c r="E208" t="inlineStr">
        <is>
          <t>SR 1665</t>
        </is>
      </c>
      <c r="F208" t="inlineStr">
        <is>
          <t>SR 1620</t>
        </is>
      </c>
      <c r="G208" t="inlineStr">
        <is>
          <t>SR 1001</t>
        </is>
      </c>
      <c r="H208" t="n">
        <v>1.965</v>
      </c>
      <c r="I208" t="inlineStr">
        <is>
          <t>NIS</t>
        </is>
      </c>
      <c r="L208" t="n">
        <v>106709721</v>
      </c>
      <c r="M208" s="6" t="n">
        <v>44460</v>
      </c>
      <c r="N208" t="n">
        <v>27</v>
      </c>
      <c r="O208" t="n">
        <v>3</v>
      </c>
      <c r="P208" t="n">
        <v>4</v>
      </c>
      <c r="Q208" t="n">
        <v>1</v>
      </c>
      <c r="R208" t="inlineStr">
        <is>
          <t>B</t>
        </is>
      </c>
      <c r="S208">
        <f>IFERROR(VLOOKUP(N208,Index!$A$1:$B$26,2,FALSE),"")</f>
        <v/>
      </c>
      <c r="T208">
        <f>AA208</f>
        <v/>
      </c>
      <c r="V208">
        <f>IFERROR(INDEX(DetailedFiche!Q:Q,MATCH(L208,DetailedFiche!J:J,0)),"")</f>
        <v/>
      </c>
      <c r="W208">
        <f>IFERROR(INDEX(DetailedFiche!R:R,MATCH(L208,DetailedFiche!J:J,0)),"")</f>
        <v/>
      </c>
      <c r="Y208">
        <f>IFERROR(IF(AND(INDEX('Initial Study'!K:K, MATCH(L208, 'Initial Study'!B:B, 0)+1)&lt;&gt;0,INDEX('Initial Study'!K:K, MATCH(L208, 'Initial Study'!B:B, 0)+1)&lt;&gt;""),INDEX('Initial Study'!K:K, MATCH(L208, 'Initial Study'!B:B, 0)+1),""),"")</f>
        <v/>
      </c>
      <c r="Z208">
        <f>IFERROR(IF(AND(INDEX('Initial Study'!K:K, MATCH(L208, 'Initial Study'!B:B, 0)+2)&lt;&gt;0,INDEX('Initial Study'!K:K, MATCH(L208, 'Initial Study'!B:B, 0)+2)&lt;&gt;"",NOT(ISNUMBER(INDEX('Initial Study'!K:K, MATCH(L208, 'Initial Study'!B:B, 0)+2)))),INDEX('Initial Study'!K:K, MATCH(L208, 'Initial Study'!B:B, 0)+2),"-"),"-")</f>
        <v/>
      </c>
      <c r="AA208">
        <f>IF(S208="RE", Y208 &amp; "BT/" &amp; IF(Z208 &lt;&gt; "-", Z208 &amp; "BT", ""), IF(OR(S208="LTDR", S208="LTSR"), Y208 &amp; "BL" &amp; IF(Z208 &lt;&gt; "-", "/" &amp; Z208 &amp; "BT", ""), IF(OR(S208="RTDR", S208="RTSR"), Y208 &amp; "BR" &amp; IF(Z208 &lt;&gt; "-", "/" &amp; Z208 &amp; "BT", ""), IF(Z208 &lt;&gt; "-", Y208 &amp; "BT/" &amp; Z208 &amp; "BT", Y208 &amp; "BT"))))</f>
        <v/>
      </c>
    </row>
    <row r="209">
      <c r="A209" t="n">
        <v>0</v>
      </c>
      <c r="B209" t="inlineStr">
        <is>
          <t>SIKES MILL</t>
        </is>
      </c>
      <c r="C209" t="n">
        <v>0.24</v>
      </c>
      <c r="D209" t="inlineStr">
        <is>
          <t>S</t>
        </is>
      </c>
      <c r="E209" t="inlineStr">
        <is>
          <t>CHANEY</t>
        </is>
      </c>
      <c r="F209" t="inlineStr">
        <is>
          <t>BAUCOM</t>
        </is>
      </c>
      <c r="G209" t="inlineStr">
        <is>
          <t>SR 1001</t>
        </is>
      </c>
      <c r="H209" t="n">
        <v>1.975</v>
      </c>
      <c r="I209" t="inlineStr">
        <is>
          <t>NIS</t>
        </is>
      </c>
      <c r="L209" t="n">
        <v>105178227</v>
      </c>
      <c r="M209" s="6" t="n">
        <v>42947</v>
      </c>
      <c r="N209" t="n">
        <v>19</v>
      </c>
      <c r="O209" t="n">
        <v>1</v>
      </c>
      <c r="P209" t="n">
        <v>0</v>
      </c>
      <c r="Q209" t="n">
        <v>5</v>
      </c>
      <c r="R209" t="inlineStr">
        <is>
          <t>O</t>
        </is>
      </c>
      <c r="S209">
        <f>IFERROR(VLOOKUP(N209,Index!$A$1:$B$26,2,FALSE),"")</f>
        <v/>
      </c>
      <c r="T209">
        <f>AA209</f>
        <v/>
      </c>
      <c r="V209">
        <f>IFERROR(INDEX(DetailedFiche!Q:Q,MATCH(L209,DetailedFiche!J:J,0)),"")</f>
        <v/>
      </c>
      <c r="W209">
        <f>IFERROR(INDEX(DetailedFiche!R:R,MATCH(L209,DetailedFiche!J:J,0)),"")</f>
        <v/>
      </c>
      <c r="Y209">
        <f>IFERROR(IF(AND(INDEX('Initial Study'!K:K, MATCH(L209, 'Initial Study'!B:B, 0)+1)&lt;&gt;0,INDEX('Initial Study'!K:K, MATCH(L209, 'Initial Study'!B:B, 0)+1)&lt;&gt;""),INDEX('Initial Study'!K:K, MATCH(L209, 'Initial Study'!B:B, 0)+1),""),"")</f>
        <v/>
      </c>
      <c r="Z209">
        <f>IFERROR(IF(AND(INDEX('Initial Study'!K:K, MATCH(L209, 'Initial Study'!B:B, 0)+2)&lt;&gt;0,INDEX('Initial Study'!K:K, MATCH(L209, 'Initial Study'!B:B, 0)+2)&lt;&gt;"",NOT(ISNUMBER(INDEX('Initial Study'!K:K, MATCH(L209, 'Initial Study'!B:B, 0)+2)))),INDEX('Initial Study'!K:K, MATCH(L209, 'Initial Study'!B:B, 0)+2),"-"),"-")</f>
        <v/>
      </c>
      <c r="AA209">
        <f>IF(S209="RE", Y209 &amp; "BT/" &amp; IF(Z209 &lt;&gt; "-", Z209 &amp; "BT", ""), IF(OR(S209="LTDR", S209="LTSR"), Y209 &amp; "BL" &amp; IF(Z209 &lt;&gt; "-", "/" &amp; Z209 &amp; "BT", ""), IF(OR(S209="RTDR", S209="RTSR"), Y209 &amp; "BR" &amp; IF(Z209 &lt;&gt; "-", "/" &amp; Z209 &amp; "BT", ""), IF(Z209 &lt;&gt; "-", Y209 &amp; "BT/" &amp; Z209 &amp; "BT", Y209 &amp; "BT"))))</f>
        <v/>
      </c>
    </row>
    <row r="210">
      <c r="A210" t="n">
        <v>558</v>
      </c>
      <c r="B210" t="inlineStr">
        <is>
          <t>SR 1001</t>
        </is>
      </c>
      <c r="C210" t="n">
        <v>0.2</v>
      </c>
      <c r="D210" t="inlineStr">
        <is>
          <t>S</t>
        </is>
      </c>
      <c r="E210" t="inlineStr">
        <is>
          <t>SR 1665</t>
        </is>
      </c>
      <c r="F210" t="inlineStr">
        <is>
          <t>SR 1620</t>
        </is>
      </c>
      <c r="G210" t="inlineStr">
        <is>
          <t>SR 1001</t>
        </is>
      </c>
      <c r="H210" t="n">
        <v>2.015</v>
      </c>
      <c r="I210" t="inlineStr">
        <is>
          <t>NIS</t>
        </is>
      </c>
      <c r="L210" t="n">
        <v>105912752</v>
      </c>
      <c r="M210" s="6" t="n">
        <v>43646</v>
      </c>
      <c r="N210" t="n">
        <v>17</v>
      </c>
      <c r="O210" t="n">
        <v>2</v>
      </c>
      <c r="P210" t="n">
        <v>0</v>
      </c>
      <c r="Q210" t="n">
        <v>5</v>
      </c>
      <c r="R210" t="inlineStr">
        <is>
          <t>O</t>
        </is>
      </c>
      <c r="S210">
        <f>IFERROR(VLOOKUP(N210,Index!$A$1:$B$26,2,FALSE),"")</f>
        <v/>
      </c>
      <c r="T210">
        <f>AA210</f>
        <v/>
      </c>
      <c r="V210">
        <f>IFERROR(INDEX(DetailedFiche!Q:Q,MATCH(L210,DetailedFiche!J:J,0)),"")</f>
        <v/>
      </c>
      <c r="W210">
        <f>IFERROR(INDEX(DetailedFiche!R:R,MATCH(L210,DetailedFiche!J:J,0)),"")</f>
        <v/>
      </c>
      <c r="Y210">
        <f>IFERROR(IF(AND(INDEX('Initial Study'!K:K, MATCH(L210, 'Initial Study'!B:B, 0)+1)&lt;&gt;0,INDEX('Initial Study'!K:K, MATCH(L210, 'Initial Study'!B:B, 0)+1)&lt;&gt;""),INDEX('Initial Study'!K:K, MATCH(L210, 'Initial Study'!B:B, 0)+1),""),"")</f>
        <v/>
      </c>
      <c r="Z210">
        <f>IFERROR(IF(AND(INDEX('Initial Study'!K:K, MATCH(L210, 'Initial Study'!B:B, 0)+2)&lt;&gt;0,INDEX('Initial Study'!K:K, MATCH(L210, 'Initial Study'!B:B, 0)+2)&lt;&gt;"",NOT(ISNUMBER(INDEX('Initial Study'!K:K, MATCH(L210, 'Initial Study'!B:B, 0)+2)))),INDEX('Initial Study'!K:K, MATCH(L210, 'Initial Study'!B:B, 0)+2),"-"),"-")</f>
        <v/>
      </c>
      <c r="AA210">
        <f>IF(S210="RE", Y210 &amp; "BT/" &amp; IF(Z210 &lt;&gt; "-", Z210 &amp; "BT", ""), IF(OR(S210="LTDR", S210="LTSR"), Y210 &amp; "BL" &amp; IF(Z210 &lt;&gt; "-", "/" &amp; Z210 &amp; "BT", ""), IF(OR(S210="RTDR", S210="RTSR"), Y210 &amp; "BR" &amp; IF(Z210 &lt;&gt; "-", "/" &amp; Z210 &amp; "BT", ""), IF(Z210 &lt;&gt; "-", Y210 &amp; "BT/" &amp; Z210 &amp; "BT", Y210 &amp; "BT"))))</f>
        <v/>
      </c>
    </row>
    <row r="211">
      <c r="A211" t="n">
        <v>558</v>
      </c>
      <c r="B211" t="inlineStr">
        <is>
          <t>SR 1001</t>
        </is>
      </c>
      <c r="C211" t="n">
        <v>0.1</v>
      </c>
      <c r="D211" t="inlineStr">
        <is>
          <t>S</t>
        </is>
      </c>
      <c r="E211" t="inlineStr">
        <is>
          <t>SR 1665</t>
        </is>
      </c>
      <c r="F211" t="inlineStr">
        <is>
          <t>US 601</t>
        </is>
      </c>
      <c r="G211" t="inlineStr">
        <is>
          <t>SR 1001</t>
        </is>
      </c>
      <c r="H211" t="n">
        <v>2.115</v>
      </c>
      <c r="I211" t="inlineStr">
        <is>
          <t>NIS</t>
        </is>
      </c>
      <c r="L211" t="n">
        <v>105707364</v>
      </c>
      <c r="M211" s="6" t="n">
        <v>43444</v>
      </c>
      <c r="N211" t="n">
        <v>29</v>
      </c>
      <c r="O211" t="n">
        <v>4</v>
      </c>
      <c r="P211" t="n">
        <v>0</v>
      </c>
      <c r="Q211" t="n">
        <v>1</v>
      </c>
      <c r="R211" t="inlineStr">
        <is>
          <t>O</t>
        </is>
      </c>
      <c r="S211">
        <f>IFERROR(VLOOKUP(N211,Index!$A$1:$B$26,2,FALSE),"")</f>
        <v/>
      </c>
      <c r="T211">
        <f>AA211</f>
        <v/>
      </c>
      <c r="V211">
        <f>IFERROR(INDEX(DetailedFiche!Q:Q,MATCH(L211,DetailedFiche!J:J,0)),"")</f>
        <v/>
      </c>
      <c r="W211">
        <f>IFERROR(INDEX(DetailedFiche!R:R,MATCH(L211,DetailedFiche!J:J,0)),"")</f>
        <v/>
      </c>
      <c r="Y211">
        <f>IFERROR(IF(AND(INDEX('Initial Study'!K:K, MATCH(L211, 'Initial Study'!B:B, 0)+1)&lt;&gt;0,INDEX('Initial Study'!K:K, MATCH(L211, 'Initial Study'!B:B, 0)+1)&lt;&gt;""),INDEX('Initial Study'!K:K, MATCH(L211, 'Initial Study'!B:B, 0)+1),""),"")</f>
        <v/>
      </c>
      <c r="Z211">
        <f>IFERROR(IF(AND(INDEX('Initial Study'!K:K, MATCH(L211, 'Initial Study'!B:B, 0)+2)&lt;&gt;0,INDEX('Initial Study'!K:K, MATCH(L211, 'Initial Study'!B:B, 0)+2)&lt;&gt;"",NOT(ISNUMBER(INDEX('Initial Study'!K:K, MATCH(L211, 'Initial Study'!B:B, 0)+2)))),INDEX('Initial Study'!K:K, MATCH(L211, 'Initial Study'!B:B, 0)+2),"-"),"-")</f>
        <v/>
      </c>
      <c r="AA211">
        <f>IF(S211="RE", Y211 &amp; "BT/" &amp; IF(Z211 &lt;&gt; "-", Z211 &amp; "BT", ""), IF(OR(S211="LTDR", S211="LTSR"), Y211 &amp; "BL" &amp; IF(Z211 &lt;&gt; "-", "/" &amp; Z211 &amp; "BT", ""), IF(OR(S211="RTDR", S211="RTSR"), Y211 &amp; "BR" &amp; IF(Z211 &lt;&gt; "-", "/" &amp; Z211 &amp; "BT", ""), IF(Z211 &lt;&gt; "-", Y211 &amp; "BT/" &amp; Z211 &amp; "BT", Y211 &amp; "BT"))))</f>
        <v/>
      </c>
    </row>
    <row r="212">
      <c r="A212" t="n">
        <v>558</v>
      </c>
      <c r="B212" t="inlineStr">
        <is>
          <t>SR 1001</t>
        </is>
      </c>
      <c r="C212" t="n">
        <v>0.1</v>
      </c>
      <c r="D212" t="inlineStr">
        <is>
          <t>SW</t>
        </is>
      </c>
      <c r="E212" t="inlineStr">
        <is>
          <t>SR 1665</t>
        </is>
      </c>
      <c r="F212" t="inlineStr">
        <is>
          <t>SR 1620</t>
        </is>
      </c>
      <c r="G212" t="inlineStr">
        <is>
          <t>SR 1001</t>
        </is>
      </c>
      <c r="H212" t="n">
        <v>2.115</v>
      </c>
      <c r="I212" t="inlineStr">
        <is>
          <t>NIS</t>
        </is>
      </c>
      <c r="L212" t="n">
        <v>107412806</v>
      </c>
      <c r="M212" s="6" t="n">
        <v>45138</v>
      </c>
      <c r="N212" t="n">
        <v>29</v>
      </c>
      <c r="O212" t="n">
        <v>1</v>
      </c>
      <c r="P212" t="n">
        <v>0</v>
      </c>
      <c r="Q212" t="n">
        <v>1</v>
      </c>
      <c r="R212" t="inlineStr">
        <is>
          <t>C</t>
        </is>
      </c>
      <c r="S212">
        <f>IFERROR(VLOOKUP(N212,Index!$A$1:$B$26,2,FALSE),"")</f>
        <v/>
      </c>
      <c r="T212">
        <f>AA212</f>
        <v/>
      </c>
      <c r="V212">
        <f>IFERROR(INDEX(DetailedFiche!Q:Q,MATCH(L212,DetailedFiche!J:J,0)),"")</f>
        <v/>
      </c>
      <c r="W212">
        <f>IFERROR(INDEX(DetailedFiche!R:R,MATCH(L212,DetailedFiche!J:J,0)),"")</f>
        <v/>
      </c>
      <c r="Y212">
        <f>IFERROR(IF(AND(INDEX('Initial Study'!K:K, MATCH(L212, 'Initial Study'!B:B, 0)+1)&lt;&gt;0,INDEX('Initial Study'!K:K, MATCH(L212, 'Initial Study'!B:B, 0)+1)&lt;&gt;""),INDEX('Initial Study'!K:K, MATCH(L212, 'Initial Study'!B:B, 0)+1),""),"")</f>
        <v/>
      </c>
      <c r="Z212">
        <f>IFERROR(IF(AND(INDEX('Initial Study'!K:K, MATCH(L212, 'Initial Study'!B:B, 0)+2)&lt;&gt;0,INDEX('Initial Study'!K:K, MATCH(L212, 'Initial Study'!B:B, 0)+2)&lt;&gt;"",NOT(ISNUMBER(INDEX('Initial Study'!K:K, MATCH(L212, 'Initial Study'!B:B, 0)+2)))),INDEX('Initial Study'!K:K, MATCH(L212, 'Initial Study'!B:B, 0)+2),"-"),"-")</f>
        <v/>
      </c>
      <c r="AA212">
        <f>IF(S212="RE", Y212 &amp; "BT/" &amp; IF(Z212 &lt;&gt; "-", Z212 &amp; "BT", ""), IF(OR(S212="LTDR", S212="LTSR"), Y212 &amp; "BL" &amp; IF(Z212 &lt;&gt; "-", "/" &amp; Z212 &amp; "BT", ""), IF(OR(S212="RTDR", S212="RTSR"), Y212 &amp; "BR" &amp; IF(Z212 &lt;&gt; "-", "/" &amp; Z212 &amp; "BT", ""), IF(Z212 &lt;&gt; "-", Y212 &amp; "BT/" &amp; Z212 &amp; "BT", Y212 &amp; "BT"))))</f>
        <v/>
      </c>
    </row>
    <row r="213">
      <c r="A213" t="n">
        <v>0</v>
      </c>
      <c r="B213" t="inlineStr">
        <is>
          <t>SIKES MILL</t>
        </is>
      </c>
      <c r="C213" t="n">
        <v>0.095</v>
      </c>
      <c r="D213" t="inlineStr">
        <is>
          <t>S</t>
        </is>
      </c>
      <c r="E213" t="inlineStr">
        <is>
          <t>CHANEY</t>
        </is>
      </c>
      <c r="F213" t="inlineStr">
        <is>
          <t>BAUCOM</t>
        </is>
      </c>
      <c r="G213" t="inlineStr">
        <is>
          <t>SR 1001</t>
        </is>
      </c>
      <c r="H213" t="n">
        <v>2.12</v>
      </c>
      <c r="I213" t="inlineStr">
        <is>
          <t>NIS</t>
        </is>
      </c>
      <c r="L213" t="n">
        <v>105302586</v>
      </c>
      <c r="M213" s="6" t="n">
        <v>43067</v>
      </c>
      <c r="N213" t="n">
        <v>17</v>
      </c>
      <c r="O213" t="n">
        <v>1</v>
      </c>
      <c r="P213" t="n">
        <v>0</v>
      </c>
      <c r="Q213" t="n">
        <v>5</v>
      </c>
      <c r="R213" t="inlineStr">
        <is>
          <t>O</t>
        </is>
      </c>
      <c r="S213">
        <f>IFERROR(VLOOKUP(N213,Index!$A$1:$B$26,2,FALSE),"")</f>
        <v/>
      </c>
      <c r="T213">
        <f>AA213</f>
        <v/>
      </c>
      <c r="V213">
        <f>IFERROR(INDEX(DetailedFiche!Q:Q,MATCH(L213,DetailedFiche!J:J,0)),"")</f>
        <v/>
      </c>
      <c r="W213">
        <f>IFERROR(INDEX(DetailedFiche!R:R,MATCH(L213,DetailedFiche!J:J,0)),"")</f>
        <v/>
      </c>
      <c r="Y213">
        <f>IFERROR(IF(AND(INDEX('Initial Study'!K:K, MATCH(L213, 'Initial Study'!B:B, 0)+1)&lt;&gt;0,INDEX('Initial Study'!K:K, MATCH(L213, 'Initial Study'!B:B, 0)+1)&lt;&gt;""),INDEX('Initial Study'!K:K, MATCH(L213, 'Initial Study'!B:B, 0)+1),""),"")</f>
        <v/>
      </c>
      <c r="Z213">
        <f>IFERROR(IF(AND(INDEX('Initial Study'!K:K, MATCH(L213, 'Initial Study'!B:B, 0)+2)&lt;&gt;0,INDEX('Initial Study'!K:K, MATCH(L213, 'Initial Study'!B:B, 0)+2)&lt;&gt;"",NOT(ISNUMBER(INDEX('Initial Study'!K:K, MATCH(L213, 'Initial Study'!B:B, 0)+2)))),INDEX('Initial Study'!K:K, MATCH(L213, 'Initial Study'!B:B, 0)+2),"-"),"-")</f>
        <v/>
      </c>
      <c r="AA213">
        <f>IF(S213="RE", Y213 &amp; "BT/" &amp; IF(Z213 &lt;&gt; "-", Z213 &amp; "BT", ""), IF(OR(S213="LTDR", S213="LTSR"), Y213 &amp; "BL" &amp; IF(Z213 &lt;&gt; "-", "/" &amp; Z213 &amp; "BT", ""), IF(OR(S213="RTDR", S213="RTSR"), Y213 &amp; "BR" &amp; IF(Z213 &lt;&gt; "-", "/" &amp; Z213 &amp; "BT", ""), IF(Z213 &lt;&gt; "-", Y213 &amp; "BT/" &amp; Z213 &amp; "BT", Y213 &amp; "BT"))))</f>
        <v/>
      </c>
    </row>
    <row r="214">
      <c r="A214" t="n">
        <v>0</v>
      </c>
      <c r="B214" t="inlineStr">
        <is>
          <t>SR 1001</t>
        </is>
      </c>
      <c r="C214" t="n">
        <v>0.038</v>
      </c>
      <c r="D214" t="inlineStr">
        <is>
          <t>S</t>
        </is>
      </c>
      <c r="E214" t="inlineStr">
        <is>
          <t>SR 1665</t>
        </is>
      </c>
      <c r="F214" t="inlineStr">
        <is>
          <t>SR 1620</t>
        </is>
      </c>
      <c r="G214" t="inlineStr">
        <is>
          <t>SR 1001</t>
        </is>
      </c>
      <c r="H214" t="n">
        <v>2.177</v>
      </c>
      <c r="I214" t="inlineStr">
        <is>
          <t>NIS</t>
        </is>
      </c>
      <c r="L214" t="n">
        <v>107935833</v>
      </c>
      <c r="M214" s="6" t="n">
        <v>45621</v>
      </c>
      <c r="N214" t="n">
        <v>17</v>
      </c>
      <c r="O214" t="n">
        <v>1</v>
      </c>
      <c r="P214" t="n">
        <v>0</v>
      </c>
      <c r="Q214" t="n">
        <v>5</v>
      </c>
      <c r="R214" t="inlineStr">
        <is>
          <t>O</t>
        </is>
      </c>
      <c r="S214">
        <f>IFERROR(VLOOKUP(N214,Index!$A$1:$B$26,2,FALSE),"")</f>
        <v/>
      </c>
      <c r="T214">
        <f>AA214</f>
        <v/>
      </c>
      <c r="V214">
        <f>IFERROR(INDEX(DetailedFiche!Q:Q,MATCH(L214,DetailedFiche!J:J,0)),"")</f>
        <v/>
      </c>
      <c r="W214">
        <f>IFERROR(INDEX(DetailedFiche!R:R,MATCH(L214,DetailedFiche!J:J,0)),"")</f>
        <v/>
      </c>
      <c r="Y214">
        <f>IFERROR(IF(AND(INDEX('Initial Study'!K:K, MATCH(L214, 'Initial Study'!B:B, 0)+1)&lt;&gt;0,INDEX('Initial Study'!K:K, MATCH(L214, 'Initial Study'!B:B, 0)+1)&lt;&gt;""),INDEX('Initial Study'!K:K, MATCH(L214, 'Initial Study'!B:B, 0)+1),""),"")</f>
        <v/>
      </c>
      <c r="Z214">
        <f>IFERROR(IF(AND(INDEX('Initial Study'!K:K, MATCH(L214, 'Initial Study'!B:B, 0)+2)&lt;&gt;0,INDEX('Initial Study'!K:K, MATCH(L214, 'Initial Study'!B:B, 0)+2)&lt;&gt;"",NOT(ISNUMBER(INDEX('Initial Study'!K:K, MATCH(L214, 'Initial Study'!B:B, 0)+2)))),INDEX('Initial Study'!K:K, MATCH(L214, 'Initial Study'!B:B, 0)+2),"-"),"-")</f>
        <v/>
      </c>
      <c r="AA214">
        <f>IF(S214="RE", Y214 &amp; "BT/" &amp; IF(Z214 &lt;&gt; "-", Z214 &amp; "BT", ""), IF(OR(S214="LTDR", S214="LTSR"), Y214 &amp; "BL" &amp; IF(Z214 &lt;&gt; "-", "/" &amp; Z214 &amp; "BT", ""), IF(OR(S214="RTDR", S214="RTSR"), Y214 &amp; "BR" &amp; IF(Z214 &lt;&gt; "-", "/" &amp; Z214 &amp; "BT", ""), IF(Z214 &lt;&gt; "-", Y214 &amp; "BT/" &amp; Z214 &amp; "BT", Y214 &amp; "BT"))))</f>
        <v/>
      </c>
    </row>
    <row r="215">
      <c r="A215" t="n">
        <v>558</v>
      </c>
      <c r="B215" t="inlineStr">
        <is>
          <t>SR 1001</t>
        </is>
      </c>
      <c r="C215" t="n">
        <v>0</v>
      </c>
      <c r="E215" t="inlineStr">
        <is>
          <t>SR 1665</t>
        </is>
      </c>
      <c r="F215" t="inlineStr">
        <is>
          <t>SR 1615</t>
        </is>
      </c>
      <c r="G215" t="inlineStr">
        <is>
          <t>SR 1001</t>
        </is>
      </c>
      <c r="H215" t="n">
        <v>2.215</v>
      </c>
      <c r="I215" t="inlineStr">
        <is>
          <t>NIS</t>
        </is>
      </c>
      <c r="L215" t="n">
        <v>105137812</v>
      </c>
      <c r="M215" s="6" t="n">
        <v>42905</v>
      </c>
      <c r="N215" t="n">
        <v>19</v>
      </c>
      <c r="O215" t="n">
        <v>1</v>
      </c>
      <c r="P215" t="n">
        <v>8</v>
      </c>
      <c r="Q215" t="n">
        <v>1</v>
      </c>
      <c r="R215" t="inlineStr">
        <is>
          <t>O</t>
        </is>
      </c>
      <c r="S215">
        <f>IFERROR(VLOOKUP(N215,Index!$A$1:$B$26,2,FALSE),"")</f>
        <v/>
      </c>
      <c r="T215">
        <f>AA215</f>
        <v/>
      </c>
      <c r="V215">
        <f>IFERROR(INDEX(DetailedFiche!Q:Q,MATCH(L215,DetailedFiche!J:J,0)),"")</f>
        <v/>
      </c>
      <c r="W215">
        <f>IFERROR(INDEX(DetailedFiche!R:R,MATCH(L215,DetailedFiche!J:J,0)),"")</f>
        <v/>
      </c>
      <c r="Y215">
        <f>IFERROR(IF(AND(INDEX('Initial Study'!K:K, MATCH(L215, 'Initial Study'!B:B, 0)+1)&lt;&gt;0,INDEX('Initial Study'!K:K, MATCH(L215, 'Initial Study'!B:B, 0)+1)&lt;&gt;""),INDEX('Initial Study'!K:K, MATCH(L215, 'Initial Study'!B:B, 0)+1),""),"")</f>
        <v/>
      </c>
      <c r="Z215">
        <f>IFERROR(IF(AND(INDEX('Initial Study'!K:K, MATCH(L215, 'Initial Study'!B:B, 0)+2)&lt;&gt;0,INDEX('Initial Study'!K:K, MATCH(L215, 'Initial Study'!B:B, 0)+2)&lt;&gt;"",NOT(ISNUMBER(INDEX('Initial Study'!K:K, MATCH(L215, 'Initial Study'!B:B, 0)+2)))),INDEX('Initial Study'!K:K, MATCH(L215, 'Initial Study'!B:B, 0)+2),"-"),"-")</f>
        <v/>
      </c>
      <c r="AA215">
        <f>IF(S215="RE", Y215 &amp; "BT/" &amp; IF(Z215 &lt;&gt; "-", Z215 &amp; "BT", ""), IF(OR(S215="LTDR", S215="LTSR"), Y215 &amp; "BL" &amp; IF(Z215 &lt;&gt; "-", "/" &amp; Z215 &amp; "BT", ""), IF(OR(S215="RTDR", S215="RTSR"), Y215 &amp; "BR" &amp; IF(Z215 &lt;&gt; "-", "/" &amp; Z215 &amp; "BT", ""), IF(Z215 &lt;&gt; "-", Y215 &amp; "BT/" &amp; Z215 &amp; "BT", Y215 &amp; "BT"))))</f>
        <v/>
      </c>
    </row>
    <row r="216">
      <c r="A216" t="n">
        <v>558</v>
      </c>
      <c r="B216" t="inlineStr">
        <is>
          <t>SR 1001</t>
        </is>
      </c>
      <c r="C216" t="n">
        <v>0.01</v>
      </c>
      <c r="D216" t="inlineStr">
        <is>
          <t>N</t>
        </is>
      </c>
      <c r="E216" t="inlineStr">
        <is>
          <t>SR 1665</t>
        </is>
      </c>
      <c r="F216" t="inlineStr">
        <is>
          <t>SR 1615</t>
        </is>
      </c>
      <c r="G216" t="inlineStr">
        <is>
          <t>SR 1001</t>
        </is>
      </c>
      <c r="H216" t="n">
        <v>2.225</v>
      </c>
      <c r="I216" t="inlineStr">
        <is>
          <t>NIS</t>
        </is>
      </c>
      <c r="L216" t="n">
        <v>107059684</v>
      </c>
      <c r="M216" s="6" t="n">
        <v>44801</v>
      </c>
      <c r="N216" t="n">
        <v>19</v>
      </c>
      <c r="O216" t="n">
        <v>1</v>
      </c>
      <c r="P216" t="n">
        <v>0</v>
      </c>
      <c r="Q216" t="n">
        <v>1</v>
      </c>
      <c r="S216">
        <f>IFERROR(VLOOKUP(N216,Index!$A$1:$B$26,2,FALSE),"")</f>
        <v/>
      </c>
      <c r="T216">
        <f>AA216</f>
        <v/>
      </c>
      <c r="V216">
        <f>IFERROR(INDEX(DetailedFiche!Q:Q,MATCH(L216,DetailedFiche!J:J,0)),"")</f>
        <v/>
      </c>
      <c r="W216">
        <f>IFERROR(INDEX(DetailedFiche!R:R,MATCH(L216,DetailedFiche!J:J,0)),"")</f>
        <v/>
      </c>
      <c r="Y216">
        <f>IFERROR(IF(AND(INDEX('Initial Study'!K:K, MATCH(L216, 'Initial Study'!B:B, 0)+1)&lt;&gt;0,INDEX('Initial Study'!K:K, MATCH(L216, 'Initial Study'!B:B, 0)+1)&lt;&gt;""),INDEX('Initial Study'!K:K, MATCH(L216, 'Initial Study'!B:B, 0)+1),""),"")</f>
        <v/>
      </c>
      <c r="Z216">
        <f>IFERROR(IF(AND(INDEX('Initial Study'!K:K, MATCH(L216, 'Initial Study'!B:B, 0)+2)&lt;&gt;0,INDEX('Initial Study'!K:K, MATCH(L216, 'Initial Study'!B:B, 0)+2)&lt;&gt;"",NOT(ISNUMBER(INDEX('Initial Study'!K:K, MATCH(L216, 'Initial Study'!B:B, 0)+2)))),INDEX('Initial Study'!K:K, MATCH(L216, 'Initial Study'!B:B, 0)+2),"-"),"-")</f>
        <v/>
      </c>
      <c r="AA216">
        <f>IF(S216="RE", Y216 &amp; "BT/" &amp; IF(Z216 &lt;&gt; "-", Z216 &amp; "BT", ""), IF(OR(S216="LTDR", S216="LTSR"), Y216 &amp; "BL" &amp; IF(Z216 &lt;&gt; "-", "/" &amp; Z216 &amp; "BT", ""), IF(OR(S216="RTDR", S216="RTSR"), Y216 &amp; "BR" &amp; IF(Z216 &lt;&gt; "-", "/" &amp; Z216 &amp; "BT", ""), IF(Z216 &lt;&gt; "-", Y216 &amp; "BT/" &amp; Z216 &amp; "BT", Y216 &amp; "BT"))))</f>
        <v/>
      </c>
    </row>
    <row r="217">
      <c r="A217" t="n">
        <v>0</v>
      </c>
      <c r="B217" t="inlineStr">
        <is>
          <t>SR 1001</t>
        </is>
      </c>
      <c r="C217" t="n">
        <v>0.052</v>
      </c>
      <c r="D217" t="inlineStr">
        <is>
          <t>N</t>
        </is>
      </c>
      <c r="E217" t="inlineStr">
        <is>
          <t>SR 1665</t>
        </is>
      </c>
      <c r="F217" t="inlineStr">
        <is>
          <t>SR 2713</t>
        </is>
      </c>
      <c r="G217" t="inlineStr">
        <is>
          <t>SR 1001</t>
        </is>
      </c>
      <c r="H217" t="n">
        <v>2.267</v>
      </c>
      <c r="I217" t="inlineStr">
        <is>
          <t>NIS</t>
        </is>
      </c>
      <c r="L217" t="n">
        <v>106807050</v>
      </c>
      <c r="M217" s="6" t="n">
        <v>44548</v>
      </c>
      <c r="N217" t="n">
        <v>5</v>
      </c>
      <c r="O217" t="n">
        <v>1</v>
      </c>
      <c r="P217" t="n">
        <v>0</v>
      </c>
      <c r="Q217" t="n">
        <v>5</v>
      </c>
      <c r="R217" t="inlineStr">
        <is>
          <t>C</t>
        </is>
      </c>
      <c r="S217">
        <f>IFERROR(VLOOKUP(N217,Index!$A$1:$B$26,2,FALSE),"")</f>
        <v/>
      </c>
      <c r="T217">
        <f>AA217</f>
        <v/>
      </c>
      <c r="V217">
        <f>IFERROR(INDEX(DetailedFiche!Q:Q,MATCH(L217,DetailedFiche!J:J,0)),"")</f>
        <v/>
      </c>
      <c r="W217">
        <f>IFERROR(INDEX(DetailedFiche!R:R,MATCH(L217,DetailedFiche!J:J,0)),"")</f>
        <v/>
      </c>
      <c r="Y217">
        <f>IFERROR(IF(AND(INDEX('Initial Study'!K:K, MATCH(L217, 'Initial Study'!B:B, 0)+1)&lt;&gt;0,INDEX('Initial Study'!K:K, MATCH(L217, 'Initial Study'!B:B, 0)+1)&lt;&gt;""),INDEX('Initial Study'!K:K, MATCH(L217, 'Initial Study'!B:B, 0)+1),""),"")</f>
        <v/>
      </c>
      <c r="Z217">
        <f>IFERROR(IF(AND(INDEX('Initial Study'!K:K, MATCH(L217, 'Initial Study'!B:B, 0)+2)&lt;&gt;0,INDEX('Initial Study'!K:K, MATCH(L217, 'Initial Study'!B:B, 0)+2)&lt;&gt;"",NOT(ISNUMBER(INDEX('Initial Study'!K:K, MATCH(L217, 'Initial Study'!B:B, 0)+2)))),INDEX('Initial Study'!K:K, MATCH(L217, 'Initial Study'!B:B, 0)+2),"-"),"-")</f>
        <v/>
      </c>
      <c r="AA217">
        <f>IF(S217="RE", Y217 &amp; "BT/" &amp; IF(Z217 &lt;&gt; "-", Z217 &amp; "BT", ""), IF(OR(S217="LTDR", S217="LTSR"), Y217 &amp; "BL" &amp; IF(Z217 &lt;&gt; "-", "/" &amp; Z217 &amp; "BT", ""), IF(OR(S217="RTDR", S217="RTSR"), Y217 &amp; "BR" &amp; IF(Z217 &lt;&gt; "-", "/" &amp; Z217 &amp; "BT", ""), IF(Z217 &lt;&gt; "-", Y217 &amp; "BT/" &amp; Z217 &amp; "BT", Y217 &amp; "BT"))))</f>
        <v/>
      </c>
    </row>
    <row r="218">
      <c r="A218" t="n">
        <v>558</v>
      </c>
      <c r="B218" t="inlineStr">
        <is>
          <t>SR 1001</t>
        </is>
      </c>
      <c r="C218" t="n">
        <v>0.1</v>
      </c>
      <c r="D218" t="inlineStr">
        <is>
          <t>N</t>
        </is>
      </c>
      <c r="E218" t="inlineStr">
        <is>
          <t>SR 1665</t>
        </is>
      </c>
      <c r="F218" t="inlineStr">
        <is>
          <t>SR 2713</t>
        </is>
      </c>
      <c r="G218" t="inlineStr">
        <is>
          <t>SR 1001</t>
        </is>
      </c>
      <c r="H218" t="n">
        <v>2.315</v>
      </c>
      <c r="I218" t="inlineStr">
        <is>
          <t>NIS</t>
        </is>
      </c>
      <c r="L218" t="n">
        <v>106678989</v>
      </c>
      <c r="M218" s="6" t="n">
        <v>44437</v>
      </c>
      <c r="N218" t="n">
        <v>29</v>
      </c>
      <c r="O218" t="n">
        <v>1</v>
      </c>
      <c r="P218" t="n">
        <v>0</v>
      </c>
      <c r="Q218" t="n">
        <v>1</v>
      </c>
      <c r="R218" t="inlineStr">
        <is>
          <t>O</t>
        </is>
      </c>
      <c r="S218">
        <f>IFERROR(VLOOKUP(N218,Index!$A$1:$B$26,2,FALSE),"")</f>
        <v/>
      </c>
      <c r="T218">
        <f>AA218</f>
        <v/>
      </c>
      <c r="V218">
        <f>IFERROR(INDEX(DetailedFiche!Q:Q,MATCH(L218,DetailedFiche!J:J,0)),"")</f>
        <v/>
      </c>
      <c r="W218">
        <f>IFERROR(INDEX(DetailedFiche!R:R,MATCH(L218,DetailedFiche!J:J,0)),"")</f>
        <v/>
      </c>
      <c r="Y218">
        <f>IFERROR(IF(AND(INDEX('Initial Study'!K:K, MATCH(L218, 'Initial Study'!B:B, 0)+1)&lt;&gt;0,INDEX('Initial Study'!K:K, MATCH(L218, 'Initial Study'!B:B, 0)+1)&lt;&gt;""),INDEX('Initial Study'!K:K, MATCH(L218, 'Initial Study'!B:B, 0)+1),""),"")</f>
        <v/>
      </c>
      <c r="Z218">
        <f>IFERROR(IF(AND(INDEX('Initial Study'!K:K, MATCH(L218, 'Initial Study'!B:B, 0)+2)&lt;&gt;0,INDEX('Initial Study'!K:K, MATCH(L218, 'Initial Study'!B:B, 0)+2)&lt;&gt;"",NOT(ISNUMBER(INDEX('Initial Study'!K:K, MATCH(L218, 'Initial Study'!B:B, 0)+2)))),INDEX('Initial Study'!K:K, MATCH(L218, 'Initial Study'!B:B, 0)+2),"-"),"-")</f>
        <v/>
      </c>
      <c r="AA218">
        <f>IF(S218="RE", Y218 &amp; "BT/" &amp; IF(Z218 &lt;&gt; "-", Z218 &amp; "BT", ""), IF(OR(S218="LTDR", S218="LTSR"), Y218 &amp; "BL" &amp; IF(Z218 &lt;&gt; "-", "/" &amp; Z218 &amp; "BT", ""), IF(OR(S218="RTDR", S218="RTSR"), Y218 &amp; "BR" &amp; IF(Z218 &lt;&gt; "-", "/" &amp; Z218 &amp; "BT", ""), IF(Z218 &lt;&gt; "-", Y218 &amp; "BT/" &amp; Z218 &amp; "BT", Y218 &amp; "BT"))))</f>
        <v/>
      </c>
    </row>
    <row r="219">
      <c r="A219" t="n">
        <v>558</v>
      </c>
      <c r="B219" t="inlineStr">
        <is>
          <t>SR 1001</t>
        </is>
      </c>
      <c r="C219" t="n">
        <v>0.1</v>
      </c>
      <c r="D219" t="inlineStr">
        <is>
          <t>N</t>
        </is>
      </c>
      <c r="E219" t="inlineStr">
        <is>
          <t>SR 1665</t>
        </is>
      </c>
      <c r="F219" t="inlineStr">
        <is>
          <t>SR 2713</t>
        </is>
      </c>
      <c r="G219" t="inlineStr">
        <is>
          <t>SR 1001</t>
        </is>
      </c>
      <c r="H219" t="n">
        <v>2.315</v>
      </c>
      <c r="I219" t="inlineStr">
        <is>
          <t>NIS</t>
        </is>
      </c>
      <c r="L219" t="n">
        <v>106572777</v>
      </c>
      <c r="M219" s="6" t="n">
        <v>44327</v>
      </c>
      <c r="N219" t="n">
        <v>29</v>
      </c>
      <c r="O219" t="n">
        <v>1</v>
      </c>
      <c r="P219" t="n">
        <v>0</v>
      </c>
      <c r="Q219" t="n">
        <v>1</v>
      </c>
      <c r="R219" t="inlineStr">
        <is>
          <t>C</t>
        </is>
      </c>
      <c r="S219">
        <f>IFERROR(VLOOKUP(N219,Index!$A$1:$B$26,2,FALSE),"")</f>
        <v/>
      </c>
      <c r="T219">
        <f>AA219</f>
        <v/>
      </c>
      <c r="V219">
        <f>IFERROR(INDEX(DetailedFiche!Q:Q,MATCH(L219,DetailedFiche!J:J,0)),"")</f>
        <v/>
      </c>
      <c r="W219">
        <f>IFERROR(INDEX(DetailedFiche!R:R,MATCH(L219,DetailedFiche!J:J,0)),"")</f>
        <v/>
      </c>
      <c r="Y219">
        <f>IFERROR(IF(AND(INDEX('Initial Study'!K:K, MATCH(L219, 'Initial Study'!B:B, 0)+1)&lt;&gt;0,INDEX('Initial Study'!K:K, MATCH(L219, 'Initial Study'!B:B, 0)+1)&lt;&gt;""),INDEX('Initial Study'!K:K, MATCH(L219, 'Initial Study'!B:B, 0)+1),""),"")</f>
        <v/>
      </c>
      <c r="Z219">
        <f>IFERROR(IF(AND(INDEX('Initial Study'!K:K, MATCH(L219, 'Initial Study'!B:B, 0)+2)&lt;&gt;0,INDEX('Initial Study'!K:K, MATCH(L219, 'Initial Study'!B:B, 0)+2)&lt;&gt;"",NOT(ISNUMBER(INDEX('Initial Study'!K:K, MATCH(L219, 'Initial Study'!B:B, 0)+2)))),INDEX('Initial Study'!K:K, MATCH(L219, 'Initial Study'!B:B, 0)+2),"-"),"-")</f>
        <v/>
      </c>
      <c r="AA219">
        <f>IF(S219="RE", Y219 &amp; "BT/" &amp; IF(Z219 &lt;&gt; "-", Z219 &amp; "BT", ""), IF(OR(S219="LTDR", S219="LTSR"), Y219 &amp; "BL" &amp; IF(Z219 &lt;&gt; "-", "/" &amp; Z219 &amp; "BT", ""), IF(OR(S219="RTDR", S219="RTSR"), Y219 &amp; "BR" &amp; IF(Z219 &lt;&gt; "-", "/" &amp; Z219 &amp; "BT", ""), IF(Z219 &lt;&gt; "-", Y219 &amp; "BT/" &amp; Z219 &amp; "BT", Y219 &amp; "BT"))))</f>
        <v/>
      </c>
    </row>
    <row r="220">
      <c r="A220" t="n">
        <v>558</v>
      </c>
      <c r="B220" t="inlineStr">
        <is>
          <t>SR 1001</t>
        </is>
      </c>
      <c r="C220" t="n">
        <v>0.1</v>
      </c>
      <c r="D220" t="inlineStr">
        <is>
          <t>N</t>
        </is>
      </c>
      <c r="E220" t="inlineStr">
        <is>
          <t>SR 1665</t>
        </is>
      </c>
      <c r="F220" t="inlineStr">
        <is>
          <t>SR 2713</t>
        </is>
      </c>
      <c r="G220" t="inlineStr">
        <is>
          <t>SR 1001</t>
        </is>
      </c>
      <c r="H220" t="n">
        <v>2.315</v>
      </c>
      <c r="I220" t="inlineStr">
        <is>
          <t>NIS</t>
        </is>
      </c>
      <c r="L220" t="n">
        <v>105183265</v>
      </c>
      <c r="M220" s="6" t="n">
        <v>42954</v>
      </c>
      <c r="N220" t="n">
        <v>23</v>
      </c>
      <c r="O220" t="n">
        <v>1</v>
      </c>
      <c r="P220" t="n">
        <v>0</v>
      </c>
      <c r="Q220" t="n">
        <v>1</v>
      </c>
      <c r="R220" t="inlineStr">
        <is>
          <t>B</t>
        </is>
      </c>
      <c r="S220">
        <f>IFERROR(VLOOKUP(N220,Index!$A$1:$B$26,2,FALSE),"")</f>
        <v/>
      </c>
      <c r="T220">
        <f>AA220</f>
        <v/>
      </c>
      <c r="V220">
        <f>IFERROR(INDEX(DetailedFiche!Q:Q,MATCH(L220,DetailedFiche!J:J,0)),"")</f>
        <v/>
      </c>
      <c r="W220">
        <f>IFERROR(INDEX(DetailedFiche!R:R,MATCH(L220,DetailedFiche!J:J,0)),"")</f>
        <v/>
      </c>
      <c r="Y220">
        <f>IFERROR(IF(AND(INDEX('Initial Study'!K:K, MATCH(L220, 'Initial Study'!B:B, 0)+1)&lt;&gt;0,INDEX('Initial Study'!K:K, MATCH(L220, 'Initial Study'!B:B, 0)+1)&lt;&gt;""),INDEX('Initial Study'!K:K, MATCH(L220, 'Initial Study'!B:B, 0)+1),""),"")</f>
        <v/>
      </c>
      <c r="Z220">
        <f>IFERROR(IF(AND(INDEX('Initial Study'!K:K, MATCH(L220, 'Initial Study'!B:B, 0)+2)&lt;&gt;0,INDEX('Initial Study'!K:K, MATCH(L220, 'Initial Study'!B:B, 0)+2)&lt;&gt;"",NOT(ISNUMBER(INDEX('Initial Study'!K:K, MATCH(L220, 'Initial Study'!B:B, 0)+2)))),INDEX('Initial Study'!K:K, MATCH(L220, 'Initial Study'!B:B, 0)+2),"-"),"-")</f>
        <v/>
      </c>
      <c r="AA220">
        <f>IF(S220="RE", Y220 &amp; "BT/" &amp; IF(Z220 &lt;&gt; "-", Z220 &amp; "BT", ""), IF(OR(S220="LTDR", S220="LTSR"), Y220 &amp; "BL" &amp; IF(Z220 &lt;&gt; "-", "/" &amp; Z220 &amp; "BT", ""), IF(OR(S220="RTDR", S220="RTSR"), Y220 &amp; "BR" &amp; IF(Z220 &lt;&gt; "-", "/" &amp; Z220 &amp; "BT", ""), IF(Z220 &lt;&gt; "-", Y220 &amp; "BT/" &amp; Z220 &amp; "BT", Y220 &amp; "BT"))))</f>
        <v/>
      </c>
    </row>
    <row r="221">
      <c r="A221" t="n">
        <v>0</v>
      </c>
      <c r="B221" t="inlineStr">
        <is>
          <t>SR 1001</t>
        </is>
      </c>
      <c r="C221" t="n">
        <v>0.1</v>
      </c>
      <c r="D221" t="inlineStr">
        <is>
          <t>N</t>
        </is>
      </c>
      <c r="E221" t="inlineStr">
        <is>
          <t>SR 1665</t>
        </is>
      </c>
      <c r="F221" t="inlineStr">
        <is>
          <t>SR 2713</t>
        </is>
      </c>
      <c r="G221" t="inlineStr">
        <is>
          <t>SR 1001</t>
        </is>
      </c>
      <c r="H221" t="n">
        <v>2.315</v>
      </c>
      <c r="I221" t="inlineStr">
        <is>
          <t>NIS</t>
        </is>
      </c>
      <c r="L221" t="n">
        <v>104942809</v>
      </c>
      <c r="M221" s="6" t="n">
        <v>42711</v>
      </c>
      <c r="N221" t="n">
        <v>1</v>
      </c>
      <c r="O221" t="n">
        <v>1</v>
      </c>
      <c r="P221" t="n">
        <v>5</v>
      </c>
      <c r="Q221" t="n">
        <v>5</v>
      </c>
      <c r="R221" t="inlineStr">
        <is>
          <t>O</t>
        </is>
      </c>
      <c r="S221">
        <f>IFERROR(VLOOKUP(N221,Index!$A$1:$B$26,2,FALSE),"")</f>
        <v/>
      </c>
      <c r="T221">
        <f>AA221</f>
        <v/>
      </c>
      <c r="V221">
        <f>IFERROR(INDEX(DetailedFiche!Q:Q,MATCH(L221,DetailedFiche!J:J,0)),"")</f>
        <v/>
      </c>
      <c r="W221">
        <f>IFERROR(INDEX(DetailedFiche!R:R,MATCH(L221,DetailedFiche!J:J,0)),"")</f>
        <v/>
      </c>
      <c r="Y221">
        <f>IFERROR(IF(AND(INDEX('Initial Study'!K:K, MATCH(L221, 'Initial Study'!B:B, 0)+1)&lt;&gt;0,INDEX('Initial Study'!K:K, MATCH(L221, 'Initial Study'!B:B, 0)+1)&lt;&gt;""),INDEX('Initial Study'!K:K, MATCH(L221, 'Initial Study'!B:B, 0)+1),""),"")</f>
        <v/>
      </c>
      <c r="Z221">
        <f>IFERROR(IF(AND(INDEX('Initial Study'!K:K, MATCH(L221, 'Initial Study'!B:B, 0)+2)&lt;&gt;0,INDEX('Initial Study'!K:K, MATCH(L221, 'Initial Study'!B:B, 0)+2)&lt;&gt;"",NOT(ISNUMBER(INDEX('Initial Study'!K:K, MATCH(L221, 'Initial Study'!B:B, 0)+2)))),INDEX('Initial Study'!K:K, MATCH(L221, 'Initial Study'!B:B, 0)+2),"-"),"-")</f>
        <v/>
      </c>
      <c r="AA221">
        <f>IF(S221="RE", Y221 &amp; "BT/" &amp; IF(Z221 &lt;&gt; "-", Z221 &amp; "BT", ""), IF(OR(S221="LTDR", S221="LTSR"), Y221 &amp; "BL" &amp; IF(Z221 &lt;&gt; "-", "/" &amp; Z221 &amp; "BT", ""), IF(OR(S221="RTDR", S221="RTSR"), Y221 &amp; "BR" &amp; IF(Z221 &lt;&gt; "-", "/" &amp; Z221 &amp; "BT", ""), IF(Z221 &lt;&gt; "-", Y221 &amp; "BT/" &amp; Z221 &amp; "BT", Y221 &amp; "BT"))))</f>
        <v/>
      </c>
    </row>
    <row r="222">
      <c r="A222" t="n">
        <v>0</v>
      </c>
      <c r="B222" t="inlineStr">
        <is>
          <t>SR 1001</t>
        </is>
      </c>
      <c r="C222" t="n">
        <v>0.4</v>
      </c>
      <c r="D222" t="inlineStr">
        <is>
          <t>S</t>
        </is>
      </c>
      <c r="E222" t="inlineStr">
        <is>
          <t>SR 1615</t>
        </is>
      </c>
      <c r="F222" t="inlineStr">
        <is>
          <t>SR 1638</t>
        </is>
      </c>
      <c r="G222" t="inlineStr">
        <is>
          <t>SR 1001</t>
        </is>
      </c>
      <c r="H222" t="n">
        <v>2.471</v>
      </c>
      <c r="I222" t="inlineStr">
        <is>
          <t>NIS</t>
        </is>
      </c>
      <c r="L222" t="n">
        <v>104946035</v>
      </c>
      <c r="M222" s="6" t="n">
        <v>42714</v>
      </c>
      <c r="N222" t="n">
        <v>21</v>
      </c>
      <c r="O222" t="n">
        <v>1</v>
      </c>
      <c r="P222" t="n">
        <v>0</v>
      </c>
      <c r="Q222" t="n">
        <v>5</v>
      </c>
      <c r="R222" t="inlineStr">
        <is>
          <t>C</t>
        </is>
      </c>
      <c r="S222">
        <f>IFERROR(VLOOKUP(N222,Index!$A$1:$B$26,2,FALSE),"")</f>
        <v/>
      </c>
      <c r="T222">
        <f>AA222</f>
        <v/>
      </c>
      <c r="V222">
        <f>IFERROR(INDEX(DetailedFiche!Q:Q,MATCH(L222,DetailedFiche!J:J,0)),"")</f>
        <v/>
      </c>
      <c r="W222">
        <f>IFERROR(INDEX(DetailedFiche!R:R,MATCH(L222,DetailedFiche!J:J,0)),"")</f>
        <v/>
      </c>
      <c r="Y222">
        <f>IFERROR(IF(AND(INDEX('Initial Study'!K:K, MATCH(L222, 'Initial Study'!B:B, 0)+1)&lt;&gt;0,INDEX('Initial Study'!K:K, MATCH(L222, 'Initial Study'!B:B, 0)+1)&lt;&gt;""),INDEX('Initial Study'!K:K, MATCH(L222, 'Initial Study'!B:B, 0)+1),""),"")</f>
        <v/>
      </c>
      <c r="Z222">
        <f>IFERROR(IF(AND(INDEX('Initial Study'!K:K, MATCH(L222, 'Initial Study'!B:B, 0)+2)&lt;&gt;0,INDEX('Initial Study'!K:K, MATCH(L222, 'Initial Study'!B:B, 0)+2)&lt;&gt;"",NOT(ISNUMBER(INDEX('Initial Study'!K:K, MATCH(L222, 'Initial Study'!B:B, 0)+2)))),INDEX('Initial Study'!K:K, MATCH(L222, 'Initial Study'!B:B, 0)+2),"-"),"-")</f>
        <v/>
      </c>
      <c r="AA222">
        <f>IF(S222="RE", Y222 &amp; "BT/" &amp; IF(Z222 &lt;&gt; "-", Z222 &amp; "BT", ""), IF(OR(S222="LTDR", S222="LTSR"), Y222 &amp; "BL" &amp; IF(Z222 &lt;&gt; "-", "/" &amp; Z222 &amp; "BT", ""), IF(OR(S222="RTDR", S222="RTSR"), Y222 &amp; "BR" &amp; IF(Z222 &lt;&gt; "-", "/" &amp; Z222 &amp; "BT", ""), IF(Z222 &lt;&gt; "-", Y222 &amp; "BT/" &amp; Z222 &amp; "BT", Y222 &amp; "BT"))))</f>
        <v/>
      </c>
    </row>
    <row r="223">
      <c r="A223" t="n">
        <v>558</v>
      </c>
      <c r="B223" t="inlineStr">
        <is>
          <t>SR 1001</t>
        </is>
      </c>
      <c r="C223" t="n">
        <v>0.031</v>
      </c>
      <c r="D223" t="inlineStr">
        <is>
          <t>S</t>
        </is>
      </c>
      <c r="E223" t="inlineStr">
        <is>
          <t>SR 2713</t>
        </is>
      </c>
      <c r="F223" t="inlineStr">
        <is>
          <t>SR 1665</t>
        </is>
      </c>
      <c r="G223" t="inlineStr">
        <is>
          <t>SR 1001</t>
        </is>
      </c>
      <c r="H223" t="n">
        <v>2.494</v>
      </c>
      <c r="I223" t="inlineStr">
        <is>
          <t>NIS</t>
        </is>
      </c>
      <c r="L223" t="n">
        <v>107743856</v>
      </c>
      <c r="M223" s="6" t="n">
        <v>45447</v>
      </c>
      <c r="N223" t="n">
        <v>5</v>
      </c>
      <c r="O223" t="n">
        <v>1</v>
      </c>
      <c r="P223" t="n">
        <v>0</v>
      </c>
      <c r="Q223" t="n">
        <v>1</v>
      </c>
      <c r="R223" t="inlineStr">
        <is>
          <t>A</t>
        </is>
      </c>
      <c r="S223">
        <f>IFERROR(VLOOKUP(N223,Index!$A$1:$B$26,2,FALSE),"")</f>
        <v/>
      </c>
      <c r="T223">
        <f>AA223</f>
        <v/>
      </c>
      <c r="V223">
        <f>IFERROR(INDEX(DetailedFiche!Q:Q,MATCH(L223,DetailedFiche!J:J,0)),"")</f>
        <v/>
      </c>
      <c r="W223">
        <f>IFERROR(INDEX(DetailedFiche!R:R,MATCH(L223,DetailedFiche!J:J,0)),"")</f>
        <v/>
      </c>
      <c r="Y223">
        <f>IFERROR(IF(AND(INDEX('Initial Study'!K:K, MATCH(L223, 'Initial Study'!B:B, 0)+1)&lt;&gt;0,INDEX('Initial Study'!K:K, MATCH(L223, 'Initial Study'!B:B, 0)+1)&lt;&gt;""),INDEX('Initial Study'!K:K, MATCH(L223, 'Initial Study'!B:B, 0)+1),""),"")</f>
        <v/>
      </c>
      <c r="Z223">
        <f>IFERROR(IF(AND(INDEX('Initial Study'!K:K, MATCH(L223, 'Initial Study'!B:B, 0)+2)&lt;&gt;0,INDEX('Initial Study'!K:K, MATCH(L223, 'Initial Study'!B:B, 0)+2)&lt;&gt;"",NOT(ISNUMBER(INDEX('Initial Study'!K:K, MATCH(L223, 'Initial Study'!B:B, 0)+2)))),INDEX('Initial Study'!K:K, MATCH(L223, 'Initial Study'!B:B, 0)+2),"-"),"-")</f>
        <v/>
      </c>
      <c r="AA223">
        <f>IF(S223="RE", Y223 &amp; "BT/" &amp; IF(Z223 &lt;&gt; "-", Z223 &amp; "BT", ""), IF(OR(S223="LTDR", S223="LTSR"), Y223 &amp; "BL" &amp; IF(Z223 &lt;&gt; "-", "/" &amp; Z223 &amp; "BT", ""), IF(OR(S223="RTDR", S223="RTSR"), Y223 &amp; "BR" &amp; IF(Z223 &lt;&gt; "-", "/" &amp; Z223 &amp; "BT", ""), IF(Z223 &lt;&gt; "-", Y223 &amp; "BT/" &amp; Z223 &amp; "BT", Y223 &amp; "BT"))))</f>
        <v/>
      </c>
    </row>
    <row r="224">
      <c r="A224" t="n">
        <v>558</v>
      </c>
      <c r="B224" t="inlineStr">
        <is>
          <t>SR 1001</t>
        </is>
      </c>
      <c r="C224" t="n">
        <v>0.006</v>
      </c>
      <c r="D224" t="inlineStr">
        <is>
          <t>S</t>
        </is>
      </c>
      <c r="E224" t="inlineStr">
        <is>
          <t>SR 2713</t>
        </is>
      </c>
      <c r="F224" t="inlineStr">
        <is>
          <t>SR 1665</t>
        </is>
      </c>
      <c r="G224" t="inlineStr">
        <is>
          <t>SR 1001</t>
        </is>
      </c>
      <c r="H224" t="n">
        <v>2.519</v>
      </c>
      <c r="I224" t="inlineStr">
        <is>
          <t>NIS</t>
        </is>
      </c>
      <c r="L224" t="n">
        <v>108208937</v>
      </c>
      <c r="M224" s="6" t="n">
        <v>45883</v>
      </c>
      <c r="N224" t="n">
        <v>19</v>
      </c>
      <c r="O224" t="n">
        <v>1</v>
      </c>
      <c r="P224" t="n">
        <v>0</v>
      </c>
      <c r="Q224" t="n">
        <v>1</v>
      </c>
      <c r="R224" t="inlineStr">
        <is>
          <t>A</t>
        </is>
      </c>
      <c r="S224">
        <f>IFERROR(VLOOKUP(N224,Index!$A$1:$B$26,2,FALSE),"")</f>
        <v/>
      </c>
      <c r="T224">
        <f>AA224</f>
        <v/>
      </c>
      <c r="V224">
        <f>IFERROR(INDEX(DetailedFiche!Q:Q,MATCH(L224,DetailedFiche!J:J,0)),"")</f>
        <v/>
      </c>
      <c r="W224">
        <f>IFERROR(INDEX(DetailedFiche!R:R,MATCH(L224,DetailedFiche!J:J,0)),"")</f>
        <v/>
      </c>
      <c r="Y224">
        <f>IFERROR(IF(AND(INDEX('Initial Study'!K:K, MATCH(L224, 'Initial Study'!B:B, 0)+1)&lt;&gt;0,INDEX('Initial Study'!K:K, MATCH(L224, 'Initial Study'!B:B, 0)+1)&lt;&gt;""),INDEX('Initial Study'!K:K, MATCH(L224, 'Initial Study'!B:B, 0)+1),""),"")</f>
        <v/>
      </c>
      <c r="Z224">
        <f>IFERROR(IF(AND(INDEX('Initial Study'!K:K, MATCH(L224, 'Initial Study'!B:B, 0)+2)&lt;&gt;0,INDEX('Initial Study'!K:K, MATCH(L224, 'Initial Study'!B:B, 0)+2)&lt;&gt;"",NOT(ISNUMBER(INDEX('Initial Study'!K:K, MATCH(L224, 'Initial Study'!B:B, 0)+2)))),INDEX('Initial Study'!K:K, MATCH(L224, 'Initial Study'!B:B, 0)+2),"-"),"-")</f>
        <v/>
      </c>
      <c r="AA224">
        <f>IF(S224="RE", Y224 &amp; "BT/" &amp; IF(Z224 &lt;&gt; "-", Z224 &amp; "BT", ""), IF(OR(S224="LTDR", S224="LTSR"), Y224 &amp; "BL" &amp; IF(Z224 &lt;&gt; "-", "/" &amp; Z224 &amp; "BT", ""), IF(OR(S224="RTDR", S224="RTSR"), Y224 &amp; "BR" &amp; IF(Z224 &lt;&gt; "-", "/" &amp; Z224 &amp; "BT", ""), IF(Z224 &lt;&gt; "-", Y224 &amp; "BT/" &amp; Z224 &amp; "BT", Y224 &amp; "BT"))))</f>
        <v/>
      </c>
    </row>
    <row r="225">
      <c r="A225" t="n">
        <v>558</v>
      </c>
      <c r="B225" t="inlineStr">
        <is>
          <t>SR 1001</t>
        </is>
      </c>
      <c r="C225" t="n">
        <v>0</v>
      </c>
      <c r="E225" t="inlineStr">
        <is>
          <t>SR 2713</t>
        </is>
      </c>
      <c r="F225" t="inlineStr">
        <is>
          <t>SR 1615</t>
        </is>
      </c>
      <c r="G225" t="inlineStr">
        <is>
          <t>SR 1001</t>
        </is>
      </c>
      <c r="H225" t="n">
        <v>2.525</v>
      </c>
      <c r="I225" t="inlineStr">
        <is>
          <t>NIS</t>
        </is>
      </c>
      <c r="L225" t="n">
        <v>108377777</v>
      </c>
      <c r="M225" s="6" t="n">
        <v>46041</v>
      </c>
      <c r="N225" t="n">
        <v>23</v>
      </c>
      <c r="O225" t="n">
        <v>1</v>
      </c>
      <c r="P225" t="n">
        <v>8</v>
      </c>
      <c r="Q225" t="n">
        <v>1</v>
      </c>
      <c r="R225" t="inlineStr">
        <is>
          <t>O</t>
        </is>
      </c>
      <c r="S225">
        <f>IFERROR(VLOOKUP(N225,Index!$A$1:$B$26,2,FALSE),"")</f>
        <v/>
      </c>
      <c r="T225">
        <f>AA225</f>
        <v/>
      </c>
      <c r="V225">
        <f>IFERROR(INDEX(DetailedFiche!Q:Q,MATCH(L225,DetailedFiche!J:J,0)),"")</f>
        <v/>
      </c>
      <c r="W225">
        <f>IFERROR(INDEX(DetailedFiche!R:R,MATCH(L225,DetailedFiche!J:J,0)),"")</f>
        <v/>
      </c>
      <c r="Y225">
        <f>IFERROR(IF(AND(INDEX('Initial Study'!K:K, MATCH(L225, 'Initial Study'!B:B, 0)+1)&lt;&gt;0,INDEX('Initial Study'!K:K, MATCH(L225, 'Initial Study'!B:B, 0)+1)&lt;&gt;""),INDEX('Initial Study'!K:K, MATCH(L225, 'Initial Study'!B:B, 0)+1),""),"")</f>
        <v/>
      </c>
      <c r="Z225">
        <f>IFERROR(IF(AND(INDEX('Initial Study'!K:K, MATCH(L225, 'Initial Study'!B:B, 0)+2)&lt;&gt;0,INDEX('Initial Study'!K:K, MATCH(L225, 'Initial Study'!B:B, 0)+2)&lt;&gt;"",NOT(ISNUMBER(INDEX('Initial Study'!K:K, MATCH(L225, 'Initial Study'!B:B, 0)+2)))),INDEX('Initial Study'!K:K, MATCH(L225, 'Initial Study'!B:B, 0)+2),"-"),"-")</f>
        <v/>
      </c>
      <c r="AA225">
        <f>IF(S225="RE", Y225 &amp; "BT/" &amp; IF(Z225 &lt;&gt; "-", Z225 &amp; "BT", ""), IF(OR(S225="LTDR", S225="LTSR"), Y225 &amp; "BL" &amp; IF(Z225 &lt;&gt; "-", "/" &amp; Z225 &amp; "BT", ""), IF(OR(S225="RTDR", S225="RTSR"), Y225 &amp; "BR" &amp; IF(Z225 &lt;&gt; "-", "/" &amp; Z225 &amp; "BT", ""), IF(Z225 &lt;&gt; "-", Y225 &amp; "BT/" &amp; Z225 &amp; "BT", Y225 &amp; "BT"))))</f>
        <v/>
      </c>
    </row>
    <row r="226">
      <c r="A226" t="n">
        <v>558</v>
      </c>
      <c r="B226" t="inlineStr">
        <is>
          <t>SR 1001</t>
        </is>
      </c>
      <c r="C226" t="n">
        <v>0</v>
      </c>
      <c r="E226" t="inlineStr">
        <is>
          <t>SR 2713</t>
        </is>
      </c>
      <c r="F226" t="inlineStr">
        <is>
          <t>SR 1665</t>
        </is>
      </c>
      <c r="G226" t="inlineStr">
        <is>
          <t>SR 1001</t>
        </is>
      </c>
      <c r="H226" t="n">
        <v>2.525</v>
      </c>
      <c r="I226" t="inlineStr">
        <is>
          <t>NIS</t>
        </is>
      </c>
      <c r="L226" t="n">
        <v>106017149</v>
      </c>
      <c r="M226" s="6" t="n">
        <v>43746</v>
      </c>
      <c r="N226" t="n">
        <v>24</v>
      </c>
      <c r="O226" t="n">
        <v>1</v>
      </c>
      <c r="P226" t="n">
        <v>8</v>
      </c>
      <c r="Q226" t="n">
        <v>1</v>
      </c>
      <c r="R226" t="inlineStr">
        <is>
          <t>B</t>
        </is>
      </c>
      <c r="S226">
        <f>IFERROR(VLOOKUP(N226,Index!$A$1:$B$26,2,FALSE),"")</f>
        <v/>
      </c>
      <c r="T226">
        <f>AA226</f>
        <v/>
      </c>
      <c r="V226">
        <f>IFERROR(INDEX(DetailedFiche!Q:Q,MATCH(L226,DetailedFiche!J:J,0)),"")</f>
        <v/>
      </c>
      <c r="W226">
        <f>IFERROR(INDEX(DetailedFiche!R:R,MATCH(L226,DetailedFiche!J:J,0)),"")</f>
        <v/>
      </c>
      <c r="Y226">
        <f>IFERROR(IF(AND(INDEX('Initial Study'!K:K, MATCH(L226, 'Initial Study'!B:B, 0)+1)&lt;&gt;0,INDEX('Initial Study'!K:K, MATCH(L226, 'Initial Study'!B:B, 0)+1)&lt;&gt;""),INDEX('Initial Study'!K:K, MATCH(L226, 'Initial Study'!B:B, 0)+1),""),"")</f>
        <v/>
      </c>
      <c r="Z226">
        <f>IFERROR(IF(AND(INDEX('Initial Study'!K:K, MATCH(L226, 'Initial Study'!B:B, 0)+2)&lt;&gt;0,INDEX('Initial Study'!K:K, MATCH(L226, 'Initial Study'!B:B, 0)+2)&lt;&gt;"",NOT(ISNUMBER(INDEX('Initial Study'!K:K, MATCH(L226, 'Initial Study'!B:B, 0)+2)))),INDEX('Initial Study'!K:K, MATCH(L226, 'Initial Study'!B:B, 0)+2),"-"),"-")</f>
        <v/>
      </c>
      <c r="AA226">
        <f>IF(S226="RE", Y226 &amp; "BT/" &amp; IF(Z226 &lt;&gt; "-", Z226 &amp; "BT", ""), IF(OR(S226="LTDR", S226="LTSR"), Y226 &amp; "BL" &amp; IF(Z226 &lt;&gt; "-", "/" &amp; Z226 &amp; "BT", ""), IF(OR(S226="RTDR", S226="RTSR"), Y226 &amp; "BR" &amp; IF(Z226 &lt;&gt; "-", "/" &amp; Z226 &amp; "BT", ""), IF(Z226 &lt;&gt; "-", Y226 &amp; "BT/" &amp; Z226 &amp; "BT", Y226 &amp; "BT"))))</f>
        <v/>
      </c>
    </row>
    <row r="227">
      <c r="A227" t="n">
        <v>558</v>
      </c>
      <c r="B227" t="inlineStr">
        <is>
          <t>SR 1001</t>
        </is>
      </c>
      <c r="C227" t="n">
        <v>0.008999999999999999</v>
      </c>
      <c r="D227" t="inlineStr">
        <is>
          <t>N</t>
        </is>
      </c>
      <c r="E227" t="inlineStr">
        <is>
          <t>SR 2713</t>
        </is>
      </c>
      <c r="F227" t="inlineStr">
        <is>
          <t>SR 1615</t>
        </is>
      </c>
      <c r="G227" t="inlineStr">
        <is>
          <t>SR 1001</t>
        </is>
      </c>
      <c r="H227" t="n">
        <v>2.534</v>
      </c>
      <c r="I227" t="inlineStr">
        <is>
          <t>NIS</t>
        </is>
      </c>
      <c r="L227" t="n">
        <v>106393731</v>
      </c>
      <c r="M227" s="6" t="n">
        <v>44139</v>
      </c>
      <c r="N227" t="n">
        <v>17</v>
      </c>
      <c r="O227" t="n">
        <v>1</v>
      </c>
      <c r="P227" t="n">
        <v>0</v>
      </c>
      <c r="Q227" t="n">
        <v>3</v>
      </c>
      <c r="R227" t="inlineStr">
        <is>
          <t>O</t>
        </is>
      </c>
      <c r="S227">
        <f>IFERROR(VLOOKUP(N227,Index!$A$1:$B$26,2,FALSE),"")</f>
        <v/>
      </c>
      <c r="T227">
        <f>AA227</f>
        <v/>
      </c>
      <c r="V227">
        <f>IFERROR(INDEX(DetailedFiche!Q:Q,MATCH(L227,DetailedFiche!J:J,0)),"")</f>
        <v/>
      </c>
      <c r="W227">
        <f>IFERROR(INDEX(DetailedFiche!R:R,MATCH(L227,DetailedFiche!J:J,0)),"")</f>
        <v/>
      </c>
      <c r="Y227">
        <f>IFERROR(IF(AND(INDEX('Initial Study'!K:K, MATCH(L227, 'Initial Study'!B:B, 0)+1)&lt;&gt;0,INDEX('Initial Study'!K:K, MATCH(L227, 'Initial Study'!B:B, 0)+1)&lt;&gt;""),INDEX('Initial Study'!K:K, MATCH(L227, 'Initial Study'!B:B, 0)+1),""),"")</f>
        <v/>
      </c>
      <c r="Z227">
        <f>IFERROR(IF(AND(INDEX('Initial Study'!K:K, MATCH(L227, 'Initial Study'!B:B, 0)+2)&lt;&gt;0,INDEX('Initial Study'!K:K, MATCH(L227, 'Initial Study'!B:B, 0)+2)&lt;&gt;"",NOT(ISNUMBER(INDEX('Initial Study'!K:K, MATCH(L227, 'Initial Study'!B:B, 0)+2)))),INDEX('Initial Study'!K:K, MATCH(L227, 'Initial Study'!B:B, 0)+2),"-"),"-")</f>
        <v/>
      </c>
      <c r="AA227">
        <f>IF(S227="RE", Y227 &amp; "BT/" &amp; IF(Z227 &lt;&gt; "-", Z227 &amp; "BT", ""), IF(OR(S227="LTDR", S227="LTSR"), Y227 &amp; "BL" &amp; IF(Z227 &lt;&gt; "-", "/" &amp; Z227 &amp; "BT", ""), IF(OR(S227="RTDR", S227="RTSR"), Y227 &amp; "BR" &amp; IF(Z227 &lt;&gt; "-", "/" &amp; Z227 &amp; "BT", ""), IF(Z227 &lt;&gt; "-", Y227 &amp; "BT/" &amp; Z227 &amp; "BT", Y227 &amp; "BT"))))</f>
        <v/>
      </c>
    </row>
    <row r="228">
      <c r="A228" t="n">
        <v>558</v>
      </c>
      <c r="B228" t="inlineStr">
        <is>
          <t>SR 1001</t>
        </is>
      </c>
      <c r="C228" t="n">
        <v>0.3</v>
      </c>
      <c r="D228" t="inlineStr">
        <is>
          <t>S</t>
        </is>
      </c>
      <c r="E228" t="inlineStr">
        <is>
          <t>SR 1615</t>
        </is>
      </c>
      <c r="F228" t="inlineStr">
        <is>
          <t>SR 2713</t>
        </is>
      </c>
      <c r="G228" t="inlineStr">
        <is>
          <t>SR 1001</t>
        </is>
      </c>
      <c r="H228" t="n">
        <v>2.571</v>
      </c>
      <c r="I228" t="inlineStr">
        <is>
          <t>NIS</t>
        </is>
      </c>
      <c r="L228" t="n">
        <v>107054448</v>
      </c>
      <c r="M228" s="6" t="n">
        <v>44789</v>
      </c>
      <c r="N228" t="n">
        <v>29</v>
      </c>
      <c r="O228" t="n">
        <v>1</v>
      </c>
      <c r="P228" t="n">
        <v>0</v>
      </c>
      <c r="Q228" t="n">
        <v>1</v>
      </c>
      <c r="R228" t="inlineStr">
        <is>
          <t>O</t>
        </is>
      </c>
      <c r="S228">
        <f>IFERROR(VLOOKUP(N228,Index!$A$1:$B$26,2,FALSE),"")</f>
        <v/>
      </c>
      <c r="T228">
        <f>AA228</f>
        <v/>
      </c>
      <c r="V228">
        <f>IFERROR(INDEX(DetailedFiche!Q:Q,MATCH(L228,DetailedFiche!J:J,0)),"")</f>
        <v/>
      </c>
      <c r="W228">
        <f>IFERROR(INDEX(DetailedFiche!R:R,MATCH(L228,DetailedFiche!J:J,0)),"")</f>
        <v/>
      </c>
      <c r="Y228">
        <f>IFERROR(IF(AND(INDEX('Initial Study'!K:K, MATCH(L228, 'Initial Study'!B:B, 0)+1)&lt;&gt;0,INDEX('Initial Study'!K:K, MATCH(L228, 'Initial Study'!B:B, 0)+1)&lt;&gt;""),INDEX('Initial Study'!K:K, MATCH(L228, 'Initial Study'!B:B, 0)+1),""),"")</f>
        <v/>
      </c>
      <c r="Z228">
        <f>IFERROR(IF(AND(INDEX('Initial Study'!K:K, MATCH(L228, 'Initial Study'!B:B, 0)+2)&lt;&gt;0,INDEX('Initial Study'!K:K, MATCH(L228, 'Initial Study'!B:B, 0)+2)&lt;&gt;"",NOT(ISNUMBER(INDEX('Initial Study'!K:K, MATCH(L228, 'Initial Study'!B:B, 0)+2)))),INDEX('Initial Study'!K:K, MATCH(L228, 'Initial Study'!B:B, 0)+2),"-"),"-")</f>
        <v/>
      </c>
      <c r="AA228">
        <f>IF(S228="RE", Y228 &amp; "BT/" &amp; IF(Z228 &lt;&gt; "-", Z228 &amp; "BT", ""), IF(OR(S228="LTDR", S228="LTSR"), Y228 &amp; "BL" &amp; IF(Z228 &lt;&gt; "-", "/" &amp; Z228 &amp; "BT", ""), IF(OR(S228="RTDR", S228="RTSR"), Y228 &amp; "BR" &amp; IF(Z228 &lt;&gt; "-", "/" &amp; Z228 &amp; "BT", ""), IF(Z228 &lt;&gt; "-", Y228 &amp; "BT/" &amp; Z228 &amp; "BT", Y228 &amp; "BT"))))</f>
        <v/>
      </c>
    </row>
    <row r="229">
      <c r="A229" t="n">
        <v>558</v>
      </c>
      <c r="B229" t="inlineStr">
        <is>
          <t>SR 1001</t>
        </is>
      </c>
      <c r="C229" t="n">
        <v>0.25</v>
      </c>
      <c r="D229" t="inlineStr">
        <is>
          <t>S</t>
        </is>
      </c>
      <c r="E229" t="inlineStr">
        <is>
          <t>SR 1615</t>
        </is>
      </c>
      <c r="F229" t="inlineStr">
        <is>
          <t>SR 2713</t>
        </is>
      </c>
      <c r="G229" t="inlineStr">
        <is>
          <t>SR 1001</t>
        </is>
      </c>
      <c r="H229" t="n">
        <v>2.621</v>
      </c>
      <c r="I229" t="inlineStr">
        <is>
          <t>NIS</t>
        </is>
      </c>
      <c r="L229" t="n">
        <v>106146785</v>
      </c>
      <c r="M229" s="6" t="n">
        <v>43864</v>
      </c>
      <c r="N229" t="n">
        <v>17</v>
      </c>
      <c r="O229" t="n">
        <v>1</v>
      </c>
      <c r="P229" t="n">
        <v>0</v>
      </c>
      <c r="Q229" t="n">
        <v>5</v>
      </c>
      <c r="R229" t="inlineStr">
        <is>
          <t>O</t>
        </is>
      </c>
      <c r="S229">
        <f>IFERROR(VLOOKUP(N229,Index!$A$1:$B$26,2,FALSE),"")</f>
        <v/>
      </c>
      <c r="T229">
        <f>AA229</f>
        <v/>
      </c>
      <c r="V229">
        <f>IFERROR(INDEX(DetailedFiche!Q:Q,MATCH(L229,DetailedFiche!J:J,0)),"")</f>
        <v/>
      </c>
      <c r="W229">
        <f>IFERROR(INDEX(DetailedFiche!R:R,MATCH(L229,DetailedFiche!J:J,0)),"")</f>
        <v/>
      </c>
      <c r="Y229">
        <f>IFERROR(IF(AND(INDEX('Initial Study'!K:K, MATCH(L229, 'Initial Study'!B:B, 0)+1)&lt;&gt;0,INDEX('Initial Study'!K:K, MATCH(L229, 'Initial Study'!B:B, 0)+1)&lt;&gt;""),INDEX('Initial Study'!K:K, MATCH(L229, 'Initial Study'!B:B, 0)+1),""),"")</f>
        <v/>
      </c>
      <c r="Z229">
        <f>IFERROR(IF(AND(INDEX('Initial Study'!K:K, MATCH(L229, 'Initial Study'!B:B, 0)+2)&lt;&gt;0,INDEX('Initial Study'!K:K, MATCH(L229, 'Initial Study'!B:B, 0)+2)&lt;&gt;"",NOT(ISNUMBER(INDEX('Initial Study'!K:K, MATCH(L229, 'Initial Study'!B:B, 0)+2)))),INDEX('Initial Study'!K:K, MATCH(L229, 'Initial Study'!B:B, 0)+2),"-"),"-")</f>
        <v/>
      </c>
      <c r="AA229">
        <f>IF(S229="RE", Y229 &amp; "BT/" &amp; IF(Z229 &lt;&gt; "-", Z229 &amp; "BT", ""), IF(OR(S229="LTDR", S229="LTSR"), Y229 &amp; "BL" &amp; IF(Z229 &lt;&gt; "-", "/" &amp; Z229 &amp; "BT", ""), IF(OR(S229="RTDR", S229="RTSR"), Y229 &amp; "BR" &amp; IF(Z229 &lt;&gt; "-", "/" &amp; Z229 &amp; "BT", ""), IF(Z229 &lt;&gt; "-", Y229 &amp; "BT/" &amp; Z229 &amp; "BT", Y229 &amp; "BT"))))</f>
        <v/>
      </c>
    </row>
    <row r="230">
      <c r="A230" t="n">
        <v>558</v>
      </c>
      <c r="B230" t="inlineStr">
        <is>
          <t>SR 1001</t>
        </is>
      </c>
      <c r="C230" t="n">
        <v>0.2</v>
      </c>
      <c r="D230" t="inlineStr">
        <is>
          <t>S</t>
        </is>
      </c>
      <c r="E230" t="inlineStr">
        <is>
          <t>SR 1615</t>
        </is>
      </c>
      <c r="F230" t="inlineStr">
        <is>
          <t>SR 2713</t>
        </is>
      </c>
      <c r="G230" t="inlineStr">
        <is>
          <t>SR 1001</t>
        </is>
      </c>
      <c r="H230" t="n">
        <v>2.671</v>
      </c>
      <c r="I230" t="inlineStr">
        <is>
          <t>NIS</t>
        </is>
      </c>
      <c r="L230" t="n">
        <v>107693734</v>
      </c>
      <c r="M230" s="6" t="n">
        <v>45401</v>
      </c>
      <c r="N230" t="n">
        <v>17</v>
      </c>
      <c r="O230" t="n">
        <v>1</v>
      </c>
      <c r="P230" t="n">
        <v>0</v>
      </c>
      <c r="Q230" t="n">
        <v>1</v>
      </c>
      <c r="R230" t="inlineStr">
        <is>
          <t>O</t>
        </is>
      </c>
      <c r="S230">
        <f>IFERROR(VLOOKUP(N230,Index!$A$1:$B$26,2,FALSE),"")</f>
        <v/>
      </c>
      <c r="T230">
        <f>AA230</f>
        <v/>
      </c>
      <c r="V230">
        <f>IFERROR(INDEX(DetailedFiche!Q:Q,MATCH(L230,DetailedFiche!J:J,0)),"")</f>
        <v/>
      </c>
      <c r="W230">
        <f>IFERROR(INDEX(DetailedFiche!R:R,MATCH(L230,DetailedFiche!J:J,0)),"")</f>
        <v/>
      </c>
      <c r="Y230">
        <f>IFERROR(IF(AND(INDEX('Initial Study'!K:K, MATCH(L230, 'Initial Study'!B:B, 0)+1)&lt;&gt;0,INDEX('Initial Study'!K:K, MATCH(L230, 'Initial Study'!B:B, 0)+1)&lt;&gt;""),INDEX('Initial Study'!K:K, MATCH(L230, 'Initial Study'!B:B, 0)+1),""),"")</f>
        <v/>
      </c>
      <c r="Z230">
        <f>IFERROR(IF(AND(INDEX('Initial Study'!K:K, MATCH(L230, 'Initial Study'!B:B, 0)+2)&lt;&gt;0,INDEX('Initial Study'!K:K, MATCH(L230, 'Initial Study'!B:B, 0)+2)&lt;&gt;"",NOT(ISNUMBER(INDEX('Initial Study'!K:K, MATCH(L230, 'Initial Study'!B:B, 0)+2)))),INDEX('Initial Study'!K:K, MATCH(L230, 'Initial Study'!B:B, 0)+2),"-"),"-")</f>
        <v/>
      </c>
      <c r="AA230">
        <f>IF(S230="RE", Y230 &amp; "BT/" &amp; IF(Z230 &lt;&gt; "-", Z230 &amp; "BT", ""), IF(OR(S230="LTDR", S230="LTSR"), Y230 &amp; "BL" &amp; IF(Z230 &lt;&gt; "-", "/" &amp; Z230 &amp; "BT", ""), IF(OR(S230="RTDR", S230="RTSR"), Y230 &amp; "BR" &amp; IF(Z230 &lt;&gt; "-", "/" &amp; Z230 &amp; "BT", ""), IF(Z230 &lt;&gt; "-", Y230 &amp; "BT/" &amp; Z230 &amp; "BT", Y230 &amp; "BT"))))</f>
        <v/>
      </c>
    </row>
    <row r="231">
      <c r="A231" t="n">
        <v>0</v>
      </c>
      <c r="B231" t="inlineStr">
        <is>
          <t>SR 1001</t>
        </is>
      </c>
      <c r="C231" t="n">
        <v>0.5</v>
      </c>
      <c r="D231" t="inlineStr">
        <is>
          <t>N</t>
        </is>
      </c>
      <c r="E231" t="inlineStr">
        <is>
          <t>SR 1665</t>
        </is>
      </c>
      <c r="F231" t="inlineStr">
        <is>
          <t>SR 2713</t>
        </is>
      </c>
      <c r="G231" t="inlineStr">
        <is>
          <t>SR 1001</t>
        </is>
      </c>
      <c r="H231" t="n">
        <v>2.715</v>
      </c>
      <c r="I231" t="inlineStr">
        <is>
          <t>NIS</t>
        </is>
      </c>
      <c r="L231" t="n">
        <v>108271610</v>
      </c>
      <c r="M231" s="6" t="n">
        <v>45943</v>
      </c>
      <c r="N231" t="n">
        <v>29</v>
      </c>
      <c r="O231" t="n">
        <v>1</v>
      </c>
      <c r="P231" t="n">
        <v>0</v>
      </c>
      <c r="Q231" t="n">
        <v>1</v>
      </c>
      <c r="R231" t="inlineStr">
        <is>
          <t>O</t>
        </is>
      </c>
      <c r="S231">
        <f>IFERROR(VLOOKUP(N231,Index!$A$1:$B$26,2,FALSE),"")</f>
        <v/>
      </c>
      <c r="T231">
        <f>AA231</f>
        <v/>
      </c>
      <c r="V231">
        <f>IFERROR(INDEX(DetailedFiche!Q:Q,MATCH(L231,DetailedFiche!J:J,0)),"")</f>
        <v/>
      </c>
      <c r="W231">
        <f>IFERROR(INDEX(DetailedFiche!R:R,MATCH(L231,DetailedFiche!J:J,0)),"")</f>
        <v/>
      </c>
      <c r="Y231">
        <f>IFERROR(IF(AND(INDEX('Initial Study'!K:K, MATCH(L231, 'Initial Study'!B:B, 0)+1)&lt;&gt;0,INDEX('Initial Study'!K:K, MATCH(L231, 'Initial Study'!B:B, 0)+1)&lt;&gt;""),INDEX('Initial Study'!K:K, MATCH(L231, 'Initial Study'!B:B, 0)+1),""),"")</f>
        <v/>
      </c>
      <c r="Z231">
        <f>IFERROR(IF(AND(INDEX('Initial Study'!K:K, MATCH(L231, 'Initial Study'!B:B, 0)+2)&lt;&gt;0,INDEX('Initial Study'!K:K, MATCH(L231, 'Initial Study'!B:B, 0)+2)&lt;&gt;"",NOT(ISNUMBER(INDEX('Initial Study'!K:K, MATCH(L231, 'Initial Study'!B:B, 0)+2)))),INDEX('Initial Study'!K:K, MATCH(L231, 'Initial Study'!B:B, 0)+2),"-"),"-")</f>
        <v/>
      </c>
      <c r="AA231">
        <f>IF(S231="RE", Y231 &amp; "BT/" &amp; IF(Z231 &lt;&gt; "-", Z231 &amp; "BT", ""), IF(OR(S231="LTDR", S231="LTSR"), Y231 &amp; "BL" &amp; IF(Z231 &lt;&gt; "-", "/" &amp; Z231 &amp; "BT", ""), IF(OR(S231="RTDR", S231="RTSR"), Y231 &amp; "BR" &amp; IF(Z231 &lt;&gt; "-", "/" &amp; Z231 &amp; "BT", ""), IF(Z231 &lt;&gt; "-", Y231 &amp; "BT/" &amp; Z231 &amp; "BT", Y231 &amp; "BT"))))</f>
        <v/>
      </c>
    </row>
    <row r="232">
      <c r="A232" t="n">
        <v>0</v>
      </c>
      <c r="B232" t="inlineStr">
        <is>
          <t>SR 1001</t>
        </is>
      </c>
      <c r="C232" t="n">
        <v>0.5</v>
      </c>
      <c r="D232" t="inlineStr">
        <is>
          <t>N</t>
        </is>
      </c>
      <c r="E232" t="inlineStr">
        <is>
          <t>SR 1665</t>
        </is>
      </c>
      <c r="F232" t="inlineStr">
        <is>
          <t>SR 1615</t>
        </is>
      </c>
      <c r="G232" t="inlineStr">
        <is>
          <t>SR 1001</t>
        </is>
      </c>
      <c r="H232" t="n">
        <v>2.715</v>
      </c>
      <c r="I232" t="inlineStr">
        <is>
          <t>NIS</t>
        </is>
      </c>
      <c r="L232" t="n">
        <v>107158545</v>
      </c>
      <c r="M232" s="6" t="n">
        <v>44889</v>
      </c>
      <c r="N232" t="n">
        <v>17</v>
      </c>
      <c r="O232" t="n">
        <v>1</v>
      </c>
      <c r="P232" t="n">
        <v>0</v>
      </c>
      <c r="Q232" t="n">
        <v>5</v>
      </c>
      <c r="R232" t="inlineStr">
        <is>
          <t>O</t>
        </is>
      </c>
      <c r="S232">
        <f>IFERROR(VLOOKUP(N232,Index!$A$1:$B$26,2,FALSE),"")</f>
        <v/>
      </c>
      <c r="T232">
        <f>AA232</f>
        <v/>
      </c>
      <c r="V232">
        <f>IFERROR(INDEX(DetailedFiche!Q:Q,MATCH(L232,DetailedFiche!J:J,0)),"")</f>
        <v/>
      </c>
      <c r="W232">
        <f>IFERROR(INDEX(DetailedFiche!R:R,MATCH(L232,DetailedFiche!J:J,0)),"")</f>
        <v/>
      </c>
      <c r="Y232">
        <f>IFERROR(IF(AND(INDEX('Initial Study'!K:K, MATCH(L232, 'Initial Study'!B:B, 0)+1)&lt;&gt;0,INDEX('Initial Study'!K:K, MATCH(L232, 'Initial Study'!B:B, 0)+1)&lt;&gt;""),INDEX('Initial Study'!K:K, MATCH(L232, 'Initial Study'!B:B, 0)+1),""),"")</f>
        <v/>
      </c>
      <c r="Z232">
        <f>IFERROR(IF(AND(INDEX('Initial Study'!K:K, MATCH(L232, 'Initial Study'!B:B, 0)+2)&lt;&gt;0,INDEX('Initial Study'!K:K, MATCH(L232, 'Initial Study'!B:B, 0)+2)&lt;&gt;"",NOT(ISNUMBER(INDEX('Initial Study'!K:K, MATCH(L232, 'Initial Study'!B:B, 0)+2)))),INDEX('Initial Study'!K:K, MATCH(L232, 'Initial Study'!B:B, 0)+2),"-"),"-")</f>
        <v/>
      </c>
      <c r="AA232">
        <f>IF(S232="RE", Y232 &amp; "BT/" &amp; IF(Z232 &lt;&gt; "-", Z232 &amp; "BT", ""), IF(OR(S232="LTDR", S232="LTSR"), Y232 &amp; "BL" &amp; IF(Z232 &lt;&gt; "-", "/" &amp; Z232 &amp; "BT", ""), IF(OR(S232="RTDR", S232="RTSR"), Y232 &amp; "BR" &amp; IF(Z232 &lt;&gt; "-", "/" &amp; Z232 &amp; "BT", ""), IF(Z232 &lt;&gt; "-", Y232 &amp; "BT/" &amp; Z232 &amp; "BT", Y232 &amp; "BT"))))</f>
        <v/>
      </c>
    </row>
    <row r="233">
      <c r="A233" t="n">
        <v>558</v>
      </c>
      <c r="B233" t="inlineStr">
        <is>
          <t>SR 1001</t>
        </is>
      </c>
      <c r="C233" t="n">
        <v>0.5</v>
      </c>
      <c r="D233" t="inlineStr">
        <is>
          <t>N</t>
        </is>
      </c>
      <c r="E233" t="inlineStr">
        <is>
          <t>SR 1665</t>
        </is>
      </c>
      <c r="F233" t="inlineStr">
        <is>
          <t>SR 1615</t>
        </is>
      </c>
      <c r="G233" t="inlineStr">
        <is>
          <t>SR 1001</t>
        </is>
      </c>
      <c r="H233" t="n">
        <v>2.715</v>
      </c>
      <c r="I233" t="inlineStr">
        <is>
          <t>NIS</t>
        </is>
      </c>
      <c r="L233" t="n">
        <v>108436731</v>
      </c>
      <c r="M233" s="6" t="n">
        <v>46094</v>
      </c>
      <c r="N233" t="n">
        <v>19</v>
      </c>
      <c r="O233" t="n">
        <v>1</v>
      </c>
      <c r="P233" t="n">
        <v>0</v>
      </c>
      <c r="Q233" t="n">
        <v>1</v>
      </c>
      <c r="R233" t="inlineStr">
        <is>
          <t>B</t>
        </is>
      </c>
      <c r="S233">
        <f>IFERROR(VLOOKUP(N233,Index!$A$1:$B$26,2,FALSE),"")</f>
        <v/>
      </c>
      <c r="T233">
        <f>AA233</f>
        <v/>
      </c>
      <c r="V233">
        <f>IFERROR(INDEX(DetailedFiche!Q:Q,MATCH(L233,DetailedFiche!J:J,0)),"")</f>
        <v/>
      </c>
      <c r="W233">
        <f>IFERROR(INDEX(DetailedFiche!R:R,MATCH(L233,DetailedFiche!J:J,0)),"")</f>
        <v/>
      </c>
      <c r="Y233">
        <f>IFERROR(IF(AND(INDEX('Initial Study'!K:K, MATCH(L233, 'Initial Study'!B:B, 0)+1)&lt;&gt;0,INDEX('Initial Study'!K:K, MATCH(L233, 'Initial Study'!B:B, 0)+1)&lt;&gt;""),INDEX('Initial Study'!K:K, MATCH(L233, 'Initial Study'!B:B, 0)+1),""),"")</f>
        <v/>
      </c>
      <c r="Z233">
        <f>IFERROR(IF(AND(INDEX('Initial Study'!K:K, MATCH(L233, 'Initial Study'!B:B, 0)+2)&lt;&gt;0,INDEX('Initial Study'!K:K, MATCH(L233, 'Initial Study'!B:B, 0)+2)&lt;&gt;"",NOT(ISNUMBER(INDEX('Initial Study'!K:K, MATCH(L233, 'Initial Study'!B:B, 0)+2)))),INDEX('Initial Study'!K:K, MATCH(L233, 'Initial Study'!B:B, 0)+2),"-"),"-")</f>
        <v/>
      </c>
      <c r="AA233">
        <f>IF(S233="RE", Y233 &amp; "BT/" &amp; IF(Z233 &lt;&gt; "-", Z233 &amp; "BT", ""), IF(OR(S233="LTDR", S233="LTSR"), Y233 &amp; "BL" &amp; IF(Z233 &lt;&gt; "-", "/" &amp; Z233 &amp; "BT", ""), IF(OR(S233="RTDR", S233="RTSR"), Y233 &amp; "BR" &amp; IF(Z233 &lt;&gt; "-", "/" &amp; Z233 &amp; "BT", ""), IF(Z233 &lt;&gt; "-", Y233 &amp; "BT/" &amp; Z233 &amp; "BT", Y233 &amp; "BT"))))</f>
        <v/>
      </c>
    </row>
    <row r="234">
      <c r="A234" t="n">
        <v>558</v>
      </c>
      <c r="B234" t="inlineStr">
        <is>
          <t>SR 1001</t>
        </is>
      </c>
      <c r="C234" t="n">
        <v>0.2</v>
      </c>
      <c r="D234" t="inlineStr">
        <is>
          <t>NE</t>
        </is>
      </c>
      <c r="E234" t="inlineStr">
        <is>
          <t>SR 2713</t>
        </is>
      </c>
      <c r="F234" t="inlineStr">
        <is>
          <t>SR 1615</t>
        </is>
      </c>
      <c r="G234" t="inlineStr">
        <is>
          <t>SR 1001</t>
        </is>
      </c>
      <c r="H234" t="n">
        <v>2.725</v>
      </c>
      <c r="I234" t="inlineStr">
        <is>
          <t>NIS</t>
        </is>
      </c>
      <c r="L234" t="n">
        <v>105512829</v>
      </c>
      <c r="M234" s="6" t="n">
        <v>43266</v>
      </c>
      <c r="N234" t="n">
        <v>19</v>
      </c>
      <c r="O234" t="n">
        <v>1</v>
      </c>
      <c r="P234" t="n">
        <v>0</v>
      </c>
      <c r="Q234" t="n">
        <v>5</v>
      </c>
      <c r="R234" t="inlineStr">
        <is>
          <t>O</t>
        </is>
      </c>
      <c r="S234">
        <f>IFERROR(VLOOKUP(N234,Index!$A$1:$B$26,2,FALSE),"")</f>
        <v/>
      </c>
      <c r="T234">
        <f>AA234</f>
        <v/>
      </c>
      <c r="V234">
        <f>IFERROR(INDEX(DetailedFiche!Q:Q,MATCH(L234,DetailedFiche!J:J,0)),"")</f>
        <v/>
      </c>
      <c r="W234">
        <f>IFERROR(INDEX(DetailedFiche!R:R,MATCH(L234,DetailedFiche!J:J,0)),"")</f>
        <v/>
      </c>
      <c r="Y234">
        <f>IFERROR(IF(AND(INDEX('Initial Study'!K:K, MATCH(L234, 'Initial Study'!B:B, 0)+1)&lt;&gt;0,INDEX('Initial Study'!K:K, MATCH(L234, 'Initial Study'!B:B, 0)+1)&lt;&gt;""),INDEX('Initial Study'!K:K, MATCH(L234, 'Initial Study'!B:B, 0)+1),""),"")</f>
        <v/>
      </c>
      <c r="Z234">
        <f>IFERROR(IF(AND(INDEX('Initial Study'!K:K, MATCH(L234, 'Initial Study'!B:B, 0)+2)&lt;&gt;0,INDEX('Initial Study'!K:K, MATCH(L234, 'Initial Study'!B:B, 0)+2)&lt;&gt;"",NOT(ISNUMBER(INDEX('Initial Study'!K:K, MATCH(L234, 'Initial Study'!B:B, 0)+2)))),INDEX('Initial Study'!K:K, MATCH(L234, 'Initial Study'!B:B, 0)+2),"-"),"-")</f>
        <v/>
      </c>
      <c r="AA234">
        <f>IF(S234="RE", Y234 &amp; "BT/" &amp; IF(Z234 &lt;&gt; "-", Z234 &amp; "BT", ""), IF(OR(S234="LTDR", S234="LTSR"), Y234 &amp; "BL" &amp; IF(Z234 &lt;&gt; "-", "/" &amp; Z234 &amp; "BT", ""), IF(OR(S234="RTDR", S234="RTSR"), Y234 &amp; "BR" &amp; IF(Z234 &lt;&gt; "-", "/" &amp; Z234 &amp; "BT", ""), IF(Z234 &lt;&gt; "-", Y234 &amp; "BT/" &amp; Z234 &amp; "BT", Y234 &amp; "BT"))))</f>
        <v/>
      </c>
    </row>
    <row r="235">
      <c r="A235" t="n">
        <v>558</v>
      </c>
      <c r="B235" t="inlineStr">
        <is>
          <t>SR 1001</t>
        </is>
      </c>
      <c r="C235" t="n">
        <v>0.1</v>
      </c>
      <c r="D235" t="inlineStr">
        <is>
          <t>S</t>
        </is>
      </c>
      <c r="E235" t="inlineStr">
        <is>
          <t>SR 1615</t>
        </is>
      </c>
      <c r="F235" t="inlineStr">
        <is>
          <t>SR 1638</t>
        </is>
      </c>
      <c r="G235" t="inlineStr">
        <is>
          <t>SR 1001</t>
        </is>
      </c>
      <c r="H235" t="n">
        <v>2.771</v>
      </c>
      <c r="I235" t="inlineStr">
        <is>
          <t>NIS</t>
        </is>
      </c>
      <c r="L235" t="n">
        <v>105353604</v>
      </c>
      <c r="M235" s="6" t="n">
        <v>43116</v>
      </c>
      <c r="N235" t="n">
        <v>23</v>
      </c>
      <c r="O235" t="n">
        <v>1</v>
      </c>
      <c r="P235" t="n">
        <v>5</v>
      </c>
      <c r="Q235" t="n">
        <v>1</v>
      </c>
      <c r="R235" t="inlineStr">
        <is>
          <t>O</t>
        </is>
      </c>
      <c r="S235">
        <f>IFERROR(VLOOKUP(N235,Index!$A$1:$B$26,2,FALSE),"")</f>
        <v/>
      </c>
      <c r="T235">
        <f>AA235</f>
        <v/>
      </c>
      <c r="V235">
        <f>IFERROR(INDEX(DetailedFiche!Q:Q,MATCH(L235,DetailedFiche!J:J,0)),"")</f>
        <v/>
      </c>
      <c r="W235">
        <f>IFERROR(INDEX(DetailedFiche!R:R,MATCH(L235,DetailedFiche!J:J,0)),"")</f>
        <v/>
      </c>
      <c r="Y235">
        <f>IFERROR(IF(AND(INDEX('Initial Study'!K:K, MATCH(L235, 'Initial Study'!B:B, 0)+1)&lt;&gt;0,INDEX('Initial Study'!K:K, MATCH(L235, 'Initial Study'!B:B, 0)+1)&lt;&gt;""),INDEX('Initial Study'!K:K, MATCH(L235, 'Initial Study'!B:B, 0)+1),""),"")</f>
        <v/>
      </c>
      <c r="Z235">
        <f>IFERROR(IF(AND(INDEX('Initial Study'!K:K, MATCH(L235, 'Initial Study'!B:B, 0)+2)&lt;&gt;0,INDEX('Initial Study'!K:K, MATCH(L235, 'Initial Study'!B:B, 0)+2)&lt;&gt;"",NOT(ISNUMBER(INDEX('Initial Study'!K:K, MATCH(L235, 'Initial Study'!B:B, 0)+2)))),INDEX('Initial Study'!K:K, MATCH(L235, 'Initial Study'!B:B, 0)+2),"-"),"-")</f>
        <v/>
      </c>
      <c r="AA235">
        <f>IF(S235="RE", Y235 &amp; "BT/" &amp; IF(Z235 &lt;&gt; "-", Z235 &amp; "BT", ""), IF(OR(S235="LTDR", S235="LTSR"), Y235 &amp; "BL" &amp; IF(Z235 &lt;&gt; "-", "/" &amp; Z235 &amp; "BT", ""), IF(OR(S235="RTDR", S235="RTSR"), Y235 &amp; "BR" &amp; IF(Z235 &lt;&gt; "-", "/" &amp; Z235 &amp; "BT", ""), IF(Z235 &lt;&gt; "-", Y235 &amp; "BT/" &amp; Z235 &amp; "BT", Y235 &amp; "BT"))))</f>
        <v/>
      </c>
    </row>
    <row r="236">
      <c r="A236" t="n">
        <v>558</v>
      </c>
      <c r="B236" t="inlineStr">
        <is>
          <t>SIKES MILL</t>
        </is>
      </c>
      <c r="C236" t="n">
        <v>0.25</v>
      </c>
      <c r="D236" t="inlineStr">
        <is>
          <t>N</t>
        </is>
      </c>
      <c r="E236" t="inlineStr">
        <is>
          <t>BRIARCLIFF</t>
        </is>
      </c>
      <c r="F236" t="inlineStr">
        <is>
          <t>UNIONVILLE</t>
        </is>
      </c>
      <c r="G236" t="inlineStr">
        <is>
          <t>SR 1001</t>
        </is>
      </c>
      <c r="H236" t="n">
        <v>2.775</v>
      </c>
      <c r="I236" t="inlineStr">
        <is>
          <t>NIS</t>
        </is>
      </c>
      <c r="L236" t="n">
        <v>106042505</v>
      </c>
      <c r="M236" s="6" t="n">
        <v>43754</v>
      </c>
      <c r="N236" t="n">
        <v>1</v>
      </c>
      <c r="O236" t="n">
        <v>3</v>
      </c>
      <c r="P236" t="n">
        <v>0</v>
      </c>
      <c r="Q236" t="n">
        <v>1</v>
      </c>
      <c r="R236" t="inlineStr">
        <is>
          <t>O</t>
        </is>
      </c>
      <c r="S236">
        <f>IFERROR(VLOOKUP(N236,Index!$A$1:$B$26,2,FALSE),"")</f>
        <v/>
      </c>
      <c r="T236">
        <f>AA236</f>
        <v/>
      </c>
      <c r="V236">
        <f>IFERROR(INDEX(DetailedFiche!Q:Q,MATCH(L236,DetailedFiche!J:J,0)),"")</f>
        <v/>
      </c>
      <c r="W236">
        <f>IFERROR(INDEX(DetailedFiche!R:R,MATCH(L236,DetailedFiche!J:J,0)),"")</f>
        <v/>
      </c>
      <c r="Y236">
        <f>IFERROR(IF(AND(INDEX('Initial Study'!K:K, MATCH(L236, 'Initial Study'!B:B, 0)+1)&lt;&gt;0,INDEX('Initial Study'!K:K, MATCH(L236, 'Initial Study'!B:B, 0)+1)&lt;&gt;""),INDEX('Initial Study'!K:K, MATCH(L236, 'Initial Study'!B:B, 0)+1),""),"")</f>
        <v/>
      </c>
      <c r="Z236">
        <f>IFERROR(IF(AND(INDEX('Initial Study'!K:K, MATCH(L236, 'Initial Study'!B:B, 0)+2)&lt;&gt;0,INDEX('Initial Study'!K:K, MATCH(L236, 'Initial Study'!B:B, 0)+2)&lt;&gt;"",NOT(ISNUMBER(INDEX('Initial Study'!K:K, MATCH(L236, 'Initial Study'!B:B, 0)+2)))),INDEX('Initial Study'!K:K, MATCH(L236, 'Initial Study'!B:B, 0)+2),"-"),"-")</f>
        <v/>
      </c>
      <c r="AA236">
        <f>IF(S236="RE", Y236 &amp; "BT/" &amp; IF(Z236 &lt;&gt; "-", Z236 &amp; "BT", ""), IF(OR(S236="LTDR", S236="LTSR"), Y236 &amp; "BL" &amp; IF(Z236 &lt;&gt; "-", "/" &amp; Z236 &amp; "BT", ""), IF(OR(S236="RTDR", S236="RTSR"), Y236 &amp; "BR" &amp; IF(Z236 &lt;&gt; "-", "/" &amp; Z236 &amp; "BT", ""), IF(Z236 &lt;&gt; "-", Y236 &amp; "BT/" &amp; Z236 &amp; "BT", Y236 &amp; "BT"))))</f>
        <v/>
      </c>
    </row>
    <row r="237">
      <c r="A237" t="n">
        <v>558</v>
      </c>
      <c r="B237" t="inlineStr">
        <is>
          <t>SR 1001</t>
        </is>
      </c>
      <c r="C237" t="n">
        <v>0</v>
      </c>
      <c r="E237" t="inlineStr">
        <is>
          <t>SR 1615</t>
        </is>
      </c>
      <c r="F237" t="inlineStr">
        <is>
          <t>SR 1619</t>
        </is>
      </c>
      <c r="G237" t="inlineStr">
        <is>
          <t>SR 1001</t>
        </is>
      </c>
      <c r="H237" t="n">
        <v>2.871</v>
      </c>
      <c r="I237" t="inlineStr">
        <is>
          <t>NIS</t>
        </is>
      </c>
      <c r="L237" t="n">
        <v>106467658</v>
      </c>
      <c r="M237" s="6" t="n">
        <v>44214</v>
      </c>
      <c r="N237" t="n">
        <v>23</v>
      </c>
      <c r="O237" t="n">
        <v>1</v>
      </c>
      <c r="P237" t="n">
        <v>8</v>
      </c>
      <c r="Q237" t="n">
        <v>1</v>
      </c>
      <c r="R237" t="inlineStr">
        <is>
          <t>O</t>
        </is>
      </c>
      <c r="S237">
        <f>IFERROR(VLOOKUP(N237,Index!$A$1:$B$26,2,FALSE),"")</f>
        <v/>
      </c>
      <c r="T237">
        <f>AA237</f>
        <v/>
      </c>
      <c r="V237">
        <f>IFERROR(INDEX(DetailedFiche!Q:Q,MATCH(L237,DetailedFiche!J:J,0)),"")</f>
        <v/>
      </c>
      <c r="W237">
        <f>IFERROR(INDEX(DetailedFiche!R:R,MATCH(L237,DetailedFiche!J:J,0)),"")</f>
        <v/>
      </c>
      <c r="Y237">
        <f>IFERROR(IF(AND(INDEX('Initial Study'!K:K, MATCH(L237, 'Initial Study'!B:B, 0)+1)&lt;&gt;0,INDEX('Initial Study'!K:K, MATCH(L237, 'Initial Study'!B:B, 0)+1)&lt;&gt;""),INDEX('Initial Study'!K:K, MATCH(L237, 'Initial Study'!B:B, 0)+1),""),"")</f>
        <v/>
      </c>
      <c r="Z237">
        <f>IFERROR(IF(AND(INDEX('Initial Study'!K:K, MATCH(L237, 'Initial Study'!B:B, 0)+2)&lt;&gt;0,INDEX('Initial Study'!K:K, MATCH(L237, 'Initial Study'!B:B, 0)+2)&lt;&gt;"",NOT(ISNUMBER(INDEX('Initial Study'!K:K, MATCH(L237, 'Initial Study'!B:B, 0)+2)))),INDEX('Initial Study'!K:K, MATCH(L237, 'Initial Study'!B:B, 0)+2),"-"),"-")</f>
        <v/>
      </c>
      <c r="AA237">
        <f>IF(S237="RE", Y237 &amp; "BT/" &amp; IF(Z237 &lt;&gt; "-", Z237 &amp; "BT", ""), IF(OR(S237="LTDR", S237="LTSR"), Y237 &amp; "BL" &amp; IF(Z237 &lt;&gt; "-", "/" &amp; Z237 &amp; "BT", ""), IF(OR(S237="RTDR", S237="RTSR"), Y237 &amp; "BR" &amp; IF(Z237 &lt;&gt; "-", "/" &amp; Z237 &amp; "BT", ""), IF(Z237 &lt;&gt; "-", Y237 &amp; "BT/" &amp; Z237 &amp; "BT", Y237 &amp; "BT"))))</f>
        <v/>
      </c>
    </row>
    <row r="238">
      <c r="A238" t="n">
        <v>558</v>
      </c>
      <c r="B238" t="inlineStr">
        <is>
          <t>SR 1001</t>
        </is>
      </c>
      <c r="C238" t="n">
        <v>0</v>
      </c>
      <c r="E238" t="inlineStr">
        <is>
          <t>SR 1615</t>
        </is>
      </c>
      <c r="F238" t="inlineStr">
        <is>
          <t>SR 1617</t>
        </is>
      </c>
      <c r="G238" t="inlineStr">
        <is>
          <t>SR 1001</t>
        </is>
      </c>
      <c r="H238" t="n">
        <v>2.871</v>
      </c>
      <c r="I238" t="inlineStr">
        <is>
          <t>NIS</t>
        </is>
      </c>
      <c r="L238" t="n">
        <v>106006697</v>
      </c>
      <c r="M238" s="6" t="n">
        <v>43735</v>
      </c>
      <c r="N238" t="n">
        <v>23</v>
      </c>
      <c r="O238" t="n">
        <v>1</v>
      </c>
      <c r="P238" t="n">
        <v>8</v>
      </c>
      <c r="Q238" t="n">
        <v>1</v>
      </c>
      <c r="R238" t="inlineStr">
        <is>
          <t>B</t>
        </is>
      </c>
      <c r="S238">
        <f>IFERROR(VLOOKUP(N238,Index!$A$1:$B$26,2,FALSE),"")</f>
        <v/>
      </c>
      <c r="T238">
        <f>AA238</f>
        <v/>
      </c>
      <c r="V238">
        <f>IFERROR(INDEX(DetailedFiche!Q:Q,MATCH(L238,DetailedFiche!J:J,0)),"")</f>
        <v/>
      </c>
      <c r="W238">
        <f>IFERROR(INDEX(DetailedFiche!R:R,MATCH(L238,DetailedFiche!J:J,0)),"")</f>
        <v/>
      </c>
      <c r="Y238">
        <f>IFERROR(IF(AND(INDEX('Initial Study'!K:K, MATCH(L238, 'Initial Study'!B:B, 0)+1)&lt;&gt;0,INDEX('Initial Study'!K:K, MATCH(L238, 'Initial Study'!B:B, 0)+1)&lt;&gt;""),INDEX('Initial Study'!K:K, MATCH(L238, 'Initial Study'!B:B, 0)+1),""),"")</f>
        <v/>
      </c>
      <c r="Z238">
        <f>IFERROR(IF(AND(INDEX('Initial Study'!K:K, MATCH(L238, 'Initial Study'!B:B, 0)+2)&lt;&gt;0,INDEX('Initial Study'!K:K, MATCH(L238, 'Initial Study'!B:B, 0)+2)&lt;&gt;"",NOT(ISNUMBER(INDEX('Initial Study'!K:K, MATCH(L238, 'Initial Study'!B:B, 0)+2)))),INDEX('Initial Study'!K:K, MATCH(L238, 'Initial Study'!B:B, 0)+2),"-"),"-")</f>
        <v/>
      </c>
      <c r="AA238">
        <f>IF(S238="RE", Y238 &amp; "BT/" &amp; IF(Z238 &lt;&gt; "-", Z238 &amp; "BT", ""), IF(OR(S238="LTDR", S238="LTSR"), Y238 &amp; "BL" &amp; IF(Z238 &lt;&gt; "-", "/" &amp; Z238 &amp; "BT", ""), IF(OR(S238="RTDR", S238="RTSR"), Y238 &amp; "BR" &amp; IF(Z238 &lt;&gt; "-", "/" &amp; Z238 &amp; "BT", ""), IF(Z238 &lt;&gt; "-", Y238 &amp; "BT/" &amp; Z238 &amp; "BT", Y238 &amp; "BT"))))</f>
        <v/>
      </c>
    </row>
    <row r="239">
      <c r="A239" t="n">
        <v>558</v>
      </c>
      <c r="B239" t="inlineStr">
        <is>
          <t>SIKES MILL</t>
        </is>
      </c>
      <c r="C239" t="n">
        <v>0</v>
      </c>
      <c r="E239" t="inlineStr">
        <is>
          <t>UNIONVILLE</t>
        </is>
      </c>
      <c r="F239" t="inlineStr">
        <is>
          <t>HAIGLER BAUCOM</t>
        </is>
      </c>
      <c r="G239" t="inlineStr">
        <is>
          <t>SR 1001</t>
        </is>
      </c>
      <c r="H239" t="n">
        <v>2.871</v>
      </c>
      <c r="I239" t="inlineStr">
        <is>
          <t>NIS</t>
        </is>
      </c>
      <c r="L239" t="n">
        <v>108179130</v>
      </c>
      <c r="M239" s="6" t="n">
        <v>45860</v>
      </c>
      <c r="N239" t="n">
        <v>19</v>
      </c>
      <c r="O239" t="n">
        <v>1</v>
      </c>
      <c r="P239" t="n">
        <v>0</v>
      </c>
      <c r="Q239" t="n">
        <v>1</v>
      </c>
      <c r="R239" t="inlineStr">
        <is>
          <t>C</t>
        </is>
      </c>
      <c r="S239">
        <f>IFERROR(VLOOKUP(N239,Index!$A$1:$B$26,2,FALSE),"")</f>
        <v/>
      </c>
      <c r="T239">
        <f>AA239</f>
        <v/>
      </c>
      <c r="V239">
        <f>IFERROR(INDEX(DetailedFiche!Q:Q,MATCH(L239,DetailedFiche!J:J,0)),"")</f>
        <v/>
      </c>
      <c r="W239">
        <f>IFERROR(INDEX(DetailedFiche!R:R,MATCH(L239,DetailedFiche!J:J,0)),"")</f>
        <v/>
      </c>
      <c r="Y239">
        <f>IFERROR(IF(AND(INDEX('Initial Study'!K:K, MATCH(L239, 'Initial Study'!B:B, 0)+1)&lt;&gt;0,INDEX('Initial Study'!K:K, MATCH(L239, 'Initial Study'!B:B, 0)+1)&lt;&gt;""),INDEX('Initial Study'!K:K, MATCH(L239, 'Initial Study'!B:B, 0)+1),""),"")</f>
        <v/>
      </c>
      <c r="Z239">
        <f>IFERROR(IF(AND(INDEX('Initial Study'!K:K, MATCH(L239, 'Initial Study'!B:B, 0)+2)&lt;&gt;0,INDEX('Initial Study'!K:K, MATCH(L239, 'Initial Study'!B:B, 0)+2)&lt;&gt;"",NOT(ISNUMBER(INDEX('Initial Study'!K:K, MATCH(L239, 'Initial Study'!B:B, 0)+2)))),INDEX('Initial Study'!K:K, MATCH(L239, 'Initial Study'!B:B, 0)+2),"-"),"-")</f>
        <v/>
      </c>
      <c r="AA239">
        <f>IF(S239="RE", Y239 &amp; "BT/" &amp; IF(Z239 &lt;&gt; "-", Z239 &amp; "BT", ""), IF(OR(S239="LTDR", S239="LTSR"), Y239 &amp; "BL" &amp; IF(Z239 &lt;&gt; "-", "/" &amp; Z239 &amp; "BT", ""), IF(OR(S239="RTDR", S239="RTSR"), Y239 &amp; "BR" &amp; IF(Z239 &lt;&gt; "-", "/" &amp; Z239 &amp; "BT", ""), IF(Z239 &lt;&gt; "-", Y239 &amp; "BT/" &amp; Z239 &amp; "BT", Y239 &amp; "BT"))))</f>
        <v/>
      </c>
    </row>
    <row r="240">
      <c r="A240" t="n">
        <v>0</v>
      </c>
      <c r="B240" t="inlineStr">
        <is>
          <t>SR 1001</t>
        </is>
      </c>
      <c r="C240" t="n">
        <v>0.5</v>
      </c>
      <c r="D240" t="inlineStr">
        <is>
          <t>S</t>
        </is>
      </c>
      <c r="E240" t="inlineStr">
        <is>
          <t>SR 1617</t>
        </is>
      </c>
      <c r="F240" t="inlineStr">
        <is>
          <t>SR 1615</t>
        </is>
      </c>
      <c r="G240" t="inlineStr">
        <is>
          <t>SR 1001</t>
        </is>
      </c>
      <c r="H240" t="n">
        <v>2.961</v>
      </c>
      <c r="I240" t="inlineStr">
        <is>
          <t>NIS</t>
        </is>
      </c>
      <c r="L240" t="n">
        <v>105477494</v>
      </c>
      <c r="M240" s="6" t="n">
        <v>43232</v>
      </c>
      <c r="N240" t="n">
        <v>19</v>
      </c>
      <c r="O240" t="n">
        <v>1</v>
      </c>
      <c r="P240" t="n">
        <v>0</v>
      </c>
      <c r="Q240" t="n">
        <v>5</v>
      </c>
      <c r="R240" t="inlineStr">
        <is>
          <t>A</t>
        </is>
      </c>
      <c r="S240">
        <f>IFERROR(VLOOKUP(N240,Index!$A$1:$B$26,2,FALSE),"")</f>
        <v/>
      </c>
      <c r="T240">
        <f>AA240</f>
        <v/>
      </c>
      <c r="V240">
        <f>IFERROR(INDEX(DetailedFiche!Q:Q,MATCH(L240,DetailedFiche!J:J,0)),"")</f>
        <v/>
      </c>
      <c r="W240">
        <f>IFERROR(INDEX(DetailedFiche!R:R,MATCH(L240,DetailedFiche!J:J,0)),"")</f>
        <v/>
      </c>
      <c r="Y240">
        <f>IFERROR(IF(AND(INDEX('Initial Study'!K:K, MATCH(L240, 'Initial Study'!B:B, 0)+1)&lt;&gt;0,INDEX('Initial Study'!K:K, MATCH(L240, 'Initial Study'!B:B, 0)+1)&lt;&gt;""),INDEX('Initial Study'!K:K, MATCH(L240, 'Initial Study'!B:B, 0)+1),""),"")</f>
        <v/>
      </c>
      <c r="Z240">
        <f>IFERROR(IF(AND(INDEX('Initial Study'!K:K, MATCH(L240, 'Initial Study'!B:B, 0)+2)&lt;&gt;0,INDEX('Initial Study'!K:K, MATCH(L240, 'Initial Study'!B:B, 0)+2)&lt;&gt;"",NOT(ISNUMBER(INDEX('Initial Study'!K:K, MATCH(L240, 'Initial Study'!B:B, 0)+2)))),INDEX('Initial Study'!K:K, MATCH(L240, 'Initial Study'!B:B, 0)+2),"-"),"-")</f>
        <v/>
      </c>
      <c r="AA240">
        <f>IF(S240="RE", Y240 &amp; "BT/" &amp; IF(Z240 &lt;&gt; "-", Z240 &amp; "BT", ""), IF(OR(S240="LTDR", S240="LTSR"), Y240 &amp; "BL" &amp; IF(Z240 &lt;&gt; "-", "/" &amp; Z240 &amp; "BT", ""), IF(OR(S240="RTDR", S240="RTSR"), Y240 &amp; "BR" &amp; IF(Z240 &lt;&gt; "-", "/" &amp; Z240 &amp; "BT", ""), IF(Z240 &lt;&gt; "-", Y240 &amp; "BT/" &amp; Z240 &amp; "BT", Y240 &amp; "BT"))))</f>
        <v/>
      </c>
    </row>
    <row r="241">
      <c r="A241" t="n">
        <v>558</v>
      </c>
      <c r="B241" t="inlineStr">
        <is>
          <t>SIKES MILL</t>
        </is>
      </c>
      <c r="C241" t="n">
        <v>0.5</v>
      </c>
      <c r="D241" t="inlineStr">
        <is>
          <t>S</t>
        </is>
      </c>
      <c r="E241" t="inlineStr">
        <is>
          <t>TOM BOYD</t>
        </is>
      </c>
      <c r="F241" t="inlineStr">
        <is>
          <t>UNIONVILLE</t>
        </is>
      </c>
      <c r="G241" t="inlineStr">
        <is>
          <t>SR 1001</t>
        </is>
      </c>
      <c r="H241" t="n">
        <v>2.961</v>
      </c>
      <c r="I241" t="inlineStr">
        <is>
          <t>NIS</t>
        </is>
      </c>
      <c r="L241" t="n">
        <v>106582879</v>
      </c>
      <c r="M241" s="6" t="n">
        <v>44340</v>
      </c>
      <c r="N241" t="n">
        <v>17</v>
      </c>
      <c r="O241" t="n">
        <v>1</v>
      </c>
      <c r="P241" t="n">
        <v>0</v>
      </c>
      <c r="Q241" t="n">
        <v>1</v>
      </c>
      <c r="R241" t="inlineStr">
        <is>
          <t>O</t>
        </is>
      </c>
      <c r="S241">
        <f>IFERROR(VLOOKUP(N241,Index!$A$1:$B$26,2,FALSE),"")</f>
        <v/>
      </c>
      <c r="T241">
        <f>AA241</f>
        <v/>
      </c>
      <c r="V241">
        <f>IFERROR(INDEX(DetailedFiche!Q:Q,MATCH(L241,DetailedFiche!J:J,0)),"")</f>
        <v/>
      </c>
      <c r="W241">
        <f>IFERROR(INDEX(DetailedFiche!R:R,MATCH(L241,DetailedFiche!J:J,0)),"")</f>
        <v/>
      </c>
      <c r="Y241">
        <f>IFERROR(IF(AND(INDEX('Initial Study'!K:K, MATCH(L241, 'Initial Study'!B:B, 0)+1)&lt;&gt;0,INDEX('Initial Study'!K:K, MATCH(L241, 'Initial Study'!B:B, 0)+1)&lt;&gt;""),INDEX('Initial Study'!K:K, MATCH(L241, 'Initial Study'!B:B, 0)+1),""),"")</f>
        <v/>
      </c>
      <c r="Z241">
        <f>IFERROR(IF(AND(INDEX('Initial Study'!K:K, MATCH(L241, 'Initial Study'!B:B, 0)+2)&lt;&gt;0,INDEX('Initial Study'!K:K, MATCH(L241, 'Initial Study'!B:B, 0)+2)&lt;&gt;"",NOT(ISNUMBER(INDEX('Initial Study'!K:K, MATCH(L241, 'Initial Study'!B:B, 0)+2)))),INDEX('Initial Study'!K:K, MATCH(L241, 'Initial Study'!B:B, 0)+2),"-"),"-")</f>
        <v/>
      </c>
      <c r="AA241">
        <f>IF(S241="RE", Y241 &amp; "BT/" &amp; IF(Z241 &lt;&gt; "-", Z241 &amp; "BT", ""), IF(OR(S241="LTDR", S241="LTSR"), Y241 &amp; "BL" &amp; IF(Z241 &lt;&gt; "-", "/" &amp; Z241 &amp; "BT", ""), IF(OR(S241="RTDR", S241="RTSR"), Y241 &amp; "BR" &amp; IF(Z241 &lt;&gt; "-", "/" &amp; Z241 &amp; "BT", ""), IF(Z241 &lt;&gt; "-", Y241 &amp; "BT/" &amp; Z241 &amp; "BT", Y241 &amp; "BT"))))</f>
        <v/>
      </c>
    </row>
    <row r="242">
      <c r="A242" s="7" t="n">
        <v>558</v>
      </c>
      <c r="B242" s="7" t="inlineStr">
        <is>
          <t>SR 1001</t>
        </is>
      </c>
      <c r="C242" s="7" t="n">
        <v>0.1</v>
      </c>
      <c r="D242" s="7" t="inlineStr">
        <is>
          <t>N</t>
        </is>
      </c>
      <c r="E242" s="7" t="inlineStr">
        <is>
          <t>SR 1615</t>
        </is>
      </c>
      <c r="F242" s="7" t="inlineStr">
        <is>
          <t>SR 1617</t>
        </is>
      </c>
      <c r="G242" s="7" t="inlineStr">
        <is>
          <t>SR 1001</t>
        </is>
      </c>
      <c r="H242" s="7" t="n">
        <v>2.971</v>
      </c>
      <c r="I242" s="7" t="inlineStr">
        <is>
          <t>?</t>
        </is>
      </c>
      <c r="J242" s="7" t="n"/>
      <c r="K242" s="7" t="n"/>
      <c r="L242" s="7" t="n">
        <v>108184887</v>
      </c>
      <c r="M242" s="8" t="n">
        <v>45865</v>
      </c>
      <c r="N242" s="7" t="n">
        <v>19</v>
      </c>
      <c r="O242" s="7" t="n">
        <v>1</v>
      </c>
      <c r="P242" s="7" t="n">
        <v>0</v>
      </c>
      <c r="Q242" s="7" t="n">
        <v>1</v>
      </c>
      <c r="R242" s="7" t="inlineStr">
        <is>
          <t>A</t>
        </is>
      </c>
      <c r="S242" s="7">
        <f>IFERROR(VLOOKUP(N242,Index!$A$1:$B$26,2,FALSE),"")</f>
        <v/>
      </c>
      <c r="T242" s="7">
        <f>AA242</f>
        <v/>
      </c>
      <c r="U242" s="7" t="inlineStr">
        <is>
          <t>coded SR 1001 MP 2.971 (0.49 mi south) but DMV349 coordinates fall 823 ft from the junction; coded location and coordinates disagree, resolve from the report</t>
        </is>
      </c>
      <c r="V242" s="7">
        <f>IFERROR(INDEX(DetailedFiche!Q:Q,MATCH(L242,DetailedFiche!J:J,0)),"")</f>
        <v/>
      </c>
      <c r="W242" s="7">
        <f>IFERROR(INDEX(DetailedFiche!R:R,MATCH(L242,DetailedFiche!J:J,0)),"")</f>
        <v/>
      </c>
      <c r="X242" s="7" t="n"/>
      <c r="Y242" s="7">
        <f>IFERROR(IF(AND(INDEX('Initial Study'!K:K, MATCH(L242, 'Initial Study'!B:B, 0)+1)&lt;&gt;0,INDEX('Initial Study'!K:K, MATCH(L242, 'Initial Study'!B:B, 0)+1)&lt;&gt;""),INDEX('Initial Study'!K:K, MATCH(L242, 'Initial Study'!B:B, 0)+1),""),"")</f>
        <v/>
      </c>
      <c r="Z242" s="7">
        <f>IFERROR(IF(AND(INDEX('Initial Study'!K:K, MATCH(L242, 'Initial Study'!B:B, 0)+2)&lt;&gt;0,INDEX('Initial Study'!K:K, MATCH(L242, 'Initial Study'!B:B, 0)+2)&lt;&gt;"",NOT(ISNUMBER(INDEX('Initial Study'!K:K, MATCH(L242, 'Initial Study'!B:B, 0)+2)))),INDEX('Initial Study'!K:K, MATCH(L242, 'Initial Study'!B:B, 0)+2),"-"),"-")</f>
        <v/>
      </c>
      <c r="AA242" s="7">
        <f>IF(S242="RE", Y242 &amp; "BT/" &amp; IF(Z242 &lt;&gt; "-", Z242 &amp; "BT", ""), IF(OR(S242="LTDR", S242="LTSR"), Y242 &amp; "BL" &amp; IF(Z242 &lt;&gt; "-", "/" &amp; Z242 &amp; "BT", ""), IF(OR(S242="RTDR", S242="RTSR"), Y242 &amp; "BR" &amp; IF(Z242 &lt;&gt; "-", "/" &amp; Z242 &amp; "BT", ""), IF(Z242 &lt;&gt; "-", Y242 &amp; "BT/" &amp; Z242 &amp; "BT", Y242 &amp; "BT"))))</f>
        <v/>
      </c>
    </row>
    <row r="243">
      <c r="A243" t="n">
        <v>0</v>
      </c>
      <c r="B243" t="inlineStr">
        <is>
          <t>SR 1001</t>
        </is>
      </c>
      <c r="C243" t="n">
        <v>0.1</v>
      </c>
      <c r="D243" t="inlineStr">
        <is>
          <t>N</t>
        </is>
      </c>
      <c r="E243" t="inlineStr">
        <is>
          <t>SR 1615</t>
        </is>
      </c>
      <c r="F243" t="inlineStr">
        <is>
          <t>SR 1619</t>
        </is>
      </c>
      <c r="G243" t="inlineStr">
        <is>
          <t>SR 1001</t>
        </is>
      </c>
      <c r="H243" t="n">
        <v>2.971</v>
      </c>
      <c r="I243" t="inlineStr">
        <is>
          <t>NIS</t>
        </is>
      </c>
      <c r="L243" t="n">
        <v>107410107</v>
      </c>
      <c r="M243" s="6" t="n">
        <v>45136</v>
      </c>
      <c r="N243" t="n">
        <v>17</v>
      </c>
      <c r="O243" t="n">
        <v>1</v>
      </c>
      <c r="P243" t="n">
        <v>0</v>
      </c>
      <c r="Q243" t="n">
        <v>1</v>
      </c>
      <c r="R243" t="inlineStr">
        <is>
          <t>O</t>
        </is>
      </c>
      <c r="S243">
        <f>IFERROR(VLOOKUP(N243,Index!$A$1:$B$26,2,FALSE),"")</f>
        <v/>
      </c>
      <c r="T243">
        <f>AA243</f>
        <v/>
      </c>
      <c r="V243">
        <f>IFERROR(INDEX(DetailedFiche!Q:Q,MATCH(L243,DetailedFiche!J:J,0)),"")</f>
        <v/>
      </c>
      <c r="W243">
        <f>IFERROR(INDEX(DetailedFiche!R:R,MATCH(L243,DetailedFiche!J:J,0)),"")</f>
        <v/>
      </c>
      <c r="Y243">
        <f>IFERROR(IF(AND(INDEX('Initial Study'!K:K, MATCH(L243, 'Initial Study'!B:B, 0)+1)&lt;&gt;0,INDEX('Initial Study'!K:K, MATCH(L243, 'Initial Study'!B:B, 0)+1)&lt;&gt;""),INDEX('Initial Study'!K:K, MATCH(L243, 'Initial Study'!B:B, 0)+1),""),"")</f>
        <v/>
      </c>
      <c r="Z243">
        <f>IFERROR(IF(AND(INDEX('Initial Study'!K:K, MATCH(L243, 'Initial Study'!B:B, 0)+2)&lt;&gt;0,INDEX('Initial Study'!K:K, MATCH(L243, 'Initial Study'!B:B, 0)+2)&lt;&gt;"",NOT(ISNUMBER(INDEX('Initial Study'!K:K, MATCH(L243, 'Initial Study'!B:B, 0)+2)))),INDEX('Initial Study'!K:K, MATCH(L243, 'Initial Study'!B:B, 0)+2),"-"),"-")</f>
        <v/>
      </c>
      <c r="AA243">
        <f>IF(S243="RE", Y243 &amp; "BT/" &amp; IF(Z243 &lt;&gt; "-", Z243 &amp; "BT", ""), IF(OR(S243="LTDR", S243="LTSR"), Y243 &amp; "BL" &amp; IF(Z243 &lt;&gt; "-", "/" &amp; Z243 &amp; "BT", ""), IF(OR(S243="RTDR", S243="RTSR"), Y243 &amp; "BR" &amp; IF(Z243 &lt;&gt; "-", "/" &amp; Z243 &amp; "BT", ""), IF(Z243 &lt;&gt; "-", Y243 &amp; "BT/" &amp; Z243 &amp; "BT", Y243 &amp; "BT"))))</f>
        <v/>
      </c>
    </row>
    <row r="244">
      <c r="A244" t="n">
        <v>558</v>
      </c>
      <c r="B244" t="inlineStr">
        <is>
          <t>SIKES MILL</t>
        </is>
      </c>
      <c r="C244" t="n">
        <v>0.12</v>
      </c>
      <c r="D244" t="inlineStr">
        <is>
          <t>NE</t>
        </is>
      </c>
      <c r="E244" t="inlineStr">
        <is>
          <t>UNIONVILLE</t>
        </is>
      </c>
      <c r="F244" t="inlineStr">
        <is>
          <t>TOM BOYD</t>
        </is>
      </c>
      <c r="G244" t="inlineStr">
        <is>
          <t>SR 1001</t>
        </is>
      </c>
      <c r="H244" t="n">
        <v>2.991</v>
      </c>
      <c r="I244" t="inlineStr">
        <is>
          <t>NIS</t>
        </is>
      </c>
      <c r="L244" t="n">
        <v>106000270</v>
      </c>
      <c r="M244" s="6" t="n">
        <v>43729</v>
      </c>
      <c r="N244" t="n">
        <v>19</v>
      </c>
      <c r="O244" t="n">
        <v>1</v>
      </c>
      <c r="P244" t="n">
        <v>0</v>
      </c>
      <c r="Q244" t="n">
        <v>1</v>
      </c>
      <c r="R244" t="inlineStr">
        <is>
          <t>O</t>
        </is>
      </c>
      <c r="S244">
        <f>IFERROR(VLOOKUP(N244,Index!$A$1:$B$26,2,FALSE),"")</f>
        <v/>
      </c>
      <c r="T244">
        <f>AA244</f>
        <v/>
      </c>
      <c r="V244">
        <f>IFERROR(INDEX(DetailedFiche!Q:Q,MATCH(L244,DetailedFiche!J:J,0)),"")</f>
        <v/>
      </c>
      <c r="W244">
        <f>IFERROR(INDEX(DetailedFiche!R:R,MATCH(L244,DetailedFiche!J:J,0)),"")</f>
        <v/>
      </c>
      <c r="Y244">
        <f>IFERROR(IF(AND(INDEX('Initial Study'!K:K, MATCH(L244, 'Initial Study'!B:B, 0)+1)&lt;&gt;0,INDEX('Initial Study'!K:K, MATCH(L244, 'Initial Study'!B:B, 0)+1)&lt;&gt;""),INDEX('Initial Study'!K:K, MATCH(L244, 'Initial Study'!B:B, 0)+1),""),"")</f>
        <v/>
      </c>
      <c r="Z244">
        <f>IFERROR(IF(AND(INDEX('Initial Study'!K:K, MATCH(L244, 'Initial Study'!B:B, 0)+2)&lt;&gt;0,INDEX('Initial Study'!K:K, MATCH(L244, 'Initial Study'!B:B, 0)+2)&lt;&gt;"",NOT(ISNUMBER(INDEX('Initial Study'!K:K, MATCH(L244, 'Initial Study'!B:B, 0)+2)))),INDEX('Initial Study'!K:K, MATCH(L244, 'Initial Study'!B:B, 0)+2),"-"),"-")</f>
        <v/>
      </c>
      <c r="AA244">
        <f>IF(S244="RE", Y244 &amp; "BT/" &amp; IF(Z244 &lt;&gt; "-", Z244 &amp; "BT", ""), IF(OR(S244="LTDR", S244="LTSR"), Y244 &amp; "BL" &amp; IF(Z244 &lt;&gt; "-", "/" &amp; Z244 &amp; "BT", ""), IF(OR(S244="RTDR", S244="RTSR"), Y244 &amp; "BR" &amp; IF(Z244 &lt;&gt; "-", "/" &amp; Z244 &amp; "BT", ""), IF(Z244 &lt;&gt; "-", Y244 &amp; "BT/" &amp; Z244 &amp; "BT", Y244 &amp; "BT"))))</f>
        <v/>
      </c>
    </row>
    <row r="245">
      <c r="A245" t="n">
        <v>0</v>
      </c>
      <c r="B245" t="inlineStr">
        <is>
          <t>SR 1001</t>
        </is>
      </c>
      <c r="C245" t="n">
        <v>0.5</v>
      </c>
      <c r="D245" t="inlineStr">
        <is>
          <t>N</t>
        </is>
      </c>
      <c r="E245" t="inlineStr">
        <is>
          <t>SR 2713</t>
        </is>
      </c>
      <c r="F245" t="inlineStr">
        <is>
          <t>SR 1615</t>
        </is>
      </c>
      <c r="G245" t="inlineStr">
        <is>
          <t>SR 1001</t>
        </is>
      </c>
      <c r="H245" t="n">
        <v>3.025</v>
      </c>
      <c r="I245" t="inlineStr">
        <is>
          <t>NIS</t>
        </is>
      </c>
      <c r="L245" t="n">
        <v>104716998</v>
      </c>
      <c r="M245" s="6" t="n">
        <v>42482</v>
      </c>
      <c r="N245" t="n">
        <v>17</v>
      </c>
      <c r="O245" t="n">
        <v>1</v>
      </c>
      <c r="P245" t="n">
        <v>0</v>
      </c>
      <c r="Q245" t="n">
        <v>5</v>
      </c>
      <c r="R245" t="inlineStr">
        <is>
          <t>O</t>
        </is>
      </c>
      <c r="S245">
        <f>IFERROR(VLOOKUP(N245,Index!$A$1:$B$26,2,FALSE),"")</f>
        <v/>
      </c>
      <c r="T245">
        <f>AA245</f>
        <v/>
      </c>
      <c r="V245">
        <f>IFERROR(INDEX(DetailedFiche!Q:Q,MATCH(L245,DetailedFiche!J:J,0)),"")</f>
        <v/>
      </c>
      <c r="W245">
        <f>IFERROR(INDEX(DetailedFiche!R:R,MATCH(L245,DetailedFiche!J:J,0)),"")</f>
        <v/>
      </c>
      <c r="Y245">
        <f>IFERROR(IF(AND(INDEX('Initial Study'!K:K, MATCH(L245, 'Initial Study'!B:B, 0)+1)&lt;&gt;0,INDEX('Initial Study'!K:K, MATCH(L245, 'Initial Study'!B:B, 0)+1)&lt;&gt;""),INDEX('Initial Study'!K:K, MATCH(L245, 'Initial Study'!B:B, 0)+1),""),"")</f>
        <v/>
      </c>
      <c r="Z245">
        <f>IFERROR(IF(AND(INDEX('Initial Study'!K:K, MATCH(L245, 'Initial Study'!B:B, 0)+2)&lt;&gt;0,INDEX('Initial Study'!K:K, MATCH(L245, 'Initial Study'!B:B, 0)+2)&lt;&gt;"",NOT(ISNUMBER(INDEX('Initial Study'!K:K, MATCH(L245, 'Initial Study'!B:B, 0)+2)))),INDEX('Initial Study'!K:K, MATCH(L245, 'Initial Study'!B:B, 0)+2),"-"),"-")</f>
        <v/>
      </c>
      <c r="AA245">
        <f>IF(S245="RE", Y245 &amp; "BT/" &amp; IF(Z245 &lt;&gt; "-", Z245 &amp; "BT", ""), IF(OR(S245="LTDR", S245="LTSR"), Y245 &amp; "BL" &amp; IF(Z245 &lt;&gt; "-", "/" &amp; Z245 &amp; "BT", ""), IF(OR(S245="RTDR", S245="RTSR"), Y245 &amp; "BR" &amp; IF(Z245 &lt;&gt; "-", "/" &amp; Z245 &amp; "BT", ""), IF(Z245 &lt;&gt; "-", Y245 &amp; "BT/" &amp; Z245 &amp; "BT", Y245 &amp; "BT"))))</f>
        <v/>
      </c>
    </row>
    <row r="246">
      <c r="A246" t="n">
        <v>558</v>
      </c>
      <c r="B246" t="inlineStr">
        <is>
          <t>SR 1001</t>
        </is>
      </c>
      <c r="C246" t="n">
        <v>0.4</v>
      </c>
      <c r="D246" t="inlineStr">
        <is>
          <t>S</t>
        </is>
      </c>
      <c r="E246" t="inlineStr">
        <is>
          <t>SR 1617</t>
        </is>
      </c>
      <c r="F246" t="inlineStr">
        <is>
          <t>SR 1665</t>
        </is>
      </c>
      <c r="G246" t="inlineStr">
        <is>
          <t>SR 1001</t>
        </is>
      </c>
      <c r="H246" t="n">
        <v>3.061</v>
      </c>
      <c r="I246" t="inlineStr">
        <is>
          <t>NIS</t>
        </is>
      </c>
      <c r="L246" t="n">
        <v>105456064</v>
      </c>
      <c r="M246" s="6" t="n">
        <v>43209</v>
      </c>
      <c r="N246" t="n">
        <v>31</v>
      </c>
      <c r="O246" t="n">
        <v>1</v>
      </c>
      <c r="P246" t="n">
        <v>0</v>
      </c>
      <c r="Q246" t="n">
        <v>1</v>
      </c>
      <c r="R246" t="inlineStr">
        <is>
          <t>O</t>
        </is>
      </c>
      <c r="S246">
        <f>IFERROR(VLOOKUP(N246,Index!$A$1:$B$26,2,FALSE),"")</f>
        <v/>
      </c>
      <c r="T246">
        <f>AA246</f>
        <v/>
      </c>
      <c r="V246">
        <f>IFERROR(INDEX(DetailedFiche!Q:Q,MATCH(L246,DetailedFiche!J:J,0)),"")</f>
        <v/>
      </c>
      <c r="W246">
        <f>IFERROR(INDEX(DetailedFiche!R:R,MATCH(L246,DetailedFiche!J:J,0)),"")</f>
        <v/>
      </c>
      <c r="Y246">
        <f>IFERROR(IF(AND(INDEX('Initial Study'!K:K, MATCH(L246, 'Initial Study'!B:B, 0)+1)&lt;&gt;0,INDEX('Initial Study'!K:K, MATCH(L246, 'Initial Study'!B:B, 0)+1)&lt;&gt;""),INDEX('Initial Study'!K:K, MATCH(L246, 'Initial Study'!B:B, 0)+1),""),"")</f>
        <v/>
      </c>
      <c r="Z246">
        <f>IFERROR(IF(AND(INDEX('Initial Study'!K:K, MATCH(L246, 'Initial Study'!B:B, 0)+2)&lt;&gt;0,INDEX('Initial Study'!K:K, MATCH(L246, 'Initial Study'!B:B, 0)+2)&lt;&gt;"",NOT(ISNUMBER(INDEX('Initial Study'!K:K, MATCH(L246, 'Initial Study'!B:B, 0)+2)))),INDEX('Initial Study'!K:K, MATCH(L246, 'Initial Study'!B:B, 0)+2),"-"),"-")</f>
        <v/>
      </c>
      <c r="AA246">
        <f>IF(S246="RE", Y246 &amp; "BT/" &amp; IF(Z246 &lt;&gt; "-", Z246 &amp; "BT", ""), IF(OR(S246="LTDR", S246="LTSR"), Y246 &amp; "BL" &amp; IF(Z246 &lt;&gt; "-", "/" &amp; Z246 &amp; "BT", ""), IF(OR(S246="RTDR", S246="RTSR"), Y246 &amp; "BR" &amp; IF(Z246 &lt;&gt; "-", "/" &amp; Z246 &amp; "BT", ""), IF(Z246 &lt;&gt; "-", Y246 &amp; "BT/" &amp; Z246 &amp; "BT", Y246 &amp; "BT"))))</f>
        <v/>
      </c>
    </row>
    <row r="247">
      <c r="A247" t="n">
        <v>558</v>
      </c>
      <c r="B247" t="inlineStr">
        <is>
          <t>SR 1001</t>
        </is>
      </c>
      <c r="C247" t="n">
        <v>0.2</v>
      </c>
      <c r="D247" t="inlineStr">
        <is>
          <t>N</t>
        </is>
      </c>
      <c r="E247" t="inlineStr">
        <is>
          <t>SR 1615</t>
        </is>
      </c>
      <c r="F247" t="inlineStr">
        <is>
          <t>SR 1617</t>
        </is>
      </c>
      <c r="G247" t="inlineStr">
        <is>
          <t>SR 1001</t>
        </is>
      </c>
      <c r="H247" t="n">
        <v>3.071</v>
      </c>
      <c r="I247" t="inlineStr">
        <is>
          <t>NIS</t>
        </is>
      </c>
      <c r="L247" t="n">
        <v>105245689</v>
      </c>
      <c r="M247" s="6" t="n">
        <v>43015</v>
      </c>
      <c r="N247" t="n">
        <v>17</v>
      </c>
      <c r="O247" t="n">
        <v>2</v>
      </c>
      <c r="Q247" t="n">
        <v>1</v>
      </c>
      <c r="R247" t="inlineStr">
        <is>
          <t>O</t>
        </is>
      </c>
      <c r="S247">
        <f>IFERROR(VLOOKUP(N247,Index!$A$1:$B$26,2,FALSE),"")</f>
        <v/>
      </c>
      <c r="T247">
        <f>AA247</f>
        <v/>
      </c>
      <c r="V247">
        <f>IFERROR(INDEX(DetailedFiche!Q:Q,MATCH(L247,DetailedFiche!J:J,0)),"")</f>
        <v/>
      </c>
      <c r="W247">
        <f>IFERROR(INDEX(DetailedFiche!R:R,MATCH(L247,DetailedFiche!J:J,0)),"")</f>
        <v/>
      </c>
      <c r="Y247">
        <f>IFERROR(IF(AND(INDEX('Initial Study'!K:K, MATCH(L247, 'Initial Study'!B:B, 0)+1)&lt;&gt;0,INDEX('Initial Study'!K:K, MATCH(L247, 'Initial Study'!B:B, 0)+1)&lt;&gt;""),INDEX('Initial Study'!K:K, MATCH(L247, 'Initial Study'!B:B, 0)+1),""),"")</f>
        <v/>
      </c>
      <c r="Z247">
        <f>IFERROR(IF(AND(INDEX('Initial Study'!K:K, MATCH(L247, 'Initial Study'!B:B, 0)+2)&lt;&gt;0,INDEX('Initial Study'!K:K, MATCH(L247, 'Initial Study'!B:B, 0)+2)&lt;&gt;"",NOT(ISNUMBER(INDEX('Initial Study'!K:K, MATCH(L247, 'Initial Study'!B:B, 0)+2)))),INDEX('Initial Study'!K:K, MATCH(L247, 'Initial Study'!B:B, 0)+2),"-"),"-")</f>
        <v/>
      </c>
      <c r="AA247">
        <f>IF(S247="RE", Y247 &amp; "BT/" &amp; IF(Z247 &lt;&gt; "-", Z247 &amp; "BT", ""), IF(OR(S247="LTDR", S247="LTSR"), Y247 &amp; "BL" &amp; IF(Z247 &lt;&gt; "-", "/" &amp; Z247 &amp; "BT", ""), IF(OR(S247="RTDR", S247="RTSR"), Y247 &amp; "BR" &amp; IF(Z247 &lt;&gt; "-", "/" &amp; Z247 &amp; "BT", ""), IF(Z247 &lt;&gt; "-", Y247 &amp; "BT/" &amp; Z247 &amp; "BT", Y247 &amp; "BT"))))</f>
        <v/>
      </c>
    </row>
    <row r="248">
      <c r="A248" t="n">
        <v>558</v>
      </c>
      <c r="B248" t="inlineStr">
        <is>
          <t>SR 1001</t>
        </is>
      </c>
      <c r="C248" t="n">
        <v>0.2</v>
      </c>
      <c r="D248" t="inlineStr">
        <is>
          <t>N</t>
        </is>
      </c>
      <c r="E248" t="inlineStr">
        <is>
          <t>SR 1615</t>
        </is>
      </c>
      <c r="F248" t="inlineStr">
        <is>
          <t>SR 1617</t>
        </is>
      </c>
      <c r="G248" t="inlineStr">
        <is>
          <t>SR 1001</t>
        </is>
      </c>
      <c r="H248" t="n">
        <v>3.071</v>
      </c>
      <c r="I248" t="inlineStr">
        <is>
          <t>NIS</t>
        </is>
      </c>
      <c r="L248" t="n">
        <v>105257437</v>
      </c>
      <c r="M248" s="6" t="n">
        <v>43024</v>
      </c>
      <c r="N248" t="n">
        <v>17</v>
      </c>
      <c r="O248" t="n">
        <v>1</v>
      </c>
      <c r="P248" t="n">
        <v>0</v>
      </c>
      <c r="Q248" t="n">
        <v>5</v>
      </c>
      <c r="R248" t="inlineStr">
        <is>
          <t>O</t>
        </is>
      </c>
      <c r="S248">
        <f>IFERROR(VLOOKUP(N248,Index!$A$1:$B$26,2,FALSE),"")</f>
        <v/>
      </c>
      <c r="T248">
        <f>AA248</f>
        <v/>
      </c>
      <c r="V248">
        <f>IFERROR(INDEX(DetailedFiche!Q:Q,MATCH(L248,DetailedFiche!J:J,0)),"")</f>
        <v/>
      </c>
      <c r="W248">
        <f>IFERROR(INDEX(DetailedFiche!R:R,MATCH(L248,DetailedFiche!J:J,0)),"")</f>
        <v/>
      </c>
      <c r="Y248">
        <f>IFERROR(IF(AND(INDEX('Initial Study'!K:K, MATCH(L248, 'Initial Study'!B:B, 0)+1)&lt;&gt;0,INDEX('Initial Study'!K:K, MATCH(L248, 'Initial Study'!B:B, 0)+1)&lt;&gt;""),INDEX('Initial Study'!K:K, MATCH(L248, 'Initial Study'!B:B, 0)+1),""),"")</f>
        <v/>
      </c>
      <c r="Z248">
        <f>IFERROR(IF(AND(INDEX('Initial Study'!K:K, MATCH(L248, 'Initial Study'!B:B, 0)+2)&lt;&gt;0,INDEX('Initial Study'!K:K, MATCH(L248, 'Initial Study'!B:B, 0)+2)&lt;&gt;"",NOT(ISNUMBER(INDEX('Initial Study'!K:K, MATCH(L248, 'Initial Study'!B:B, 0)+2)))),INDEX('Initial Study'!K:K, MATCH(L248, 'Initial Study'!B:B, 0)+2),"-"),"-")</f>
        <v/>
      </c>
      <c r="AA248">
        <f>IF(S248="RE", Y248 &amp; "BT/" &amp; IF(Z248 &lt;&gt; "-", Z248 &amp; "BT", ""), IF(OR(S248="LTDR", S248="LTSR"), Y248 &amp; "BL" &amp; IF(Z248 &lt;&gt; "-", "/" &amp; Z248 &amp; "BT", ""), IF(OR(S248="RTDR", S248="RTSR"), Y248 &amp; "BR" &amp; IF(Z248 &lt;&gt; "-", "/" &amp; Z248 &amp; "BT", ""), IF(Z248 &lt;&gt; "-", Y248 &amp; "BT/" &amp; Z248 &amp; "BT", Y248 &amp; "BT"))))</f>
        <v/>
      </c>
    </row>
    <row r="249">
      <c r="A249" t="n">
        <v>558</v>
      </c>
      <c r="B249" t="inlineStr">
        <is>
          <t>SR 1001</t>
        </is>
      </c>
      <c r="C249" t="n">
        <v>0.2</v>
      </c>
      <c r="D249" t="inlineStr">
        <is>
          <t>NE</t>
        </is>
      </c>
      <c r="E249" t="inlineStr">
        <is>
          <t>SR 1615</t>
        </is>
      </c>
      <c r="F249" t="inlineStr">
        <is>
          <t>SR 1619</t>
        </is>
      </c>
      <c r="G249" t="inlineStr">
        <is>
          <t>SR 1001</t>
        </is>
      </c>
      <c r="H249" t="n">
        <v>3.071</v>
      </c>
      <c r="I249" t="inlineStr">
        <is>
          <t>NIS</t>
        </is>
      </c>
      <c r="L249" t="n">
        <v>107287148</v>
      </c>
      <c r="M249" s="6" t="n">
        <v>45006</v>
      </c>
      <c r="N249" t="n">
        <v>18</v>
      </c>
      <c r="O249" t="n">
        <v>1</v>
      </c>
      <c r="P249" t="n">
        <v>0</v>
      </c>
      <c r="Q249" t="n">
        <v>5</v>
      </c>
      <c r="R249" t="inlineStr">
        <is>
          <t>O</t>
        </is>
      </c>
      <c r="S249">
        <f>IFERROR(VLOOKUP(N249,Index!$A$1:$B$26,2,FALSE),"")</f>
        <v/>
      </c>
      <c r="T249">
        <f>AA249</f>
        <v/>
      </c>
      <c r="V249">
        <f>IFERROR(INDEX(DetailedFiche!Q:Q,MATCH(L249,DetailedFiche!J:J,0)),"")</f>
        <v/>
      </c>
      <c r="W249">
        <f>IFERROR(INDEX(DetailedFiche!R:R,MATCH(L249,DetailedFiche!J:J,0)),"")</f>
        <v/>
      </c>
      <c r="Y249">
        <f>IFERROR(IF(AND(INDEX('Initial Study'!K:K, MATCH(L249, 'Initial Study'!B:B, 0)+1)&lt;&gt;0,INDEX('Initial Study'!K:K, MATCH(L249, 'Initial Study'!B:B, 0)+1)&lt;&gt;""),INDEX('Initial Study'!K:K, MATCH(L249, 'Initial Study'!B:B, 0)+1),""),"")</f>
        <v/>
      </c>
      <c r="Z249">
        <f>IFERROR(IF(AND(INDEX('Initial Study'!K:K, MATCH(L249, 'Initial Study'!B:B, 0)+2)&lt;&gt;0,INDEX('Initial Study'!K:K, MATCH(L249, 'Initial Study'!B:B, 0)+2)&lt;&gt;"",NOT(ISNUMBER(INDEX('Initial Study'!K:K, MATCH(L249, 'Initial Study'!B:B, 0)+2)))),INDEX('Initial Study'!K:K, MATCH(L249, 'Initial Study'!B:B, 0)+2),"-"),"-")</f>
        <v/>
      </c>
      <c r="AA249">
        <f>IF(S249="RE", Y249 &amp; "BT/" &amp; IF(Z249 &lt;&gt; "-", Z249 &amp; "BT", ""), IF(OR(S249="LTDR", S249="LTSR"), Y249 &amp; "BL" &amp; IF(Z249 &lt;&gt; "-", "/" &amp; Z249 &amp; "BT", ""), IF(OR(S249="RTDR", S249="RTSR"), Y249 &amp; "BR" &amp; IF(Z249 &lt;&gt; "-", "/" &amp; Z249 &amp; "BT", ""), IF(Z249 &lt;&gt; "-", Y249 &amp; "BT/" &amp; Z249 &amp; "BT", Y249 &amp; "BT"))))</f>
        <v/>
      </c>
    </row>
    <row r="250">
      <c r="A250" t="n">
        <v>558</v>
      </c>
      <c r="B250" t="inlineStr">
        <is>
          <t>SIKES MILL</t>
        </is>
      </c>
      <c r="C250" t="n">
        <v>0.21</v>
      </c>
      <c r="D250" t="inlineStr">
        <is>
          <t>N</t>
        </is>
      </c>
      <c r="E250" t="inlineStr">
        <is>
          <t>UNIONVILLE</t>
        </is>
      </c>
      <c r="F250" t="inlineStr">
        <is>
          <t>CLONTZ LONG</t>
        </is>
      </c>
      <c r="G250" t="inlineStr">
        <is>
          <t>SR 1001</t>
        </is>
      </c>
      <c r="H250" t="n">
        <v>3.081</v>
      </c>
      <c r="I250" t="inlineStr">
        <is>
          <t>NIS</t>
        </is>
      </c>
      <c r="L250" t="n">
        <v>106523220</v>
      </c>
      <c r="M250" s="6" t="n">
        <v>44275</v>
      </c>
      <c r="N250" t="n">
        <v>19</v>
      </c>
      <c r="O250" t="n">
        <v>2</v>
      </c>
      <c r="P250" t="n">
        <v>0</v>
      </c>
      <c r="Q250" t="n">
        <v>5</v>
      </c>
      <c r="R250" t="inlineStr">
        <is>
          <t>O</t>
        </is>
      </c>
      <c r="S250">
        <f>IFERROR(VLOOKUP(N250,Index!$A$1:$B$26,2,FALSE),"")</f>
        <v/>
      </c>
      <c r="T250">
        <f>AA250</f>
        <v/>
      </c>
      <c r="V250">
        <f>IFERROR(INDEX(DetailedFiche!Q:Q,MATCH(L250,DetailedFiche!J:J,0)),"")</f>
        <v/>
      </c>
      <c r="W250">
        <f>IFERROR(INDEX(DetailedFiche!R:R,MATCH(L250,DetailedFiche!J:J,0)),"")</f>
        <v/>
      </c>
      <c r="Y250">
        <f>IFERROR(IF(AND(INDEX('Initial Study'!K:K, MATCH(L250, 'Initial Study'!B:B, 0)+1)&lt;&gt;0,INDEX('Initial Study'!K:K, MATCH(L250, 'Initial Study'!B:B, 0)+1)&lt;&gt;""),INDEX('Initial Study'!K:K, MATCH(L250, 'Initial Study'!B:B, 0)+1),""),"")</f>
        <v/>
      </c>
      <c r="Z250">
        <f>IFERROR(IF(AND(INDEX('Initial Study'!K:K, MATCH(L250, 'Initial Study'!B:B, 0)+2)&lt;&gt;0,INDEX('Initial Study'!K:K, MATCH(L250, 'Initial Study'!B:B, 0)+2)&lt;&gt;"",NOT(ISNUMBER(INDEX('Initial Study'!K:K, MATCH(L250, 'Initial Study'!B:B, 0)+2)))),INDEX('Initial Study'!K:K, MATCH(L250, 'Initial Study'!B:B, 0)+2),"-"),"-")</f>
        <v/>
      </c>
      <c r="AA250">
        <f>IF(S250="RE", Y250 &amp; "BT/" &amp; IF(Z250 &lt;&gt; "-", Z250 &amp; "BT", ""), IF(OR(S250="LTDR", S250="LTSR"), Y250 &amp; "BL" &amp; IF(Z250 &lt;&gt; "-", "/" &amp; Z250 &amp; "BT", ""), IF(OR(S250="RTDR", S250="RTSR"), Y250 &amp; "BR" &amp; IF(Z250 &lt;&gt; "-", "/" &amp; Z250 &amp; "BT", ""), IF(Z250 &lt;&gt; "-", Y250 &amp; "BT/" &amp; Z250 &amp; "BT", Y250 &amp; "BT"))))</f>
        <v/>
      </c>
    </row>
    <row r="251">
      <c r="A251" t="n">
        <v>558</v>
      </c>
      <c r="B251" t="inlineStr">
        <is>
          <t>SIKES MILL</t>
        </is>
      </c>
      <c r="C251" t="n">
        <v>0.21</v>
      </c>
      <c r="D251" t="inlineStr">
        <is>
          <t>N</t>
        </is>
      </c>
      <c r="E251" t="inlineStr">
        <is>
          <t>UNIONVILLE</t>
        </is>
      </c>
      <c r="F251" t="inlineStr">
        <is>
          <t>TOM BOYD</t>
        </is>
      </c>
      <c r="G251" t="inlineStr">
        <is>
          <t>SR 1001</t>
        </is>
      </c>
      <c r="H251" t="n">
        <v>3.081</v>
      </c>
      <c r="I251" t="inlineStr">
        <is>
          <t>NIS</t>
        </is>
      </c>
      <c r="L251" t="n">
        <v>107483858</v>
      </c>
      <c r="M251" s="6" t="n">
        <v>45205</v>
      </c>
      <c r="N251" t="n">
        <v>17</v>
      </c>
      <c r="O251" t="n">
        <v>1</v>
      </c>
      <c r="P251" t="n">
        <v>0</v>
      </c>
      <c r="Q251" t="n">
        <v>2</v>
      </c>
      <c r="R251" t="inlineStr">
        <is>
          <t>O</t>
        </is>
      </c>
      <c r="S251">
        <f>IFERROR(VLOOKUP(N251,Index!$A$1:$B$26,2,FALSE),"")</f>
        <v/>
      </c>
      <c r="T251">
        <f>AA251</f>
        <v/>
      </c>
      <c r="V251">
        <f>IFERROR(INDEX(DetailedFiche!Q:Q,MATCH(L251,DetailedFiche!J:J,0)),"")</f>
        <v/>
      </c>
      <c r="W251">
        <f>IFERROR(INDEX(DetailedFiche!R:R,MATCH(L251,DetailedFiche!J:J,0)),"")</f>
        <v/>
      </c>
      <c r="Y251">
        <f>IFERROR(IF(AND(INDEX('Initial Study'!K:K, MATCH(L251, 'Initial Study'!B:B, 0)+1)&lt;&gt;0,INDEX('Initial Study'!K:K, MATCH(L251, 'Initial Study'!B:B, 0)+1)&lt;&gt;""),INDEX('Initial Study'!K:K, MATCH(L251, 'Initial Study'!B:B, 0)+1),""),"")</f>
        <v/>
      </c>
      <c r="Z251">
        <f>IFERROR(IF(AND(INDEX('Initial Study'!K:K, MATCH(L251, 'Initial Study'!B:B, 0)+2)&lt;&gt;0,INDEX('Initial Study'!K:K, MATCH(L251, 'Initial Study'!B:B, 0)+2)&lt;&gt;"",NOT(ISNUMBER(INDEX('Initial Study'!K:K, MATCH(L251, 'Initial Study'!B:B, 0)+2)))),INDEX('Initial Study'!K:K, MATCH(L251, 'Initial Study'!B:B, 0)+2),"-"),"-")</f>
        <v/>
      </c>
      <c r="AA251">
        <f>IF(S251="RE", Y251 &amp; "BT/" &amp; IF(Z251 &lt;&gt; "-", Z251 &amp; "BT", ""), IF(OR(S251="LTDR", S251="LTSR"), Y251 &amp; "BL" &amp; IF(Z251 &lt;&gt; "-", "/" &amp; Z251 &amp; "BT", ""), IF(OR(S251="RTDR", S251="RTSR"), Y251 &amp; "BR" &amp; IF(Z251 &lt;&gt; "-", "/" &amp; Z251 &amp; "BT", ""), IF(Z251 &lt;&gt; "-", Y251 &amp; "BT/" &amp; Z251 &amp; "BT", Y251 &amp; "BT"))))</f>
        <v/>
      </c>
    </row>
    <row r="252">
      <c r="A252" t="n">
        <v>558</v>
      </c>
      <c r="B252" t="inlineStr">
        <is>
          <t>SIKES MILL</t>
        </is>
      </c>
      <c r="C252" t="n">
        <v>0.36</v>
      </c>
      <c r="D252" t="inlineStr">
        <is>
          <t>S</t>
        </is>
      </c>
      <c r="E252" t="inlineStr">
        <is>
          <t>TOM BOYD</t>
        </is>
      </c>
      <c r="F252" t="inlineStr">
        <is>
          <t>UNIONVILLE</t>
        </is>
      </c>
      <c r="G252" t="inlineStr">
        <is>
          <t>SR 1001</t>
        </is>
      </c>
      <c r="H252" t="n">
        <v>3.101</v>
      </c>
      <c r="I252" t="inlineStr">
        <is>
          <t>NIS</t>
        </is>
      </c>
      <c r="L252" t="n">
        <v>108539563</v>
      </c>
      <c r="M252" s="6" t="n">
        <v>46194</v>
      </c>
      <c r="N252" t="n">
        <v>17</v>
      </c>
      <c r="O252" t="n">
        <v>1</v>
      </c>
      <c r="P252" t="n">
        <v>0</v>
      </c>
      <c r="Q252" t="n">
        <v>2</v>
      </c>
      <c r="R252" t="inlineStr">
        <is>
          <t>B</t>
        </is>
      </c>
      <c r="S252">
        <f>IFERROR(VLOOKUP(N252,Index!$A$1:$B$26,2,FALSE),"")</f>
        <v/>
      </c>
      <c r="T252">
        <f>AA252</f>
        <v/>
      </c>
      <c r="V252">
        <f>IFERROR(INDEX(DetailedFiche!Q:Q,MATCH(L252,DetailedFiche!J:J,0)),"")</f>
        <v/>
      </c>
      <c r="W252">
        <f>IFERROR(INDEX(DetailedFiche!R:R,MATCH(L252,DetailedFiche!J:J,0)),"")</f>
        <v/>
      </c>
      <c r="Y252">
        <f>IFERROR(IF(AND(INDEX('Initial Study'!K:K, MATCH(L252, 'Initial Study'!B:B, 0)+1)&lt;&gt;0,INDEX('Initial Study'!K:K, MATCH(L252, 'Initial Study'!B:B, 0)+1)&lt;&gt;""),INDEX('Initial Study'!K:K, MATCH(L252, 'Initial Study'!B:B, 0)+1),""),"")</f>
        <v/>
      </c>
      <c r="Z252">
        <f>IFERROR(IF(AND(INDEX('Initial Study'!K:K, MATCH(L252, 'Initial Study'!B:B, 0)+2)&lt;&gt;0,INDEX('Initial Study'!K:K, MATCH(L252, 'Initial Study'!B:B, 0)+2)&lt;&gt;"",NOT(ISNUMBER(INDEX('Initial Study'!K:K, MATCH(L252, 'Initial Study'!B:B, 0)+2)))),INDEX('Initial Study'!K:K, MATCH(L252, 'Initial Study'!B:B, 0)+2),"-"),"-")</f>
        <v/>
      </c>
      <c r="AA252">
        <f>IF(S252="RE", Y252 &amp; "BT/" &amp; IF(Z252 &lt;&gt; "-", Z252 &amp; "BT", ""), IF(OR(S252="LTDR", S252="LTSR"), Y252 &amp; "BL" &amp; IF(Z252 &lt;&gt; "-", "/" &amp; Z252 &amp; "BT", ""), IF(OR(S252="RTDR", S252="RTSR"), Y252 &amp; "BR" &amp; IF(Z252 &lt;&gt; "-", "/" &amp; Z252 &amp; "BT", ""), IF(Z252 &lt;&gt; "-", Y252 &amp; "BT/" &amp; Z252 &amp; "BT", Y252 &amp; "BT"))))</f>
        <v/>
      </c>
    </row>
    <row r="253">
      <c r="A253" t="n">
        <v>558</v>
      </c>
      <c r="B253" t="inlineStr">
        <is>
          <t>SR 1001</t>
        </is>
      </c>
      <c r="C253" t="n">
        <v>0.3</v>
      </c>
      <c r="D253" t="inlineStr">
        <is>
          <t>S</t>
        </is>
      </c>
      <c r="E253" t="inlineStr">
        <is>
          <t>SR 1617</t>
        </is>
      </c>
      <c r="F253" t="inlineStr">
        <is>
          <t>SR 1615</t>
        </is>
      </c>
      <c r="G253" t="inlineStr">
        <is>
          <t>SR 1001</t>
        </is>
      </c>
      <c r="H253" t="n">
        <v>3.161</v>
      </c>
      <c r="I253" t="inlineStr">
        <is>
          <t>NIS</t>
        </is>
      </c>
      <c r="L253" t="n">
        <v>107634836</v>
      </c>
      <c r="M253" s="6" t="n">
        <v>45346</v>
      </c>
      <c r="N253" t="n">
        <v>29</v>
      </c>
      <c r="O253" t="n">
        <v>1</v>
      </c>
      <c r="P253" t="n">
        <v>0</v>
      </c>
      <c r="Q253" t="n">
        <v>5</v>
      </c>
      <c r="R253" t="inlineStr">
        <is>
          <t>O</t>
        </is>
      </c>
      <c r="S253">
        <f>IFERROR(VLOOKUP(N253,Index!$A$1:$B$26,2,FALSE),"")</f>
        <v/>
      </c>
      <c r="T253">
        <f>AA253</f>
        <v/>
      </c>
      <c r="V253">
        <f>IFERROR(INDEX(DetailedFiche!Q:Q,MATCH(L253,DetailedFiche!J:J,0)),"")</f>
        <v/>
      </c>
      <c r="W253">
        <f>IFERROR(INDEX(DetailedFiche!R:R,MATCH(L253,DetailedFiche!J:J,0)),"")</f>
        <v/>
      </c>
      <c r="Y253">
        <f>IFERROR(IF(AND(INDEX('Initial Study'!K:K, MATCH(L253, 'Initial Study'!B:B, 0)+1)&lt;&gt;0,INDEX('Initial Study'!K:K, MATCH(L253, 'Initial Study'!B:B, 0)+1)&lt;&gt;""),INDEX('Initial Study'!K:K, MATCH(L253, 'Initial Study'!B:B, 0)+1),""),"")</f>
        <v/>
      </c>
      <c r="Z253">
        <f>IFERROR(IF(AND(INDEX('Initial Study'!K:K, MATCH(L253, 'Initial Study'!B:B, 0)+2)&lt;&gt;0,INDEX('Initial Study'!K:K, MATCH(L253, 'Initial Study'!B:B, 0)+2)&lt;&gt;"",NOT(ISNUMBER(INDEX('Initial Study'!K:K, MATCH(L253, 'Initial Study'!B:B, 0)+2)))),INDEX('Initial Study'!K:K, MATCH(L253, 'Initial Study'!B:B, 0)+2),"-"),"-")</f>
        <v/>
      </c>
      <c r="AA253">
        <f>IF(S253="RE", Y253 &amp; "BT/" &amp; IF(Z253 &lt;&gt; "-", Z253 &amp; "BT", ""), IF(OR(S253="LTDR", S253="LTSR"), Y253 &amp; "BL" &amp; IF(Z253 &lt;&gt; "-", "/" &amp; Z253 &amp; "BT", ""), IF(OR(S253="RTDR", S253="RTSR"), Y253 &amp; "BR" &amp; IF(Z253 &lt;&gt; "-", "/" &amp; Z253 &amp; "BT", ""), IF(Z253 &lt;&gt; "-", Y253 &amp; "BT/" &amp; Z253 &amp; "BT", Y253 &amp; "BT"))))</f>
        <v/>
      </c>
    </row>
    <row r="254">
      <c r="A254" t="n">
        <v>558</v>
      </c>
      <c r="B254" t="inlineStr">
        <is>
          <t>SR 1001</t>
        </is>
      </c>
      <c r="C254" t="n">
        <v>0.3</v>
      </c>
      <c r="D254" t="inlineStr">
        <is>
          <t>S</t>
        </is>
      </c>
      <c r="E254" t="inlineStr">
        <is>
          <t>SR 1619</t>
        </is>
      </c>
      <c r="F254" t="inlineStr">
        <is>
          <t>SR 1615</t>
        </is>
      </c>
      <c r="G254" t="inlineStr">
        <is>
          <t>SR 1001</t>
        </is>
      </c>
      <c r="H254" t="n">
        <v>3.161</v>
      </c>
      <c r="I254" t="inlineStr">
        <is>
          <t>NIS</t>
        </is>
      </c>
      <c r="L254" t="n">
        <v>106019966</v>
      </c>
      <c r="M254" s="6" t="n">
        <v>43747</v>
      </c>
      <c r="N254" t="n">
        <v>17</v>
      </c>
      <c r="O254" t="n">
        <v>1</v>
      </c>
      <c r="P254" t="n">
        <v>0</v>
      </c>
      <c r="Q254" t="n">
        <v>5</v>
      </c>
      <c r="R254" t="inlineStr">
        <is>
          <t>O</t>
        </is>
      </c>
      <c r="S254">
        <f>IFERROR(VLOOKUP(N254,Index!$A$1:$B$26,2,FALSE),"")</f>
        <v/>
      </c>
      <c r="T254">
        <f>AA254</f>
        <v/>
      </c>
      <c r="V254">
        <f>IFERROR(INDEX(DetailedFiche!Q:Q,MATCH(L254,DetailedFiche!J:J,0)),"")</f>
        <v/>
      </c>
      <c r="W254">
        <f>IFERROR(INDEX(DetailedFiche!R:R,MATCH(L254,DetailedFiche!J:J,0)),"")</f>
        <v/>
      </c>
      <c r="Y254">
        <f>IFERROR(IF(AND(INDEX('Initial Study'!K:K, MATCH(L254, 'Initial Study'!B:B, 0)+1)&lt;&gt;0,INDEX('Initial Study'!K:K, MATCH(L254, 'Initial Study'!B:B, 0)+1)&lt;&gt;""),INDEX('Initial Study'!K:K, MATCH(L254, 'Initial Study'!B:B, 0)+1),""),"")</f>
        <v/>
      </c>
      <c r="Z254">
        <f>IFERROR(IF(AND(INDEX('Initial Study'!K:K, MATCH(L254, 'Initial Study'!B:B, 0)+2)&lt;&gt;0,INDEX('Initial Study'!K:K, MATCH(L254, 'Initial Study'!B:B, 0)+2)&lt;&gt;"",NOT(ISNUMBER(INDEX('Initial Study'!K:K, MATCH(L254, 'Initial Study'!B:B, 0)+2)))),INDEX('Initial Study'!K:K, MATCH(L254, 'Initial Study'!B:B, 0)+2),"-"),"-")</f>
        <v/>
      </c>
      <c r="AA254">
        <f>IF(S254="RE", Y254 &amp; "BT/" &amp; IF(Z254 &lt;&gt; "-", Z254 &amp; "BT", ""), IF(OR(S254="LTDR", S254="LTSR"), Y254 &amp; "BL" &amp; IF(Z254 &lt;&gt; "-", "/" &amp; Z254 &amp; "BT", ""), IF(OR(S254="RTDR", S254="RTSR"), Y254 &amp; "BR" &amp; IF(Z254 &lt;&gt; "-", "/" &amp; Z254 &amp; "BT", ""), IF(Z254 &lt;&gt; "-", Y254 &amp; "BT/" &amp; Z254 &amp; "BT", Y254 &amp; "BT"))))</f>
        <v/>
      </c>
    </row>
    <row r="255">
      <c r="A255" t="n">
        <v>558</v>
      </c>
      <c r="B255" t="inlineStr">
        <is>
          <t>SR 1001</t>
        </is>
      </c>
      <c r="C255" t="n">
        <v>0.3</v>
      </c>
      <c r="D255" t="inlineStr">
        <is>
          <t>W</t>
        </is>
      </c>
      <c r="E255" t="inlineStr">
        <is>
          <t>SR 1619</t>
        </is>
      </c>
      <c r="F255" t="inlineStr">
        <is>
          <t>SR 1615</t>
        </is>
      </c>
      <c r="G255" t="inlineStr">
        <is>
          <t>SR 1001</t>
        </is>
      </c>
      <c r="H255" t="n">
        <v>3.161</v>
      </c>
      <c r="I255" t="inlineStr">
        <is>
          <t>NIS</t>
        </is>
      </c>
      <c r="L255" t="n">
        <v>106922517</v>
      </c>
      <c r="M255" s="6" t="n">
        <v>44666</v>
      </c>
      <c r="N255" t="n">
        <v>17</v>
      </c>
      <c r="O255" t="n">
        <v>1</v>
      </c>
      <c r="P255" t="n">
        <v>0</v>
      </c>
      <c r="Q255" t="n">
        <v>5</v>
      </c>
      <c r="R255" t="inlineStr">
        <is>
          <t>O</t>
        </is>
      </c>
      <c r="S255">
        <f>IFERROR(VLOOKUP(N255,Index!$A$1:$B$26,2,FALSE),"")</f>
        <v/>
      </c>
      <c r="T255">
        <f>AA255</f>
        <v/>
      </c>
      <c r="V255">
        <f>IFERROR(INDEX(DetailedFiche!Q:Q,MATCH(L255,DetailedFiche!J:J,0)),"")</f>
        <v/>
      </c>
      <c r="W255">
        <f>IFERROR(INDEX(DetailedFiche!R:R,MATCH(L255,DetailedFiche!J:J,0)),"")</f>
        <v/>
      </c>
      <c r="Y255">
        <f>IFERROR(IF(AND(INDEX('Initial Study'!K:K, MATCH(L255, 'Initial Study'!B:B, 0)+1)&lt;&gt;0,INDEX('Initial Study'!K:K, MATCH(L255, 'Initial Study'!B:B, 0)+1)&lt;&gt;""),INDEX('Initial Study'!K:K, MATCH(L255, 'Initial Study'!B:B, 0)+1),""),"")</f>
        <v/>
      </c>
      <c r="Z255">
        <f>IFERROR(IF(AND(INDEX('Initial Study'!K:K, MATCH(L255, 'Initial Study'!B:B, 0)+2)&lt;&gt;0,INDEX('Initial Study'!K:K, MATCH(L255, 'Initial Study'!B:B, 0)+2)&lt;&gt;"",NOT(ISNUMBER(INDEX('Initial Study'!K:K, MATCH(L255, 'Initial Study'!B:B, 0)+2)))),INDEX('Initial Study'!K:K, MATCH(L255, 'Initial Study'!B:B, 0)+2),"-"),"-")</f>
        <v/>
      </c>
      <c r="AA255">
        <f>IF(S255="RE", Y255 &amp; "BT/" &amp; IF(Z255 &lt;&gt; "-", Z255 &amp; "BT", ""), IF(OR(S255="LTDR", S255="LTSR"), Y255 &amp; "BL" &amp; IF(Z255 &lt;&gt; "-", "/" &amp; Z255 &amp; "BT", ""), IF(OR(S255="RTDR", S255="RTSR"), Y255 &amp; "BR" &amp; IF(Z255 &lt;&gt; "-", "/" &amp; Z255 &amp; "BT", ""), IF(Z255 &lt;&gt; "-", Y255 &amp; "BT/" &amp; Z255 &amp; "BT", Y255 &amp; "BT"))))</f>
        <v/>
      </c>
    </row>
    <row r="256">
      <c r="A256" t="n">
        <v>558</v>
      </c>
      <c r="B256" t="inlineStr">
        <is>
          <t>SR 1001</t>
        </is>
      </c>
      <c r="C256" t="n">
        <v>0.3</v>
      </c>
      <c r="D256" t="inlineStr">
        <is>
          <t>N</t>
        </is>
      </c>
      <c r="E256" t="inlineStr">
        <is>
          <t>SR 1615</t>
        </is>
      </c>
      <c r="F256" t="inlineStr">
        <is>
          <t>SR 1619</t>
        </is>
      </c>
      <c r="G256" t="inlineStr">
        <is>
          <t>SR 1001</t>
        </is>
      </c>
      <c r="H256" t="n">
        <v>3.171</v>
      </c>
      <c r="I256" t="inlineStr">
        <is>
          <t>NIS</t>
        </is>
      </c>
      <c r="L256" t="n">
        <v>106019965</v>
      </c>
      <c r="M256" s="6" t="n">
        <v>43747</v>
      </c>
      <c r="N256" t="n">
        <v>17</v>
      </c>
      <c r="O256" t="n">
        <v>1</v>
      </c>
      <c r="P256" t="n">
        <v>0</v>
      </c>
      <c r="Q256" t="n">
        <v>5</v>
      </c>
      <c r="R256" t="inlineStr">
        <is>
          <t>O</t>
        </is>
      </c>
      <c r="S256">
        <f>IFERROR(VLOOKUP(N256,Index!$A$1:$B$26,2,FALSE),"")</f>
        <v/>
      </c>
      <c r="T256">
        <f>AA256</f>
        <v/>
      </c>
      <c r="V256">
        <f>IFERROR(INDEX(DetailedFiche!Q:Q,MATCH(L256,DetailedFiche!J:J,0)),"")</f>
        <v/>
      </c>
      <c r="W256">
        <f>IFERROR(INDEX(DetailedFiche!R:R,MATCH(L256,DetailedFiche!J:J,0)),"")</f>
        <v/>
      </c>
      <c r="Y256">
        <f>IFERROR(IF(AND(INDEX('Initial Study'!K:K, MATCH(L256, 'Initial Study'!B:B, 0)+1)&lt;&gt;0,INDEX('Initial Study'!K:K, MATCH(L256, 'Initial Study'!B:B, 0)+1)&lt;&gt;""),INDEX('Initial Study'!K:K, MATCH(L256, 'Initial Study'!B:B, 0)+1),""),"")</f>
        <v/>
      </c>
      <c r="Z256">
        <f>IFERROR(IF(AND(INDEX('Initial Study'!K:K, MATCH(L256, 'Initial Study'!B:B, 0)+2)&lt;&gt;0,INDEX('Initial Study'!K:K, MATCH(L256, 'Initial Study'!B:B, 0)+2)&lt;&gt;"",NOT(ISNUMBER(INDEX('Initial Study'!K:K, MATCH(L256, 'Initial Study'!B:B, 0)+2)))),INDEX('Initial Study'!K:K, MATCH(L256, 'Initial Study'!B:B, 0)+2),"-"),"-")</f>
        <v/>
      </c>
      <c r="AA256">
        <f>IF(S256="RE", Y256 &amp; "BT/" &amp; IF(Z256 &lt;&gt; "-", Z256 &amp; "BT", ""), IF(OR(S256="LTDR", S256="LTSR"), Y256 &amp; "BL" &amp; IF(Z256 &lt;&gt; "-", "/" &amp; Z256 &amp; "BT", ""), IF(OR(S256="RTDR", S256="RTSR"), Y256 &amp; "BR" &amp; IF(Z256 &lt;&gt; "-", "/" &amp; Z256 &amp; "BT", ""), IF(Z256 &lt;&gt; "-", Y256 &amp; "BT/" &amp; Z256 &amp; "BT", Y256 &amp; "BT"))))</f>
        <v/>
      </c>
    </row>
    <row r="257">
      <c r="A257" t="n">
        <v>558</v>
      </c>
      <c r="B257" t="inlineStr">
        <is>
          <t>SIKES MILL</t>
        </is>
      </c>
      <c r="C257" t="n">
        <v>0.24</v>
      </c>
      <c r="D257" t="inlineStr">
        <is>
          <t>SW</t>
        </is>
      </c>
      <c r="E257" t="inlineStr">
        <is>
          <t>TOM BOYD</t>
        </is>
      </c>
      <c r="F257" t="inlineStr">
        <is>
          <t>UNIONVILLE</t>
        </is>
      </c>
      <c r="G257" t="inlineStr">
        <is>
          <t>SR 1001</t>
        </is>
      </c>
      <c r="H257" t="n">
        <v>3.221</v>
      </c>
      <c r="I257" t="inlineStr">
        <is>
          <t>NIS</t>
        </is>
      </c>
      <c r="L257" t="n">
        <v>108025090</v>
      </c>
      <c r="M257" s="6" t="n">
        <v>45699</v>
      </c>
      <c r="N257" t="n">
        <v>19</v>
      </c>
      <c r="O257" t="n">
        <v>2</v>
      </c>
      <c r="P257" t="n">
        <v>0</v>
      </c>
      <c r="Q257" t="n">
        <v>5</v>
      </c>
      <c r="R257" t="inlineStr">
        <is>
          <t>O</t>
        </is>
      </c>
      <c r="S257">
        <f>IFERROR(VLOOKUP(N257,Index!$A$1:$B$26,2,FALSE),"")</f>
        <v/>
      </c>
      <c r="T257">
        <f>AA257</f>
        <v/>
      </c>
      <c r="V257">
        <f>IFERROR(INDEX(DetailedFiche!Q:Q,MATCH(L257,DetailedFiche!J:J,0)),"")</f>
        <v/>
      </c>
      <c r="W257">
        <f>IFERROR(INDEX(DetailedFiche!R:R,MATCH(L257,DetailedFiche!J:J,0)),"")</f>
        <v/>
      </c>
      <c r="Y257">
        <f>IFERROR(IF(AND(INDEX('Initial Study'!K:K, MATCH(L257, 'Initial Study'!B:B, 0)+1)&lt;&gt;0,INDEX('Initial Study'!K:K, MATCH(L257, 'Initial Study'!B:B, 0)+1)&lt;&gt;""),INDEX('Initial Study'!K:K, MATCH(L257, 'Initial Study'!B:B, 0)+1),""),"")</f>
        <v/>
      </c>
      <c r="Z257">
        <f>IFERROR(IF(AND(INDEX('Initial Study'!K:K, MATCH(L257, 'Initial Study'!B:B, 0)+2)&lt;&gt;0,INDEX('Initial Study'!K:K, MATCH(L257, 'Initial Study'!B:B, 0)+2)&lt;&gt;"",NOT(ISNUMBER(INDEX('Initial Study'!K:K, MATCH(L257, 'Initial Study'!B:B, 0)+2)))),INDEX('Initial Study'!K:K, MATCH(L257, 'Initial Study'!B:B, 0)+2),"-"),"-")</f>
        <v/>
      </c>
      <c r="AA257">
        <f>IF(S257="RE", Y257 &amp; "BT/" &amp; IF(Z257 &lt;&gt; "-", Z257 &amp; "BT", ""), IF(OR(S257="LTDR", S257="LTSR"), Y257 &amp; "BL" &amp; IF(Z257 &lt;&gt; "-", "/" &amp; Z257 &amp; "BT", ""), IF(OR(S257="RTDR", S257="RTSR"), Y257 &amp; "BR" &amp; IF(Z257 &lt;&gt; "-", "/" &amp; Z257 &amp; "BT", ""), IF(Z257 &lt;&gt; "-", Y257 &amp; "BT/" &amp; Z257 &amp; "BT", Y257 &amp; "BT"))))</f>
        <v/>
      </c>
    </row>
    <row r="258">
      <c r="A258" t="n">
        <v>558</v>
      </c>
      <c r="B258" t="inlineStr">
        <is>
          <t>SIKES MILL</t>
        </is>
      </c>
      <c r="C258" t="n">
        <v>0.38</v>
      </c>
      <c r="D258" t="inlineStr">
        <is>
          <t>NE</t>
        </is>
      </c>
      <c r="E258" t="inlineStr">
        <is>
          <t>UNIONVILLE</t>
        </is>
      </c>
      <c r="F258" t="inlineStr">
        <is>
          <t>CLONTZ LONG</t>
        </is>
      </c>
      <c r="G258" t="inlineStr">
        <is>
          <t>SR 1001</t>
        </is>
      </c>
      <c r="H258" t="n">
        <v>3.251</v>
      </c>
      <c r="I258" t="inlineStr">
        <is>
          <t>NIS</t>
        </is>
      </c>
      <c r="L258" t="n">
        <v>105310167</v>
      </c>
      <c r="M258" s="6" t="n">
        <v>43072</v>
      </c>
      <c r="N258" t="n">
        <v>17</v>
      </c>
      <c r="O258" t="n">
        <v>1</v>
      </c>
      <c r="P258" t="n">
        <v>0</v>
      </c>
      <c r="Q258" t="n">
        <v>5</v>
      </c>
      <c r="R258" t="inlineStr">
        <is>
          <t>O</t>
        </is>
      </c>
      <c r="S258">
        <f>IFERROR(VLOOKUP(N258,Index!$A$1:$B$26,2,FALSE),"")</f>
        <v/>
      </c>
      <c r="T258">
        <f>AA258</f>
        <v/>
      </c>
      <c r="V258">
        <f>IFERROR(INDEX(DetailedFiche!Q:Q,MATCH(L258,DetailedFiche!J:J,0)),"")</f>
        <v/>
      </c>
      <c r="W258">
        <f>IFERROR(INDEX(DetailedFiche!R:R,MATCH(L258,DetailedFiche!J:J,0)),"")</f>
        <v/>
      </c>
      <c r="Y258">
        <f>IFERROR(IF(AND(INDEX('Initial Study'!K:K, MATCH(L258, 'Initial Study'!B:B, 0)+1)&lt;&gt;0,INDEX('Initial Study'!K:K, MATCH(L258, 'Initial Study'!B:B, 0)+1)&lt;&gt;""),INDEX('Initial Study'!K:K, MATCH(L258, 'Initial Study'!B:B, 0)+1),""),"")</f>
        <v/>
      </c>
      <c r="Z258">
        <f>IFERROR(IF(AND(INDEX('Initial Study'!K:K, MATCH(L258, 'Initial Study'!B:B, 0)+2)&lt;&gt;0,INDEX('Initial Study'!K:K, MATCH(L258, 'Initial Study'!B:B, 0)+2)&lt;&gt;"",NOT(ISNUMBER(INDEX('Initial Study'!K:K, MATCH(L258, 'Initial Study'!B:B, 0)+2)))),INDEX('Initial Study'!K:K, MATCH(L258, 'Initial Study'!B:B, 0)+2),"-"),"-")</f>
        <v/>
      </c>
      <c r="AA258">
        <f>IF(S258="RE", Y258 &amp; "BT/" &amp; IF(Z258 &lt;&gt; "-", Z258 &amp; "BT", ""), IF(OR(S258="LTDR", S258="LTSR"), Y258 &amp; "BL" &amp; IF(Z258 &lt;&gt; "-", "/" &amp; Z258 &amp; "BT", ""), IF(OR(S258="RTDR", S258="RTSR"), Y258 &amp; "BR" &amp; IF(Z258 &lt;&gt; "-", "/" &amp; Z258 &amp; "BT", ""), IF(Z258 &lt;&gt; "-", Y258 &amp; "BT/" &amp; Z258 &amp; "BT", Y258 &amp; "BT"))))</f>
        <v/>
      </c>
    </row>
    <row r="259">
      <c r="A259" t="n">
        <v>558</v>
      </c>
      <c r="B259" t="inlineStr">
        <is>
          <t>SR 1001</t>
        </is>
      </c>
      <c r="C259" t="n">
        <v>0.2</v>
      </c>
      <c r="D259" t="inlineStr">
        <is>
          <t>S</t>
        </is>
      </c>
      <c r="E259" t="inlineStr">
        <is>
          <t>SR 1619</t>
        </is>
      </c>
      <c r="F259" t="inlineStr">
        <is>
          <t>SR 1615</t>
        </is>
      </c>
      <c r="G259" t="inlineStr">
        <is>
          <t>SR 1001</t>
        </is>
      </c>
      <c r="H259" t="n">
        <v>3.261</v>
      </c>
      <c r="I259" t="inlineStr">
        <is>
          <t>NIS</t>
        </is>
      </c>
      <c r="L259" t="n">
        <v>105276432</v>
      </c>
      <c r="M259" s="6" t="n">
        <v>43039</v>
      </c>
      <c r="N259" t="n">
        <v>17</v>
      </c>
      <c r="O259" t="n">
        <v>1</v>
      </c>
      <c r="P259" t="n">
        <v>0</v>
      </c>
      <c r="Q259" t="n">
        <v>5</v>
      </c>
      <c r="R259" t="inlineStr">
        <is>
          <t>O</t>
        </is>
      </c>
      <c r="S259">
        <f>IFERROR(VLOOKUP(N259,Index!$A$1:$B$26,2,FALSE),"")</f>
        <v/>
      </c>
      <c r="T259">
        <f>AA259</f>
        <v/>
      </c>
      <c r="V259">
        <f>IFERROR(INDEX(DetailedFiche!Q:Q,MATCH(L259,DetailedFiche!J:J,0)),"")</f>
        <v/>
      </c>
      <c r="W259">
        <f>IFERROR(INDEX(DetailedFiche!R:R,MATCH(L259,DetailedFiche!J:J,0)),"")</f>
        <v/>
      </c>
      <c r="Y259">
        <f>IFERROR(IF(AND(INDEX('Initial Study'!K:K, MATCH(L259, 'Initial Study'!B:B, 0)+1)&lt;&gt;0,INDEX('Initial Study'!K:K, MATCH(L259, 'Initial Study'!B:B, 0)+1)&lt;&gt;""),INDEX('Initial Study'!K:K, MATCH(L259, 'Initial Study'!B:B, 0)+1),""),"")</f>
        <v/>
      </c>
      <c r="Z259">
        <f>IFERROR(IF(AND(INDEX('Initial Study'!K:K, MATCH(L259, 'Initial Study'!B:B, 0)+2)&lt;&gt;0,INDEX('Initial Study'!K:K, MATCH(L259, 'Initial Study'!B:B, 0)+2)&lt;&gt;"",NOT(ISNUMBER(INDEX('Initial Study'!K:K, MATCH(L259, 'Initial Study'!B:B, 0)+2)))),INDEX('Initial Study'!K:K, MATCH(L259, 'Initial Study'!B:B, 0)+2),"-"),"-")</f>
        <v/>
      </c>
      <c r="AA259">
        <f>IF(S259="RE", Y259 &amp; "BT/" &amp; IF(Z259 &lt;&gt; "-", Z259 &amp; "BT", ""), IF(OR(S259="LTDR", S259="LTSR"), Y259 &amp; "BL" &amp; IF(Z259 &lt;&gt; "-", "/" &amp; Z259 &amp; "BT", ""), IF(OR(S259="RTDR", S259="RTSR"), Y259 &amp; "BR" &amp; IF(Z259 &lt;&gt; "-", "/" &amp; Z259 &amp; "BT", ""), IF(Z259 &lt;&gt; "-", Y259 &amp; "BT/" &amp; Z259 &amp; "BT", Y259 &amp; "BT"))))</f>
        <v/>
      </c>
    </row>
    <row r="260">
      <c r="A260" t="n">
        <v>558</v>
      </c>
      <c r="B260" t="inlineStr">
        <is>
          <t>SR 1001</t>
        </is>
      </c>
      <c r="C260" t="n">
        <v>0.2</v>
      </c>
      <c r="D260" t="inlineStr">
        <is>
          <t>S</t>
        </is>
      </c>
      <c r="E260" t="inlineStr">
        <is>
          <t>SR 1619</t>
        </is>
      </c>
      <c r="F260" t="inlineStr">
        <is>
          <t>SR 1617</t>
        </is>
      </c>
      <c r="G260" t="inlineStr">
        <is>
          <t>SR 1001</t>
        </is>
      </c>
      <c r="H260" t="n">
        <v>3.261</v>
      </c>
      <c r="I260" t="inlineStr">
        <is>
          <t>NIS</t>
        </is>
      </c>
      <c r="L260" t="n">
        <v>105360672</v>
      </c>
      <c r="M260" s="6" t="n">
        <v>43123</v>
      </c>
      <c r="N260" t="n">
        <v>17</v>
      </c>
      <c r="O260" t="n">
        <v>1</v>
      </c>
      <c r="Q260" t="n">
        <v>5</v>
      </c>
      <c r="R260" t="inlineStr">
        <is>
          <t>O</t>
        </is>
      </c>
      <c r="S260">
        <f>IFERROR(VLOOKUP(N260,Index!$A$1:$B$26,2,FALSE),"")</f>
        <v/>
      </c>
      <c r="T260">
        <f>AA260</f>
        <v/>
      </c>
      <c r="V260">
        <f>IFERROR(INDEX(DetailedFiche!Q:Q,MATCH(L260,DetailedFiche!J:J,0)),"")</f>
        <v/>
      </c>
      <c r="W260">
        <f>IFERROR(INDEX(DetailedFiche!R:R,MATCH(L260,DetailedFiche!J:J,0)),"")</f>
        <v/>
      </c>
      <c r="Y260">
        <f>IFERROR(IF(AND(INDEX('Initial Study'!K:K, MATCH(L260, 'Initial Study'!B:B, 0)+1)&lt;&gt;0,INDEX('Initial Study'!K:K, MATCH(L260, 'Initial Study'!B:B, 0)+1)&lt;&gt;""),INDEX('Initial Study'!K:K, MATCH(L260, 'Initial Study'!B:B, 0)+1),""),"")</f>
        <v/>
      </c>
      <c r="Z260">
        <f>IFERROR(IF(AND(INDEX('Initial Study'!K:K, MATCH(L260, 'Initial Study'!B:B, 0)+2)&lt;&gt;0,INDEX('Initial Study'!K:K, MATCH(L260, 'Initial Study'!B:B, 0)+2)&lt;&gt;"",NOT(ISNUMBER(INDEX('Initial Study'!K:K, MATCH(L260, 'Initial Study'!B:B, 0)+2)))),INDEX('Initial Study'!K:K, MATCH(L260, 'Initial Study'!B:B, 0)+2),"-"),"-")</f>
        <v/>
      </c>
      <c r="AA260">
        <f>IF(S260="RE", Y260 &amp; "BT/" &amp; IF(Z260 &lt;&gt; "-", Z260 &amp; "BT", ""), IF(OR(S260="LTDR", S260="LTSR"), Y260 &amp; "BL" &amp; IF(Z260 &lt;&gt; "-", "/" &amp; Z260 &amp; "BT", ""), IF(OR(S260="RTDR", S260="RTSR"), Y260 &amp; "BR" &amp; IF(Z260 &lt;&gt; "-", "/" &amp; Z260 &amp; "BT", ""), IF(Z260 &lt;&gt; "-", Y260 &amp; "BT/" &amp; Z260 &amp; "BT", Y260 &amp; "BT"))))</f>
        <v/>
      </c>
    </row>
    <row r="261">
      <c r="A261" t="n">
        <v>0</v>
      </c>
      <c r="B261" t="inlineStr">
        <is>
          <t>SR 1001</t>
        </is>
      </c>
      <c r="C261" t="n">
        <v>0.2</v>
      </c>
      <c r="D261" t="inlineStr">
        <is>
          <t>S</t>
        </is>
      </c>
      <c r="E261" t="inlineStr">
        <is>
          <t>SR 1619</t>
        </is>
      </c>
      <c r="F261" t="inlineStr">
        <is>
          <t>SR 1615</t>
        </is>
      </c>
      <c r="G261" t="inlineStr">
        <is>
          <t>SR 1001</t>
        </is>
      </c>
      <c r="H261" t="n">
        <v>3.261</v>
      </c>
      <c r="I261" t="inlineStr">
        <is>
          <t>NIS</t>
        </is>
      </c>
      <c r="L261" t="n">
        <v>107272200</v>
      </c>
      <c r="M261" s="6" t="n">
        <v>44999</v>
      </c>
      <c r="N261" t="n">
        <v>17</v>
      </c>
      <c r="O261" t="n">
        <v>1</v>
      </c>
      <c r="P261" t="n">
        <v>0</v>
      </c>
      <c r="Q261" t="n">
        <v>5</v>
      </c>
      <c r="R261" t="inlineStr">
        <is>
          <t>O</t>
        </is>
      </c>
      <c r="S261">
        <f>IFERROR(VLOOKUP(N261,Index!$A$1:$B$26,2,FALSE),"")</f>
        <v/>
      </c>
      <c r="T261">
        <f>AA261</f>
        <v/>
      </c>
      <c r="V261">
        <f>IFERROR(INDEX(DetailedFiche!Q:Q,MATCH(L261,DetailedFiche!J:J,0)),"")</f>
        <v/>
      </c>
      <c r="W261">
        <f>IFERROR(INDEX(DetailedFiche!R:R,MATCH(L261,DetailedFiche!J:J,0)),"")</f>
        <v/>
      </c>
      <c r="Y261">
        <f>IFERROR(IF(AND(INDEX('Initial Study'!K:K, MATCH(L261, 'Initial Study'!B:B, 0)+1)&lt;&gt;0,INDEX('Initial Study'!K:K, MATCH(L261, 'Initial Study'!B:B, 0)+1)&lt;&gt;""),INDEX('Initial Study'!K:K, MATCH(L261, 'Initial Study'!B:B, 0)+1),""),"")</f>
        <v/>
      </c>
      <c r="Z261">
        <f>IFERROR(IF(AND(INDEX('Initial Study'!K:K, MATCH(L261, 'Initial Study'!B:B, 0)+2)&lt;&gt;0,INDEX('Initial Study'!K:K, MATCH(L261, 'Initial Study'!B:B, 0)+2)&lt;&gt;"",NOT(ISNUMBER(INDEX('Initial Study'!K:K, MATCH(L261, 'Initial Study'!B:B, 0)+2)))),INDEX('Initial Study'!K:K, MATCH(L261, 'Initial Study'!B:B, 0)+2),"-"),"-")</f>
        <v/>
      </c>
      <c r="AA261">
        <f>IF(S261="RE", Y261 &amp; "BT/" &amp; IF(Z261 &lt;&gt; "-", Z261 &amp; "BT", ""), IF(OR(S261="LTDR", S261="LTSR"), Y261 &amp; "BL" &amp; IF(Z261 &lt;&gt; "-", "/" &amp; Z261 &amp; "BT", ""), IF(OR(S261="RTDR", S261="RTSR"), Y261 &amp; "BR" &amp; IF(Z261 &lt;&gt; "-", "/" &amp; Z261 &amp; "BT", ""), IF(Z261 &lt;&gt; "-", Y261 &amp; "BT/" &amp; Z261 &amp; "BT", Y261 &amp; "BT"))))</f>
        <v/>
      </c>
    </row>
    <row r="262">
      <c r="A262" t="n">
        <v>0</v>
      </c>
      <c r="B262" t="inlineStr">
        <is>
          <t>SR 1001</t>
        </is>
      </c>
      <c r="C262" t="n">
        <v>0.4</v>
      </c>
      <c r="D262" t="inlineStr">
        <is>
          <t>N</t>
        </is>
      </c>
      <c r="E262" t="inlineStr">
        <is>
          <t>SR 1615</t>
        </is>
      </c>
      <c r="F262" t="inlineStr">
        <is>
          <t>SR 1617</t>
        </is>
      </c>
      <c r="G262" t="inlineStr">
        <is>
          <t>SR 1001</t>
        </is>
      </c>
      <c r="H262" t="n">
        <v>3.271</v>
      </c>
      <c r="I262" t="inlineStr">
        <is>
          <t>NIS</t>
        </is>
      </c>
      <c r="L262" t="n">
        <v>105781091</v>
      </c>
      <c r="M262" s="6" t="n">
        <v>43517</v>
      </c>
      <c r="N262" t="n">
        <v>19</v>
      </c>
      <c r="O262" t="n">
        <v>2</v>
      </c>
      <c r="P262" t="n">
        <v>0</v>
      </c>
      <c r="Q262" t="n">
        <v>1</v>
      </c>
      <c r="R262" t="inlineStr">
        <is>
          <t>O</t>
        </is>
      </c>
      <c r="S262">
        <f>IFERROR(VLOOKUP(N262,Index!$A$1:$B$26,2,FALSE),"")</f>
        <v/>
      </c>
      <c r="T262">
        <f>AA262</f>
        <v/>
      </c>
      <c r="V262">
        <f>IFERROR(INDEX(DetailedFiche!Q:Q,MATCH(L262,DetailedFiche!J:J,0)),"")</f>
        <v/>
      </c>
      <c r="W262">
        <f>IFERROR(INDEX(DetailedFiche!R:R,MATCH(L262,DetailedFiche!J:J,0)),"")</f>
        <v/>
      </c>
      <c r="Y262">
        <f>IFERROR(IF(AND(INDEX('Initial Study'!K:K, MATCH(L262, 'Initial Study'!B:B, 0)+1)&lt;&gt;0,INDEX('Initial Study'!K:K, MATCH(L262, 'Initial Study'!B:B, 0)+1)&lt;&gt;""),INDEX('Initial Study'!K:K, MATCH(L262, 'Initial Study'!B:B, 0)+1),""),"")</f>
        <v/>
      </c>
      <c r="Z262">
        <f>IFERROR(IF(AND(INDEX('Initial Study'!K:K, MATCH(L262, 'Initial Study'!B:B, 0)+2)&lt;&gt;0,INDEX('Initial Study'!K:K, MATCH(L262, 'Initial Study'!B:B, 0)+2)&lt;&gt;"",NOT(ISNUMBER(INDEX('Initial Study'!K:K, MATCH(L262, 'Initial Study'!B:B, 0)+2)))),INDEX('Initial Study'!K:K, MATCH(L262, 'Initial Study'!B:B, 0)+2),"-"),"-")</f>
        <v/>
      </c>
      <c r="AA262">
        <f>IF(S262="RE", Y262 &amp; "BT/" &amp; IF(Z262 &lt;&gt; "-", Z262 &amp; "BT", ""), IF(OR(S262="LTDR", S262="LTSR"), Y262 &amp; "BL" &amp; IF(Z262 &lt;&gt; "-", "/" &amp; Z262 &amp; "BT", ""), IF(OR(S262="RTDR", S262="RTSR"), Y262 &amp; "BR" &amp; IF(Z262 &lt;&gt; "-", "/" &amp; Z262 &amp; "BT", ""), IF(Z262 &lt;&gt; "-", Y262 &amp; "BT/" &amp; Z262 &amp; "BT", Y262 &amp; "BT"))))</f>
        <v/>
      </c>
    </row>
    <row r="263">
      <c r="A263" t="n">
        <v>558</v>
      </c>
      <c r="B263" t="inlineStr">
        <is>
          <t>SR 1001</t>
        </is>
      </c>
      <c r="C263" t="n">
        <v>0.19</v>
      </c>
      <c r="D263" t="inlineStr">
        <is>
          <t>S</t>
        </is>
      </c>
      <c r="E263" t="inlineStr">
        <is>
          <t>SR 1617</t>
        </is>
      </c>
      <c r="F263" t="inlineStr">
        <is>
          <t>SR 1615</t>
        </is>
      </c>
      <c r="G263" t="inlineStr">
        <is>
          <t>SR 1001</t>
        </is>
      </c>
      <c r="H263" t="n">
        <v>3.271</v>
      </c>
      <c r="I263" t="inlineStr">
        <is>
          <t>NIS</t>
        </is>
      </c>
      <c r="L263" t="n">
        <v>105178491</v>
      </c>
      <c r="M263" s="6" t="n">
        <v>42948</v>
      </c>
      <c r="N263" t="n">
        <v>18</v>
      </c>
      <c r="O263" t="n">
        <v>1</v>
      </c>
      <c r="P263" t="n">
        <v>0</v>
      </c>
      <c r="Q263" t="n">
        <v>1</v>
      </c>
      <c r="R263" t="inlineStr">
        <is>
          <t>B</t>
        </is>
      </c>
      <c r="S263">
        <f>IFERROR(VLOOKUP(N263,Index!$A$1:$B$26,2,FALSE),"")</f>
        <v/>
      </c>
      <c r="T263">
        <f>AA263</f>
        <v/>
      </c>
      <c r="V263">
        <f>IFERROR(INDEX(DetailedFiche!Q:Q,MATCH(L263,DetailedFiche!J:J,0)),"")</f>
        <v/>
      </c>
      <c r="W263">
        <f>IFERROR(INDEX(DetailedFiche!R:R,MATCH(L263,DetailedFiche!J:J,0)),"")</f>
        <v/>
      </c>
      <c r="Y263">
        <f>IFERROR(IF(AND(INDEX('Initial Study'!K:K, MATCH(L263, 'Initial Study'!B:B, 0)+1)&lt;&gt;0,INDEX('Initial Study'!K:K, MATCH(L263, 'Initial Study'!B:B, 0)+1)&lt;&gt;""),INDEX('Initial Study'!K:K, MATCH(L263, 'Initial Study'!B:B, 0)+1),""),"")</f>
        <v/>
      </c>
      <c r="Z263">
        <f>IFERROR(IF(AND(INDEX('Initial Study'!K:K, MATCH(L263, 'Initial Study'!B:B, 0)+2)&lt;&gt;0,INDEX('Initial Study'!K:K, MATCH(L263, 'Initial Study'!B:B, 0)+2)&lt;&gt;"",NOT(ISNUMBER(INDEX('Initial Study'!K:K, MATCH(L263, 'Initial Study'!B:B, 0)+2)))),INDEX('Initial Study'!K:K, MATCH(L263, 'Initial Study'!B:B, 0)+2),"-"),"-")</f>
        <v/>
      </c>
      <c r="AA263">
        <f>IF(S263="RE", Y263 &amp; "BT/" &amp; IF(Z263 &lt;&gt; "-", Z263 &amp; "BT", ""), IF(OR(S263="LTDR", S263="LTSR"), Y263 &amp; "BL" &amp; IF(Z263 &lt;&gt; "-", "/" &amp; Z263 &amp; "BT", ""), IF(OR(S263="RTDR", S263="RTSR"), Y263 &amp; "BR" &amp; IF(Z263 &lt;&gt; "-", "/" &amp; Z263 &amp; "BT", ""), IF(Z263 &lt;&gt; "-", Y263 &amp; "BT/" &amp; Z263 &amp; "BT", Y263 &amp; "BT"))))</f>
        <v/>
      </c>
    </row>
    <row r="264">
      <c r="A264" t="n">
        <v>558</v>
      </c>
      <c r="B264" t="inlineStr">
        <is>
          <t>SIKES MILL</t>
        </is>
      </c>
      <c r="C264" t="n">
        <v>0.19</v>
      </c>
      <c r="D264" t="inlineStr">
        <is>
          <t>S</t>
        </is>
      </c>
      <c r="E264" t="inlineStr">
        <is>
          <t>TOM BOYD</t>
        </is>
      </c>
      <c r="F264" t="inlineStr">
        <is>
          <t>UNIONVILLE</t>
        </is>
      </c>
      <c r="G264" t="inlineStr">
        <is>
          <t>SR 1001</t>
        </is>
      </c>
      <c r="H264" t="n">
        <v>3.271</v>
      </c>
      <c r="I264" t="inlineStr">
        <is>
          <t>NIS</t>
        </is>
      </c>
      <c r="L264" t="n">
        <v>107653449</v>
      </c>
      <c r="M264" s="6" t="n">
        <v>45364</v>
      </c>
      <c r="N264" t="n">
        <v>29</v>
      </c>
      <c r="O264" t="n">
        <v>1</v>
      </c>
      <c r="P264" t="n">
        <v>0</v>
      </c>
      <c r="Q264" t="n">
        <v>1</v>
      </c>
      <c r="R264" t="inlineStr">
        <is>
          <t>O</t>
        </is>
      </c>
      <c r="S264">
        <f>IFERROR(VLOOKUP(N264,Index!$A$1:$B$26,2,FALSE),"")</f>
        <v/>
      </c>
      <c r="T264">
        <f>AA264</f>
        <v/>
      </c>
      <c r="V264">
        <f>IFERROR(INDEX(DetailedFiche!Q:Q,MATCH(L264,DetailedFiche!J:J,0)),"")</f>
        <v/>
      </c>
      <c r="W264">
        <f>IFERROR(INDEX(DetailedFiche!R:R,MATCH(L264,DetailedFiche!J:J,0)),"")</f>
        <v/>
      </c>
      <c r="Y264">
        <f>IFERROR(IF(AND(INDEX('Initial Study'!K:K, MATCH(L264, 'Initial Study'!B:B, 0)+1)&lt;&gt;0,INDEX('Initial Study'!K:K, MATCH(L264, 'Initial Study'!B:B, 0)+1)&lt;&gt;""),INDEX('Initial Study'!K:K, MATCH(L264, 'Initial Study'!B:B, 0)+1),""),"")</f>
        <v/>
      </c>
      <c r="Z264">
        <f>IFERROR(IF(AND(INDEX('Initial Study'!K:K, MATCH(L264, 'Initial Study'!B:B, 0)+2)&lt;&gt;0,INDEX('Initial Study'!K:K, MATCH(L264, 'Initial Study'!B:B, 0)+2)&lt;&gt;"",NOT(ISNUMBER(INDEX('Initial Study'!K:K, MATCH(L264, 'Initial Study'!B:B, 0)+2)))),INDEX('Initial Study'!K:K, MATCH(L264, 'Initial Study'!B:B, 0)+2),"-"),"-")</f>
        <v/>
      </c>
      <c r="AA264">
        <f>IF(S264="RE", Y264 &amp; "BT/" &amp; IF(Z264 &lt;&gt; "-", Z264 &amp; "BT", ""), IF(OR(S264="LTDR", S264="LTSR"), Y264 &amp; "BL" &amp; IF(Z264 &lt;&gt; "-", "/" &amp; Z264 &amp; "BT", ""), IF(OR(S264="RTDR", S264="RTSR"), Y264 &amp; "BR" &amp; IF(Z264 &lt;&gt; "-", "/" &amp; Z264 &amp; "BT", ""), IF(Z264 &lt;&gt; "-", Y264 &amp; "BT/" &amp; Z264 &amp; "BT", Y264 &amp; "BT"))))</f>
        <v/>
      </c>
    </row>
    <row r="265">
      <c r="A265" t="n">
        <v>558</v>
      </c>
      <c r="B265" t="inlineStr">
        <is>
          <t>SIKES MILL</t>
        </is>
      </c>
      <c r="C265" t="n">
        <v>0.19</v>
      </c>
      <c r="D265" t="inlineStr">
        <is>
          <t>S</t>
        </is>
      </c>
      <c r="E265" t="inlineStr">
        <is>
          <t>TOM BOYD</t>
        </is>
      </c>
      <c r="F265" t="inlineStr">
        <is>
          <t>SIKES MILL</t>
        </is>
      </c>
      <c r="G265" t="inlineStr">
        <is>
          <t>SR 1001</t>
        </is>
      </c>
      <c r="H265" t="n">
        <v>3.271</v>
      </c>
      <c r="I265" t="inlineStr">
        <is>
          <t>NIS</t>
        </is>
      </c>
      <c r="L265" t="n">
        <v>104712202</v>
      </c>
      <c r="M265" s="6" t="n">
        <v>42483</v>
      </c>
      <c r="N265" t="n">
        <v>19</v>
      </c>
      <c r="O265" t="n">
        <v>2</v>
      </c>
      <c r="P265" t="n">
        <v>0</v>
      </c>
      <c r="Q265" t="n">
        <v>5</v>
      </c>
      <c r="R265" t="inlineStr">
        <is>
          <t>O</t>
        </is>
      </c>
      <c r="S265">
        <f>IFERROR(VLOOKUP(N265,Index!$A$1:$B$26,2,FALSE),"")</f>
        <v/>
      </c>
      <c r="T265">
        <f>AA265</f>
        <v/>
      </c>
      <c r="V265">
        <f>IFERROR(INDEX(DetailedFiche!Q:Q,MATCH(L265,DetailedFiche!J:J,0)),"")</f>
        <v/>
      </c>
      <c r="W265">
        <f>IFERROR(INDEX(DetailedFiche!R:R,MATCH(L265,DetailedFiche!J:J,0)),"")</f>
        <v/>
      </c>
      <c r="Y265">
        <f>IFERROR(IF(AND(INDEX('Initial Study'!K:K, MATCH(L265, 'Initial Study'!B:B, 0)+1)&lt;&gt;0,INDEX('Initial Study'!K:K, MATCH(L265, 'Initial Study'!B:B, 0)+1)&lt;&gt;""),INDEX('Initial Study'!K:K, MATCH(L265, 'Initial Study'!B:B, 0)+1),""),"")</f>
        <v/>
      </c>
      <c r="Z265">
        <f>IFERROR(IF(AND(INDEX('Initial Study'!K:K, MATCH(L265, 'Initial Study'!B:B, 0)+2)&lt;&gt;0,INDEX('Initial Study'!K:K, MATCH(L265, 'Initial Study'!B:B, 0)+2)&lt;&gt;"",NOT(ISNUMBER(INDEX('Initial Study'!K:K, MATCH(L265, 'Initial Study'!B:B, 0)+2)))),INDEX('Initial Study'!K:K, MATCH(L265, 'Initial Study'!B:B, 0)+2),"-"),"-")</f>
        <v/>
      </c>
      <c r="AA265">
        <f>IF(S265="RE", Y265 &amp; "BT/" &amp; IF(Z265 &lt;&gt; "-", Z265 &amp; "BT", ""), IF(OR(S265="LTDR", S265="LTSR"), Y265 &amp; "BL" &amp; IF(Z265 &lt;&gt; "-", "/" &amp; Z265 &amp; "BT", ""), IF(OR(S265="RTDR", S265="RTSR"), Y265 &amp; "BR" &amp; IF(Z265 &lt;&gt; "-", "/" &amp; Z265 &amp; "BT", ""), IF(Z265 &lt;&gt; "-", Y265 &amp; "BT/" &amp; Z265 &amp; "BT", Y265 &amp; "BT"))))</f>
        <v/>
      </c>
    </row>
    <row r="266">
      <c r="A266" t="n">
        <v>558</v>
      </c>
      <c r="B266" t="inlineStr">
        <is>
          <t>SIKES MILL</t>
        </is>
      </c>
      <c r="C266" t="n">
        <v>0.18</v>
      </c>
      <c r="D266" t="inlineStr">
        <is>
          <t>S</t>
        </is>
      </c>
      <c r="E266" t="inlineStr">
        <is>
          <t>TOM BOYD</t>
        </is>
      </c>
      <c r="F266" t="inlineStr">
        <is>
          <t>UNIONVILLE</t>
        </is>
      </c>
      <c r="G266" t="inlineStr">
        <is>
          <t>SR 1001</t>
        </is>
      </c>
      <c r="H266" t="n">
        <v>3.281</v>
      </c>
      <c r="I266" t="inlineStr">
        <is>
          <t>NIS</t>
        </is>
      </c>
      <c r="L266" t="n">
        <v>107631164</v>
      </c>
      <c r="M266" s="6" t="n">
        <v>45344</v>
      </c>
      <c r="N266" t="n">
        <v>17</v>
      </c>
      <c r="O266" t="n">
        <v>1</v>
      </c>
      <c r="P266" t="n">
        <v>0</v>
      </c>
      <c r="Q266" t="n">
        <v>3</v>
      </c>
      <c r="R266" t="inlineStr">
        <is>
          <t>O</t>
        </is>
      </c>
      <c r="S266">
        <f>IFERROR(VLOOKUP(N266,Index!$A$1:$B$26,2,FALSE),"")</f>
        <v/>
      </c>
      <c r="T266">
        <f>AA266</f>
        <v/>
      </c>
      <c r="V266">
        <f>IFERROR(INDEX(DetailedFiche!Q:Q,MATCH(L266,DetailedFiche!J:J,0)),"")</f>
        <v/>
      </c>
      <c r="W266">
        <f>IFERROR(INDEX(DetailedFiche!R:R,MATCH(L266,DetailedFiche!J:J,0)),"")</f>
        <v/>
      </c>
      <c r="Y266">
        <f>IFERROR(IF(AND(INDEX('Initial Study'!K:K, MATCH(L266, 'Initial Study'!B:B, 0)+1)&lt;&gt;0,INDEX('Initial Study'!K:K, MATCH(L266, 'Initial Study'!B:B, 0)+1)&lt;&gt;""),INDEX('Initial Study'!K:K, MATCH(L266, 'Initial Study'!B:B, 0)+1),""),"")</f>
        <v/>
      </c>
      <c r="Z266">
        <f>IFERROR(IF(AND(INDEX('Initial Study'!K:K, MATCH(L266, 'Initial Study'!B:B, 0)+2)&lt;&gt;0,INDEX('Initial Study'!K:K, MATCH(L266, 'Initial Study'!B:B, 0)+2)&lt;&gt;"",NOT(ISNUMBER(INDEX('Initial Study'!K:K, MATCH(L266, 'Initial Study'!B:B, 0)+2)))),INDEX('Initial Study'!K:K, MATCH(L266, 'Initial Study'!B:B, 0)+2),"-"),"-")</f>
        <v/>
      </c>
      <c r="AA266">
        <f>IF(S266="RE", Y266 &amp; "BT/" &amp; IF(Z266 &lt;&gt; "-", Z266 &amp; "BT", ""), IF(OR(S266="LTDR", S266="LTSR"), Y266 &amp; "BL" &amp; IF(Z266 &lt;&gt; "-", "/" &amp; Z266 &amp; "BT", ""), IF(OR(S266="RTDR", S266="RTSR"), Y266 &amp; "BR" &amp; IF(Z266 &lt;&gt; "-", "/" &amp; Z266 &amp; "BT", ""), IF(Z266 &lt;&gt; "-", Y266 &amp; "BT/" &amp; Z266 &amp; "BT", Y266 &amp; "BT"))))</f>
        <v/>
      </c>
    </row>
    <row r="267">
      <c r="A267" t="n">
        <v>558</v>
      </c>
      <c r="B267" t="inlineStr">
        <is>
          <t>SR 1001</t>
        </is>
      </c>
      <c r="C267" t="n">
        <v>0.1</v>
      </c>
      <c r="D267" t="inlineStr">
        <is>
          <t>S</t>
        </is>
      </c>
      <c r="E267" t="inlineStr">
        <is>
          <t>SR 1617</t>
        </is>
      </c>
      <c r="F267" t="inlineStr">
        <is>
          <t>SR 1615</t>
        </is>
      </c>
      <c r="G267" t="inlineStr">
        <is>
          <t>SR 1001</t>
        </is>
      </c>
      <c r="H267" t="n">
        <v>3.361</v>
      </c>
      <c r="I267" t="inlineStr">
        <is>
          <t>NIS</t>
        </is>
      </c>
      <c r="L267" t="n">
        <v>105324665</v>
      </c>
      <c r="M267" s="6" t="n">
        <v>43082</v>
      </c>
      <c r="N267" t="n">
        <v>17</v>
      </c>
      <c r="O267" t="n">
        <v>1</v>
      </c>
      <c r="P267" t="n">
        <v>0</v>
      </c>
      <c r="Q267" t="n">
        <v>5</v>
      </c>
      <c r="R267" t="inlineStr">
        <is>
          <t>O</t>
        </is>
      </c>
      <c r="S267">
        <f>IFERROR(VLOOKUP(N267,Index!$A$1:$B$26,2,FALSE),"")</f>
        <v/>
      </c>
      <c r="T267">
        <f>AA267</f>
        <v/>
      </c>
      <c r="V267">
        <f>IFERROR(INDEX(DetailedFiche!Q:Q,MATCH(L267,DetailedFiche!J:J,0)),"")</f>
        <v/>
      </c>
      <c r="W267">
        <f>IFERROR(INDEX(DetailedFiche!R:R,MATCH(L267,DetailedFiche!J:J,0)),"")</f>
        <v/>
      </c>
      <c r="Y267">
        <f>IFERROR(IF(AND(INDEX('Initial Study'!K:K, MATCH(L267, 'Initial Study'!B:B, 0)+1)&lt;&gt;0,INDEX('Initial Study'!K:K, MATCH(L267, 'Initial Study'!B:B, 0)+1)&lt;&gt;""),INDEX('Initial Study'!K:K, MATCH(L267, 'Initial Study'!B:B, 0)+1),""),"")</f>
        <v/>
      </c>
      <c r="Z267">
        <f>IFERROR(IF(AND(INDEX('Initial Study'!K:K, MATCH(L267, 'Initial Study'!B:B, 0)+2)&lt;&gt;0,INDEX('Initial Study'!K:K, MATCH(L267, 'Initial Study'!B:B, 0)+2)&lt;&gt;"",NOT(ISNUMBER(INDEX('Initial Study'!K:K, MATCH(L267, 'Initial Study'!B:B, 0)+2)))),INDEX('Initial Study'!K:K, MATCH(L267, 'Initial Study'!B:B, 0)+2),"-"),"-")</f>
        <v/>
      </c>
      <c r="AA267">
        <f>IF(S267="RE", Y267 &amp; "BT/" &amp; IF(Z267 &lt;&gt; "-", Z267 &amp; "BT", ""), IF(OR(S267="LTDR", S267="LTSR"), Y267 &amp; "BL" &amp; IF(Z267 &lt;&gt; "-", "/" &amp; Z267 &amp; "BT", ""), IF(OR(S267="RTDR", S267="RTSR"), Y267 &amp; "BR" &amp; IF(Z267 &lt;&gt; "-", "/" &amp; Z267 &amp; "BT", ""), IF(Z267 &lt;&gt; "-", Y267 &amp; "BT/" &amp; Z267 &amp; "BT", Y267 &amp; "BT"))))</f>
        <v/>
      </c>
    </row>
    <row r="268">
      <c r="A268" t="n">
        <v>558</v>
      </c>
      <c r="B268" t="inlineStr">
        <is>
          <t>SR 1001</t>
        </is>
      </c>
      <c r="C268" t="n">
        <v>0.1</v>
      </c>
      <c r="D268" t="inlineStr">
        <is>
          <t>S</t>
        </is>
      </c>
      <c r="E268" t="inlineStr">
        <is>
          <t>SR 1619</t>
        </is>
      </c>
      <c r="F268" t="inlineStr">
        <is>
          <t>SR 1615</t>
        </is>
      </c>
      <c r="G268" t="inlineStr">
        <is>
          <t>SR 1001</t>
        </is>
      </c>
      <c r="H268" t="n">
        <v>3.361</v>
      </c>
      <c r="I268" t="inlineStr">
        <is>
          <t>NIS</t>
        </is>
      </c>
      <c r="L268" t="n">
        <v>104793661</v>
      </c>
      <c r="M268" s="6" t="n">
        <v>42563</v>
      </c>
      <c r="N268" t="n">
        <v>19</v>
      </c>
      <c r="O268" t="n">
        <v>1</v>
      </c>
      <c r="P268" t="n">
        <v>0</v>
      </c>
      <c r="Q268" t="n">
        <v>1</v>
      </c>
      <c r="R268" t="inlineStr">
        <is>
          <t>B</t>
        </is>
      </c>
      <c r="S268">
        <f>IFERROR(VLOOKUP(N268,Index!$A$1:$B$26,2,FALSE),"")</f>
        <v/>
      </c>
      <c r="T268">
        <f>AA268</f>
        <v/>
      </c>
      <c r="V268">
        <f>IFERROR(INDEX(DetailedFiche!Q:Q,MATCH(L268,DetailedFiche!J:J,0)),"")</f>
        <v/>
      </c>
      <c r="W268">
        <f>IFERROR(INDEX(DetailedFiche!R:R,MATCH(L268,DetailedFiche!J:J,0)),"")</f>
        <v/>
      </c>
      <c r="Y268">
        <f>IFERROR(IF(AND(INDEX('Initial Study'!K:K, MATCH(L268, 'Initial Study'!B:B, 0)+1)&lt;&gt;0,INDEX('Initial Study'!K:K, MATCH(L268, 'Initial Study'!B:B, 0)+1)&lt;&gt;""),INDEX('Initial Study'!K:K, MATCH(L268, 'Initial Study'!B:B, 0)+1),""),"")</f>
        <v/>
      </c>
      <c r="Z268">
        <f>IFERROR(IF(AND(INDEX('Initial Study'!K:K, MATCH(L268, 'Initial Study'!B:B, 0)+2)&lt;&gt;0,INDEX('Initial Study'!K:K, MATCH(L268, 'Initial Study'!B:B, 0)+2)&lt;&gt;"",NOT(ISNUMBER(INDEX('Initial Study'!K:K, MATCH(L268, 'Initial Study'!B:B, 0)+2)))),INDEX('Initial Study'!K:K, MATCH(L268, 'Initial Study'!B:B, 0)+2),"-"),"-")</f>
        <v/>
      </c>
      <c r="AA268">
        <f>IF(S268="RE", Y268 &amp; "BT/" &amp; IF(Z268 &lt;&gt; "-", Z268 &amp; "BT", ""), IF(OR(S268="LTDR", S268="LTSR"), Y268 &amp; "BL" &amp; IF(Z268 &lt;&gt; "-", "/" &amp; Z268 &amp; "BT", ""), IF(OR(S268="RTDR", S268="RTSR"), Y268 &amp; "BR" &amp; IF(Z268 &lt;&gt; "-", "/" &amp; Z268 &amp; "BT", ""), IF(Z268 &lt;&gt; "-", Y268 &amp; "BT/" &amp; Z268 &amp; "BT", Y268 &amp; "BT"))))</f>
        <v/>
      </c>
    </row>
    <row r="269">
      <c r="A269" t="n">
        <v>0</v>
      </c>
      <c r="B269" t="inlineStr">
        <is>
          <t>SR 1001</t>
        </is>
      </c>
      <c r="C269" t="n">
        <v>0.5</v>
      </c>
      <c r="D269" t="inlineStr">
        <is>
          <t>E</t>
        </is>
      </c>
      <c r="E269" t="inlineStr">
        <is>
          <t>SR 1615</t>
        </is>
      </c>
      <c r="F269" t="inlineStr">
        <is>
          <t>SR 1611</t>
        </is>
      </c>
      <c r="G269" t="inlineStr">
        <is>
          <t>SR 1001</t>
        </is>
      </c>
      <c r="H269" t="n">
        <v>3.371</v>
      </c>
      <c r="I269" t="inlineStr">
        <is>
          <t>NIS</t>
        </is>
      </c>
      <c r="L269" t="n">
        <v>107210295</v>
      </c>
      <c r="M269" s="6" t="n">
        <v>44935</v>
      </c>
      <c r="N269" t="n">
        <v>17</v>
      </c>
      <c r="O269" t="n">
        <v>1</v>
      </c>
      <c r="P269" t="n">
        <v>0</v>
      </c>
      <c r="Q269" t="n">
        <v>1</v>
      </c>
      <c r="R269" t="inlineStr">
        <is>
          <t>O</t>
        </is>
      </c>
      <c r="S269">
        <f>IFERROR(VLOOKUP(N269,Index!$A$1:$B$26,2,FALSE),"")</f>
        <v/>
      </c>
      <c r="T269">
        <f>AA269</f>
        <v/>
      </c>
      <c r="V269">
        <f>IFERROR(INDEX(DetailedFiche!Q:Q,MATCH(L269,DetailedFiche!J:J,0)),"")</f>
        <v/>
      </c>
      <c r="W269">
        <f>IFERROR(INDEX(DetailedFiche!R:R,MATCH(L269,DetailedFiche!J:J,0)),"")</f>
        <v/>
      </c>
      <c r="Y269">
        <f>IFERROR(IF(AND(INDEX('Initial Study'!K:K, MATCH(L269, 'Initial Study'!B:B, 0)+1)&lt;&gt;0,INDEX('Initial Study'!K:K, MATCH(L269, 'Initial Study'!B:B, 0)+1)&lt;&gt;""),INDEX('Initial Study'!K:K, MATCH(L269, 'Initial Study'!B:B, 0)+1),""),"")</f>
        <v/>
      </c>
      <c r="Z269">
        <f>IFERROR(IF(AND(INDEX('Initial Study'!K:K, MATCH(L269, 'Initial Study'!B:B, 0)+2)&lt;&gt;0,INDEX('Initial Study'!K:K, MATCH(L269, 'Initial Study'!B:B, 0)+2)&lt;&gt;"",NOT(ISNUMBER(INDEX('Initial Study'!K:K, MATCH(L269, 'Initial Study'!B:B, 0)+2)))),INDEX('Initial Study'!K:K, MATCH(L269, 'Initial Study'!B:B, 0)+2),"-"),"-")</f>
        <v/>
      </c>
      <c r="AA269">
        <f>IF(S269="RE", Y269 &amp; "BT/" &amp; IF(Z269 &lt;&gt; "-", Z269 &amp; "BT", ""), IF(OR(S269="LTDR", S269="LTSR"), Y269 &amp; "BL" &amp; IF(Z269 &lt;&gt; "-", "/" &amp; Z269 &amp; "BT", ""), IF(OR(S269="RTDR", S269="RTSR"), Y269 &amp; "BR" &amp; IF(Z269 &lt;&gt; "-", "/" &amp; Z269 &amp; "BT", ""), IF(Z269 &lt;&gt; "-", Y269 &amp; "BT/" &amp; Z269 &amp; "BT", Y269 &amp; "BT"))))</f>
        <v/>
      </c>
    </row>
    <row r="270">
      <c r="A270" t="n">
        <v>558</v>
      </c>
      <c r="B270" t="inlineStr">
        <is>
          <t>SR 1001</t>
        </is>
      </c>
      <c r="C270" t="n">
        <v>0.5</v>
      </c>
      <c r="D270" t="inlineStr">
        <is>
          <t>E</t>
        </is>
      </c>
      <c r="E270" t="inlineStr">
        <is>
          <t>SR 1615</t>
        </is>
      </c>
      <c r="F270" t="inlineStr">
        <is>
          <t>SR 1617</t>
        </is>
      </c>
      <c r="G270" t="inlineStr">
        <is>
          <t>SR 1001</t>
        </is>
      </c>
      <c r="H270" t="n">
        <v>3.371</v>
      </c>
      <c r="I270" t="inlineStr">
        <is>
          <t>NIS</t>
        </is>
      </c>
      <c r="L270" t="n">
        <v>107011153</v>
      </c>
      <c r="M270" s="6" t="n">
        <v>44749</v>
      </c>
      <c r="N270" t="n">
        <v>19</v>
      </c>
      <c r="O270" t="n">
        <v>1</v>
      </c>
      <c r="P270" t="n">
        <v>0</v>
      </c>
      <c r="Q270" t="n">
        <v>1</v>
      </c>
      <c r="R270" t="inlineStr">
        <is>
          <t>O</t>
        </is>
      </c>
      <c r="S270">
        <f>IFERROR(VLOOKUP(N270,Index!$A$1:$B$26,2,FALSE),"")</f>
        <v/>
      </c>
      <c r="T270">
        <f>AA270</f>
        <v/>
      </c>
      <c r="V270">
        <f>IFERROR(INDEX(DetailedFiche!Q:Q,MATCH(L270,DetailedFiche!J:J,0)),"")</f>
        <v/>
      </c>
      <c r="W270">
        <f>IFERROR(INDEX(DetailedFiche!R:R,MATCH(L270,DetailedFiche!J:J,0)),"")</f>
        <v/>
      </c>
      <c r="Y270">
        <f>IFERROR(IF(AND(INDEX('Initial Study'!K:K, MATCH(L270, 'Initial Study'!B:B, 0)+1)&lt;&gt;0,INDEX('Initial Study'!K:K, MATCH(L270, 'Initial Study'!B:B, 0)+1)&lt;&gt;""),INDEX('Initial Study'!K:K, MATCH(L270, 'Initial Study'!B:B, 0)+1),""),"")</f>
        <v/>
      </c>
      <c r="Z270">
        <f>IFERROR(IF(AND(INDEX('Initial Study'!K:K, MATCH(L270, 'Initial Study'!B:B, 0)+2)&lt;&gt;0,INDEX('Initial Study'!K:K, MATCH(L270, 'Initial Study'!B:B, 0)+2)&lt;&gt;"",NOT(ISNUMBER(INDEX('Initial Study'!K:K, MATCH(L270, 'Initial Study'!B:B, 0)+2)))),INDEX('Initial Study'!K:K, MATCH(L270, 'Initial Study'!B:B, 0)+2),"-"),"-")</f>
        <v/>
      </c>
      <c r="AA270">
        <f>IF(S270="RE", Y270 &amp; "BT/" &amp; IF(Z270 &lt;&gt; "-", Z270 &amp; "BT", ""), IF(OR(S270="LTDR", S270="LTSR"), Y270 &amp; "BL" &amp; IF(Z270 &lt;&gt; "-", "/" &amp; Z270 &amp; "BT", ""), IF(OR(S270="RTDR", S270="RTSR"), Y270 &amp; "BR" &amp; IF(Z270 &lt;&gt; "-", "/" &amp; Z270 &amp; "BT", ""), IF(Z270 &lt;&gt; "-", Y270 &amp; "BT/" &amp; Z270 &amp; "BT", Y270 &amp; "BT"))))</f>
        <v/>
      </c>
    </row>
    <row r="271">
      <c r="A271" t="n">
        <v>0</v>
      </c>
      <c r="B271" t="inlineStr">
        <is>
          <t>SR 1001</t>
        </is>
      </c>
      <c r="C271" t="n">
        <v>0.7</v>
      </c>
      <c r="D271" t="inlineStr">
        <is>
          <t>S</t>
        </is>
      </c>
      <c r="E271" t="inlineStr">
        <is>
          <t>SR 1606</t>
        </is>
      </c>
      <c r="F271" t="inlineStr">
        <is>
          <t>SR 1640</t>
        </is>
      </c>
      <c r="G271" t="inlineStr">
        <is>
          <t>SR 1001</t>
        </is>
      </c>
      <c r="H271" t="n">
        <v>3.394</v>
      </c>
      <c r="I271" t="inlineStr">
        <is>
          <t>NIS</t>
        </is>
      </c>
      <c r="L271" t="n">
        <v>106325966</v>
      </c>
      <c r="M271" s="6" t="n">
        <v>44062</v>
      </c>
      <c r="N271" t="n">
        <v>29</v>
      </c>
      <c r="O271" t="n">
        <v>1</v>
      </c>
      <c r="P271" t="n">
        <v>2</v>
      </c>
      <c r="Q271" t="n">
        <v>1</v>
      </c>
      <c r="R271" t="inlineStr">
        <is>
          <t>O</t>
        </is>
      </c>
      <c r="S271">
        <f>IFERROR(VLOOKUP(N271,Index!$A$1:$B$26,2,FALSE),"")</f>
        <v/>
      </c>
      <c r="T271">
        <f>AA271</f>
        <v/>
      </c>
      <c r="V271">
        <f>IFERROR(INDEX(DetailedFiche!Q:Q,MATCH(L271,DetailedFiche!J:J,0)),"")</f>
        <v/>
      </c>
      <c r="W271">
        <f>IFERROR(INDEX(DetailedFiche!R:R,MATCH(L271,DetailedFiche!J:J,0)),"")</f>
        <v/>
      </c>
      <c r="Y271">
        <f>IFERROR(IF(AND(INDEX('Initial Study'!K:K, MATCH(L271, 'Initial Study'!B:B, 0)+1)&lt;&gt;0,INDEX('Initial Study'!K:K, MATCH(L271, 'Initial Study'!B:B, 0)+1)&lt;&gt;""),INDEX('Initial Study'!K:K, MATCH(L271, 'Initial Study'!B:B, 0)+1),""),"")</f>
        <v/>
      </c>
      <c r="Z271">
        <f>IFERROR(IF(AND(INDEX('Initial Study'!K:K, MATCH(L271, 'Initial Study'!B:B, 0)+2)&lt;&gt;0,INDEX('Initial Study'!K:K, MATCH(L271, 'Initial Study'!B:B, 0)+2)&lt;&gt;"",NOT(ISNUMBER(INDEX('Initial Study'!K:K, MATCH(L271, 'Initial Study'!B:B, 0)+2)))),INDEX('Initial Study'!K:K, MATCH(L271, 'Initial Study'!B:B, 0)+2),"-"),"-")</f>
        <v/>
      </c>
      <c r="AA271">
        <f>IF(S271="RE", Y271 &amp; "BT/" &amp; IF(Z271 &lt;&gt; "-", Z271 &amp; "BT", ""), IF(OR(S271="LTDR", S271="LTSR"), Y271 &amp; "BL" &amp; IF(Z271 &lt;&gt; "-", "/" &amp; Z271 &amp; "BT", ""), IF(OR(S271="RTDR", S271="RTSR"), Y271 &amp; "BR" &amp; IF(Z271 &lt;&gt; "-", "/" &amp; Z271 &amp; "BT", ""), IF(Z271 &lt;&gt; "-", Y271 &amp; "BT/" &amp; Z271 &amp; "BT", Y271 &amp; "BT"))))</f>
        <v/>
      </c>
    </row>
    <row r="272">
      <c r="A272" t="n">
        <v>558</v>
      </c>
      <c r="B272" t="inlineStr">
        <is>
          <t>SR 1001</t>
        </is>
      </c>
      <c r="C272" t="n">
        <v>0.066</v>
      </c>
      <c r="D272" t="inlineStr">
        <is>
          <t>S</t>
        </is>
      </c>
      <c r="E272" t="inlineStr">
        <is>
          <t>SR 1617</t>
        </is>
      </c>
      <c r="F272" t="inlineStr">
        <is>
          <t>SR 1615</t>
        </is>
      </c>
      <c r="G272" t="inlineStr">
        <is>
          <t>SR 1001</t>
        </is>
      </c>
      <c r="H272" t="n">
        <v>3.395</v>
      </c>
      <c r="I272" t="inlineStr">
        <is>
          <t>NIS</t>
        </is>
      </c>
      <c r="L272" t="n">
        <v>107405320</v>
      </c>
      <c r="M272" s="6" t="n">
        <v>45128</v>
      </c>
      <c r="N272" t="n">
        <v>17</v>
      </c>
      <c r="O272" t="n">
        <v>1</v>
      </c>
      <c r="P272" t="n">
        <v>0</v>
      </c>
      <c r="Q272" t="n">
        <v>1</v>
      </c>
      <c r="R272" t="inlineStr">
        <is>
          <t>O</t>
        </is>
      </c>
      <c r="S272">
        <f>IFERROR(VLOOKUP(N272,Index!$A$1:$B$26,2,FALSE),"")</f>
        <v/>
      </c>
      <c r="T272">
        <f>AA272</f>
        <v/>
      </c>
      <c r="V272">
        <f>IFERROR(INDEX(DetailedFiche!Q:Q,MATCH(L272,DetailedFiche!J:J,0)),"")</f>
        <v/>
      </c>
      <c r="W272">
        <f>IFERROR(INDEX(DetailedFiche!R:R,MATCH(L272,DetailedFiche!J:J,0)),"")</f>
        <v/>
      </c>
      <c r="Y272">
        <f>IFERROR(IF(AND(INDEX('Initial Study'!K:K, MATCH(L272, 'Initial Study'!B:B, 0)+1)&lt;&gt;0,INDEX('Initial Study'!K:K, MATCH(L272, 'Initial Study'!B:B, 0)+1)&lt;&gt;""),INDEX('Initial Study'!K:K, MATCH(L272, 'Initial Study'!B:B, 0)+1),""),"")</f>
        <v/>
      </c>
      <c r="Z272">
        <f>IFERROR(IF(AND(INDEX('Initial Study'!K:K, MATCH(L272, 'Initial Study'!B:B, 0)+2)&lt;&gt;0,INDEX('Initial Study'!K:K, MATCH(L272, 'Initial Study'!B:B, 0)+2)&lt;&gt;"",NOT(ISNUMBER(INDEX('Initial Study'!K:K, MATCH(L272, 'Initial Study'!B:B, 0)+2)))),INDEX('Initial Study'!K:K, MATCH(L272, 'Initial Study'!B:B, 0)+2),"-"),"-")</f>
        <v/>
      </c>
      <c r="AA272">
        <f>IF(S272="RE", Y272 &amp; "BT/" &amp; IF(Z272 &lt;&gt; "-", Z272 &amp; "BT", ""), IF(OR(S272="LTDR", S272="LTSR"), Y272 &amp; "BL" &amp; IF(Z272 &lt;&gt; "-", "/" &amp; Z272 &amp; "BT", ""), IF(OR(S272="RTDR", S272="RTSR"), Y272 &amp; "BR" &amp; IF(Z272 &lt;&gt; "-", "/" &amp; Z272 &amp; "BT", ""), IF(Z272 &lt;&gt; "-", Y272 &amp; "BT/" &amp; Z272 &amp; "BT", Y272 &amp; "BT"))))</f>
        <v/>
      </c>
    </row>
    <row r="273">
      <c r="A273" s="7" t="n">
        <v>558</v>
      </c>
      <c r="B273" s="7" t="inlineStr">
        <is>
          <t>SR 1001</t>
        </is>
      </c>
      <c r="C273" s="7" t="n">
        <v>0.038</v>
      </c>
      <c r="D273" s="7" t="inlineStr">
        <is>
          <t>S</t>
        </is>
      </c>
      <c r="E273" s="7" t="inlineStr">
        <is>
          <t>SR 1617</t>
        </is>
      </c>
      <c r="F273" s="7" t="inlineStr">
        <is>
          <t>US 601</t>
        </is>
      </c>
      <c r="G273" s="7" t="inlineStr">
        <is>
          <t>SR 1001</t>
        </is>
      </c>
      <c r="H273" s="7" t="n">
        <v>3.423</v>
      </c>
      <c r="I273" s="7" t="inlineStr">
        <is>
          <t>?</t>
        </is>
      </c>
      <c r="J273" s="7" t="n"/>
      <c r="K273" s="7" t="n"/>
      <c r="L273" s="7" t="n">
        <v>105964079</v>
      </c>
      <c r="M273" s="8" t="n">
        <v>43692</v>
      </c>
      <c r="N273" s="7" t="n">
        <v>19</v>
      </c>
      <c r="O273" s="7" t="n">
        <v>2</v>
      </c>
      <c r="P273" s="7" t="n">
        <v>0</v>
      </c>
      <c r="Q273" s="7" t="n">
        <v>5</v>
      </c>
      <c r="R273" s="7" t="inlineStr">
        <is>
          <t>O</t>
        </is>
      </c>
      <c r="S273" s="7">
        <f>IFERROR(VLOOKUP(N273,Index!$A$1:$B$26,2,FALSE),"")</f>
        <v/>
      </c>
      <c r="T273" s="7">
        <f>AA273</f>
        <v/>
      </c>
      <c r="U273" s="7" t="inlineStr">
        <is>
          <t>fixed object at SR 1001 MP 3.423, 201 ft south; confirm location against the report</t>
        </is>
      </c>
      <c r="V273" s="7">
        <f>IFERROR(INDEX(DetailedFiche!Q:Q,MATCH(L273,DetailedFiche!J:J,0)),"")</f>
        <v/>
      </c>
      <c r="W273" s="7">
        <f>IFERROR(INDEX(DetailedFiche!R:R,MATCH(L273,DetailedFiche!J:J,0)),"")</f>
        <v/>
      </c>
      <c r="X273" s="7" t="n"/>
      <c r="Y273" s="7">
        <f>IFERROR(IF(AND(INDEX('Initial Study'!K:K, MATCH(L273, 'Initial Study'!B:B, 0)+1)&lt;&gt;0,INDEX('Initial Study'!K:K, MATCH(L273, 'Initial Study'!B:B, 0)+1)&lt;&gt;""),INDEX('Initial Study'!K:K, MATCH(L273, 'Initial Study'!B:B, 0)+1),""),"")</f>
        <v/>
      </c>
      <c r="Z273" s="7">
        <f>IFERROR(IF(AND(INDEX('Initial Study'!K:K, MATCH(L273, 'Initial Study'!B:B, 0)+2)&lt;&gt;0,INDEX('Initial Study'!K:K, MATCH(L273, 'Initial Study'!B:B, 0)+2)&lt;&gt;"",NOT(ISNUMBER(INDEX('Initial Study'!K:K, MATCH(L273, 'Initial Study'!B:B, 0)+2)))),INDEX('Initial Study'!K:K, MATCH(L273, 'Initial Study'!B:B, 0)+2),"-"),"-")</f>
        <v/>
      </c>
      <c r="AA273" s="7">
        <f>IF(S273="RE", Y273 &amp; "BT/" &amp; IF(Z273 &lt;&gt; "-", Z273 &amp; "BT", ""), IF(OR(S273="LTDR", S273="LTSR"), Y273 &amp; "BL" &amp; IF(Z273 &lt;&gt; "-", "/" &amp; Z273 &amp; "BT", ""), IF(OR(S273="RTDR", S273="RTSR"), Y273 &amp; "BR" &amp; IF(Z273 &lt;&gt; "-", "/" &amp; Z273 &amp; "BT", ""), IF(Z273 &lt;&gt; "-", Y273 &amp; "BT/" &amp; Z273 &amp; "BT", Y273 &amp; "BT"))))</f>
        <v/>
      </c>
    </row>
    <row r="274">
      <c r="A274" s="7" t="n">
        <v>558</v>
      </c>
      <c r="B274" s="7" t="inlineStr">
        <is>
          <t>SR 1001</t>
        </is>
      </c>
      <c r="C274" s="7" t="n">
        <v>0.03</v>
      </c>
      <c r="D274" s="7" t="inlineStr">
        <is>
          <t>S</t>
        </is>
      </c>
      <c r="E274" s="7" t="inlineStr">
        <is>
          <t>SR 1617</t>
        </is>
      </c>
      <c r="F274" s="7" t="inlineStr">
        <is>
          <t>SR 1615</t>
        </is>
      </c>
      <c r="G274" s="7" t="inlineStr">
        <is>
          <t>SR 1001</t>
        </is>
      </c>
      <c r="H274" s="7" t="n">
        <v>3.431</v>
      </c>
      <c r="I274" s="7" t="inlineStr">
        <is>
          <t>?</t>
        </is>
      </c>
      <c r="J274" s="7" t="n"/>
      <c r="K274" s="7" t="n"/>
      <c r="L274" s="7" t="n">
        <v>105208918</v>
      </c>
      <c r="M274" s="8" t="n">
        <v>42979</v>
      </c>
      <c r="N274" s="7" t="n">
        <v>27</v>
      </c>
      <c r="O274" s="7" t="n">
        <v>3</v>
      </c>
      <c r="P274" s="7" t="n">
        <v>0</v>
      </c>
      <c r="Q274" s="7" t="n">
        <v>1</v>
      </c>
      <c r="R274" s="7" t="inlineStr">
        <is>
          <t>C</t>
        </is>
      </c>
      <c r="S274" s="7">
        <f>IFERROR(VLOOKUP(N274,Index!$A$1:$B$26,2,FALSE),"")</f>
        <v/>
      </c>
      <c r="T274" s="7">
        <f>AA274</f>
        <v/>
      </c>
      <c r="U274" s="7" t="inlineStr">
        <is>
          <t>head on at SR 1001 MP 3.431, 158 ft south, 8 ft outside the y-line; frontal type, pull the report</t>
        </is>
      </c>
      <c r="V274" s="7">
        <f>IFERROR(INDEX(DetailedFiche!Q:Q,MATCH(L274,DetailedFiche!J:J,0)),"")</f>
        <v/>
      </c>
      <c r="W274" s="7">
        <f>IFERROR(INDEX(DetailedFiche!R:R,MATCH(L274,DetailedFiche!J:J,0)),"")</f>
        <v/>
      </c>
      <c r="X274" s="7" t="n"/>
      <c r="Y274" s="7">
        <f>IFERROR(IF(AND(INDEX('Initial Study'!K:K, MATCH(L274, 'Initial Study'!B:B, 0)+1)&lt;&gt;0,INDEX('Initial Study'!K:K, MATCH(L274, 'Initial Study'!B:B, 0)+1)&lt;&gt;""),INDEX('Initial Study'!K:K, MATCH(L274, 'Initial Study'!B:B, 0)+1),""),"")</f>
        <v/>
      </c>
      <c r="Z274" s="7">
        <f>IFERROR(IF(AND(INDEX('Initial Study'!K:K, MATCH(L274, 'Initial Study'!B:B, 0)+2)&lt;&gt;0,INDEX('Initial Study'!K:K, MATCH(L274, 'Initial Study'!B:B, 0)+2)&lt;&gt;"",NOT(ISNUMBER(INDEX('Initial Study'!K:K, MATCH(L274, 'Initial Study'!B:B, 0)+2)))),INDEX('Initial Study'!K:K, MATCH(L274, 'Initial Study'!B:B, 0)+2),"-"),"-")</f>
        <v/>
      </c>
      <c r="AA274" s="7">
        <f>IF(S274="RE", Y274 &amp; "BT/" &amp; IF(Z274 &lt;&gt; "-", Z274 &amp; "BT", ""), IF(OR(S274="LTDR", S274="LTSR"), Y274 &amp; "BL" &amp; IF(Z274 &lt;&gt; "-", "/" &amp; Z274 &amp; "BT", ""), IF(OR(S274="RTDR", S274="RTSR"), Y274 &amp; "BR" &amp; IF(Z274 &lt;&gt; "-", "/" &amp; Z274 &amp; "BT", ""), IF(Z274 &lt;&gt; "-", Y274 &amp; "BT/" &amp; Z274 &amp; "BT", Y274 &amp; "BT"))))</f>
        <v/>
      </c>
    </row>
    <row r="275">
      <c r="A275" s="9" t="n">
        <v>558</v>
      </c>
      <c r="B275" s="9" t="inlineStr">
        <is>
          <t>SR 1001</t>
        </is>
      </c>
      <c r="C275" s="9" t="n">
        <v>0.019</v>
      </c>
      <c r="D275" s="9" t="inlineStr">
        <is>
          <t>S</t>
        </is>
      </c>
      <c r="E275" s="9" t="inlineStr">
        <is>
          <t>SR 1617</t>
        </is>
      </c>
      <c r="F275" s="9" t="n"/>
      <c r="G275" s="9" t="inlineStr">
        <is>
          <t>SR 1001</t>
        </is>
      </c>
      <c r="H275" s="9" t="n">
        <v>3.442</v>
      </c>
      <c r="I275" s="9" t="inlineStr">
        <is>
          <t>IS</t>
        </is>
      </c>
      <c r="J275" s="9" t="n"/>
      <c r="K275" s="9" t="n"/>
      <c r="L275" s="9" t="n">
        <v>105520583</v>
      </c>
      <c r="M275" s="10" t="n">
        <v>43271</v>
      </c>
      <c r="N275" s="9" t="n">
        <v>19</v>
      </c>
      <c r="O275" s="9" t="n">
        <v>2</v>
      </c>
      <c r="P275" s="9" t="n">
        <v>0</v>
      </c>
      <c r="Q275" s="9" t="n">
        <v>1</v>
      </c>
      <c r="R275" s="9" t="inlineStr">
        <is>
          <t>O</t>
        </is>
      </c>
      <c r="S275" s="9">
        <f>IFERROR(VLOOKUP(N275,Index!$A$1:$B$26,2,FALSE),"")</f>
        <v/>
      </c>
      <c r="T275" s="9">
        <f>AA275</f>
        <v/>
      </c>
      <c r="U275" s="9" t="inlineStr">
        <is>
          <t>SR 1001 MP 3.442, 100 ft south</t>
        </is>
      </c>
      <c r="V275" s="9">
        <f>IFERROR(INDEX(DetailedFiche!Q:Q,MATCH(L275,DetailedFiche!J:J,0)),"")</f>
        <v/>
      </c>
      <c r="W275" s="9">
        <f>IFERROR(INDEX(DetailedFiche!R:R,MATCH(L275,DetailedFiche!J:J,0)),"")</f>
        <v/>
      </c>
      <c r="X275" s="9" t="n"/>
      <c r="Y275" s="9">
        <f>IFERROR(IF(AND(INDEX('Initial Study'!K:K, MATCH(L275, 'Initial Study'!B:B, 0)+1)&lt;&gt;0,INDEX('Initial Study'!K:K, MATCH(L275, 'Initial Study'!B:B, 0)+1)&lt;&gt;""),INDEX('Initial Study'!K:K, MATCH(L275, 'Initial Study'!B:B, 0)+1),""),"")</f>
        <v/>
      </c>
      <c r="Z275" s="9">
        <f>IFERROR(IF(AND(INDEX('Initial Study'!K:K, MATCH(L275, 'Initial Study'!B:B, 0)+2)&lt;&gt;0,INDEX('Initial Study'!K:K, MATCH(L275, 'Initial Study'!B:B, 0)+2)&lt;&gt;"",NOT(ISNUMBER(INDEX('Initial Study'!K:K, MATCH(L275, 'Initial Study'!B:B, 0)+2)))),INDEX('Initial Study'!K:K, MATCH(L275, 'Initial Study'!B:B, 0)+2),"-"),"-")</f>
        <v/>
      </c>
      <c r="AA275" s="9">
        <f>IF(S275="RE", Y275 &amp; "BT/" &amp; IF(Z275 &lt;&gt; "-", Z275 &amp; "BT", ""), IF(OR(S275="LTDR", S275="LTSR"), Y275 &amp; "BL" &amp; IF(Z275 &lt;&gt; "-", "/" &amp; Z275 &amp; "BT", ""), IF(OR(S275="RTDR", S275="RTSR"), Y275 &amp; "BR" &amp; IF(Z275 &lt;&gt; "-", "/" &amp; Z275 &amp; "BT", ""), IF(Z275 &lt;&gt; "-", Y275 &amp; "BT/" &amp; Z275 &amp; "BT", Y275 &amp; "BT"))))</f>
        <v/>
      </c>
    </row>
    <row r="276">
      <c r="A276" s="9" t="n">
        <v>558</v>
      </c>
      <c r="B276" s="9" t="inlineStr">
        <is>
          <t>SR 1001</t>
        </is>
      </c>
      <c r="C276" s="9" t="n">
        <v>0.014</v>
      </c>
      <c r="D276" s="9" t="inlineStr">
        <is>
          <t>S</t>
        </is>
      </c>
      <c r="E276" s="9" t="inlineStr">
        <is>
          <t>TOM BOYD</t>
        </is>
      </c>
      <c r="F276" s="9" t="inlineStr">
        <is>
          <t>SR 1606</t>
        </is>
      </c>
      <c r="G276" s="9" t="inlineStr">
        <is>
          <t>SR 1001</t>
        </is>
      </c>
      <c r="H276" s="9" t="n">
        <v>3.447</v>
      </c>
      <c r="I276" s="9" t="inlineStr">
        <is>
          <t>IS</t>
        </is>
      </c>
      <c r="J276" s="9" t="n"/>
      <c r="K276" s="9" t="n"/>
      <c r="L276" s="9" t="n">
        <v>105553349</v>
      </c>
      <c r="M276" s="10" t="n">
        <v>43304</v>
      </c>
      <c r="N276" s="9" t="n">
        <v>18</v>
      </c>
      <c r="O276" s="9" t="n">
        <v>2</v>
      </c>
      <c r="P276" s="9" t="n">
        <v>0</v>
      </c>
      <c r="Q276" s="9" t="n">
        <v>1</v>
      </c>
      <c r="R276" s="9" t="inlineStr">
        <is>
          <t>O</t>
        </is>
      </c>
      <c r="S276" s="9">
        <f>IFERROR(VLOOKUP(N276,Index!$A$1:$B$26,2,FALSE),"")</f>
        <v/>
      </c>
      <c r="T276" s="9">
        <f>AA276</f>
        <v/>
      </c>
      <c r="U276" s="9" t="inlineStr">
        <is>
          <t>SR 1001 MP 3.447, 74 ft south</t>
        </is>
      </c>
      <c r="V276" s="9">
        <f>IFERROR(INDEX(DetailedFiche!Q:Q,MATCH(L276,DetailedFiche!J:J,0)),"")</f>
        <v/>
      </c>
      <c r="W276" s="9">
        <f>IFERROR(INDEX(DetailedFiche!R:R,MATCH(L276,DetailedFiche!J:J,0)),"")</f>
        <v/>
      </c>
      <c r="X276" s="9" t="n"/>
      <c r="Y276" s="9">
        <f>IFERROR(IF(AND(INDEX('Initial Study'!K:K, MATCH(L276, 'Initial Study'!B:B, 0)+1)&lt;&gt;0,INDEX('Initial Study'!K:K, MATCH(L276, 'Initial Study'!B:B, 0)+1)&lt;&gt;""),INDEX('Initial Study'!K:K, MATCH(L276, 'Initial Study'!B:B, 0)+1),""),"")</f>
        <v/>
      </c>
      <c r="Z276" s="9">
        <f>IFERROR(IF(AND(INDEX('Initial Study'!K:K, MATCH(L276, 'Initial Study'!B:B, 0)+2)&lt;&gt;0,INDEX('Initial Study'!K:K, MATCH(L276, 'Initial Study'!B:B, 0)+2)&lt;&gt;"",NOT(ISNUMBER(INDEX('Initial Study'!K:K, MATCH(L276, 'Initial Study'!B:B, 0)+2)))),INDEX('Initial Study'!K:K, MATCH(L276, 'Initial Study'!B:B, 0)+2),"-"),"-")</f>
        <v/>
      </c>
      <c r="AA276" s="9">
        <f>IF(S276="RE", Y276 &amp; "BT/" &amp; IF(Z276 &lt;&gt; "-", Z276 &amp; "BT", ""), IF(OR(S276="LTDR", S276="LTSR"), Y276 &amp; "BL" &amp; IF(Z276 &lt;&gt; "-", "/" &amp; Z276 &amp; "BT", ""), IF(OR(S276="RTDR", S276="RTSR"), Y276 &amp; "BR" &amp; IF(Z276 &lt;&gt; "-", "/" &amp; Z276 &amp; "BT", ""), IF(Z276 &lt;&gt; "-", Y276 &amp; "BT/" &amp; Z276 &amp; "BT", Y276 &amp; "BT"))))</f>
        <v/>
      </c>
    </row>
    <row r="277">
      <c r="A277" s="9" t="n">
        <v>558</v>
      </c>
      <c r="B277" s="9" t="inlineStr">
        <is>
          <t>SR 1001</t>
        </is>
      </c>
      <c r="C277" s="9" t="n">
        <v>0</v>
      </c>
      <c r="D277" s="9" t="n"/>
      <c r="E277" s="9" t="inlineStr">
        <is>
          <t>SR 1617</t>
        </is>
      </c>
      <c r="F277" s="9" t="inlineStr">
        <is>
          <t>SR 1618</t>
        </is>
      </c>
      <c r="G277" s="9" t="inlineStr">
        <is>
          <t>SR 1001</t>
        </is>
      </c>
      <c r="H277" s="9" t="n">
        <v>3.461</v>
      </c>
      <c r="I277" s="9" t="inlineStr">
        <is>
          <t>IS</t>
        </is>
      </c>
      <c r="J277" s="9" t="n"/>
      <c r="K277" s="9" t="n"/>
      <c r="L277" s="9" t="n">
        <v>108250468</v>
      </c>
      <c r="M277" s="10" t="n">
        <v>45931</v>
      </c>
      <c r="N277" s="9" t="n">
        <v>30</v>
      </c>
      <c r="O277" s="9" t="n">
        <v>1</v>
      </c>
      <c r="P277" s="9" t="n">
        <v>7</v>
      </c>
      <c r="Q277" s="9" t="n">
        <v>5</v>
      </c>
      <c r="R277" s="9" t="inlineStr">
        <is>
          <t>O</t>
        </is>
      </c>
      <c r="S277" s="9">
        <f>IFERROR(VLOOKUP(N277,Index!$A$1:$B$26,2,FALSE),"")</f>
        <v/>
      </c>
      <c r="T277" s="9">
        <f>AA277</f>
        <v/>
      </c>
      <c r="U277" s="9" t="inlineStr">
        <is>
          <t>at the junction; DMV349 coords 0 ft</t>
        </is>
      </c>
      <c r="V277" s="9">
        <f>IFERROR(INDEX(DetailedFiche!Q:Q,MATCH(L277,DetailedFiche!J:J,0)),"")</f>
        <v/>
      </c>
      <c r="W277" s="9">
        <f>IFERROR(INDEX(DetailedFiche!R:R,MATCH(L277,DetailedFiche!J:J,0)),"")</f>
        <v/>
      </c>
      <c r="X277" s="9" t="n"/>
      <c r="Y277" s="9">
        <f>IFERROR(IF(AND(INDEX('Initial Study'!K:K, MATCH(L277, 'Initial Study'!B:B, 0)+1)&lt;&gt;0,INDEX('Initial Study'!K:K, MATCH(L277, 'Initial Study'!B:B, 0)+1)&lt;&gt;""),INDEX('Initial Study'!K:K, MATCH(L277, 'Initial Study'!B:B, 0)+1),""),"")</f>
        <v/>
      </c>
      <c r="Z277" s="9">
        <f>IFERROR(IF(AND(INDEX('Initial Study'!K:K, MATCH(L277, 'Initial Study'!B:B, 0)+2)&lt;&gt;0,INDEX('Initial Study'!K:K, MATCH(L277, 'Initial Study'!B:B, 0)+2)&lt;&gt;"",NOT(ISNUMBER(INDEX('Initial Study'!K:K, MATCH(L277, 'Initial Study'!B:B, 0)+2)))),INDEX('Initial Study'!K:K, MATCH(L277, 'Initial Study'!B:B, 0)+2),"-"),"-")</f>
        <v/>
      </c>
      <c r="AA277" s="9">
        <f>IF(S277="RE", Y277 &amp; "BT/" &amp; IF(Z277 &lt;&gt; "-", Z277 &amp; "BT", ""), IF(OR(S277="LTDR", S277="LTSR"), Y277 &amp; "BL" &amp; IF(Z277 &lt;&gt; "-", "/" &amp; Z277 &amp; "BT", ""), IF(OR(S277="RTDR", S277="RTSR"), Y277 &amp; "BR" &amp; IF(Z277 &lt;&gt; "-", "/" &amp; Z277 &amp; "BT", ""), IF(Z277 &lt;&gt; "-", Y277 &amp; "BT/" &amp; Z277 &amp; "BT", Y277 &amp; "BT"))))</f>
        <v/>
      </c>
    </row>
    <row r="278">
      <c r="A278" s="9" t="n">
        <v>558</v>
      </c>
      <c r="B278" s="9" t="inlineStr">
        <is>
          <t>SR 1001</t>
        </is>
      </c>
      <c r="C278" s="9" t="n">
        <v>0</v>
      </c>
      <c r="D278" s="9" t="n"/>
      <c r="E278" s="9" t="inlineStr">
        <is>
          <t>SR 1617</t>
        </is>
      </c>
      <c r="F278" s="9" t="inlineStr">
        <is>
          <t>SR 1606</t>
        </is>
      </c>
      <c r="G278" s="9" t="inlineStr">
        <is>
          <t>SR 1001</t>
        </is>
      </c>
      <c r="H278" s="9" t="n">
        <v>3.461</v>
      </c>
      <c r="I278" s="9" t="inlineStr">
        <is>
          <t>IS</t>
        </is>
      </c>
      <c r="J278" s="9" t="n"/>
      <c r="K278" s="9" t="n"/>
      <c r="L278" s="9" t="n">
        <v>108279485</v>
      </c>
      <c r="M278" s="10" t="n">
        <v>45953</v>
      </c>
      <c r="N278" s="9" t="n">
        <v>30</v>
      </c>
      <c r="O278" s="9" t="n">
        <v>1</v>
      </c>
      <c r="P278" s="9" t="n">
        <v>7</v>
      </c>
      <c r="Q278" s="9" t="n">
        <v>1</v>
      </c>
      <c r="R278" s="9" t="inlineStr">
        <is>
          <t>C</t>
        </is>
      </c>
      <c r="S278" s="9">
        <f>IFERROR(VLOOKUP(N278,Index!$A$1:$B$26,2,FALSE),"")</f>
        <v/>
      </c>
      <c r="T278" s="9">
        <f>AA278</f>
        <v/>
      </c>
      <c r="U278" s="9" t="inlineStr">
        <is>
          <t>at the junction; DMV349 coords 12 ft</t>
        </is>
      </c>
      <c r="V278" s="9">
        <f>IFERROR(INDEX(DetailedFiche!Q:Q,MATCH(L278,DetailedFiche!J:J,0)),"")</f>
        <v/>
      </c>
      <c r="W278" s="9">
        <f>IFERROR(INDEX(DetailedFiche!R:R,MATCH(L278,DetailedFiche!J:J,0)),"")</f>
        <v/>
      </c>
      <c r="X278" s="9" t="n"/>
      <c r="Y278" s="9">
        <f>IFERROR(IF(AND(INDEX('Initial Study'!K:K, MATCH(L278, 'Initial Study'!B:B, 0)+1)&lt;&gt;0,INDEX('Initial Study'!K:K, MATCH(L278, 'Initial Study'!B:B, 0)+1)&lt;&gt;""),INDEX('Initial Study'!K:K, MATCH(L278, 'Initial Study'!B:B, 0)+1),""),"")</f>
        <v/>
      </c>
      <c r="Z278" s="9">
        <f>IFERROR(IF(AND(INDEX('Initial Study'!K:K, MATCH(L278, 'Initial Study'!B:B, 0)+2)&lt;&gt;0,INDEX('Initial Study'!K:K, MATCH(L278, 'Initial Study'!B:B, 0)+2)&lt;&gt;"",NOT(ISNUMBER(INDEX('Initial Study'!K:K, MATCH(L278, 'Initial Study'!B:B, 0)+2)))),INDEX('Initial Study'!K:K, MATCH(L278, 'Initial Study'!B:B, 0)+2),"-"),"-")</f>
        <v/>
      </c>
      <c r="AA278" s="9">
        <f>IF(S278="RE", Y278 &amp; "BT/" &amp; IF(Z278 &lt;&gt; "-", Z278 &amp; "BT", ""), IF(OR(S278="LTDR", S278="LTSR"), Y278 &amp; "BL" &amp; IF(Z278 &lt;&gt; "-", "/" &amp; Z278 &amp; "BT", ""), IF(OR(S278="RTDR", S278="RTSR"), Y278 &amp; "BR" &amp; IF(Z278 &lt;&gt; "-", "/" &amp; Z278 &amp; "BT", ""), IF(Z278 &lt;&gt; "-", Y278 &amp; "BT/" &amp; Z278 &amp; "BT", Y278 &amp; "BT"))))</f>
        <v/>
      </c>
    </row>
    <row r="279">
      <c r="A279" s="9" t="n">
        <v>558</v>
      </c>
      <c r="B279" s="9" t="inlineStr">
        <is>
          <t>SR 1001</t>
        </is>
      </c>
      <c r="C279" s="9" t="n">
        <v>0</v>
      </c>
      <c r="D279" s="9" t="n"/>
      <c r="E279" s="9" t="inlineStr">
        <is>
          <t>SR 1617</t>
        </is>
      </c>
      <c r="F279" s="9" t="inlineStr">
        <is>
          <t>SR 1681</t>
        </is>
      </c>
      <c r="G279" s="9" t="inlineStr">
        <is>
          <t>SR 1001</t>
        </is>
      </c>
      <c r="H279" s="9" t="n">
        <v>3.461</v>
      </c>
      <c r="I279" s="9" t="inlineStr">
        <is>
          <t>IS</t>
        </is>
      </c>
      <c r="J279" s="9" t="n"/>
      <c r="K279" s="9" t="n"/>
      <c r="L279" s="9" t="n">
        <v>107902086</v>
      </c>
      <c r="M279" s="10" t="n">
        <v>45593</v>
      </c>
      <c r="N279" s="9" t="n">
        <v>30</v>
      </c>
      <c r="O279" s="9" t="n">
        <v>1</v>
      </c>
      <c r="P279" s="9" t="n">
        <v>7</v>
      </c>
      <c r="Q279" s="9" t="n">
        <v>1</v>
      </c>
      <c r="R279" s="9" t="inlineStr">
        <is>
          <t>O</t>
        </is>
      </c>
      <c r="S279" s="9">
        <f>IFERROR(VLOOKUP(N279,Index!$A$1:$B$26,2,FALSE),"")</f>
        <v/>
      </c>
      <c r="T279" s="9">
        <f>AA279</f>
        <v/>
      </c>
      <c r="U279" s="9" t="inlineStr">
        <is>
          <t>at the junction; DMV349 coords 10 ft</t>
        </is>
      </c>
      <c r="V279" s="9">
        <f>IFERROR(INDEX(DetailedFiche!Q:Q,MATCH(L279,DetailedFiche!J:J,0)),"")</f>
        <v/>
      </c>
      <c r="W279" s="9">
        <f>IFERROR(INDEX(DetailedFiche!R:R,MATCH(L279,DetailedFiche!J:J,0)),"")</f>
        <v/>
      </c>
      <c r="X279" s="9" t="n"/>
      <c r="Y279" s="9">
        <f>IFERROR(IF(AND(INDEX('Initial Study'!K:K, MATCH(L279, 'Initial Study'!B:B, 0)+1)&lt;&gt;0,INDEX('Initial Study'!K:K, MATCH(L279, 'Initial Study'!B:B, 0)+1)&lt;&gt;""),INDEX('Initial Study'!K:K, MATCH(L279, 'Initial Study'!B:B, 0)+1),""),"")</f>
        <v/>
      </c>
      <c r="Z279" s="9">
        <f>IFERROR(IF(AND(INDEX('Initial Study'!K:K, MATCH(L279, 'Initial Study'!B:B, 0)+2)&lt;&gt;0,INDEX('Initial Study'!K:K, MATCH(L279, 'Initial Study'!B:B, 0)+2)&lt;&gt;"",NOT(ISNUMBER(INDEX('Initial Study'!K:K, MATCH(L279, 'Initial Study'!B:B, 0)+2)))),INDEX('Initial Study'!K:K, MATCH(L279, 'Initial Study'!B:B, 0)+2),"-"),"-")</f>
        <v/>
      </c>
      <c r="AA279" s="9">
        <f>IF(S279="RE", Y279 &amp; "BT/" &amp; IF(Z279 &lt;&gt; "-", Z279 &amp; "BT", ""), IF(OR(S279="LTDR", S279="LTSR"), Y279 &amp; "BL" &amp; IF(Z279 &lt;&gt; "-", "/" &amp; Z279 &amp; "BT", ""), IF(OR(S279="RTDR", S279="RTSR"), Y279 &amp; "BR" &amp; IF(Z279 &lt;&gt; "-", "/" &amp; Z279 &amp; "BT", ""), IF(Z279 &lt;&gt; "-", Y279 &amp; "BT/" &amp; Z279 &amp; "BT", Y279 &amp; "BT"))))</f>
        <v/>
      </c>
    </row>
    <row r="280">
      <c r="A280" s="9" t="n">
        <v>0</v>
      </c>
      <c r="B280" s="9" t="inlineStr">
        <is>
          <t>SR 1001</t>
        </is>
      </c>
      <c r="C280" s="9" t="n">
        <v>0</v>
      </c>
      <c r="D280" s="9" t="n"/>
      <c r="E280" s="9" t="inlineStr">
        <is>
          <t>SR 1617</t>
        </is>
      </c>
      <c r="F280" s="9" t="n"/>
      <c r="G280" s="9" t="inlineStr">
        <is>
          <t>SR 1001</t>
        </is>
      </c>
      <c r="H280" s="9" t="n">
        <v>3.461</v>
      </c>
      <c r="I280" s="9" t="inlineStr">
        <is>
          <t>IS</t>
        </is>
      </c>
      <c r="J280" s="9" t="n"/>
      <c r="K280" s="9" t="n"/>
      <c r="L280" s="9" t="n">
        <v>106743409</v>
      </c>
      <c r="M280" s="10" t="n">
        <v>44494</v>
      </c>
      <c r="N280" s="9" t="n">
        <v>30</v>
      </c>
      <c r="O280" s="9" t="n">
        <v>1</v>
      </c>
      <c r="P280" s="9" t="n">
        <v>7</v>
      </c>
      <c r="Q280" s="9" t="n">
        <v>5</v>
      </c>
      <c r="R280" s="9" t="inlineStr">
        <is>
          <t>O</t>
        </is>
      </c>
      <c r="S280" s="9">
        <f>IFERROR(VLOOKUP(N280,Index!$A$1:$B$26,2,FALSE),"")</f>
        <v/>
      </c>
      <c r="T280" s="9">
        <f>AA280</f>
        <v/>
      </c>
      <c r="U280" s="9" t="inlineStr">
        <is>
          <t>coded at the junction, 0.000 from the study pair</t>
        </is>
      </c>
      <c r="V280" s="9">
        <f>IFERROR(INDEX(DetailedFiche!Q:Q,MATCH(L280,DetailedFiche!J:J,0)),"")</f>
        <v/>
      </c>
      <c r="W280" s="9">
        <f>IFERROR(INDEX(DetailedFiche!R:R,MATCH(L280,DetailedFiche!J:J,0)),"")</f>
        <v/>
      </c>
      <c r="X280" s="9" t="n"/>
      <c r="Y280" s="9">
        <f>IFERROR(IF(AND(INDEX('Initial Study'!K:K, MATCH(L280, 'Initial Study'!B:B, 0)+1)&lt;&gt;0,INDEX('Initial Study'!K:K, MATCH(L280, 'Initial Study'!B:B, 0)+1)&lt;&gt;""),INDEX('Initial Study'!K:K, MATCH(L280, 'Initial Study'!B:B, 0)+1),""),"")</f>
        <v/>
      </c>
      <c r="Z280" s="9">
        <f>IFERROR(IF(AND(INDEX('Initial Study'!K:K, MATCH(L280, 'Initial Study'!B:B, 0)+2)&lt;&gt;0,INDEX('Initial Study'!K:K, MATCH(L280, 'Initial Study'!B:B, 0)+2)&lt;&gt;"",NOT(ISNUMBER(INDEX('Initial Study'!K:K, MATCH(L280, 'Initial Study'!B:B, 0)+2)))),INDEX('Initial Study'!K:K, MATCH(L280, 'Initial Study'!B:B, 0)+2),"-"),"-")</f>
        <v/>
      </c>
      <c r="AA280" s="9">
        <f>IF(S280="RE", Y280 &amp; "BT/" &amp; IF(Z280 &lt;&gt; "-", Z280 &amp; "BT", ""), IF(OR(S280="LTDR", S280="LTSR"), Y280 &amp; "BL" &amp; IF(Z280 &lt;&gt; "-", "/" &amp; Z280 &amp; "BT", ""), IF(OR(S280="RTDR", S280="RTSR"), Y280 &amp; "BR" &amp; IF(Z280 &lt;&gt; "-", "/" &amp; Z280 &amp; "BT", ""), IF(Z280 &lt;&gt; "-", Y280 &amp; "BT/" &amp; Z280 &amp; "BT", Y280 &amp; "BT"))))</f>
        <v/>
      </c>
    </row>
    <row r="281">
      <c r="A281" s="9" t="n">
        <v>558</v>
      </c>
      <c r="B281" s="9" t="inlineStr">
        <is>
          <t>SR 1001</t>
        </is>
      </c>
      <c r="C281" s="9" t="n">
        <v>0</v>
      </c>
      <c r="D281" s="9" t="n"/>
      <c r="E281" s="9" t="inlineStr">
        <is>
          <t>SR 1617</t>
        </is>
      </c>
      <c r="F281" s="9" t="inlineStr">
        <is>
          <t>SR 1615</t>
        </is>
      </c>
      <c r="G281" s="9" t="inlineStr">
        <is>
          <t>SR 1001</t>
        </is>
      </c>
      <c r="H281" s="9" t="n">
        <v>3.461</v>
      </c>
      <c r="I281" s="9" t="inlineStr">
        <is>
          <t>IS</t>
        </is>
      </c>
      <c r="J281" s="9" t="n"/>
      <c r="K281" s="9" t="n"/>
      <c r="L281" s="9" t="n">
        <v>106286453</v>
      </c>
      <c r="M281" s="10" t="n">
        <v>44037</v>
      </c>
      <c r="N281" s="9" t="n">
        <v>30</v>
      </c>
      <c r="O281" s="9" t="n">
        <v>1</v>
      </c>
      <c r="P281" s="9" t="n">
        <v>7</v>
      </c>
      <c r="Q281" s="9" t="n">
        <v>1</v>
      </c>
      <c r="R281" s="9" t="inlineStr">
        <is>
          <t>C</t>
        </is>
      </c>
      <c r="S281" s="9">
        <f>IFERROR(VLOOKUP(N281,Index!$A$1:$B$26,2,FALSE),"")</f>
        <v/>
      </c>
      <c r="T281" s="9">
        <f>AA281</f>
        <v/>
      </c>
      <c r="U281" s="9" t="inlineStr">
        <is>
          <t>coded at the junction, 0.000 from the study pair</t>
        </is>
      </c>
      <c r="V281" s="9">
        <f>IFERROR(INDEX(DetailedFiche!Q:Q,MATCH(L281,DetailedFiche!J:J,0)),"")</f>
        <v/>
      </c>
      <c r="W281" s="9">
        <f>IFERROR(INDEX(DetailedFiche!R:R,MATCH(L281,DetailedFiche!J:J,0)),"")</f>
        <v/>
      </c>
      <c r="X281" s="9" t="n"/>
      <c r="Y281" s="9">
        <f>IFERROR(IF(AND(INDEX('Initial Study'!K:K, MATCH(L281, 'Initial Study'!B:B, 0)+1)&lt;&gt;0,INDEX('Initial Study'!K:K, MATCH(L281, 'Initial Study'!B:B, 0)+1)&lt;&gt;""),INDEX('Initial Study'!K:K, MATCH(L281, 'Initial Study'!B:B, 0)+1),""),"")</f>
        <v/>
      </c>
      <c r="Z281" s="9">
        <f>IFERROR(IF(AND(INDEX('Initial Study'!K:K, MATCH(L281, 'Initial Study'!B:B, 0)+2)&lt;&gt;0,INDEX('Initial Study'!K:K, MATCH(L281, 'Initial Study'!B:B, 0)+2)&lt;&gt;"",NOT(ISNUMBER(INDEX('Initial Study'!K:K, MATCH(L281, 'Initial Study'!B:B, 0)+2)))),INDEX('Initial Study'!K:K, MATCH(L281, 'Initial Study'!B:B, 0)+2),"-"),"-")</f>
        <v/>
      </c>
      <c r="AA281" s="9">
        <f>IF(S281="RE", Y281 &amp; "BT/" &amp; IF(Z281 &lt;&gt; "-", Z281 &amp; "BT", ""), IF(OR(S281="LTDR", S281="LTSR"), Y281 &amp; "BL" &amp; IF(Z281 &lt;&gt; "-", "/" &amp; Z281 &amp; "BT", ""), IF(OR(S281="RTDR", S281="RTSR"), Y281 &amp; "BR" &amp; IF(Z281 &lt;&gt; "-", "/" &amp; Z281 &amp; "BT", ""), IF(Z281 &lt;&gt; "-", Y281 &amp; "BT/" &amp; Z281 &amp; "BT", Y281 &amp; "BT"))))</f>
        <v/>
      </c>
    </row>
    <row r="282">
      <c r="A282" s="9" t="n">
        <v>0</v>
      </c>
      <c r="B282" s="9" t="inlineStr">
        <is>
          <t>SR 1001</t>
        </is>
      </c>
      <c r="C282" s="9" t="n">
        <v>0</v>
      </c>
      <c r="D282" s="9" t="n"/>
      <c r="E282" s="9" t="inlineStr">
        <is>
          <t>SR 1617</t>
        </is>
      </c>
      <c r="F282" s="9" t="inlineStr">
        <is>
          <t>SR 1615</t>
        </is>
      </c>
      <c r="G282" s="9" t="inlineStr">
        <is>
          <t>SR 1001</t>
        </is>
      </c>
      <c r="H282" s="9" t="n">
        <v>3.461</v>
      </c>
      <c r="I282" s="9" t="inlineStr">
        <is>
          <t>IS</t>
        </is>
      </c>
      <c r="J282" s="9" t="n"/>
      <c r="K282" s="9" t="n"/>
      <c r="L282" s="9" t="n">
        <v>105535858</v>
      </c>
      <c r="M282" s="10" t="n">
        <v>43290</v>
      </c>
      <c r="N282" s="9" t="n">
        <v>30</v>
      </c>
      <c r="O282" s="9" t="n">
        <v>1</v>
      </c>
      <c r="P282" s="9" t="n">
        <v>7</v>
      </c>
      <c r="Q282" s="9" t="n">
        <v>1</v>
      </c>
      <c r="R282" s="9" t="inlineStr">
        <is>
          <t>B</t>
        </is>
      </c>
      <c r="S282" s="9">
        <f>IFERROR(VLOOKUP(N282,Index!$A$1:$B$26,2,FALSE),"")</f>
        <v/>
      </c>
      <c r="T282" s="9">
        <f>AA282</f>
        <v/>
      </c>
      <c r="U282" s="9" t="inlineStr">
        <is>
          <t>coded at the junction, 0.000 from the study pair</t>
        </is>
      </c>
      <c r="V282" s="9">
        <f>IFERROR(INDEX(DetailedFiche!Q:Q,MATCH(L282,DetailedFiche!J:J,0)),"")</f>
        <v/>
      </c>
      <c r="W282" s="9">
        <f>IFERROR(INDEX(DetailedFiche!R:R,MATCH(L282,DetailedFiche!J:J,0)),"")</f>
        <v/>
      </c>
      <c r="X282" s="9" t="n"/>
      <c r="Y282" s="9">
        <f>IFERROR(IF(AND(INDEX('Initial Study'!K:K, MATCH(L282, 'Initial Study'!B:B, 0)+1)&lt;&gt;0,INDEX('Initial Study'!K:K, MATCH(L282, 'Initial Study'!B:B, 0)+1)&lt;&gt;""),INDEX('Initial Study'!K:K, MATCH(L282, 'Initial Study'!B:B, 0)+1),""),"")</f>
        <v/>
      </c>
      <c r="Z282" s="9">
        <f>IFERROR(IF(AND(INDEX('Initial Study'!K:K, MATCH(L282, 'Initial Study'!B:B, 0)+2)&lt;&gt;0,INDEX('Initial Study'!K:K, MATCH(L282, 'Initial Study'!B:B, 0)+2)&lt;&gt;"",NOT(ISNUMBER(INDEX('Initial Study'!K:K, MATCH(L282, 'Initial Study'!B:B, 0)+2)))),INDEX('Initial Study'!K:K, MATCH(L282, 'Initial Study'!B:B, 0)+2),"-"),"-")</f>
        <v/>
      </c>
      <c r="AA282" s="9">
        <f>IF(S282="RE", Y282 &amp; "BT/" &amp; IF(Z282 &lt;&gt; "-", Z282 &amp; "BT", ""), IF(OR(S282="LTDR", S282="LTSR"), Y282 &amp; "BL" &amp; IF(Z282 &lt;&gt; "-", "/" &amp; Z282 &amp; "BT", ""), IF(OR(S282="RTDR", S282="RTSR"), Y282 &amp; "BR" &amp; IF(Z282 &lt;&gt; "-", "/" &amp; Z282 &amp; "BT", ""), IF(Z282 &lt;&gt; "-", Y282 &amp; "BT/" &amp; Z282 &amp; "BT", Y282 &amp; "BT"))))</f>
        <v/>
      </c>
    </row>
    <row r="283">
      <c r="A283" s="9" t="n">
        <v>558</v>
      </c>
      <c r="B283" s="9" t="inlineStr">
        <is>
          <t>SR 1001</t>
        </is>
      </c>
      <c r="C283" s="9" t="n">
        <v>0</v>
      </c>
      <c r="D283" s="9" t="n"/>
      <c r="E283" s="9" t="inlineStr">
        <is>
          <t>SR 1617</t>
        </is>
      </c>
      <c r="F283" s="9" t="inlineStr">
        <is>
          <t>SR 1681</t>
        </is>
      </c>
      <c r="G283" s="9" t="inlineStr">
        <is>
          <t>SR 1001</t>
        </is>
      </c>
      <c r="H283" s="9" t="n">
        <v>3.461</v>
      </c>
      <c r="I283" s="9" t="inlineStr">
        <is>
          <t>IS</t>
        </is>
      </c>
      <c r="J283" s="9" t="n"/>
      <c r="K283" s="9" t="n"/>
      <c r="L283" s="9" t="n">
        <v>105326435</v>
      </c>
      <c r="M283" s="10" t="n">
        <v>43085</v>
      </c>
      <c r="N283" s="9" t="n">
        <v>30</v>
      </c>
      <c r="O283" s="9" t="n">
        <v>1</v>
      </c>
      <c r="P283" s="9" t="n">
        <v>7</v>
      </c>
      <c r="Q283" s="9" t="n">
        <v>1</v>
      </c>
      <c r="R283" s="9" t="inlineStr">
        <is>
          <t>A</t>
        </is>
      </c>
      <c r="S283" s="9">
        <f>IFERROR(VLOOKUP(N283,Index!$A$1:$B$26,2,FALSE),"")</f>
        <v/>
      </c>
      <c r="T283" s="9">
        <f>AA283</f>
        <v/>
      </c>
      <c r="U283" s="9" t="inlineStr">
        <is>
          <t>coded at the junction, 0.000 from the study pair</t>
        </is>
      </c>
      <c r="V283" s="9">
        <f>IFERROR(INDEX(DetailedFiche!Q:Q,MATCH(L283,DetailedFiche!J:J,0)),"")</f>
        <v/>
      </c>
      <c r="W283" s="9">
        <f>IFERROR(INDEX(DetailedFiche!R:R,MATCH(L283,DetailedFiche!J:J,0)),"")</f>
        <v/>
      </c>
      <c r="X283" s="9" t="n"/>
      <c r="Y283" s="9">
        <f>IFERROR(IF(AND(INDEX('Initial Study'!K:K, MATCH(L283, 'Initial Study'!B:B, 0)+1)&lt;&gt;0,INDEX('Initial Study'!K:K, MATCH(L283, 'Initial Study'!B:B, 0)+1)&lt;&gt;""),INDEX('Initial Study'!K:K, MATCH(L283, 'Initial Study'!B:B, 0)+1),""),"")</f>
        <v/>
      </c>
      <c r="Z283" s="9">
        <f>IFERROR(IF(AND(INDEX('Initial Study'!K:K, MATCH(L283, 'Initial Study'!B:B, 0)+2)&lt;&gt;0,INDEX('Initial Study'!K:K, MATCH(L283, 'Initial Study'!B:B, 0)+2)&lt;&gt;"",NOT(ISNUMBER(INDEX('Initial Study'!K:K, MATCH(L283, 'Initial Study'!B:B, 0)+2)))),INDEX('Initial Study'!K:K, MATCH(L283, 'Initial Study'!B:B, 0)+2),"-"),"-")</f>
        <v/>
      </c>
      <c r="AA283" s="9">
        <f>IF(S283="RE", Y283 &amp; "BT/" &amp; IF(Z283 &lt;&gt; "-", Z283 &amp; "BT", ""), IF(OR(S283="LTDR", S283="LTSR"), Y283 &amp; "BL" &amp; IF(Z283 &lt;&gt; "-", "/" &amp; Z283 &amp; "BT", ""), IF(OR(S283="RTDR", S283="RTSR"), Y283 &amp; "BR" &amp; IF(Z283 &lt;&gt; "-", "/" &amp; Z283 &amp; "BT", ""), IF(Z283 &lt;&gt; "-", Y283 &amp; "BT/" &amp; Z283 &amp; "BT", Y283 &amp; "BT"))))</f>
        <v/>
      </c>
    </row>
    <row r="284">
      <c r="A284" s="9" t="n">
        <v>558</v>
      </c>
      <c r="B284" s="9" t="inlineStr">
        <is>
          <t>SR 1001</t>
        </is>
      </c>
      <c r="C284" s="9" t="n">
        <v>0</v>
      </c>
      <c r="D284" s="9" t="n"/>
      <c r="E284" s="9" t="inlineStr">
        <is>
          <t>SR 1617</t>
        </is>
      </c>
      <c r="F284" s="9" t="inlineStr">
        <is>
          <t>SR 1615</t>
        </is>
      </c>
      <c r="G284" s="9" t="inlineStr">
        <is>
          <t>SR 1001</t>
        </is>
      </c>
      <c r="H284" s="9" t="n">
        <v>3.461</v>
      </c>
      <c r="I284" s="9" t="inlineStr">
        <is>
          <t>IS</t>
        </is>
      </c>
      <c r="J284" s="9" t="n"/>
      <c r="K284" s="9" t="n"/>
      <c r="L284" s="9" t="n">
        <v>105210461</v>
      </c>
      <c r="M284" s="10" t="n">
        <v>42977</v>
      </c>
      <c r="N284" s="9" t="n">
        <v>30</v>
      </c>
      <c r="O284" s="9" t="n">
        <v>1</v>
      </c>
      <c r="P284" s="9" t="n">
        <v>7</v>
      </c>
      <c r="Q284" s="9" t="n">
        <v>1</v>
      </c>
      <c r="R284" s="9" t="inlineStr">
        <is>
          <t>C</t>
        </is>
      </c>
      <c r="S284" s="9">
        <f>IFERROR(VLOOKUP(N284,Index!$A$1:$B$26,2,FALSE),"")</f>
        <v/>
      </c>
      <c r="T284" s="9">
        <f>AA284</f>
        <v/>
      </c>
      <c r="U284" s="9" t="inlineStr">
        <is>
          <t>coded at the junction, 0.000 from the study pair</t>
        </is>
      </c>
      <c r="V284" s="9">
        <f>IFERROR(INDEX(DetailedFiche!Q:Q,MATCH(L284,DetailedFiche!J:J,0)),"")</f>
        <v/>
      </c>
      <c r="W284" s="9">
        <f>IFERROR(INDEX(DetailedFiche!R:R,MATCH(L284,DetailedFiche!J:J,0)),"")</f>
        <v/>
      </c>
      <c r="X284" s="9" t="n"/>
      <c r="Y284" s="9">
        <f>IFERROR(IF(AND(INDEX('Initial Study'!K:K, MATCH(L284, 'Initial Study'!B:B, 0)+1)&lt;&gt;0,INDEX('Initial Study'!K:K, MATCH(L284, 'Initial Study'!B:B, 0)+1)&lt;&gt;""),INDEX('Initial Study'!K:K, MATCH(L284, 'Initial Study'!B:B, 0)+1),""),"")</f>
        <v/>
      </c>
      <c r="Z284" s="9">
        <f>IFERROR(IF(AND(INDEX('Initial Study'!K:K, MATCH(L284, 'Initial Study'!B:B, 0)+2)&lt;&gt;0,INDEX('Initial Study'!K:K, MATCH(L284, 'Initial Study'!B:B, 0)+2)&lt;&gt;"",NOT(ISNUMBER(INDEX('Initial Study'!K:K, MATCH(L284, 'Initial Study'!B:B, 0)+2)))),INDEX('Initial Study'!K:K, MATCH(L284, 'Initial Study'!B:B, 0)+2),"-"),"-")</f>
        <v/>
      </c>
      <c r="AA284" s="9">
        <f>IF(S284="RE", Y284 &amp; "BT/" &amp; IF(Z284 &lt;&gt; "-", Z284 &amp; "BT", ""), IF(OR(S284="LTDR", S284="LTSR"), Y284 &amp; "BL" &amp; IF(Z284 &lt;&gt; "-", "/" &amp; Z284 &amp; "BT", ""), IF(OR(S284="RTDR", S284="RTSR"), Y284 &amp; "BR" &amp; IF(Z284 &lt;&gt; "-", "/" &amp; Z284 &amp; "BT", ""), IF(Z284 &lt;&gt; "-", Y284 &amp; "BT/" &amp; Z284 &amp; "BT", Y284 &amp; "BT"))))</f>
        <v/>
      </c>
    </row>
    <row r="285">
      <c r="A285" s="9" t="n">
        <v>558</v>
      </c>
      <c r="B285" s="9" t="inlineStr">
        <is>
          <t>SR 1001</t>
        </is>
      </c>
      <c r="C285" s="9" t="n">
        <v>0</v>
      </c>
      <c r="D285" s="9" t="n"/>
      <c r="E285" s="9" t="inlineStr">
        <is>
          <t>SR 1617</t>
        </is>
      </c>
      <c r="F285" s="9" t="inlineStr">
        <is>
          <t>SR 1615</t>
        </is>
      </c>
      <c r="G285" s="9" t="inlineStr">
        <is>
          <t>SR 1001</t>
        </is>
      </c>
      <c r="H285" s="9" t="n">
        <v>3.461</v>
      </c>
      <c r="I285" s="9" t="inlineStr">
        <is>
          <t>IS</t>
        </is>
      </c>
      <c r="J285" s="9" t="n"/>
      <c r="K285" s="9" t="n"/>
      <c r="L285" s="9" t="n">
        <v>104890928</v>
      </c>
      <c r="M285" s="10" t="n">
        <v>42653</v>
      </c>
      <c r="N285" s="9" t="n">
        <v>30</v>
      </c>
      <c r="O285" s="9" t="n">
        <v>1</v>
      </c>
      <c r="P285" s="9" t="n">
        <v>7</v>
      </c>
      <c r="Q285" s="9" t="n">
        <v>1</v>
      </c>
      <c r="R285" s="9" t="inlineStr">
        <is>
          <t>C</t>
        </is>
      </c>
      <c r="S285" s="9">
        <f>IFERROR(VLOOKUP(N285,Index!$A$1:$B$26,2,FALSE),"")</f>
        <v/>
      </c>
      <c r="T285" s="9">
        <f>AA285</f>
        <v/>
      </c>
      <c r="U285" s="9" t="inlineStr">
        <is>
          <t>coded at the junction, 0.000 from the study pair</t>
        </is>
      </c>
      <c r="V285" s="9">
        <f>IFERROR(INDEX(DetailedFiche!Q:Q,MATCH(L285,DetailedFiche!J:J,0)),"")</f>
        <v/>
      </c>
      <c r="W285" s="9">
        <f>IFERROR(INDEX(DetailedFiche!R:R,MATCH(L285,DetailedFiche!J:J,0)),"")</f>
        <v/>
      </c>
      <c r="X285" s="9" t="n"/>
      <c r="Y285" s="9">
        <f>IFERROR(IF(AND(INDEX('Initial Study'!K:K, MATCH(L285, 'Initial Study'!B:B, 0)+1)&lt;&gt;0,INDEX('Initial Study'!K:K, MATCH(L285, 'Initial Study'!B:B, 0)+1)&lt;&gt;""),INDEX('Initial Study'!K:K, MATCH(L285, 'Initial Study'!B:B, 0)+1),""),"")</f>
        <v/>
      </c>
      <c r="Z285" s="9">
        <f>IFERROR(IF(AND(INDEX('Initial Study'!K:K, MATCH(L285, 'Initial Study'!B:B, 0)+2)&lt;&gt;0,INDEX('Initial Study'!K:K, MATCH(L285, 'Initial Study'!B:B, 0)+2)&lt;&gt;"",NOT(ISNUMBER(INDEX('Initial Study'!K:K, MATCH(L285, 'Initial Study'!B:B, 0)+2)))),INDEX('Initial Study'!K:K, MATCH(L285, 'Initial Study'!B:B, 0)+2),"-"),"-")</f>
        <v/>
      </c>
      <c r="AA285" s="9">
        <f>IF(S285="RE", Y285 &amp; "BT/" &amp; IF(Z285 &lt;&gt; "-", Z285 &amp; "BT", ""), IF(OR(S285="LTDR", S285="LTSR"), Y285 &amp; "BL" &amp; IF(Z285 &lt;&gt; "-", "/" &amp; Z285 &amp; "BT", ""), IF(OR(S285="RTDR", S285="RTSR"), Y285 &amp; "BR" &amp; IF(Z285 &lt;&gt; "-", "/" &amp; Z285 &amp; "BT", ""), IF(Z285 &lt;&gt; "-", Y285 &amp; "BT/" &amp; Z285 &amp; "BT", Y285 &amp; "BT"))))</f>
        <v/>
      </c>
    </row>
    <row r="286">
      <c r="A286" s="9" t="n">
        <v>558</v>
      </c>
      <c r="B286" s="9" t="inlineStr">
        <is>
          <t>SR 1001</t>
        </is>
      </c>
      <c r="C286" s="9" t="n">
        <v>0</v>
      </c>
      <c r="D286" s="9" t="n"/>
      <c r="E286" s="9" t="inlineStr">
        <is>
          <t>SR 1617</t>
        </is>
      </c>
      <c r="F286" s="9" t="inlineStr">
        <is>
          <t>SR 1618</t>
        </is>
      </c>
      <c r="G286" s="9" t="inlineStr">
        <is>
          <t>SR 1001</t>
        </is>
      </c>
      <c r="H286" s="9" t="n">
        <v>3.461</v>
      </c>
      <c r="I286" s="9" t="inlineStr">
        <is>
          <t>IS</t>
        </is>
      </c>
      <c r="J286" s="9" t="n"/>
      <c r="K286" s="9" t="n"/>
      <c r="L286" s="9" t="n">
        <v>104901954</v>
      </c>
      <c r="M286" s="10" t="n">
        <v>42676</v>
      </c>
      <c r="N286" s="9" t="n">
        <v>30</v>
      </c>
      <c r="O286" s="9" t="n">
        <v>1</v>
      </c>
      <c r="P286" s="9" t="n">
        <v>7</v>
      </c>
      <c r="Q286" s="9" t="n">
        <v>1</v>
      </c>
      <c r="R286" s="9" t="inlineStr">
        <is>
          <t>O</t>
        </is>
      </c>
      <c r="S286" s="9">
        <f>IFERROR(VLOOKUP(N286,Index!$A$1:$B$26,2,FALSE),"")</f>
        <v/>
      </c>
      <c r="T286" s="9">
        <f>AA286</f>
        <v/>
      </c>
      <c r="U286" s="9" t="inlineStr">
        <is>
          <t>coded at the junction, 0.000 from the study pair</t>
        </is>
      </c>
      <c r="V286" s="9">
        <f>IFERROR(INDEX(DetailedFiche!Q:Q,MATCH(L286,DetailedFiche!J:J,0)),"")</f>
        <v/>
      </c>
      <c r="W286" s="9">
        <f>IFERROR(INDEX(DetailedFiche!R:R,MATCH(L286,DetailedFiche!J:J,0)),"")</f>
        <v/>
      </c>
      <c r="X286" s="9" t="n"/>
      <c r="Y286" s="9">
        <f>IFERROR(IF(AND(INDEX('Initial Study'!K:K, MATCH(L286, 'Initial Study'!B:B, 0)+1)&lt;&gt;0,INDEX('Initial Study'!K:K, MATCH(L286, 'Initial Study'!B:B, 0)+1)&lt;&gt;""),INDEX('Initial Study'!K:K, MATCH(L286, 'Initial Study'!B:B, 0)+1),""),"")</f>
        <v/>
      </c>
      <c r="Z286" s="9">
        <f>IFERROR(IF(AND(INDEX('Initial Study'!K:K, MATCH(L286, 'Initial Study'!B:B, 0)+2)&lt;&gt;0,INDEX('Initial Study'!K:K, MATCH(L286, 'Initial Study'!B:B, 0)+2)&lt;&gt;"",NOT(ISNUMBER(INDEX('Initial Study'!K:K, MATCH(L286, 'Initial Study'!B:B, 0)+2)))),INDEX('Initial Study'!K:K, MATCH(L286, 'Initial Study'!B:B, 0)+2),"-"),"-")</f>
        <v/>
      </c>
      <c r="AA286" s="9">
        <f>IF(S286="RE", Y286 &amp; "BT/" &amp; IF(Z286 &lt;&gt; "-", Z286 &amp; "BT", ""), IF(OR(S286="LTDR", S286="LTSR"), Y286 &amp; "BL" &amp; IF(Z286 &lt;&gt; "-", "/" &amp; Z286 &amp; "BT", ""), IF(OR(S286="RTDR", S286="RTSR"), Y286 &amp; "BR" &amp; IF(Z286 &lt;&gt; "-", "/" &amp; Z286 &amp; "BT", ""), IF(Z286 &lt;&gt; "-", Y286 &amp; "BT/" &amp; Z286 &amp; "BT", Y286 &amp; "BT"))))</f>
        <v/>
      </c>
    </row>
    <row r="287">
      <c r="A287" s="9" t="n">
        <v>558</v>
      </c>
      <c r="B287" s="9" t="inlineStr">
        <is>
          <t>SR 1001</t>
        </is>
      </c>
      <c r="C287" s="9" t="n">
        <v>0</v>
      </c>
      <c r="D287" s="9" t="n"/>
      <c r="E287" s="9" t="inlineStr">
        <is>
          <t>SR 1617</t>
        </is>
      </c>
      <c r="F287" s="9" t="inlineStr">
        <is>
          <t>SR 1615</t>
        </is>
      </c>
      <c r="G287" s="9" t="inlineStr">
        <is>
          <t>SR 1001</t>
        </is>
      </c>
      <c r="H287" s="9" t="n">
        <v>3.461</v>
      </c>
      <c r="I287" s="9" t="inlineStr">
        <is>
          <t>IS</t>
        </is>
      </c>
      <c r="J287" s="9" t="n"/>
      <c r="K287" s="9" t="n"/>
      <c r="L287" s="9" t="n">
        <v>104987740</v>
      </c>
      <c r="M287" s="10" t="n">
        <v>42760</v>
      </c>
      <c r="N287" s="9" t="n">
        <v>30</v>
      </c>
      <c r="O287" s="9" t="n">
        <v>1</v>
      </c>
      <c r="P287" s="9" t="n">
        <v>7</v>
      </c>
      <c r="Q287" s="9" t="n">
        <v>1</v>
      </c>
      <c r="R287" s="9" t="inlineStr">
        <is>
          <t>B</t>
        </is>
      </c>
      <c r="S287" s="9">
        <f>IFERROR(VLOOKUP(N287,Index!$A$1:$B$26,2,FALSE),"")</f>
        <v/>
      </c>
      <c r="T287" s="9">
        <f>AA287</f>
        <v/>
      </c>
      <c r="U287" s="9" t="inlineStr">
        <is>
          <t>coded at the junction, 0.000 from the study pair</t>
        </is>
      </c>
      <c r="V287" s="9">
        <f>IFERROR(INDEX(DetailedFiche!Q:Q,MATCH(L287,DetailedFiche!J:J,0)),"")</f>
        <v/>
      </c>
      <c r="W287" s="9">
        <f>IFERROR(INDEX(DetailedFiche!R:R,MATCH(L287,DetailedFiche!J:J,0)),"")</f>
        <v/>
      </c>
      <c r="X287" s="9" t="n"/>
      <c r="Y287" s="9">
        <f>IFERROR(IF(AND(INDEX('Initial Study'!K:K, MATCH(L287, 'Initial Study'!B:B, 0)+1)&lt;&gt;0,INDEX('Initial Study'!K:K, MATCH(L287, 'Initial Study'!B:B, 0)+1)&lt;&gt;""),INDEX('Initial Study'!K:K, MATCH(L287, 'Initial Study'!B:B, 0)+1),""),"")</f>
        <v/>
      </c>
      <c r="Z287" s="9">
        <f>IFERROR(IF(AND(INDEX('Initial Study'!K:K, MATCH(L287, 'Initial Study'!B:B, 0)+2)&lt;&gt;0,INDEX('Initial Study'!K:K, MATCH(L287, 'Initial Study'!B:B, 0)+2)&lt;&gt;"",NOT(ISNUMBER(INDEX('Initial Study'!K:K, MATCH(L287, 'Initial Study'!B:B, 0)+2)))),INDEX('Initial Study'!K:K, MATCH(L287, 'Initial Study'!B:B, 0)+2),"-"),"-")</f>
        <v/>
      </c>
      <c r="AA287" s="9">
        <f>IF(S287="RE", Y287 &amp; "BT/" &amp; IF(Z287 &lt;&gt; "-", Z287 &amp; "BT", ""), IF(OR(S287="LTDR", S287="LTSR"), Y287 &amp; "BL" &amp; IF(Z287 &lt;&gt; "-", "/" &amp; Z287 &amp; "BT", ""), IF(OR(S287="RTDR", S287="RTSR"), Y287 &amp; "BR" &amp; IF(Z287 &lt;&gt; "-", "/" &amp; Z287 &amp; "BT", ""), IF(Z287 &lt;&gt; "-", Y287 &amp; "BT/" &amp; Z287 &amp; "BT", Y287 &amp; "BT"))))</f>
        <v/>
      </c>
    </row>
    <row r="288">
      <c r="A288" s="9" t="n">
        <v>0</v>
      </c>
      <c r="B288" s="9" t="inlineStr">
        <is>
          <t>SR 1001</t>
        </is>
      </c>
      <c r="C288" s="9" t="n">
        <v>0</v>
      </c>
      <c r="D288" s="9" t="n"/>
      <c r="E288" s="9" t="inlineStr">
        <is>
          <t>SR 1617</t>
        </is>
      </c>
      <c r="F288" s="9" t="inlineStr">
        <is>
          <t>SR 1615</t>
        </is>
      </c>
      <c r="G288" s="9" t="inlineStr">
        <is>
          <t>SR 1001</t>
        </is>
      </c>
      <c r="H288" s="9" t="n">
        <v>3.461</v>
      </c>
      <c r="I288" s="9" t="inlineStr">
        <is>
          <t>IS</t>
        </is>
      </c>
      <c r="J288" s="9" t="n"/>
      <c r="K288" s="9" t="n"/>
      <c r="L288" s="9" t="n">
        <v>104942804</v>
      </c>
      <c r="M288" s="10" t="n">
        <v>42712</v>
      </c>
      <c r="N288" s="9" t="n">
        <v>30</v>
      </c>
      <c r="O288" s="9" t="n">
        <v>1</v>
      </c>
      <c r="P288" s="9" t="n">
        <v>7</v>
      </c>
      <c r="Q288" s="9" t="n">
        <v>1</v>
      </c>
      <c r="R288" s="9" t="inlineStr">
        <is>
          <t>B</t>
        </is>
      </c>
      <c r="S288" s="9">
        <f>IFERROR(VLOOKUP(N288,Index!$A$1:$B$26,2,FALSE),"")</f>
        <v/>
      </c>
      <c r="T288" s="9">
        <f>AA288</f>
        <v/>
      </c>
      <c r="U288" s="9" t="inlineStr">
        <is>
          <t>coded at the junction, 0.000 from the study pair</t>
        </is>
      </c>
      <c r="V288" s="9">
        <f>IFERROR(INDEX(DetailedFiche!Q:Q,MATCH(L288,DetailedFiche!J:J,0)),"")</f>
        <v/>
      </c>
      <c r="W288" s="9">
        <f>IFERROR(INDEX(DetailedFiche!R:R,MATCH(L288,DetailedFiche!J:J,0)),"")</f>
        <v/>
      </c>
      <c r="X288" s="9" t="n"/>
      <c r="Y288" s="9">
        <f>IFERROR(IF(AND(INDEX('Initial Study'!K:K, MATCH(L288, 'Initial Study'!B:B, 0)+1)&lt;&gt;0,INDEX('Initial Study'!K:K, MATCH(L288, 'Initial Study'!B:B, 0)+1)&lt;&gt;""),INDEX('Initial Study'!K:K, MATCH(L288, 'Initial Study'!B:B, 0)+1),""),"")</f>
        <v/>
      </c>
      <c r="Z288" s="9">
        <f>IFERROR(IF(AND(INDEX('Initial Study'!K:K, MATCH(L288, 'Initial Study'!B:B, 0)+2)&lt;&gt;0,INDEX('Initial Study'!K:K, MATCH(L288, 'Initial Study'!B:B, 0)+2)&lt;&gt;"",NOT(ISNUMBER(INDEX('Initial Study'!K:K, MATCH(L288, 'Initial Study'!B:B, 0)+2)))),INDEX('Initial Study'!K:K, MATCH(L288, 'Initial Study'!B:B, 0)+2),"-"),"-")</f>
        <v/>
      </c>
      <c r="AA288" s="9">
        <f>IF(S288="RE", Y288 &amp; "BT/" &amp; IF(Z288 &lt;&gt; "-", Z288 &amp; "BT", ""), IF(OR(S288="LTDR", S288="LTSR"), Y288 &amp; "BL" &amp; IF(Z288 &lt;&gt; "-", "/" &amp; Z288 &amp; "BT", ""), IF(OR(S288="RTDR", S288="RTSR"), Y288 &amp; "BR" &amp; IF(Z288 &lt;&gt; "-", "/" &amp; Z288 &amp; "BT", ""), IF(Z288 &lt;&gt; "-", Y288 &amp; "BT/" &amp; Z288 &amp; "BT", Y288 &amp; "BT"))))</f>
        <v/>
      </c>
    </row>
    <row r="289">
      <c r="A289" s="7" t="n">
        <v>558</v>
      </c>
      <c r="B289" s="7" t="inlineStr">
        <is>
          <t>SR 1001</t>
        </is>
      </c>
      <c r="C289" s="7" t="n">
        <v>0</v>
      </c>
      <c r="D289" s="7" t="n"/>
      <c r="E289" s="7" t="inlineStr">
        <is>
          <t>SR 1619</t>
        </is>
      </c>
      <c r="F289" s="7" t="inlineStr">
        <is>
          <t>SR 1618</t>
        </is>
      </c>
      <c r="G289" s="7" t="inlineStr">
        <is>
          <t>SR 1001</t>
        </is>
      </c>
      <c r="H289" s="7" t="n">
        <v>3.461</v>
      </c>
      <c r="I289" s="7" t="inlineStr">
        <is>
          <t>?</t>
        </is>
      </c>
      <c r="J289" s="7" t="n"/>
      <c r="K289" s="7" t="n"/>
      <c r="L289" s="7" t="n">
        <v>105363964</v>
      </c>
      <c r="M289" s="8" t="n">
        <v>43126</v>
      </c>
      <c r="N289" s="7" t="n">
        <v>30</v>
      </c>
      <c r="O289" s="7" t="n">
        <v>1</v>
      </c>
      <c r="P289" s="7" t="n">
        <v>7</v>
      </c>
      <c r="Q289" s="7" t="n">
        <v>5</v>
      </c>
      <c r="R289" s="7" t="inlineStr">
        <is>
          <t>C</t>
        </is>
      </c>
      <c r="S289" s="7">
        <f>IFERROR(VLOOKUP(N289,Index!$A$1:$B$26,2,FALSE),"")</f>
        <v/>
      </c>
      <c r="T289" s="7">
        <f>AA289</f>
        <v/>
      </c>
      <c r="U289" s="7" t="inlineStr">
        <is>
          <t>angle coded 0.000 from SR 1619 at SR 1001 MP 3.461; the Features Report puts SR 1619 at the study junction as the east leg of Tom Boyd, so this is at the intersection unless the report says otherwise; likely ADD and target</t>
        </is>
      </c>
      <c r="V289" s="7">
        <f>IFERROR(INDEX(DetailedFiche!Q:Q,MATCH(L289,DetailedFiche!J:J,0)),"")</f>
        <v/>
      </c>
      <c r="W289" s="7">
        <f>IFERROR(INDEX(DetailedFiche!R:R,MATCH(L289,DetailedFiche!J:J,0)),"")</f>
        <v/>
      </c>
      <c r="X289" s="7" t="n"/>
      <c r="Y289" s="7">
        <f>IFERROR(IF(AND(INDEX('Initial Study'!K:K, MATCH(L289, 'Initial Study'!B:B, 0)+1)&lt;&gt;0,INDEX('Initial Study'!K:K, MATCH(L289, 'Initial Study'!B:B, 0)+1)&lt;&gt;""),INDEX('Initial Study'!K:K, MATCH(L289, 'Initial Study'!B:B, 0)+1),""),"")</f>
        <v/>
      </c>
      <c r="Z289" s="7">
        <f>IFERROR(IF(AND(INDEX('Initial Study'!K:K, MATCH(L289, 'Initial Study'!B:B, 0)+2)&lt;&gt;0,INDEX('Initial Study'!K:K, MATCH(L289, 'Initial Study'!B:B, 0)+2)&lt;&gt;"",NOT(ISNUMBER(INDEX('Initial Study'!K:K, MATCH(L289, 'Initial Study'!B:B, 0)+2)))),INDEX('Initial Study'!K:K, MATCH(L289, 'Initial Study'!B:B, 0)+2),"-"),"-")</f>
        <v/>
      </c>
      <c r="AA289" s="7">
        <f>IF(S289="RE", Y289 &amp; "BT/" &amp; IF(Z289 &lt;&gt; "-", Z289 &amp; "BT", ""), IF(OR(S289="LTDR", S289="LTSR"), Y289 &amp; "BL" &amp; IF(Z289 &lt;&gt; "-", "/" &amp; Z289 &amp; "BT", ""), IF(OR(S289="RTDR", S289="RTSR"), Y289 &amp; "BR" &amp; IF(Z289 &lt;&gt; "-", "/" &amp; Z289 &amp; "BT", ""), IF(Z289 &lt;&gt; "-", Y289 &amp; "BT/" &amp; Z289 &amp; "BT", Y289 &amp; "BT"))))</f>
        <v/>
      </c>
    </row>
    <row r="290">
      <c r="A290" s="9" t="n">
        <v>558</v>
      </c>
      <c r="B290" s="9" t="inlineStr">
        <is>
          <t>SIKES MILL</t>
        </is>
      </c>
      <c r="C290" s="9" t="n">
        <v>0</v>
      </c>
      <c r="D290" s="9" t="n"/>
      <c r="E290" s="9" t="inlineStr">
        <is>
          <t>TOM BOYD</t>
        </is>
      </c>
      <c r="F290" s="9" t="inlineStr">
        <is>
          <t>UNIONVILLE</t>
        </is>
      </c>
      <c r="G290" s="9" t="inlineStr">
        <is>
          <t>SR 1001</t>
        </is>
      </c>
      <c r="H290" s="9" t="n">
        <v>3.461</v>
      </c>
      <c r="I290" s="9" t="inlineStr">
        <is>
          <t>IS</t>
        </is>
      </c>
      <c r="J290" s="9" t="n"/>
      <c r="K290" s="9" t="n"/>
      <c r="L290" s="9" t="n">
        <v>107601791</v>
      </c>
      <c r="M290" s="10" t="n">
        <v>45314</v>
      </c>
      <c r="N290" s="9" t="n">
        <v>30</v>
      </c>
      <c r="O290" s="9" t="n">
        <v>2</v>
      </c>
      <c r="P290" s="9" t="n">
        <v>7</v>
      </c>
      <c r="Q290" s="9" t="n">
        <v>1</v>
      </c>
      <c r="R290" s="9" t="inlineStr">
        <is>
          <t>O</t>
        </is>
      </c>
      <c r="S290" s="9">
        <f>IFERROR(VLOOKUP(N290,Index!$A$1:$B$26,2,FALSE),"")</f>
        <v/>
      </c>
      <c r="T290" s="9">
        <f>AA290</f>
        <v/>
      </c>
      <c r="U290" s="9" t="inlineStr">
        <is>
          <t>coded at the junction, 0.000 from the study pair</t>
        </is>
      </c>
      <c r="V290" s="9">
        <f>IFERROR(INDEX(DetailedFiche!Q:Q,MATCH(L290,DetailedFiche!J:J,0)),"")</f>
        <v/>
      </c>
      <c r="W290" s="9">
        <f>IFERROR(INDEX(DetailedFiche!R:R,MATCH(L290,DetailedFiche!J:J,0)),"")</f>
        <v/>
      </c>
      <c r="X290" s="9" t="n"/>
      <c r="Y290" s="9">
        <f>IFERROR(IF(AND(INDEX('Initial Study'!K:K, MATCH(L290, 'Initial Study'!B:B, 0)+1)&lt;&gt;0,INDEX('Initial Study'!K:K, MATCH(L290, 'Initial Study'!B:B, 0)+1)&lt;&gt;""),INDEX('Initial Study'!K:K, MATCH(L290, 'Initial Study'!B:B, 0)+1),""),"")</f>
        <v/>
      </c>
      <c r="Z290" s="9">
        <f>IFERROR(IF(AND(INDEX('Initial Study'!K:K, MATCH(L290, 'Initial Study'!B:B, 0)+2)&lt;&gt;0,INDEX('Initial Study'!K:K, MATCH(L290, 'Initial Study'!B:B, 0)+2)&lt;&gt;"",NOT(ISNUMBER(INDEX('Initial Study'!K:K, MATCH(L290, 'Initial Study'!B:B, 0)+2)))),INDEX('Initial Study'!K:K, MATCH(L290, 'Initial Study'!B:B, 0)+2),"-"),"-")</f>
        <v/>
      </c>
      <c r="AA290" s="9">
        <f>IF(S290="RE", Y290 &amp; "BT/" &amp; IF(Z290 &lt;&gt; "-", Z290 &amp; "BT", ""), IF(OR(S290="LTDR", S290="LTSR"), Y290 &amp; "BL" &amp; IF(Z290 &lt;&gt; "-", "/" &amp; Z290 &amp; "BT", ""), IF(OR(S290="RTDR", S290="RTSR"), Y290 &amp; "BR" &amp; IF(Z290 &lt;&gt; "-", "/" &amp; Z290 &amp; "BT", ""), IF(Z290 &lt;&gt; "-", Y290 &amp; "BT/" &amp; Z290 &amp; "BT", Y290 &amp; "BT"))))</f>
        <v/>
      </c>
    </row>
    <row r="291">
      <c r="A291" s="9" t="n">
        <v>558</v>
      </c>
      <c r="B291" s="9" t="inlineStr">
        <is>
          <t>SIKES MILL</t>
        </is>
      </c>
      <c r="C291" s="9" t="n">
        <v>0</v>
      </c>
      <c r="D291" s="9" t="n"/>
      <c r="E291" s="9" t="inlineStr">
        <is>
          <t>TOM BOYD</t>
        </is>
      </c>
      <c r="F291" s="9" t="inlineStr">
        <is>
          <t>UNIONVILLE</t>
        </is>
      </c>
      <c r="G291" s="9" t="inlineStr">
        <is>
          <t>SR 1001</t>
        </is>
      </c>
      <c r="H291" s="9" t="n">
        <v>3.461</v>
      </c>
      <c r="I291" s="9" t="inlineStr">
        <is>
          <t>IS</t>
        </is>
      </c>
      <c r="J291" s="9" t="n"/>
      <c r="K291" s="9" t="n"/>
      <c r="L291" s="9" t="n">
        <v>106772984</v>
      </c>
      <c r="M291" s="10" t="n">
        <v>44519</v>
      </c>
      <c r="N291" s="9" t="n">
        <v>30</v>
      </c>
      <c r="O291" s="9" t="n">
        <v>1</v>
      </c>
      <c r="P291" s="9" t="n">
        <v>7</v>
      </c>
      <c r="Q291" s="9" t="n">
        <v>1</v>
      </c>
      <c r="R291" s="9" t="inlineStr">
        <is>
          <t>O</t>
        </is>
      </c>
      <c r="S291" s="9">
        <f>IFERROR(VLOOKUP(N291,Index!$A$1:$B$26,2,FALSE),"")</f>
        <v/>
      </c>
      <c r="T291" s="9">
        <f>AA291</f>
        <v/>
      </c>
      <c r="U291" s="9" t="inlineStr">
        <is>
          <t>coded at the junction, 0.000 from the study pair</t>
        </is>
      </c>
      <c r="V291" s="9">
        <f>IFERROR(INDEX(DetailedFiche!Q:Q,MATCH(L291,DetailedFiche!J:J,0)),"")</f>
        <v/>
      </c>
      <c r="W291" s="9">
        <f>IFERROR(INDEX(DetailedFiche!R:R,MATCH(L291,DetailedFiche!J:J,0)),"")</f>
        <v/>
      </c>
      <c r="X291" s="9" t="n"/>
      <c r="Y291" s="9">
        <f>IFERROR(IF(AND(INDEX('Initial Study'!K:K, MATCH(L291, 'Initial Study'!B:B, 0)+1)&lt;&gt;0,INDEX('Initial Study'!K:K, MATCH(L291, 'Initial Study'!B:B, 0)+1)&lt;&gt;""),INDEX('Initial Study'!K:K, MATCH(L291, 'Initial Study'!B:B, 0)+1),""),"")</f>
        <v/>
      </c>
      <c r="Z291" s="9">
        <f>IFERROR(IF(AND(INDEX('Initial Study'!K:K, MATCH(L291, 'Initial Study'!B:B, 0)+2)&lt;&gt;0,INDEX('Initial Study'!K:K, MATCH(L291, 'Initial Study'!B:B, 0)+2)&lt;&gt;"",NOT(ISNUMBER(INDEX('Initial Study'!K:K, MATCH(L291, 'Initial Study'!B:B, 0)+2)))),INDEX('Initial Study'!K:K, MATCH(L291, 'Initial Study'!B:B, 0)+2),"-"),"-")</f>
        <v/>
      </c>
      <c r="AA291" s="9">
        <f>IF(S291="RE", Y291 &amp; "BT/" &amp; IF(Z291 &lt;&gt; "-", Z291 &amp; "BT", ""), IF(OR(S291="LTDR", S291="LTSR"), Y291 &amp; "BL" &amp; IF(Z291 &lt;&gt; "-", "/" &amp; Z291 &amp; "BT", ""), IF(OR(S291="RTDR", S291="RTSR"), Y291 &amp; "BR" &amp; IF(Z291 &lt;&gt; "-", "/" &amp; Z291 &amp; "BT", ""), IF(Z291 &lt;&gt; "-", Y291 &amp; "BT/" &amp; Z291 &amp; "BT", Y291 &amp; "BT"))))</f>
        <v/>
      </c>
    </row>
    <row r="292">
      <c r="A292" s="9" t="n">
        <v>558</v>
      </c>
      <c r="B292" s="9" t="inlineStr">
        <is>
          <t>SIKES MILL</t>
        </is>
      </c>
      <c r="C292" s="9" t="n">
        <v>0</v>
      </c>
      <c r="D292" s="9" t="n"/>
      <c r="E292" s="9" t="inlineStr">
        <is>
          <t>TOM BOYD</t>
        </is>
      </c>
      <c r="F292" s="9" t="inlineStr">
        <is>
          <t>LOVE MILL</t>
        </is>
      </c>
      <c r="G292" s="9" t="inlineStr">
        <is>
          <t>SR 1001</t>
        </is>
      </c>
      <c r="H292" s="9" t="n">
        <v>3.461</v>
      </c>
      <c r="I292" s="9" t="inlineStr">
        <is>
          <t>IS</t>
        </is>
      </c>
      <c r="J292" s="9" t="n"/>
      <c r="K292" s="9" t="n"/>
      <c r="L292" s="9" t="n">
        <v>107870118</v>
      </c>
      <c r="M292" s="10" t="n">
        <v>45568</v>
      </c>
      <c r="N292" s="9" t="n">
        <v>30</v>
      </c>
      <c r="O292" s="9" t="n">
        <v>1</v>
      </c>
      <c r="P292" s="9" t="n">
        <v>7</v>
      </c>
      <c r="Q292" s="9" t="n">
        <v>1</v>
      </c>
      <c r="R292" s="9" t="inlineStr">
        <is>
          <t>O</t>
        </is>
      </c>
      <c r="S292" s="9">
        <f>IFERROR(VLOOKUP(N292,Index!$A$1:$B$26,2,FALSE),"")</f>
        <v/>
      </c>
      <c r="T292" s="9">
        <f>AA292</f>
        <v/>
      </c>
      <c r="U292" s="9" t="inlineStr">
        <is>
          <t>coded at the junction, 0.000 from the study pair</t>
        </is>
      </c>
      <c r="V292" s="9">
        <f>IFERROR(INDEX(DetailedFiche!Q:Q,MATCH(L292,DetailedFiche!J:J,0)),"")</f>
        <v/>
      </c>
      <c r="W292" s="9">
        <f>IFERROR(INDEX(DetailedFiche!R:R,MATCH(L292,DetailedFiche!J:J,0)),"")</f>
        <v/>
      </c>
      <c r="X292" s="9" t="n"/>
      <c r="Y292" s="9">
        <f>IFERROR(IF(AND(INDEX('Initial Study'!K:K, MATCH(L292, 'Initial Study'!B:B, 0)+1)&lt;&gt;0,INDEX('Initial Study'!K:K, MATCH(L292, 'Initial Study'!B:B, 0)+1)&lt;&gt;""),INDEX('Initial Study'!K:K, MATCH(L292, 'Initial Study'!B:B, 0)+1),""),"")</f>
        <v/>
      </c>
      <c r="Z292" s="9">
        <f>IFERROR(IF(AND(INDEX('Initial Study'!K:K, MATCH(L292, 'Initial Study'!B:B, 0)+2)&lt;&gt;0,INDEX('Initial Study'!K:K, MATCH(L292, 'Initial Study'!B:B, 0)+2)&lt;&gt;"",NOT(ISNUMBER(INDEX('Initial Study'!K:K, MATCH(L292, 'Initial Study'!B:B, 0)+2)))),INDEX('Initial Study'!K:K, MATCH(L292, 'Initial Study'!B:B, 0)+2),"-"),"-")</f>
        <v/>
      </c>
      <c r="AA292" s="9">
        <f>IF(S292="RE", Y292 &amp; "BT/" &amp; IF(Z292 &lt;&gt; "-", Z292 &amp; "BT", ""), IF(OR(S292="LTDR", S292="LTSR"), Y292 &amp; "BL" &amp; IF(Z292 &lt;&gt; "-", "/" &amp; Z292 &amp; "BT", ""), IF(OR(S292="RTDR", S292="RTSR"), Y292 &amp; "BR" &amp; IF(Z292 &lt;&gt; "-", "/" &amp; Z292 &amp; "BT", ""), IF(Z292 &lt;&gt; "-", Y292 &amp; "BT/" &amp; Z292 &amp; "BT", Y292 &amp; "BT"))))</f>
        <v/>
      </c>
    </row>
    <row r="293">
      <c r="A293" s="9" t="n">
        <v>558</v>
      </c>
      <c r="B293" s="9" t="inlineStr">
        <is>
          <t>SIKES MILL</t>
        </is>
      </c>
      <c r="C293" s="9" t="n">
        <v>0</v>
      </c>
      <c r="D293" s="9" t="n"/>
      <c r="E293" s="9" t="inlineStr">
        <is>
          <t>TOM BOYD</t>
        </is>
      </c>
      <c r="F293" s="9" t="inlineStr">
        <is>
          <t>LAWYERS</t>
        </is>
      </c>
      <c r="G293" s="9" t="inlineStr">
        <is>
          <t>SR 1001</t>
        </is>
      </c>
      <c r="H293" s="9" t="n">
        <v>3.461</v>
      </c>
      <c r="I293" s="9" t="inlineStr">
        <is>
          <t>IS</t>
        </is>
      </c>
      <c r="J293" s="9" t="n"/>
      <c r="K293" s="9" t="n"/>
      <c r="L293" s="9" t="n">
        <v>106133705</v>
      </c>
      <c r="M293" s="10" t="n">
        <v>43853</v>
      </c>
      <c r="N293" s="9" t="n">
        <v>30</v>
      </c>
      <c r="O293" s="9" t="n">
        <v>1</v>
      </c>
      <c r="P293" s="9" t="n">
        <v>7</v>
      </c>
      <c r="Q293" s="9" t="n">
        <v>1</v>
      </c>
      <c r="R293" s="9" t="inlineStr">
        <is>
          <t>O</t>
        </is>
      </c>
      <c r="S293" s="9">
        <f>IFERROR(VLOOKUP(N293,Index!$A$1:$B$26,2,FALSE),"")</f>
        <v/>
      </c>
      <c r="T293" s="9">
        <f>AA293</f>
        <v/>
      </c>
      <c r="U293" s="9" t="inlineStr">
        <is>
          <t>coded at the junction, 0.000 from the study pair</t>
        </is>
      </c>
      <c r="V293" s="9">
        <f>IFERROR(INDEX(DetailedFiche!Q:Q,MATCH(L293,DetailedFiche!J:J,0)),"")</f>
        <v/>
      </c>
      <c r="W293" s="9">
        <f>IFERROR(INDEX(DetailedFiche!R:R,MATCH(L293,DetailedFiche!J:J,0)),"")</f>
        <v/>
      </c>
      <c r="X293" s="9" t="n"/>
      <c r="Y293" s="9">
        <f>IFERROR(IF(AND(INDEX('Initial Study'!K:K, MATCH(L293, 'Initial Study'!B:B, 0)+1)&lt;&gt;0,INDEX('Initial Study'!K:K, MATCH(L293, 'Initial Study'!B:B, 0)+1)&lt;&gt;""),INDEX('Initial Study'!K:K, MATCH(L293, 'Initial Study'!B:B, 0)+1),""),"")</f>
        <v/>
      </c>
      <c r="Z293" s="9">
        <f>IFERROR(IF(AND(INDEX('Initial Study'!K:K, MATCH(L293, 'Initial Study'!B:B, 0)+2)&lt;&gt;0,INDEX('Initial Study'!K:K, MATCH(L293, 'Initial Study'!B:B, 0)+2)&lt;&gt;"",NOT(ISNUMBER(INDEX('Initial Study'!K:K, MATCH(L293, 'Initial Study'!B:B, 0)+2)))),INDEX('Initial Study'!K:K, MATCH(L293, 'Initial Study'!B:B, 0)+2),"-"),"-")</f>
        <v/>
      </c>
      <c r="AA293" s="9">
        <f>IF(S293="RE", Y293 &amp; "BT/" &amp; IF(Z293 &lt;&gt; "-", Z293 &amp; "BT", ""), IF(OR(S293="LTDR", S293="LTSR"), Y293 &amp; "BL" &amp; IF(Z293 &lt;&gt; "-", "/" &amp; Z293 &amp; "BT", ""), IF(OR(S293="RTDR", S293="RTSR"), Y293 &amp; "BR" &amp; IF(Z293 &lt;&gt; "-", "/" &amp; Z293 &amp; "BT", ""), IF(Z293 &lt;&gt; "-", Y293 &amp; "BT/" &amp; Z293 &amp; "BT", Y293 &amp; "BT"))))</f>
        <v/>
      </c>
    </row>
    <row r="294">
      <c r="A294" s="9" t="n">
        <v>558</v>
      </c>
      <c r="B294" s="9" t="inlineStr">
        <is>
          <t>SR 1001</t>
        </is>
      </c>
      <c r="C294" s="9" t="n">
        <v>0.005</v>
      </c>
      <c r="D294" s="9" t="inlineStr">
        <is>
          <t>N</t>
        </is>
      </c>
      <c r="E294" s="9" t="inlineStr">
        <is>
          <t>SR 1617</t>
        </is>
      </c>
      <c r="F294" s="9" t="inlineStr">
        <is>
          <t>SR 1637</t>
        </is>
      </c>
      <c r="G294" s="9" t="inlineStr">
        <is>
          <t>SR 1001</t>
        </is>
      </c>
      <c r="H294" s="9" t="n">
        <v>3.466</v>
      </c>
      <c r="I294" s="9" t="inlineStr">
        <is>
          <t>IS</t>
        </is>
      </c>
      <c r="J294" s="9" t="n"/>
      <c r="K294" s="9" t="n"/>
      <c r="L294" s="9" t="n">
        <v>106126767</v>
      </c>
      <c r="M294" s="10" t="n">
        <v>43843</v>
      </c>
      <c r="N294" s="9" t="n">
        <v>21</v>
      </c>
      <c r="O294" s="9" t="n">
        <v>2</v>
      </c>
      <c r="P294" s="9" t="n">
        <v>7</v>
      </c>
      <c r="Q294" s="9" t="n">
        <v>1</v>
      </c>
      <c r="R294" s="9" t="inlineStr">
        <is>
          <t>O</t>
        </is>
      </c>
      <c r="S294" s="9">
        <f>IFERROR(VLOOKUP(N294,Index!$A$1:$B$26,2,FALSE),"")</f>
        <v/>
      </c>
      <c r="T294" s="9">
        <f>AA294</f>
        <v/>
      </c>
      <c r="U294" s="9" t="inlineStr">
        <is>
          <t>SR 1001 MP 3.466, 26 ft north</t>
        </is>
      </c>
      <c r="V294" s="9">
        <f>IFERROR(INDEX(DetailedFiche!Q:Q,MATCH(L294,DetailedFiche!J:J,0)),"")</f>
        <v/>
      </c>
      <c r="W294" s="9">
        <f>IFERROR(INDEX(DetailedFiche!R:R,MATCH(L294,DetailedFiche!J:J,0)),"")</f>
        <v/>
      </c>
      <c r="X294" s="9" t="n"/>
      <c r="Y294" s="9">
        <f>IFERROR(IF(AND(INDEX('Initial Study'!K:K, MATCH(L294, 'Initial Study'!B:B, 0)+1)&lt;&gt;0,INDEX('Initial Study'!K:K, MATCH(L294, 'Initial Study'!B:B, 0)+1)&lt;&gt;""),INDEX('Initial Study'!K:K, MATCH(L294, 'Initial Study'!B:B, 0)+1),""),"")</f>
        <v/>
      </c>
      <c r="Z294" s="9">
        <f>IFERROR(IF(AND(INDEX('Initial Study'!K:K, MATCH(L294, 'Initial Study'!B:B, 0)+2)&lt;&gt;0,INDEX('Initial Study'!K:K, MATCH(L294, 'Initial Study'!B:B, 0)+2)&lt;&gt;"",NOT(ISNUMBER(INDEX('Initial Study'!K:K, MATCH(L294, 'Initial Study'!B:B, 0)+2)))),INDEX('Initial Study'!K:K, MATCH(L294, 'Initial Study'!B:B, 0)+2),"-"),"-")</f>
        <v/>
      </c>
      <c r="AA294" s="9">
        <f>IF(S294="RE", Y294 &amp; "BT/" &amp; IF(Z294 &lt;&gt; "-", Z294 &amp; "BT", ""), IF(OR(S294="LTDR", S294="LTSR"), Y294 &amp; "BL" &amp; IF(Z294 &lt;&gt; "-", "/" &amp; Z294 &amp; "BT", ""), IF(OR(S294="RTDR", S294="RTSR"), Y294 &amp; "BR" &amp; IF(Z294 &lt;&gt; "-", "/" &amp; Z294 &amp; "BT", ""), IF(Z294 &lt;&gt; "-", Y294 &amp; "BT/" &amp; Z294 &amp; "BT", Y294 &amp; "BT"))))</f>
        <v/>
      </c>
    </row>
    <row r="295">
      <c r="A295" s="9" t="n">
        <v>558</v>
      </c>
      <c r="B295" s="9" t="inlineStr">
        <is>
          <t>SIKES MILL</t>
        </is>
      </c>
      <c r="C295" s="9" t="n">
        <v>0.005</v>
      </c>
      <c r="D295" s="9" t="inlineStr">
        <is>
          <t>N</t>
        </is>
      </c>
      <c r="E295" s="9" t="inlineStr">
        <is>
          <t>TOM BOYD</t>
        </is>
      </c>
      <c r="F295" s="9" t="inlineStr">
        <is>
          <t>LOVE MILL</t>
        </is>
      </c>
      <c r="G295" s="9" t="inlineStr">
        <is>
          <t>SR 1001</t>
        </is>
      </c>
      <c r="H295" s="9" t="n">
        <v>3.466</v>
      </c>
      <c r="I295" s="9" t="inlineStr">
        <is>
          <t>IS</t>
        </is>
      </c>
      <c r="J295" s="9" t="n"/>
      <c r="K295" s="9" t="n"/>
      <c r="L295" s="9" t="n">
        <v>107945637</v>
      </c>
      <c r="M295" s="10" t="n">
        <v>45630</v>
      </c>
      <c r="N295" s="9" t="n">
        <v>21</v>
      </c>
      <c r="O295" s="9" t="n">
        <v>1</v>
      </c>
      <c r="P295" s="9" t="n">
        <v>7</v>
      </c>
      <c r="Q295" s="9" t="n">
        <v>1</v>
      </c>
      <c r="R295" s="9" t="inlineStr">
        <is>
          <t>C</t>
        </is>
      </c>
      <c r="S295" s="9">
        <f>IFERROR(VLOOKUP(N295,Index!$A$1:$B$26,2,FALSE),"")</f>
        <v/>
      </c>
      <c r="T295" s="9">
        <f>AA295</f>
        <v/>
      </c>
      <c r="U295" s="9" t="inlineStr">
        <is>
          <t>SR 1001 MP 3.466, 26 ft north</t>
        </is>
      </c>
      <c r="V295" s="9">
        <f>IFERROR(INDEX(DetailedFiche!Q:Q,MATCH(L295,DetailedFiche!J:J,0)),"")</f>
        <v/>
      </c>
      <c r="W295" s="9">
        <f>IFERROR(INDEX(DetailedFiche!R:R,MATCH(L295,DetailedFiche!J:J,0)),"")</f>
        <v/>
      </c>
      <c r="X295" s="9" t="n"/>
      <c r="Y295" s="9">
        <f>IFERROR(IF(AND(INDEX('Initial Study'!K:K, MATCH(L295, 'Initial Study'!B:B, 0)+1)&lt;&gt;0,INDEX('Initial Study'!K:K, MATCH(L295, 'Initial Study'!B:B, 0)+1)&lt;&gt;""),INDEX('Initial Study'!K:K, MATCH(L295, 'Initial Study'!B:B, 0)+1),""),"")</f>
        <v/>
      </c>
      <c r="Z295" s="9">
        <f>IFERROR(IF(AND(INDEX('Initial Study'!K:K, MATCH(L295, 'Initial Study'!B:B, 0)+2)&lt;&gt;0,INDEX('Initial Study'!K:K, MATCH(L295, 'Initial Study'!B:B, 0)+2)&lt;&gt;"",NOT(ISNUMBER(INDEX('Initial Study'!K:K, MATCH(L295, 'Initial Study'!B:B, 0)+2)))),INDEX('Initial Study'!K:K, MATCH(L295, 'Initial Study'!B:B, 0)+2),"-"),"-")</f>
        <v/>
      </c>
      <c r="AA295" s="9">
        <f>IF(S295="RE", Y295 &amp; "BT/" &amp; IF(Z295 &lt;&gt; "-", Z295 &amp; "BT", ""), IF(OR(S295="LTDR", S295="LTSR"), Y295 &amp; "BL" &amp; IF(Z295 &lt;&gt; "-", "/" &amp; Z295 &amp; "BT", ""), IF(OR(S295="RTDR", S295="RTSR"), Y295 &amp; "BR" &amp; IF(Z295 &lt;&gt; "-", "/" &amp; Z295 &amp; "BT", ""), IF(Z295 &lt;&gt; "-", Y295 &amp; "BT/" &amp; Z295 &amp; "BT", Y295 &amp; "BT"))))</f>
        <v/>
      </c>
    </row>
    <row r="296">
      <c r="A296" t="n">
        <v>558</v>
      </c>
      <c r="B296" t="inlineStr">
        <is>
          <t>SR 1001</t>
        </is>
      </c>
      <c r="C296" t="n">
        <v>0.2</v>
      </c>
      <c r="D296" t="inlineStr">
        <is>
          <t>N</t>
        </is>
      </c>
      <c r="E296" t="inlineStr">
        <is>
          <t>SR 1617</t>
        </is>
      </c>
      <c r="F296" t="inlineStr">
        <is>
          <t>SR 1637</t>
        </is>
      </c>
      <c r="G296" t="inlineStr">
        <is>
          <t>SR 1001</t>
        </is>
      </c>
      <c r="H296" t="n">
        <v>3.661</v>
      </c>
      <c r="I296" t="inlineStr">
        <is>
          <t>NIS</t>
        </is>
      </c>
      <c r="L296" t="n">
        <v>105191883</v>
      </c>
      <c r="M296" s="6" t="n">
        <v>42961</v>
      </c>
      <c r="N296" t="n">
        <v>24</v>
      </c>
      <c r="O296" t="n">
        <v>1</v>
      </c>
      <c r="P296" t="n">
        <v>4</v>
      </c>
      <c r="Q296" t="n">
        <v>1</v>
      </c>
      <c r="R296" t="inlineStr">
        <is>
          <t>O</t>
        </is>
      </c>
      <c r="S296">
        <f>IFERROR(VLOOKUP(N296,Index!$A$1:$B$26,2,FALSE),"")</f>
        <v/>
      </c>
      <c r="T296">
        <f>AA296</f>
        <v/>
      </c>
      <c r="V296">
        <f>IFERROR(INDEX(DetailedFiche!Q:Q,MATCH(L296,DetailedFiche!J:J,0)),"")</f>
        <v/>
      </c>
      <c r="W296">
        <f>IFERROR(INDEX(DetailedFiche!R:R,MATCH(L296,DetailedFiche!J:J,0)),"")</f>
        <v/>
      </c>
      <c r="Y296">
        <f>IFERROR(IF(AND(INDEX('Initial Study'!K:K, MATCH(L296, 'Initial Study'!B:B, 0)+1)&lt;&gt;0,INDEX('Initial Study'!K:K, MATCH(L296, 'Initial Study'!B:B, 0)+1)&lt;&gt;""),INDEX('Initial Study'!K:K, MATCH(L296, 'Initial Study'!B:B, 0)+1),""),"")</f>
        <v/>
      </c>
      <c r="Z296">
        <f>IFERROR(IF(AND(INDEX('Initial Study'!K:K, MATCH(L296, 'Initial Study'!B:B, 0)+2)&lt;&gt;0,INDEX('Initial Study'!K:K, MATCH(L296, 'Initial Study'!B:B, 0)+2)&lt;&gt;"",NOT(ISNUMBER(INDEX('Initial Study'!K:K, MATCH(L296, 'Initial Study'!B:B, 0)+2)))),INDEX('Initial Study'!K:K, MATCH(L296, 'Initial Study'!B:B, 0)+2),"-"),"-")</f>
        <v/>
      </c>
      <c r="AA296">
        <f>IF(S296="RE", Y296 &amp; "BT/" &amp; IF(Z296 &lt;&gt; "-", Z296 &amp; "BT", ""), IF(OR(S296="LTDR", S296="LTSR"), Y296 &amp; "BL" &amp; IF(Z296 &lt;&gt; "-", "/" &amp; Z296 &amp; "BT", ""), IF(OR(S296="RTDR", S296="RTSR"), Y296 &amp; "BR" &amp; IF(Z296 &lt;&gt; "-", "/" &amp; Z296 &amp; "BT", ""), IF(Z296 &lt;&gt; "-", Y296 &amp; "BT/" &amp; Z296 &amp; "BT", Y296 &amp; "BT"))))</f>
        <v/>
      </c>
    </row>
    <row r="297">
      <c r="A297" t="n">
        <v>558</v>
      </c>
      <c r="B297" t="inlineStr">
        <is>
          <t>SIKES MILL</t>
        </is>
      </c>
      <c r="C297" t="n">
        <v>0.23</v>
      </c>
      <c r="D297" t="inlineStr">
        <is>
          <t>NE</t>
        </is>
      </c>
      <c r="E297" t="inlineStr">
        <is>
          <t>TOM BOYD</t>
        </is>
      </c>
      <c r="F297" t="inlineStr">
        <is>
          <t>LAWYERS</t>
        </is>
      </c>
      <c r="G297" t="inlineStr">
        <is>
          <t>SR 1001</t>
        </is>
      </c>
      <c r="H297" t="n">
        <v>3.691</v>
      </c>
      <c r="I297" t="inlineStr">
        <is>
          <t>NIS</t>
        </is>
      </c>
      <c r="L297" t="n">
        <v>106477388</v>
      </c>
      <c r="M297" s="6" t="n">
        <v>44222</v>
      </c>
      <c r="N297" t="n">
        <v>17</v>
      </c>
      <c r="O297" t="n">
        <v>2</v>
      </c>
      <c r="P297" t="n">
        <v>0</v>
      </c>
      <c r="Q297" t="n">
        <v>5</v>
      </c>
      <c r="R297" t="inlineStr">
        <is>
          <t>O</t>
        </is>
      </c>
      <c r="S297">
        <f>IFERROR(VLOOKUP(N297,Index!$A$1:$B$26,2,FALSE),"")</f>
        <v/>
      </c>
      <c r="T297">
        <f>AA297</f>
        <v/>
      </c>
      <c r="V297">
        <f>IFERROR(INDEX(DetailedFiche!Q:Q,MATCH(L297,DetailedFiche!J:J,0)),"")</f>
        <v/>
      </c>
      <c r="W297">
        <f>IFERROR(INDEX(DetailedFiche!R:R,MATCH(L297,DetailedFiche!J:J,0)),"")</f>
        <v/>
      </c>
      <c r="Y297">
        <f>IFERROR(IF(AND(INDEX('Initial Study'!K:K, MATCH(L297, 'Initial Study'!B:B, 0)+1)&lt;&gt;0,INDEX('Initial Study'!K:K, MATCH(L297, 'Initial Study'!B:B, 0)+1)&lt;&gt;""),INDEX('Initial Study'!K:K, MATCH(L297, 'Initial Study'!B:B, 0)+1),""),"")</f>
        <v/>
      </c>
      <c r="Z297">
        <f>IFERROR(IF(AND(INDEX('Initial Study'!K:K, MATCH(L297, 'Initial Study'!B:B, 0)+2)&lt;&gt;0,INDEX('Initial Study'!K:K, MATCH(L297, 'Initial Study'!B:B, 0)+2)&lt;&gt;"",NOT(ISNUMBER(INDEX('Initial Study'!K:K, MATCH(L297, 'Initial Study'!B:B, 0)+2)))),INDEX('Initial Study'!K:K, MATCH(L297, 'Initial Study'!B:B, 0)+2),"-"),"-")</f>
        <v/>
      </c>
      <c r="AA297">
        <f>IF(S297="RE", Y297 &amp; "BT/" &amp; IF(Z297 &lt;&gt; "-", Z297 &amp; "BT", ""), IF(OR(S297="LTDR", S297="LTSR"), Y297 &amp; "BL" &amp; IF(Z297 &lt;&gt; "-", "/" &amp; Z297 &amp; "BT", ""), IF(OR(S297="RTDR", S297="RTSR"), Y297 &amp; "BR" &amp; IF(Z297 &lt;&gt; "-", "/" &amp; Z297 &amp; "BT", ""), IF(Z297 &lt;&gt; "-", Y297 &amp; "BT/" &amp; Z297 &amp; "BT", Y297 &amp; "BT"))))</f>
        <v/>
      </c>
    </row>
    <row r="298">
      <c r="A298" t="n">
        <v>558</v>
      </c>
      <c r="B298" t="inlineStr">
        <is>
          <t>SIKES MILL</t>
        </is>
      </c>
      <c r="C298" t="n">
        <v>0.28</v>
      </c>
      <c r="D298" t="inlineStr">
        <is>
          <t>N</t>
        </is>
      </c>
      <c r="E298" t="inlineStr">
        <is>
          <t>TOM BOYD</t>
        </is>
      </c>
      <c r="F298" t="inlineStr">
        <is>
          <t>LAWYERS</t>
        </is>
      </c>
      <c r="G298" t="inlineStr">
        <is>
          <t>SR 1001</t>
        </is>
      </c>
      <c r="H298" t="n">
        <v>3.741</v>
      </c>
      <c r="I298" t="inlineStr">
        <is>
          <t>NIS</t>
        </is>
      </c>
      <c r="L298" t="n">
        <v>107216209</v>
      </c>
      <c r="M298" s="6" t="n">
        <v>44944</v>
      </c>
      <c r="N298" t="n">
        <v>19</v>
      </c>
      <c r="O298" t="n">
        <v>1</v>
      </c>
      <c r="P298" t="n">
        <v>0</v>
      </c>
      <c r="Q298" t="n">
        <v>1</v>
      </c>
      <c r="R298" t="inlineStr">
        <is>
          <t>O</t>
        </is>
      </c>
      <c r="S298">
        <f>IFERROR(VLOOKUP(N298,Index!$A$1:$B$26,2,FALSE),"")</f>
        <v/>
      </c>
      <c r="T298">
        <f>AA298</f>
        <v/>
      </c>
      <c r="V298">
        <f>IFERROR(INDEX(DetailedFiche!Q:Q,MATCH(L298,DetailedFiche!J:J,0)),"")</f>
        <v/>
      </c>
      <c r="W298">
        <f>IFERROR(INDEX(DetailedFiche!R:R,MATCH(L298,DetailedFiche!J:J,0)),"")</f>
        <v/>
      </c>
      <c r="Y298">
        <f>IFERROR(IF(AND(INDEX('Initial Study'!K:K, MATCH(L298, 'Initial Study'!B:B, 0)+1)&lt;&gt;0,INDEX('Initial Study'!K:K, MATCH(L298, 'Initial Study'!B:B, 0)+1)&lt;&gt;""),INDEX('Initial Study'!K:K, MATCH(L298, 'Initial Study'!B:B, 0)+1),""),"")</f>
        <v/>
      </c>
      <c r="Z298">
        <f>IFERROR(IF(AND(INDEX('Initial Study'!K:K, MATCH(L298, 'Initial Study'!B:B, 0)+2)&lt;&gt;0,INDEX('Initial Study'!K:K, MATCH(L298, 'Initial Study'!B:B, 0)+2)&lt;&gt;"",NOT(ISNUMBER(INDEX('Initial Study'!K:K, MATCH(L298, 'Initial Study'!B:B, 0)+2)))),INDEX('Initial Study'!K:K, MATCH(L298, 'Initial Study'!B:B, 0)+2),"-"),"-")</f>
        <v/>
      </c>
      <c r="AA298">
        <f>IF(S298="RE", Y298 &amp; "BT/" &amp; IF(Z298 &lt;&gt; "-", Z298 &amp; "BT", ""), IF(OR(S298="LTDR", S298="LTSR"), Y298 &amp; "BL" &amp; IF(Z298 &lt;&gt; "-", "/" &amp; Z298 &amp; "BT", ""), IF(OR(S298="RTDR", S298="RTSR"), Y298 &amp; "BR" &amp; IF(Z298 &lt;&gt; "-", "/" &amp; Z298 &amp; "BT", ""), IF(Z298 &lt;&gt; "-", Y298 &amp; "BT/" &amp; Z298 &amp; "BT", Y298 &amp; "BT"))))</f>
        <v/>
      </c>
    </row>
    <row r="299">
      <c r="A299" t="n">
        <v>558</v>
      </c>
      <c r="B299" t="inlineStr">
        <is>
          <t>SR 1001</t>
        </is>
      </c>
      <c r="C299" t="n">
        <v>0.3</v>
      </c>
      <c r="D299" t="inlineStr">
        <is>
          <t>N</t>
        </is>
      </c>
      <c r="E299" t="inlineStr">
        <is>
          <t>SR 1617</t>
        </is>
      </c>
      <c r="F299" t="inlineStr">
        <is>
          <t>SR 1618</t>
        </is>
      </c>
      <c r="G299" t="inlineStr">
        <is>
          <t>SR 1001</t>
        </is>
      </c>
      <c r="H299" t="n">
        <v>3.761</v>
      </c>
      <c r="I299" t="inlineStr">
        <is>
          <t>NIS</t>
        </is>
      </c>
      <c r="L299" t="n">
        <v>105867607</v>
      </c>
      <c r="M299" s="6" t="n">
        <v>43601</v>
      </c>
      <c r="N299" t="n">
        <v>21</v>
      </c>
      <c r="O299" t="n">
        <v>1</v>
      </c>
      <c r="P299" t="n">
        <v>0</v>
      </c>
      <c r="Q299" t="n">
        <v>1</v>
      </c>
      <c r="R299" t="inlineStr">
        <is>
          <t>C</t>
        </is>
      </c>
      <c r="S299">
        <f>IFERROR(VLOOKUP(N299,Index!$A$1:$B$26,2,FALSE),"")</f>
        <v/>
      </c>
      <c r="T299">
        <f>AA299</f>
        <v/>
      </c>
      <c r="V299">
        <f>IFERROR(INDEX(DetailedFiche!Q:Q,MATCH(L299,DetailedFiche!J:J,0)),"")</f>
        <v/>
      </c>
      <c r="W299">
        <f>IFERROR(INDEX(DetailedFiche!R:R,MATCH(L299,DetailedFiche!J:J,0)),"")</f>
        <v/>
      </c>
      <c r="Y299">
        <f>IFERROR(IF(AND(INDEX('Initial Study'!K:K, MATCH(L299, 'Initial Study'!B:B, 0)+1)&lt;&gt;0,INDEX('Initial Study'!K:K, MATCH(L299, 'Initial Study'!B:B, 0)+1)&lt;&gt;""),INDEX('Initial Study'!K:K, MATCH(L299, 'Initial Study'!B:B, 0)+1),""),"")</f>
        <v/>
      </c>
      <c r="Z299">
        <f>IFERROR(IF(AND(INDEX('Initial Study'!K:K, MATCH(L299, 'Initial Study'!B:B, 0)+2)&lt;&gt;0,INDEX('Initial Study'!K:K, MATCH(L299, 'Initial Study'!B:B, 0)+2)&lt;&gt;"",NOT(ISNUMBER(INDEX('Initial Study'!K:K, MATCH(L299, 'Initial Study'!B:B, 0)+2)))),INDEX('Initial Study'!K:K, MATCH(L299, 'Initial Study'!B:B, 0)+2),"-"),"-")</f>
        <v/>
      </c>
      <c r="AA299">
        <f>IF(S299="RE", Y299 &amp; "BT/" &amp; IF(Z299 &lt;&gt; "-", Z299 &amp; "BT", ""), IF(OR(S299="LTDR", S299="LTSR"), Y299 &amp; "BL" &amp; IF(Z299 &lt;&gt; "-", "/" &amp; Z299 &amp; "BT", ""), IF(OR(S299="RTDR", S299="RTSR"), Y299 &amp; "BR" &amp; IF(Z299 &lt;&gt; "-", "/" &amp; Z299 &amp; "BT", ""), IF(Z299 &lt;&gt; "-", Y299 &amp; "BT/" &amp; Z299 &amp; "BT", Y299 &amp; "BT"))))</f>
        <v/>
      </c>
    </row>
    <row r="300">
      <c r="A300" t="n">
        <v>558</v>
      </c>
      <c r="B300" t="inlineStr">
        <is>
          <t>SIKES MILL</t>
        </is>
      </c>
      <c r="C300" t="n">
        <v>0.3</v>
      </c>
      <c r="D300" t="inlineStr">
        <is>
          <t>N</t>
        </is>
      </c>
      <c r="E300" t="inlineStr">
        <is>
          <t>TOM BOYD</t>
        </is>
      </c>
      <c r="F300" t="inlineStr">
        <is>
          <t>TOM HELMS</t>
        </is>
      </c>
      <c r="G300" t="inlineStr">
        <is>
          <t>SR 1001</t>
        </is>
      </c>
      <c r="H300" t="n">
        <v>3.761</v>
      </c>
      <c r="I300" t="inlineStr">
        <is>
          <t>NIS</t>
        </is>
      </c>
      <c r="L300" t="n">
        <v>107879671</v>
      </c>
      <c r="M300" s="6" t="n">
        <v>45576</v>
      </c>
      <c r="N300" t="n">
        <v>21</v>
      </c>
      <c r="O300" t="n">
        <v>1</v>
      </c>
      <c r="P300" t="n">
        <v>0</v>
      </c>
      <c r="Q300" t="n">
        <v>1</v>
      </c>
      <c r="R300" t="inlineStr">
        <is>
          <t>O</t>
        </is>
      </c>
      <c r="S300">
        <f>IFERROR(VLOOKUP(N300,Index!$A$1:$B$26,2,FALSE),"")</f>
        <v/>
      </c>
      <c r="T300">
        <f>AA300</f>
        <v/>
      </c>
      <c r="V300">
        <f>IFERROR(INDEX(DetailedFiche!Q:Q,MATCH(L300,DetailedFiche!J:J,0)),"")</f>
        <v/>
      </c>
      <c r="W300">
        <f>IFERROR(INDEX(DetailedFiche!R:R,MATCH(L300,DetailedFiche!J:J,0)),"")</f>
        <v/>
      </c>
      <c r="Y300">
        <f>IFERROR(IF(AND(INDEX('Initial Study'!K:K, MATCH(L300, 'Initial Study'!B:B, 0)+1)&lt;&gt;0,INDEX('Initial Study'!K:K, MATCH(L300, 'Initial Study'!B:B, 0)+1)&lt;&gt;""),INDEX('Initial Study'!K:K, MATCH(L300, 'Initial Study'!B:B, 0)+1),""),"")</f>
        <v/>
      </c>
      <c r="Z300">
        <f>IFERROR(IF(AND(INDEX('Initial Study'!K:K, MATCH(L300, 'Initial Study'!B:B, 0)+2)&lt;&gt;0,INDEX('Initial Study'!K:K, MATCH(L300, 'Initial Study'!B:B, 0)+2)&lt;&gt;"",NOT(ISNUMBER(INDEX('Initial Study'!K:K, MATCH(L300, 'Initial Study'!B:B, 0)+2)))),INDEX('Initial Study'!K:K, MATCH(L300, 'Initial Study'!B:B, 0)+2),"-"),"-")</f>
        <v/>
      </c>
      <c r="AA300">
        <f>IF(S300="RE", Y300 &amp; "BT/" &amp; IF(Z300 &lt;&gt; "-", Z300 &amp; "BT", ""), IF(OR(S300="LTDR", S300="LTSR"), Y300 &amp; "BL" &amp; IF(Z300 &lt;&gt; "-", "/" &amp; Z300 &amp; "BT", ""), IF(OR(S300="RTDR", S300="RTSR"), Y300 &amp; "BR" &amp; IF(Z300 &lt;&gt; "-", "/" &amp; Z300 &amp; "BT", ""), IF(Z300 &lt;&gt; "-", Y300 &amp; "BT/" &amp; Z300 &amp; "BT", Y300 &amp; "BT"))))</f>
        <v/>
      </c>
    </row>
    <row r="301">
      <c r="A301" t="n">
        <v>558</v>
      </c>
      <c r="B301" t="inlineStr">
        <is>
          <t>SIKES MILL</t>
        </is>
      </c>
      <c r="C301" t="n">
        <v>0.33</v>
      </c>
      <c r="D301" t="inlineStr">
        <is>
          <t>N</t>
        </is>
      </c>
      <c r="E301" t="inlineStr">
        <is>
          <t>TOM BOYD</t>
        </is>
      </c>
      <c r="F301" t="inlineStr">
        <is>
          <t>OLD CAMDEN</t>
        </is>
      </c>
      <c r="G301" t="inlineStr">
        <is>
          <t>SR 1001</t>
        </is>
      </c>
      <c r="H301" t="n">
        <v>3.791</v>
      </c>
      <c r="I301" t="inlineStr">
        <is>
          <t>NIS</t>
        </is>
      </c>
      <c r="L301" t="n">
        <v>107187995</v>
      </c>
      <c r="M301" s="6" t="n">
        <v>44913</v>
      </c>
      <c r="N301" t="n">
        <v>17</v>
      </c>
      <c r="O301" t="n">
        <v>1</v>
      </c>
      <c r="P301" t="n">
        <v>0</v>
      </c>
      <c r="Q301" t="n">
        <v>5</v>
      </c>
      <c r="R301" t="inlineStr">
        <is>
          <t>O</t>
        </is>
      </c>
      <c r="S301">
        <f>IFERROR(VLOOKUP(N301,Index!$A$1:$B$26,2,FALSE),"")</f>
        <v/>
      </c>
      <c r="T301">
        <f>AA301</f>
        <v/>
      </c>
      <c r="V301">
        <f>IFERROR(INDEX(DetailedFiche!Q:Q,MATCH(L301,DetailedFiche!J:J,0)),"")</f>
        <v/>
      </c>
      <c r="W301">
        <f>IFERROR(INDEX(DetailedFiche!R:R,MATCH(L301,DetailedFiche!J:J,0)),"")</f>
        <v/>
      </c>
      <c r="Y301">
        <f>IFERROR(IF(AND(INDEX('Initial Study'!K:K, MATCH(L301, 'Initial Study'!B:B, 0)+1)&lt;&gt;0,INDEX('Initial Study'!K:K, MATCH(L301, 'Initial Study'!B:B, 0)+1)&lt;&gt;""),INDEX('Initial Study'!K:K, MATCH(L301, 'Initial Study'!B:B, 0)+1),""),"")</f>
        <v/>
      </c>
      <c r="Z301">
        <f>IFERROR(IF(AND(INDEX('Initial Study'!K:K, MATCH(L301, 'Initial Study'!B:B, 0)+2)&lt;&gt;0,INDEX('Initial Study'!K:K, MATCH(L301, 'Initial Study'!B:B, 0)+2)&lt;&gt;"",NOT(ISNUMBER(INDEX('Initial Study'!K:K, MATCH(L301, 'Initial Study'!B:B, 0)+2)))),INDEX('Initial Study'!K:K, MATCH(L301, 'Initial Study'!B:B, 0)+2),"-"),"-")</f>
        <v/>
      </c>
      <c r="AA301">
        <f>IF(S301="RE", Y301 &amp; "BT/" &amp; IF(Z301 &lt;&gt; "-", Z301 &amp; "BT", ""), IF(OR(S301="LTDR", S301="LTSR"), Y301 &amp; "BL" &amp; IF(Z301 &lt;&gt; "-", "/" &amp; Z301 &amp; "BT", ""), IF(OR(S301="RTDR", S301="RTSR"), Y301 &amp; "BR" &amp; IF(Z301 &lt;&gt; "-", "/" &amp; Z301 &amp; "BT", ""), IF(Z301 &lt;&gt; "-", Y301 &amp; "BT/" &amp; Z301 &amp; "BT", Y301 &amp; "BT"))))</f>
        <v/>
      </c>
    </row>
    <row r="302">
      <c r="A302" t="n">
        <v>0</v>
      </c>
      <c r="B302" t="inlineStr">
        <is>
          <t>SIKES MILL</t>
        </is>
      </c>
      <c r="C302" t="n">
        <v>1</v>
      </c>
      <c r="D302" t="inlineStr">
        <is>
          <t>N</t>
        </is>
      </c>
      <c r="E302" t="inlineStr">
        <is>
          <t>UNIONVILLE</t>
        </is>
      </c>
      <c r="F302" t="inlineStr">
        <is>
          <t>CLONTZ LONG</t>
        </is>
      </c>
      <c r="G302" t="inlineStr">
        <is>
          <t>SR 1001</t>
        </is>
      </c>
      <c r="H302" t="n">
        <v>3.871</v>
      </c>
      <c r="I302" t="inlineStr">
        <is>
          <t>NIS</t>
        </is>
      </c>
      <c r="L302" t="n">
        <v>108420507</v>
      </c>
      <c r="M302" s="6" t="n">
        <v>46082</v>
      </c>
      <c r="N302" t="n">
        <v>17</v>
      </c>
      <c r="O302" t="n">
        <v>1</v>
      </c>
      <c r="P302" t="n">
        <v>0</v>
      </c>
      <c r="Q302" t="n">
        <v>5</v>
      </c>
      <c r="R302" t="inlineStr">
        <is>
          <t>O</t>
        </is>
      </c>
      <c r="S302">
        <f>IFERROR(VLOOKUP(N302,Index!$A$1:$B$26,2,FALSE),"")</f>
        <v/>
      </c>
      <c r="T302">
        <f>AA302</f>
        <v/>
      </c>
      <c r="V302">
        <f>IFERROR(INDEX(DetailedFiche!Q:Q,MATCH(L302,DetailedFiche!J:J,0)),"")</f>
        <v/>
      </c>
      <c r="W302">
        <f>IFERROR(INDEX(DetailedFiche!R:R,MATCH(L302,DetailedFiche!J:J,0)),"")</f>
        <v/>
      </c>
      <c r="Y302">
        <f>IFERROR(IF(AND(INDEX('Initial Study'!K:K, MATCH(L302, 'Initial Study'!B:B, 0)+1)&lt;&gt;0,INDEX('Initial Study'!K:K, MATCH(L302, 'Initial Study'!B:B, 0)+1)&lt;&gt;""),INDEX('Initial Study'!K:K, MATCH(L302, 'Initial Study'!B:B, 0)+1),""),"")</f>
        <v/>
      </c>
      <c r="Z302">
        <f>IFERROR(IF(AND(INDEX('Initial Study'!K:K, MATCH(L302, 'Initial Study'!B:B, 0)+2)&lt;&gt;0,INDEX('Initial Study'!K:K, MATCH(L302, 'Initial Study'!B:B, 0)+2)&lt;&gt;"",NOT(ISNUMBER(INDEX('Initial Study'!K:K, MATCH(L302, 'Initial Study'!B:B, 0)+2)))),INDEX('Initial Study'!K:K, MATCH(L302, 'Initial Study'!B:B, 0)+2),"-"),"-")</f>
        <v/>
      </c>
      <c r="AA302">
        <f>IF(S302="RE", Y302 &amp; "BT/" &amp; IF(Z302 &lt;&gt; "-", Z302 &amp; "BT", ""), IF(OR(S302="LTDR", S302="LTSR"), Y302 &amp; "BL" &amp; IF(Z302 &lt;&gt; "-", "/" &amp; Z302 &amp; "BT", ""), IF(OR(S302="RTDR", S302="RTSR"), Y302 &amp; "BR" &amp; IF(Z302 &lt;&gt; "-", "/" &amp; Z302 &amp; "BT", ""), IF(Z302 &lt;&gt; "-", Y302 &amp; "BT/" &amp; Z302 &amp; "BT", Y302 &amp; "BT"))))</f>
        <v/>
      </c>
    </row>
    <row r="303">
      <c r="A303" t="n">
        <v>0</v>
      </c>
      <c r="B303" t="inlineStr">
        <is>
          <t>SIKES MILL</t>
        </is>
      </c>
      <c r="C303" t="n">
        <v>1</v>
      </c>
      <c r="D303" t="inlineStr">
        <is>
          <t>N</t>
        </is>
      </c>
      <c r="E303" t="inlineStr">
        <is>
          <t>UNIONVILLE</t>
        </is>
      </c>
      <c r="F303" t="inlineStr">
        <is>
          <t>CLONTZ LONG</t>
        </is>
      </c>
      <c r="G303" t="inlineStr">
        <is>
          <t>SR 1001</t>
        </is>
      </c>
      <c r="H303" t="n">
        <v>3.871</v>
      </c>
      <c r="I303" t="inlineStr">
        <is>
          <t>NIS</t>
        </is>
      </c>
      <c r="L303" t="n">
        <v>107319577</v>
      </c>
      <c r="M303" s="6" t="n">
        <v>45018</v>
      </c>
      <c r="N303" t="n">
        <v>17</v>
      </c>
      <c r="O303" t="n">
        <v>1</v>
      </c>
      <c r="P303" t="n">
        <v>0</v>
      </c>
      <c r="Q303" t="n">
        <v>5</v>
      </c>
      <c r="R303" t="inlineStr">
        <is>
          <t>O</t>
        </is>
      </c>
      <c r="S303">
        <f>IFERROR(VLOOKUP(N303,Index!$A$1:$B$26,2,FALSE),"")</f>
        <v/>
      </c>
      <c r="T303">
        <f>AA303</f>
        <v/>
      </c>
      <c r="V303">
        <f>IFERROR(INDEX(DetailedFiche!Q:Q,MATCH(L303,DetailedFiche!J:J,0)),"")</f>
        <v/>
      </c>
      <c r="W303">
        <f>IFERROR(INDEX(DetailedFiche!R:R,MATCH(L303,DetailedFiche!J:J,0)),"")</f>
        <v/>
      </c>
      <c r="Y303">
        <f>IFERROR(IF(AND(INDEX('Initial Study'!K:K, MATCH(L303, 'Initial Study'!B:B, 0)+1)&lt;&gt;0,INDEX('Initial Study'!K:K, MATCH(L303, 'Initial Study'!B:B, 0)+1)&lt;&gt;""),INDEX('Initial Study'!K:K, MATCH(L303, 'Initial Study'!B:B, 0)+1),""),"")</f>
        <v/>
      </c>
      <c r="Z303">
        <f>IFERROR(IF(AND(INDEX('Initial Study'!K:K, MATCH(L303, 'Initial Study'!B:B, 0)+2)&lt;&gt;0,INDEX('Initial Study'!K:K, MATCH(L303, 'Initial Study'!B:B, 0)+2)&lt;&gt;"",NOT(ISNUMBER(INDEX('Initial Study'!K:K, MATCH(L303, 'Initial Study'!B:B, 0)+2)))),INDEX('Initial Study'!K:K, MATCH(L303, 'Initial Study'!B:B, 0)+2),"-"),"-")</f>
        <v/>
      </c>
      <c r="AA303">
        <f>IF(S303="RE", Y303 &amp; "BT/" &amp; IF(Z303 &lt;&gt; "-", Z303 &amp; "BT", ""), IF(OR(S303="LTDR", S303="LTSR"), Y303 &amp; "BL" &amp; IF(Z303 &lt;&gt; "-", "/" &amp; Z303 &amp; "BT", ""), IF(OR(S303="RTDR", S303="RTSR"), Y303 &amp; "BR" &amp; IF(Z303 &lt;&gt; "-", "/" &amp; Z303 &amp; "BT", ""), IF(Z303 &lt;&gt; "-", Y303 &amp; "BT/" &amp; Z303 &amp; "BT", Y303 &amp; "BT"))))</f>
        <v/>
      </c>
    </row>
    <row r="304">
      <c r="A304" t="n">
        <v>558</v>
      </c>
      <c r="B304" t="inlineStr">
        <is>
          <t>SR 1001</t>
        </is>
      </c>
      <c r="C304" t="n">
        <v>0.5</v>
      </c>
      <c r="D304" t="inlineStr">
        <is>
          <t>N</t>
        </is>
      </c>
      <c r="E304" t="inlineStr">
        <is>
          <t>SR 1617</t>
        </is>
      </c>
      <c r="F304" t="inlineStr">
        <is>
          <t>SR 1618</t>
        </is>
      </c>
      <c r="G304" t="inlineStr">
        <is>
          <t>SR 1001</t>
        </is>
      </c>
      <c r="H304" t="n">
        <v>3.961</v>
      </c>
      <c r="I304" t="inlineStr">
        <is>
          <t>NIS</t>
        </is>
      </c>
      <c r="L304" t="n">
        <v>106435289</v>
      </c>
      <c r="M304" s="6" t="n">
        <v>44178</v>
      </c>
      <c r="N304" t="n">
        <v>19</v>
      </c>
      <c r="O304" t="n">
        <v>1</v>
      </c>
      <c r="P304" t="n">
        <v>0</v>
      </c>
      <c r="Q304" t="n">
        <v>5</v>
      </c>
      <c r="S304">
        <f>IFERROR(VLOOKUP(N304,Index!$A$1:$B$26,2,FALSE),"")</f>
        <v/>
      </c>
      <c r="T304">
        <f>AA304</f>
        <v/>
      </c>
      <c r="V304">
        <f>IFERROR(INDEX(DetailedFiche!Q:Q,MATCH(L304,DetailedFiche!J:J,0)),"")</f>
        <v/>
      </c>
      <c r="W304">
        <f>IFERROR(INDEX(DetailedFiche!R:R,MATCH(L304,DetailedFiche!J:J,0)),"")</f>
        <v/>
      </c>
      <c r="Y304">
        <f>IFERROR(IF(AND(INDEX('Initial Study'!K:K, MATCH(L304, 'Initial Study'!B:B, 0)+1)&lt;&gt;0,INDEX('Initial Study'!K:K, MATCH(L304, 'Initial Study'!B:B, 0)+1)&lt;&gt;""),INDEX('Initial Study'!K:K, MATCH(L304, 'Initial Study'!B:B, 0)+1),""),"")</f>
        <v/>
      </c>
      <c r="Z304">
        <f>IFERROR(IF(AND(INDEX('Initial Study'!K:K, MATCH(L304, 'Initial Study'!B:B, 0)+2)&lt;&gt;0,INDEX('Initial Study'!K:K, MATCH(L304, 'Initial Study'!B:B, 0)+2)&lt;&gt;"",NOT(ISNUMBER(INDEX('Initial Study'!K:K, MATCH(L304, 'Initial Study'!B:B, 0)+2)))),INDEX('Initial Study'!K:K, MATCH(L304, 'Initial Study'!B:B, 0)+2),"-"),"-")</f>
        <v/>
      </c>
      <c r="AA304">
        <f>IF(S304="RE", Y304 &amp; "BT/" &amp; IF(Z304 &lt;&gt; "-", Z304 &amp; "BT", ""), IF(OR(S304="LTDR", S304="LTSR"), Y304 &amp; "BL" &amp; IF(Z304 &lt;&gt; "-", "/" &amp; Z304 &amp; "BT", ""), IF(OR(S304="RTDR", S304="RTSR"), Y304 &amp; "BR" &amp; IF(Z304 &lt;&gt; "-", "/" &amp; Z304 &amp; "BT", ""), IF(Z304 &lt;&gt; "-", Y304 &amp; "BT/" &amp; Z304 &amp; "BT", Y304 &amp; "BT"))))</f>
        <v/>
      </c>
    </row>
    <row r="305">
      <c r="A305" t="n">
        <v>558</v>
      </c>
      <c r="B305" t="inlineStr">
        <is>
          <t>SR 1001</t>
        </is>
      </c>
      <c r="C305" t="n">
        <v>0.12</v>
      </c>
      <c r="D305" t="inlineStr">
        <is>
          <t>S</t>
        </is>
      </c>
      <c r="E305" t="inlineStr">
        <is>
          <t>SR 1618</t>
        </is>
      </c>
      <c r="F305" t="inlineStr">
        <is>
          <t>SR 1619</t>
        </is>
      </c>
      <c r="G305" t="inlineStr">
        <is>
          <t>SR 1001</t>
        </is>
      </c>
      <c r="H305" t="n">
        <v>3.974</v>
      </c>
      <c r="I305" t="inlineStr">
        <is>
          <t>NIS</t>
        </is>
      </c>
      <c r="L305" t="n">
        <v>108066712</v>
      </c>
      <c r="M305" s="6" t="n">
        <v>45747</v>
      </c>
      <c r="N305" t="n">
        <v>19</v>
      </c>
      <c r="O305" t="n">
        <v>1</v>
      </c>
      <c r="P305" t="n">
        <v>0</v>
      </c>
      <c r="Q305" t="n">
        <v>1</v>
      </c>
      <c r="R305" t="inlineStr">
        <is>
          <t>O</t>
        </is>
      </c>
      <c r="S305">
        <f>IFERROR(VLOOKUP(N305,Index!$A$1:$B$26,2,FALSE),"")</f>
        <v/>
      </c>
      <c r="T305">
        <f>AA305</f>
        <v/>
      </c>
      <c r="V305">
        <f>IFERROR(INDEX(DetailedFiche!Q:Q,MATCH(L305,DetailedFiche!J:J,0)),"")</f>
        <v/>
      </c>
      <c r="W305">
        <f>IFERROR(INDEX(DetailedFiche!R:R,MATCH(L305,DetailedFiche!J:J,0)),"")</f>
        <v/>
      </c>
      <c r="Y305">
        <f>IFERROR(IF(AND(INDEX('Initial Study'!K:K, MATCH(L305, 'Initial Study'!B:B, 0)+1)&lt;&gt;0,INDEX('Initial Study'!K:K, MATCH(L305, 'Initial Study'!B:B, 0)+1)&lt;&gt;""),INDEX('Initial Study'!K:K, MATCH(L305, 'Initial Study'!B:B, 0)+1),""),"")</f>
        <v/>
      </c>
      <c r="Z305">
        <f>IFERROR(IF(AND(INDEX('Initial Study'!K:K, MATCH(L305, 'Initial Study'!B:B, 0)+2)&lt;&gt;0,INDEX('Initial Study'!K:K, MATCH(L305, 'Initial Study'!B:B, 0)+2)&lt;&gt;"",NOT(ISNUMBER(INDEX('Initial Study'!K:K, MATCH(L305, 'Initial Study'!B:B, 0)+2)))),INDEX('Initial Study'!K:K, MATCH(L305, 'Initial Study'!B:B, 0)+2),"-"),"-")</f>
        <v/>
      </c>
      <c r="AA305">
        <f>IF(S305="RE", Y305 &amp; "BT/" &amp; IF(Z305 &lt;&gt; "-", Z305 &amp; "BT", ""), IF(OR(S305="LTDR", S305="LTSR"), Y305 &amp; "BL" &amp; IF(Z305 &lt;&gt; "-", "/" &amp; Z305 &amp; "BT", ""), IF(OR(S305="RTDR", S305="RTSR"), Y305 &amp; "BR" &amp; IF(Z305 &lt;&gt; "-", "/" &amp; Z305 &amp; "BT", ""), IF(Z305 &lt;&gt; "-", Y305 &amp; "BT/" &amp; Z305 &amp; "BT", Y305 &amp; "BT"))))</f>
        <v/>
      </c>
    </row>
    <row r="306">
      <c r="A306" t="n">
        <v>0</v>
      </c>
      <c r="B306" t="inlineStr">
        <is>
          <t>SIKES MILL</t>
        </is>
      </c>
      <c r="C306" t="n">
        <v>0.13</v>
      </c>
      <c r="D306" t="inlineStr">
        <is>
          <t>S</t>
        </is>
      </c>
      <c r="E306" t="inlineStr">
        <is>
          <t>LAWYERS</t>
        </is>
      </c>
      <c r="F306" t="inlineStr">
        <is>
          <t>TOM BOYD</t>
        </is>
      </c>
      <c r="G306" t="inlineStr">
        <is>
          <t>SR 1001</t>
        </is>
      </c>
      <c r="H306" t="n">
        <v>3.98</v>
      </c>
      <c r="I306" t="inlineStr">
        <is>
          <t>NIS</t>
        </is>
      </c>
      <c r="L306" t="n">
        <v>106083176</v>
      </c>
      <c r="M306" s="6" t="n">
        <v>43803</v>
      </c>
      <c r="N306" t="n">
        <v>17</v>
      </c>
      <c r="O306" t="n">
        <v>1</v>
      </c>
      <c r="P306" t="n">
        <v>0</v>
      </c>
      <c r="Q306" t="n">
        <v>5</v>
      </c>
      <c r="R306" t="inlineStr">
        <is>
          <t>O</t>
        </is>
      </c>
      <c r="S306">
        <f>IFERROR(VLOOKUP(N306,Index!$A$1:$B$26,2,FALSE),"")</f>
        <v/>
      </c>
      <c r="T306">
        <f>AA306</f>
        <v/>
      </c>
      <c r="V306">
        <f>IFERROR(INDEX(DetailedFiche!Q:Q,MATCH(L306,DetailedFiche!J:J,0)),"")</f>
        <v/>
      </c>
      <c r="W306">
        <f>IFERROR(INDEX(DetailedFiche!R:R,MATCH(L306,DetailedFiche!J:J,0)),"")</f>
        <v/>
      </c>
      <c r="Y306">
        <f>IFERROR(IF(AND(INDEX('Initial Study'!K:K, MATCH(L306, 'Initial Study'!B:B, 0)+1)&lt;&gt;0,INDEX('Initial Study'!K:K, MATCH(L306, 'Initial Study'!B:B, 0)+1)&lt;&gt;""),INDEX('Initial Study'!K:K, MATCH(L306, 'Initial Study'!B:B, 0)+1),""),"")</f>
        <v/>
      </c>
      <c r="Z306">
        <f>IFERROR(IF(AND(INDEX('Initial Study'!K:K, MATCH(L306, 'Initial Study'!B:B, 0)+2)&lt;&gt;0,INDEX('Initial Study'!K:K, MATCH(L306, 'Initial Study'!B:B, 0)+2)&lt;&gt;"",NOT(ISNUMBER(INDEX('Initial Study'!K:K, MATCH(L306, 'Initial Study'!B:B, 0)+2)))),INDEX('Initial Study'!K:K, MATCH(L306, 'Initial Study'!B:B, 0)+2),"-"),"-")</f>
        <v/>
      </c>
      <c r="AA306">
        <f>IF(S306="RE", Y306 &amp; "BT/" &amp; IF(Z306 &lt;&gt; "-", Z306 &amp; "BT", ""), IF(OR(S306="LTDR", S306="LTSR"), Y306 &amp; "BL" &amp; IF(Z306 &lt;&gt; "-", "/" &amp; Z306 &amp; "BT", ""), IF(OR(S306="RTDR", S306="RTSR"), Y306 &amp; "BR" &amp; IF(Z306 &lt;&gt; "-", "/" &amp; Z306 &amp; "BT", ""), IF(Z306 &lt;&gt; "-", Y306 &amp; "BT/" &amp; Z306 &amp; "BT", Y306 &amp; "BT"))))</f>
        <v/>
      </c>
    </row>
    <row r="307">
      <c r="A307" t="n">
        <v>558</v>
      </c>
      <c r="B307" t="inlineStr">
        <is>
          <t>SIKES MILL</t>
        </is>
      </c>
      <c r="C307" t="n">
        <v>0.11</v>
      </c>
      <c r="D307" t="inlineStr">
        <is>
          <t>S</t>
        </is>
      </c>
      <c r="E307" t="inlineStr">
        <is>
          <t>TOM HELMS</t>
        </is>
      </c>
      <c r="F307" t="inlineStr">
        <is>
          <t>TOM BOYD</t>
        </is>
      </c>
      <c r="G307" t="inlineStr">
        <is>
          <t>SR 1001</t>
        </is>
      </c>
      <c r="H307" t="n">
        <v>3.984</v>
      </c>
      <c r="I307" t="inlineStr">
        <is>
          <t>NIS</t>
        </is>
      </c>
      <c r="L307" t="n">
        <v>108072099</v>
      </c>
      <c r="M307" s="6" t="n">
        <v>45755</v>
      </c>
      <c r="N307" t="n">
        <v>29</v>
      </c>
      <c r="O307" t="n">
        <v>1</v>
      </c>
      <c r="P307" t="n">
        <v>0</v>
      </c>
      <c r="Q307" t="n">
        <v>1</v>
      </c>
      <c r="R307" t="inlineStr">
        <is>
          <t>O</t>
        </is>
      </c>
      <c r="S307">
        <f>IFERROR(VLOOKUP(N307,Index!$A$1:$B$26,2,FALSE),"")</f>
        <v/>
      </c>
      <c r="T307">
        <f>AA307</f>
        <v/>
      </c>
      <c r="V307">
        <f>IFERROR(INDEX(DetailedFiche!Q:Q,MATCH(L307,DetailedFiche!J:J,0)),"")</f>
        <v/>
      </c>
      <c r="W307">
        <f>IFERROR(INDEX(DetailedFiche!R:R,MATCH(L307,DetailedFiche!J:J,0)),"")</f>
        <v/>
      </c>
      <c r="Y307">
        <f>IFERROR(IF(AND(INDEX('Initial Study'!K:K, MATCH(L307, 'Initial Study'!B:B, 0)+1)&lt;&gt;0,INDEX('Initial Study'!K:K, MATCH(L307, 'Initial Study'!B:B, 0)+1)&lt;&gt;""),INDEX('Initial Study'!K:K, MATCH(L307, 'Initial Study'!B:B, 0)+1),""),"")</f>
        <v/>
      </c>
      <c r="Z307">
        <f>IFERROR(IF(AND(INDEX('Initial Study'!K:K, MATCH(L307, 'Initial Study'!B:B, 0)+2)&lt;&gt;0,INDEX('Initial Study'!K:K, MATCH(L307, 'Initial Study'!B:B, 0)+2)&lt;&gt;"",NOT(ISNUMBER(INDEX('Initial Study'!K:K, MATCH(L307, 'Initial Study'!B:B, 0)+2)))),INDEX('Initial Study'!K:K, MATCH(L307, 'Initial Study'!B:B, 0)+2),"-"),"-")</f>
        <v/>
      </c>
      <c r="AA307">
        <f>IF(S307="RE", Y307 &amp; "BT/" &amp; IF(Z307 &lt;&gt; "-", Z307 &amp; "BT", ""), IF(OR(S307="LTDR", S307="LTSR"), Y307 &amp; "BL" &amp; IF(Z307 &lt;&gt; "-", "/" &amp; Z307 &amp; "BT", ""), IF(OR(S307="RTDR", S307="RTSR"), Y307 &amp; "BR" &amp; IF(Z307 &lt;&gt; "-", "/" &amp; Z307 &amp; "BT", ""), IF(Z307 &lt;&gt; "-", Y307 &amp; "BT/" &amp; Z307 &amp; "BT", Y307 &amp; "BT"))))</f>
        <v/>
      </c>
    </row>
    <row r="308">
      <c r="A308" t="n">
        <v>558</v>
      </c>
      <c r="B308" t="inlineStr">
        <is>
          <t>SR 1001</t>
        </is>
      </c>
      <c r="C308" t="n">
        <v>0.1</v>
      </c>
      <c r="D308" t="inlineStr">
        <is>
          <t>S</t>
        </is>
      </c>
      <c r="E308" t="inlineStr">
        <is>
          <t>SR 1618</t>
        </is>
      </c>
      <c r="F308" t="inlineStr">
        <is>
          <t>SR 1617</t>
        </is>
      </c>
      <c r="G308" t="inlineStr">
        <is>
          <t>SR 1001</t>
        </is>
      </c>
      <c r="H308" t="n">
        <v>3.994</v>
      </c>
      <c r="I308" t="inlineStr">
        <is>
          <t>NIS</t>
        </is>
      </c>
      <c r="L308" t="n">
        <v>106743564</v>
      </c>
      <c r="M308" s="6" t="n">
        <v>44496</v>
      </c>
      <c r="N308" t="n">
        <v>17</v>
      </c>
      <c r="O308" t="n">
        <v>1</v>
      </c>
      <c r="P308" t="n">
        <v>0</v>
      </c>
      <c r="Q308" t="n">
        <v>1</v>
      </c>
      <c r="R308" t="inlineStr">
        <is>
          <t>O</t>
        </is>
      </c>
      <c r="S308">
        <f>IFERROR(VLOOKUP(N308,Index!$A$1:$B$26,2,FALSE),"")</f>
        <v/>
      </c>
      <c r="T308">
        <f>AA308</f>
        <v/>
      </c>
      <c r="V308">
        <f>IFERROR(INDEX(DetailedFiche!Q:Q,MATCH(L308,DetailedFiche!J:J,0)),"")</f>
        <v/>
      </c>
      <c r="W308">
        <f>IFERROR(INDEX(DetailedFiche!R:R,MATCH(L308,DetailedFiche!J:J,0)),"")</f>
        <v/>
      </c>
      <c r="Y308">
        <f>IFERROR(IF(AND(INDEX('Initial Study'!K:K, MATCH(L308, 'Initial Study'!B:B, 0)+1)&lt;&gt;0,INDEX('Initial Study'!K:K, MATCH(L308, 'Initial Study'!B:B, 0)+1)&lt;&gt;""),INDEX('Initial Study'!K:K, MATCH(L308, 'Initial Study'!B:B, 0)+1),""),"")</f>
        <v/>
      </c>
      <c r="Z308">
        <f>IFERROR(IF(AND(INDEX('Initial Study'!K:K, MATCH(L308, 'Initial Study'!B:B, 0)+2)&lt;&gt;0,INDEX('Initial Study'!K:K, MATCH(L308, 'Initial Study'!B:B, 0)+2)&lt;&gt;"",NOT(ISNUMBER(INDEX('Initial Study'!K:K, MATCH(L308, 'Initial Study'!B:B, 0)+2)))),INDEX('Initial Study'!K:K, MATCH(L308, 'Initial Study'!B:B, 0)+2),"-"),"-")</f>
        <v/>
      </c>
      <c r="AA308">
        <f>IF(S308="RE", Y308 &amp; "BT/" &amp; IF(Z308 &lt;&gt; "-", Z308 &amp; "BT", ""), IF(OR(S308="LTDR", S308="LTSR"), Y308 &amp; "BL" &amp; IF(Z308 &lt;&gt; "-", "/" &amp; Z308 &amp; "BT", ""), IF(OR(S308="RTDR", S308="RTSR"), Y308 &amp; "BR" &amp; IF(Z308 &lt;&gt; "-", "/" &amp; Z308 &amp; "BT", ""), IF(Z308 &lt;&gt; "-", Y308 &amp; "BT/" &amp; Z308 &amp; "BT", Y308 &amp; "BT"))))</f>
        <v/>
      </c>
    </row>
    <row r="309">
      <c r="A309" t="n">
        <v>558</v>
      </c>
      <c r="B309" t="inlineStr">
        <is>
          <t>SIKES MILL</t>
        </is>
      </c>
      <c r="C309" t="n">
        <v>0.095</v>
      </c>
      <c r="D309" t="inlineStr">
        <is>
          <t>S</t>
        </is>
      </c>
      <c r="E309" t="inlineStr">
        <is>
          <t>LOVE MILL</t>
        </is>
      </c>
      <c r="F309" t="inlineStr">
        <is>
          <t>TOM BOYD</t>
        </is>
      </c>
      <c r="G309" t="inlineStr">
        <is>
          <t>SR 1001</t>
        </is>
      </c>
      <c r="H309" t="n">
        <v>4.015</v>
      </c>
      <c r="I309" t="inlineStr">
        <is>
          <t>NIS</t>
        </is>
      </c>
      <c r="L309" t="n">
        <v>107319455</v>
      </c>
      <c r="M309" s="6" t="n">
        <v>44992</v>
      </c>
      <c r="N309" t="n">
        <v>17</v>
      </c>
      <c r="O309" t="n">
        <v>1</v>
      </c>
      <c r="P309" t="n">
        <v>0</v>
      </c>
      <c r="Q309" t="n">
        <v>1</v>
      </c>
      <c r="R309" t="inlineStr">
        <is>
          <t>O</t>
        </is>
      </c>
      <c r="S309">
        <f>IFERROR(VLOOKUP(N309,Index!$A$1:$B$26,2,FALSE),"")</f>
        <v/>
      </c>
      <c r="T309">
        <f>AA309</f>
        <v/>
      </c>
      <c r="V309">
        <f>IFERROR(INDEX(DetailedFiche!Q:Q,MATCH(L309,DetailedFiche!J:J,0)),"")</f>
        <v/>
      </c>
      <c r="W309">
        <f>IFERROR(INDEX(DetailedFiche!R:R,MATCH(L309,DetailedFiche!J:J,0)),"")</f>
        <v/>
      </c>
      <c r="Y309">
        <f>IFERROR(IF(AND(INDEX('Initial Study'!K:K, MATCH(L309, 'Initial Study'!B:B, 0)+1)&lt;&gt;0,INDEX('Initial Study'!K:K, MATCH(L309, 'Initial Study'!B:B, 0)+1)&lt;&gt;""),INDEX('Initial Study'!K:K, MATCH(L309, 'Initial Study'!B:B, 0)+1),""),"")</f>
        <v/>
      </c>
      <c r="Z309">
        <f>IFERROR(IF(AND(INDEX('Initial Study'!K:K, MATCH(L309, 'Initial Study'!B:B, 0)+2)&lt;&gt;0,INDEX('Initial Study'!K:K, MATCH(L309, 'Initial Study'!B:B, 0)+2)&lt;&gt;"",NOT(ISNUMBER(INDEX('Initial Study'!K:K, MATCH(L309, 'Initial Study'!B:B, 0)+2)))),INDEX('Initial Study'!K:K, MATCH(L309, 'Initial Study'!B:B, 0)+2),"-"),"-")</f>
        <v/>
      </c>
      <c r="AA309">
        <f>IF(S309="RE", Y309 &amp; "BT/" &amp; IF(Z309 &lt;&gt; "-", Z309 &amp; "BT", ""), IF(OR(S309="LTDR", S309="LTSR"), Y309 &amp; "BL" &amp; IF(Z309 &lt;&gt; "-", "/" &amp; Z309 &amp; "BT", ""), IF(OR(S309="RTDR", S309="RTSR"), Y309 &amp; "BR" &amp; IF(Z309 &lt;&gt; "-", "/" &amp; Z309 &amp; "BT", ""), IF(Z309 &lt;&gt; "-", Y309 &amp; "BT/" &amp; Z309 &amp; "BT", Y309 &amp; "BT"))))</f>
        <v/>
      </c>
    </row>
    <row r="310">
      <c r="A310" t="n">
        <v>558</v>
      </c>
      <c r="B310" t="inlineStr">
        <is>
          <t>SR 1001</t>
        </is>
      </c>
      <c r="C310" t="n">
        <v>0.6</v>
      </c>
      <c r="D310" t="inlineStr">
        <is>
          <t>N</t>
        </is>
      </c>
      <c r="E310" t="inlineStr">
        <is>
          <t>SR 1617</t>
        </is>
      </c>
      <c r="F310" t="inlineStr">
        <is>
          <t>SR 1637</t>
        </is>
      </c>
      <c r="G310" t="inlineStr">
        <is>
          <t>SR 1001</t>
        </is>
      </c>
      <c r="H310" t="n">
        <v>4.061</v>
      </c>
      <c r="I310" t="inlineStr">
        <is>
          <t>NIS</t>
        </is>
      </c>
      <c r="L310" t="n">
        <v>105317973</v>
      </c>
      <c r="M310" s="6" t="n">
        <v>43073</v>
      </c>
      <c r="N310" t="n">
        <v>19</v>
      </c>
      <c r="O310" t="n">
        <v>1</v>
      </c>
      <c r="P310" t="n">
        <v>0</v>
      </c>
      <c r="Q310" t="n">
        <v>1</v>
      </c>
      <c r="R310" t="inlineStr">
        <is>
          <t>O</t>
        </is>
      </c>
      <c r="S310">
        <f>IFERROR(VLOOKUP(N310,Index!$A$1:$B$26,2,FALSE),"")</f>
        <v/>
      </c>
      <c r="T310">
        <f>AA310</f>
        <v/>
      </c>
      <c r="V310">
        <f>IFERROR(INDEX(DetailedFiche!Q:Q,MATCH(L310,DetailedFiche!J:J,0)),"")</f>
        <v/>
      </c>
      <c r="W310">
        <f>IFERROR(INDEX(DetailedFiche!R:R,MATCH(L310,DetailedFiche!J:J,0)),"")</f>
        <v/>
      </c>
      <c r="Y310">
        <f>IFERROR(IF(AND(INDEX('Initial Study'!K:K, MATCH(L310, 'Initial Study'!B:B, 0)+1)&lt;&gt;0,INDEX('Initial Study'!K:K, MATCH(L310, 'Initial Study'!B:B, 0)+1)&lt;&gt;""),INDEX('Initial Study'!K:K, MATCH(L310, 'Initial Study'!B:B, 0)+1),""),"")</f>
        <v/>
      </c>
      <c r="Z310">
        <f>IFERROR(IF(AND(INDEX('Initial Study'!K:K, MATCH(L310, 'Initial Study'!B:B, 0)+2)&lt;&gt;0,INDEX('Initial Study'!K:K, MATCH(L310, 'Initial Study'!B:B, 0)+2)&lt;&gt;"",NOT(ISNUMBER(INDEX('Initial Study'!K:K, MATCH(L310, 'Initial Study'!B:B, 0)+2)))),INDEX('Initial Study'!K:K, MATCH(L310, 'Initial Study'!B:B, 0)+2),"-"),"-")</f>
        <v/>
      </c>
      <c r="AA310">
        <f>IF(S310="RE", Y310 &amp; "BT/" &amp; IF(Z310 &lt;&gt; "-", Z310 &amp; "BT", ""), IF(OR(S310="LTDR", S310="LTSR"), Y310 &amp; "BL" &amp; IF(Z310 &lt;&gt; "-", "/" &amp; Z310 &amp; "BT", ""), IF(OR(S310="RTDR", S310="RTSR"), Y310 &amp; "BR" &amp; IF(Z310 &lt;&gt; "-", "/" &amp; Z310 &amp; "BT", ""), IF(Z310 &lt;&gt; "-", Y310 &amp; "BT/" &amp; Z310 &amp; "BT", Y310 &amp; "BT"))))</f>
        <v/>
      </c>
    </row>
    <row r="311">
      <c r="A311" t="n">
        <v>558</v>
      </c>
      <c r="B311" t="inlineStr">
        <is>
          <t>SIKES MILL</t>
        </is>
      </c>
      <c r="C311" t="n">
        <v>0.028</v>
      </c>
      <c r="D311" t="inlineStr">
        <is>
          <t>S</t>
        </is>
      </c>
      <c r="E311" t="inlineStr">
        <is>
          <t>TOM HELMS</t>
        </is>
      </c>
      <c r="F311" t="inlineStr">
        <is>
          <t>TOM BOYD</t>
        </is>
      </c>
      <c r="G311" t="inlineStr">
        <is>
          <t>SR 1001</t>
        </is>
      </c>
      <c r="H311" t="n">
        <v>4.066</v>
      </c>
      <c r="I311" t="inlineStr">
        <is>
          <t>NIS</t>
        </is>
      </c>
      <c r="L311" t="n">
        <v>107181511</v>
      </c>
      <c r="M311" s="6" t="n">
        <v>44910</v>
      </c>
      <c r="N311" t="n">
        <v>19</v>
      </c>
      <c r="O311" t="n">
        <v>2</v>
      </c>
      <c r="P311" t="n">
        <v>10</v>
      </c>
      <c r="Q311" t="n">
        <v>1</v>
      </c>
      <c r="R311" t="inlineStr">
        <is>
          <t>O</t>
        </is>
      </c>
      <c r="S311">
        <f>IFERROR(VLOOKUP(N311,Index!$A$1:$B$26,2,FALSE),"")</f>
        <v/>
      </c>
      <c r="T311">
        <f>AA311</f>
        <v/>
      </c>
      <c r="V311">
        <f>IFERROR(INDEX(DetailedFiche!Q:Q,MATCH(L311,DetailedFiche!J:J,0)),"")</f>
        <v/>
      </c>
      <c r="W311">
        <f>IFERROR(INDEX(DetailedFiche!R:R,MATCH(L311,DetailedFiche!J:J,0)),"")</f>
        <v/>
      </c>
      <c r="Y311">
        <f>IFERROR(IF(AND(INDEX('Initial Study'!K:K, MATCH(L311, 'Initial Study'!B:B, 0)+1)&lt;&gt;0,INDEX('Initial Study'!K:K, MATCH(L311, 'Initial Study'!B:B, 0)+1)&lt;&gt;""),INDEX('Initial Study'!K:K, MATCH(L311, 'Initial Study'!B:B, 0)+1),""),"")</f>
        <v/>
      </c>
      <c r="Z311">
        <f>IFERROR(IF(AND(INDEX('Initial Study'!K:K, MATCH(L311, 'Initial Study'!B:B, 0)+2)&lt;&gt;0,INDEX('Initial Study'!K:K, MATCH(L311, 'Initial Study'!B:B, 0)+2)&lt;&gt;"",NOT(ISNUMBER(INDEX('Initial Study'!K:K, MATCH(L311, 'Initial Study'!B:B, 0)+2)))),INDEX('Initial Study'!K:K, MATCH(L311, 'Initial Study'!B:B, 0)+2),"-"),"-")</f>
        <v/>
      </c>
      <c r="AA311">
        <f>IF(S311="RE", Y311 &amp; "BT/" &amp; IF(Z311 &lt;&gt; "-", Z311 &amp; "BT", ""), IF(OR(S311="LTDR", S311="LTSR"), Y311 &amp; "BL" &amp; IF(Z311 &lt;&gt; "-", "/" &amp; Z311 &amp; "BT", ""), IF(OR(S311="RTDR", S311="RTSR"), Y311 &amp; "BR" &amp; IF(Z311 &lt;&gt; "-", "/" &amp; Z311 &amp; "BT", ""), IF(Z311 &lt;&gt; "-", Y311 &amp; "BT/" &amp; Z311 &amp; "BT", Y311 &amp; "BT"))))</f>
        <v/>
      </c>
    </row>
    <row r="312">
      <c r="A312" t="n">
        <v>558</v>
      </c>
      <c r="B312" t="inlineStr">
        <is>
          <t>TOM HELMS</t>
        </is>
      </c>
      <c r="C312" t="n">
        <v>0</v>
      </c>
      <c r="E312" t="inlineStr">
        <is>
          <t>SIKES MILL</t>
        </is>
      </c>
      <c r="G312" t="inlineStr">
        <is>
          <t>SR 1001</t>
        </is>
      </c>
      <c r="H312" t="n">
        <v>4.094</v>
      </c>
      <c r="I312" t="inlineStr">
        <is>
          <t>NIS</t>
        </is>
      </c>
      <c r="L312" t="n">
        <v>105402668</v>
      </c>
      <c r="M312" s="6" t="n">
        <v>43165</v>
      </c>
      <c r="N312" t="n">
        <v>30</v>
      </c>
      <c r="O312" t="n">
        <v>2</v>
      </c>
      <c r="P312" t="n">
        <v>10</v>
      </c>
      <c r="Q312" t="n">
        <v>1</v>
      </c>
      <c r="R312" t="inlineStr">
        <is>
          <t>O</t>
        </is>
      </c>
      <c r="S312">
        <f>IFERROR(VLOOKUP(N312,Index!$A$1:$B$26,2,FALSE),"")</f>
        <v/>
      </c>
      <c r="T312">
        <f>AA312</f>
        <v/>
      </c>
      <c r="V312">
        <f>IFERROR(INDEX(DetailedFiche!Q:Q,MATCH(L312,DetailedFiche!J:J,0)),"")</f>
        <v/>
      </c>
      <c r="W312">
        <f>IFERROR(INDEX(DetailedFiche!R:R,MATCH(L312,DetailedFiche!J:J,0)),"")</f>
        <v/>
      </c>
      <c r="Y312">
        <f>IFERROR(IF(AND(INDEX('Initial Study'!K:K, MATCH(L312, 'Initial Study'!B:B, 0)+1)&lt;&gt;0,INDEX('Initial Study'!K:K, MATCH(L312, 'Initial Study'!B:B, 0)+1)&lt;&gt;""),INDEX('Initial Study'!K:K, MATCH(L312, 'Initial Study'!B:B, 0)+1),""),"")</f>
        <v/>
      </c>
      <c r="Z312">
        <f>IFERROR(IF(AND(INDEX('Initial Study'!K:K, MATCH(L312, 'Initial Study'!B:B, 0)+2)&lt;&gt;0,INDEX('Initial Study'!K:K, MATCH(L312, 'Initial Study'!B:B, 0)+2)&lt;&gt;"",NOT(ISNUMBER(INDEX('Initial Study'!K:K, MATCH(L312, 'Initial Study'!B:B, 0)+2)))),INDEX('Initial Study'!K:K, MATCH(L312, 'Initial Study'!B:B, 0)+2),"-"),"-")</f>
        <v/>
      </c>
      <c r="AA312">
        <f>IF(S312="RE", Y312 &amp; "BT/" &amp; IF(Z312 &lt;&gt; "-", Z312 &amp; "BT", ""), IF(OR(S312="LTDR", S312="LTSR"), Y312 &amp; "BL" &amp; IF(Z312 &lt;&gt; "-", "/" &amp; Z312 &amp; "BT", ""), IF(OR(S312="RTDR", S312="RTSR"), Y312 &amp; "BR" &amp; IF(Z312 &lt;&gt; "-", "/" &amp; Z312 &amp; "BT", ""), IF(Z312 &lt;&gt; "-", Y312 &amp; "BT/" &amp; Z312 &amp; "BT", Y312 &amp; "BT"))))</f>
        <v/>
      </c>
    </row>
    <row r="313">
      <c r="A313" t="n">
        <v>558</v>
      </c>
      <c r="B313" t="inlineStr">
        <is>
          <t>SR 1001</t>
        </is>
      </c>
      <c r="C313" t="n">
        <v>0</v>
      </c>
      <c r="E313" t="inlineStr">
        <is>
          <t>SR 1606</t>
        </is>
      </c>
      <c r="F313" t="inlineStr">
        <is>
          <t>SR 1618</t>
        </is>
      </c>
      <c r="G313" t="inlineStr">
        <is>
          <t>SR 1001</t>
        </is>
      </c>
      <c r="H313" t="n">
        <v>4.094</v>
      </c>
      <c r="I313" t="inlineStr">
        <is>
          <t>NIS</t>
        </is>
      </c>
      <c r="L313" t="n">
        <v>107633193</v>
      </c>
      <c r="M313" s="6" t="n">
        <v>45343</v>
      </c>
      <c r="N313" t="n">
        <v>26</v>
      </c>
      <c r="O313" t="n">
        <v>1</v>
      </c>
      <c r="P313" t="n">
        <v>10</v>
      </c>
      <c r="Q313" t="n">
        <v>5</v>
      </c>
      <c r="R313" t="inlineStr">
        <is>
          <t>O</t>
        </is>
      </c>
      <c r="S313">
        <f>IFERROR(VLOOKUP(N313,Index!$A$1:$B$26,2,FALSE),"")</f>
        <v/>
      </c>
      <c r="T313">
        <f>AA313</f>
        <v/>
      </c>
      <c r="V313">
        <f>IFERROR(INDEX(DetailedFiche!Q:Q,MATCH(L313,DetailedFiche!J:J,0)),"")</f>
        <v/>
      </c>
      <c r="W313">
        <f>IFERROR(INDEX(DetailedFiche!R:R,MATCH(L313,DetailedFiche!J:J,0)),"")</f>
        <v/>
      </c>
      <c r="Y313">
        <f>IFERROR(IF(AND(INDEX('Initial Study'!K:K, MATCH(L313, 'Initial Study'!B:B, 0)+1)&lt;&gt;0,INDEX('Initial Study'!K:K, MATCH(L313, 'Initial Study'!B:B, 0)+1)&lt;&gt;""),INDEX('Initial Study'!K:K, MATCH(L313, 'Initial Study'!B:B, 0)+1),""),"")</f>
        <v/>
      </c>
      <c r="Z313">
        <f>IFERROR(IF(AND(INDEX('Initial Study'!K:K, MATCH(L313, 'Initial Study'!B:B, 0)+2)&lt;&gt;0,INDEX('Initial Study'!K:K, MATCH(L313, 'Initial Study'!B:B, 0)+2)&lt;&gt;"",NOT(ISNUMBER(INDEX('Initial Study'!K:K, MATCH(L313, 'Initial Study'!B:B, 0)+2)))),INDEX('Initial Study'!K:K, MATCH(L313, 'Initial Study'!B:B, 0)+2),"-"),"-")</f>
        <v/>
      </c>
      <c r="AA313">
        <f>IF(S313="RE", Y313 &amp; "BT/" &amp; IF(Z313 &lt;&gt; "-", Z313 &amp; "BT", ""), IF(OR(S313="LTDR", S313="LTSR"), Y313 &amp; "BL" &amp; IF(Z313 &lt;&gt; "-", "/" &amp; Z313 &amp; "BT", ""), IF(OR(S313="RTDR", S313="RTSR"), Y313 &amp; "BR" &amp; IF(Z313 &lt;&gt; "-", "/" &amp; Z313 &amp; "BT", ""), IF(Z313 &lt;&gt; "-", Y313 &amp; "BT/" &amp; Z313 &amp; "BT", Y313 &amp; "BT"))))</f>
        <v/>
      </c>
    </row>
    <row r="314">
      <c r="A314" t="n">
        <v>558</v>
      </c>
      <c r="B314" t="inlineStr">
        <is>
          <t>SR 1001</t>
        </is>
      </c>
      <c r="C314" t="n">
        <v>0</v>
      </c>
      <c r="E314" t="inlineStr">
        <is>
          <t>SR 1618</t>
        </is>
      </c>
      <c r="F314" t="inlineStr">
        <is>
          <t>SR 1693</t>
        </is>
      </c>
      <c r="G314" t="inlineStr">
        <is>
          <t>SR 1001</t>
        </is>
      </c>
      <c r="H314" t="n">
        <v>4.094</v>
      </c>
      <c r="I314" t="inlineStr">
        <is>
          <t>NIS</t>
        </is>
      </c>
      <c r="L314" t="n">
        <v>107587041</v>
      </c>
      <c r="M314" s="6" t="n">
        <v>45297</v>
      </c>
      <c r="N314" t="n">
        <v>26</v>
      </c>
      <c r="O314" t="n">
        <v>1</v>
      </c>
      <c r="P314" t="n">
        <v>10</v>
      </c>
      <c r="Q314" t="n">
        <v>5</v>
      </c>
      <c r="R314" t="inlineStr">
        <is>
          <t>O</t>
        </is>
      </c>
      <c r="S314">
        <f>IFERROR(VLOOKUP(N314,Index!$A$1:$B$26,2,FALSE),"")</f>
        <v/>
      </c>
      <c r="T314">
        <f>AA314</f>
        <v/>
      </c>
      <c r="V314">
        <f>IFERROR(INDEX(DetailedFiche!Q:Q,MATCH(L314,DetailedFiche!J:J,0)),"")</f>
        <v/>
      </c>
      <c r="W314">
        <f>IFERROR(INDEX(DetailedFiche!R:R,MATCH(L314,DetailedFiche!J:J,0)),"")</f>
        <v/>
      </c>
      <c r="Y314">
        <f>IFERROR(IF(AND(INDEX('Initial Study'!K:K, MATCH(L314, 'Initial Study'!B:B, 0)+1)&lt;&gt;0,INDEX('Initial Study'!K:K, MATCH(L314, 'Initial Study'!B:B, 0)+1)&lt;&gt;""),INDEX('Initial Study'!K:K, MATCH(L314, 'Initial Study'!B:B, 0)+1),""),"")</f>
        <v/>
      </c>
      <c r="Z314">
        <f>IFERROR(IF(AND(INDEX('Initial Study'!K:K, MATCH(L314, 'Initial Study'!B:B, 0)+2)&lt;&gt;0,INDEX('Initial Study'!K:K, MATCH(L314, 'Initial Study'!B:B, 0)+2)&lt;&gt;"",NOT(ISNUMBER(INDEX('Initial Study'!K:K, MATCH(L314, 'Initial Study'!B:B, 0)+2)))),INDEX('Initial Study'!K:K, MATCH(L314, 'Initial Study'!B:B, 0)+2),"-"),"-")</f>
        <v/>
      </c>
      <c r="AA314">
        <f>IF(S314="RE", Y314 &amp; "BT/" &amp; IF(Z314 &lt;&gt; "-", Z314 &amp; "BT", ""), IF(OR(S314="LTDR", S314="LTSR"), Y314 &amp; "BL" &amp; IF(Z314 &lt;&gt; "-", "/" &amp; Z314 &amp; "BT", ""), IF(OR(S314="RTDR", S314="RTSR"), Y314 &amp; "BR" &amp; IF(Z314 &lt;&gt; "-", "/" &amp; Z314 &amp; "BT", ""), IF(Z314 &lt;&gt; "-", Y314 &amp; "BT/" &amp; Z314 &amp; "BT", Y314 &amp; "BT"))))</f>
        <v/>
      </c>
    </row>
    <row r="315">
      <c r="A315" t="n">
        <v>558</v>
      </c>
      <c r="B315" t="inlineStr">
        <is>
          <t>SIKES MILL</t>
        </is>
      </c>
      <c r="C315" t="n">
        <v>0</v>
      </c>
      <c r="E315" t="inlineStr">
        <is>
          <t>TOM HELMS</t>
        </is>
      </c>
      <c r="F315" t="inlineStr">
        <is>
          <t>TOM BOYD</t>
        </is>
      </c>
      <c r="G315" t="inlineStr">
        <is>
          <t>SR 1001</t>
        </is>
      </c>
      <c r="H315" t="n">
        <v>4.094</v>
      </c>
      <c r="I315" t="inlineStr">
        <is>
          <t>NIS</t>
        </is>
      </c>
      <c r="L315" t="n">
        <v>108047061</v>
      </c>
      <c r="M315" s="6" t="n">
        <v>45730</v>
      </c>
      <c r="N315" t="n">
        <v>28</v>
      </c>
      <c r="O315" t="n">
        <v>1</v>
      </c>
      <c r="P315" t="n">
        <v>10</v>
      </c>
      <c r="Q315" t="n">
        <v>1</v>
      </c>
      <c r="R315" t="inlineStr">
        <is>
          <t>O</t>
        </is>
      </c>
      <c r="S315">
        <f>IFERROR(VLOOKUP(N315,Index!$A$1:$B$26,2,FALSE),"")</f>
        <v/>
      </c>
      <c r="T315">
        <f>AA315</f>
        <v/>
      </c>
      <c r="V315">
        <f>IFERROR(INDEX(DetailedFiche!Q:Q,MATCH(L315,DetailedFiche!J:J,0)),"")</f>
        <v/>
      </c>
      <c r="W315">
        <f>IFERROR(INDEX(DetailedFiche!R:R,MATCH(L315,DetailedFiche!J:J,0)),"")</f>
        <v/>
      </c>
      <c r="Y315">
        <f>IFERROR(IF(AND(INDEX('Initial Study'!K:K, MATCH(L315, 'Initial Study'!B:B, 0)+1)&lt;&gt;0,INDEX('Initial Study'!K:K, MATCH(L315, 'Initial Study'!B:B, 0)+1)&lt;&gt;""),INDEX('Initial Study'!K:K, MATCH(L315, 'Initial Study'!B:B, 0)+1),""),"")</f>
        <v/>
      </c>
      <c r="Z315">
        <f>IFERROR(IF(AND(INDEX('Initial Study'!K:K, MATCH(L315, 'Initial Study'!B:B, 0)+2)&lt;&gt;0,INDEX('Initial Study'!K:K, MATCH(L315, 'Initial Study'!B:B, 0)+2)&lt;&gt;"",NOT(ISNUMBER(INDEX('Initial Study'!K:K, MATCH(L315, 'Initial Study'!B:B, 0)+2)))),INDEX('Initial Study'!K:K, MATCH(L315, 'Initial Study'!B:B, 0)+2),"-"),"-")</f>
        <v/>
      </c>
      <c r="AA315">
        <f>IF(S315="RE", Y315 &amp; "BT/" &amp; IF(Z315 &lt;&gt; "-", Z315 &amp; "BT", ""), IF(OR(S315="LTDR", S315="LTSR"), Y315 &amp; "BL" &amp; IF(Z315 &lt;&gt; "-", "/" &amp; Z315 &amp; "BT", ""), IF(OR(S315="RTDR", S315="RTSR"), Y315 &amp; "BR" &amp; IF(Z315 &lt;&gt; "-", "/" &amp; Z315 &amp; "BT", ""), IF(Z315 &lt;&gt; "-", Y315 &amp; "BT/" &amp; Z315 &amp; "BT", Y315 &amp; "BT"))))</f>
        <v/>
      </c>
    </row>
    <row r="316">
      <c r="A316" t="n">
        <v>558</v>
      </c>
      <c r="B316" t="inlineStr">
        <is>
          <t>SIKES MILL</t>
        </is>
      </c>
      <c r="C316" t="n">
        <v>0</v>
      </c>
      <c r="E316" t="inlineStr">
        <is>
          <t>TOM HELMS</t>
        </is>
      </c>
      <c r="F316" t="inlineStr">
        <is>
          <t>PIEDMONT SCHOOL</t>
        </is>
      </c>
      <c r="G316" t="inlineStr">
        <is>
          <t>SR 1001</t>
        </is>
      </c>
      <c r="H316" t="n">
        <v>4.094</v>
      </c>
      <c r="I316" t="inlineStr">
        <is>
          <t>NIS</t>
        </is>
      </c>
      <c r="L316" t="n">
        <v>107101493</v>
      </c>
      <c r="M316" s="6" t="n">
        <v>44840</v>
      </c>
      <c r="N316" t="n">
        <v>28</v>
      </c>
      <c r="O316" t="n">
        <v>1</v>
      </c>
      <c r="P316" t="n">
        <v>10</v>
      </c>
      <c r="Q316" t="n">
        <v>1</v>
      </c>
      <c r="R316" t="inlineStr">
        <is>
          <t>O</t>
        </is>
      </c>
      <c r="S316">
        <f>IFERROR(VLOOKUP(N316,Index!$A$1:$B$26,2,FALSE),"")</f>
        <v/>
      </c>
      <c r="T316">
        <f>AA316</f>
        <v/>
      </c>
      <c r="V316">
        <f>IFERROR(INDEX(DetailedFiche!Q:Q,MATCH(L316,DetailedFiche!J:J,0)),"")</f>
        <v/>
      </c>
      <c r="W316">
        <f>IFERROR(INDEX(DetailedFiche!R:R,MATCH(L316,DetailedFiche!J:J,0)),"")</f>
        <v/>
      </c>
      <c r="Y316">
        <f>IFERROR(IF(AND(INDEX('Initial Study'!K:K, MATCH(L316, 'Initial Study'!B:B, 0)+1)&lt;&gt;0,INDEX('Initial Study'!K:K, MATCH(L316, 'Initial Study'!B:B, 0)+1)&lt;&gt;""),INDEX('Initial Study'!K:K, MATCH(L316, 'Initial Study'!B:B, 0)+1),""),"")</f>
        <v/>
      </c>
      <c r="Z316">
        <f>IFERROR(IF(AND(INDEX('Initial Study'!K:K, MATCH(L316, 'Initial Study'!B:B, 0)+2)&lt;&gt;0,INDEX('Initial Study'!K:K, MATCH(L316, 'Initial Study'!B:B, 0)+2)&lt;&gt;"",NOT(ISNUMBER(INDEX('Initial Study'!K:K, MATCH(L316, 'Initial Study'!B:B, 0)+2)))),INDEX('Initial Study'!K:K, MATCH(L316, 'Initial Study'!B:B, 0)+2),"-"),"-")</f>
        <v/>
      </c>
      <c r="AA316">
        <f>IF(S316="RE", Y316 &amp; "BT/" &amp; IF(Z316 &lt;&gt; "-", Z316 &amp; "BT", ""), IF(OR(S316="LTDR", S316="LTSR"), Y316 &amp; "BL" &amp; IF(Z316 &lt;&gt; "-", "/" &amp; Z316 &amp; "BT", ""), IF(OR(S316="RTDR", S316="RTSR"), Y316 &amp; "BR" &amp; IF(Z316 &lt;&gt; "-", "/" &amp; Z316 &amp; "BT", ""), IF(Z316 &lt;&gt; "-", Y316 &amp; "BT/" &amp; Z316 &amp; "BT", Y316 &amp; "BT"))))</f>
        <v/>
      </c>
    </row>
    <row r="317">
      <c r="A317" t="n">
        <v>558</v>
      </c>
      <c r="B317" t="inlineStr">
        <is>
          <t>SIKES MILL</t>
        </is>
      </c>
      <c r="C317" t="n">
        <v>0.005</v>
      </c>
      <c r="D317" t="inlineStr">
        <is>
          <t>N</t>
        </is>
      </c>
      <c r="E317" t="inlineStr">
        <is>
          <t>TOM HELMS</t>
        </is>
      </c>
      <c r="F317" t="inlineStr">
        <is>
          <t>HENRY SMITH</t>
        </is>
      </c>
      <c r="G317" t="inlineStr">
        <is>
          <t>SR 1001</t>
        </is>
      </c>
      <c r="H317" t="n">
        <v>4.099</v>
      </c>
      <c r="I317" t="inlineStr">
        <is>
          <t>NIS</t>
        </is>
      </c>
      <c r="L317" t="n">
        <v>108134024</v>
      </c>
      <c r="M317" s="6" t="n">
        <v>45811</v>
      </c>
      <c r="N317" t="n">
        <v>28</v>
      </c>
      <c r="O317" t="n">
        <v>1</v>
      </c>
      <c r="P317" t="n">
        <v>10</v>
      </c>
      <c r="Q317" t="n">
        <v>5</v>
      </c>
      <c r="R317" t="inlineStr">
        <is>
          <t>O</t>
        </is>
      </c>
      <c r="S317">
        <f>IFERROR(VLOOKUP(N317,Index!$A$1:$B$26,2,FALSE),"")</f>
        <v/>
      </c>
      <c r="T317">
        <f>AA317</f>
        <v/>
      </c>
      <c r="V317">
        <f>IFERROR(INDEX(DetailedFiche!Q:Q,MATCH(L317,DetailedFiche!J:J,0)),"")</f>
        <v/>
      </c>
      <c r="W317">
        <f>IFERROR(INDEX(DetailedFiche!R:R,MATCH(L317,DetailedFiche!J:J,0)),"")</f>
        <v/>
      </c>
      <c r="Y317">
        <f>IFERROR(IF(AND(INDEX('Initial Study'!K:K, MATCH(L317, 'Initial Study'!B:B, 0)+1)&lt;&gt;0,INDEX('Initial Study'!K:K, MATCH(L317, 'Initial Study'!B:B, 0)+1)&lt;&gt;""),INDEX('Initial Study'!K:K, MATCH(L317, 'Initial Study'!B:B, 0)+1),""),"")</f>
        <v/>
      </c>
      <c r="Z317">
        <f>IFERROR(IF(AND(INDEX('Initial Study'!K:K, MATCH(L317, 'Initial Study'!B:B, 0)+2)&lt;&gt;0,INDEX('Initial Study'!K:K, MATCH(L317, 'Initial Study'!B:B, 0)+2)&lt;&gt;"",NOT(ISNUMBER(INDEX('Initial Study'!K:K, MATCH(L317, 'Initial Study'!B:B, 0)+2)))),INDEX('Initial Study'!K:K, MATCH(L317, 'Initial Study'!B:B, 0)+2),"-"),"-")</f>
        <v/>
      </c>
      <c r="AA317">
        <f>IF(S317="RE", Y317 &amp; "BT/" &amp; IF(Z317 &lt;&gt; "-", Z317 &amp; "BT", ""), IF(OR(S317="LTDR", S317="LTSR"), Y317 &amp; "BL" &amp; IF(Z317 &lt;&gt; "-", "/" &amp; Z317 &amp; "BT", ""), IF(OR(S317="RTDR", S317="RTSR"), Y317 &amp; "BR" &amp; IF(Z317 &lt;&gt; "-", "/" &amp; Z317 &amp; "BT", ""), IF(Z317 &lt;&gt; "-", Y317 &amp; "BT/" &amp; Z317 &amp; "BT", Y317 &amp; "BT"))))</f>
        <v/>
      </c>
    </row>
    <row r="318">
      <c r="A318" t="n">
        <v>558</v>
      </c>
      <c r="B318" t="inlineStr">
        <is>
          <t>SIKES MILL</t>
        </is>
      </c>
      <c r="C318" t="n">
        <v>0.008999999999999999</v>
      </c>
      <c r="D318" t="inlineStr">
        <is>
          <t>N</t>
        </is>
      </c>
      <c r="E318" t="inlineStr">
        <is>
          <t>TOM HELMS</t>
        </is>
      </c>
      <c r="F318" t="inlineStr">
        <is>
          <t>HENRY SMITH</t>
        </is>
      </c>
      <c r="G318" t="inlineStr">
        <is>
          <t>SR 1001</t>
        </is>
      </c>
      <c r="H318" t="n">
        <v>4.103</v>
      </c>
      <c r="I318" t="inlineStr">
        <is>
          <t>NIS</t>
        </is>
      </c>
      <c r="L318" t="n">
        <v>107554045</v>
      </c>
      <c r="M318" s="6" t="n">
        <v>45258</v>
      </c>
      <c r="N318" t="n">
        <v>28</v>
      </c>
      <c r="O318" t="n">
        <v>1</v>
      </c>
      <c r="P318" t="n">
        <v>10</v>
      </c>
      <c r="Q318" t="n">
        <v>5</v>
      </c>
      <c r="R318" t="inlineStr">
        <is>
          <t>O</t>
        </is>
      </c>
      <c r="S318">
        <f>IFERROR(VLOOKUP(N318,Index!$A$1:$B$26,2,FALSE),"")</f>
        <v/>
      </c>
      <c r="T318">
        <f>AA318</f>
        <v/>
      </c>
      <c r="V318">
        <f>IFERROR(INDEX(DetailedFiche!Q:Q,MATCH(L318,DetailedFiche!J:J,0)),"")</f>
        <v/>
      </c>
      <c r="W318">
        <f>IFERROR(INDEX(DetailedFiche!R:R,MATCH(L318,DetailedFiche!J:J,0)),"")</f>
        <v/>
      </c>
      <c r="Y318">
        <f>IFERROR(IF(AND(INDEX('Initial Study'!K:K, MATCH(L318, 'Initial Study'!B:B, 0)+1)&lt;&gt;0,INDEX('Initial Study'!K:K, MATCH(L318, 'Initial Study'!B:B, 0)+1)&lt;&gt;""),INDEX('Initial Study'!K:K, MATCH(L318, 'Initial Study'!B:B, 0)+1),""),"")</f>
        <v/>
      </c>
      <c r="Z318">
        <f>IFERROR(IF(AND(INDEX('Initial Study'!K:K, MATCH(L318, 'Initial Study'!B:B, 0)+2)&lt;&gt;0,INDEX('Initial Study'!K:K, MATCH(L318, 'Initial Study'!B:B, 0)+2)&lt;&gt;"",NOT(ISNUMBER(INDEX('Initial Study'!K:K, MATCH(L318, 'Initial Study'!B:B, 0)+2)))),INDEX('Initial Study'!K:K, MATCH(L318, 'Initial Study'!B:B, 0)+2),"-"),"-")</f>
        <v/>
      </c>
      <c r="AA318">
        <f>IF(S318="RE", Y318 &amp; "BT/" &amp; IF(Z318 &lt;&gt; "-", Z318 &amp; "BT", ""), IF(OR(S318="LTDR", S318="LTSR"), Y318 &amp; "BL" &amp; IF(Z318 &lt;&gt; "-", "/" &amp; Z318 &amp; "BT", ""), IF(OR(S318="RTDR", S318="RTSR"), Y318 &amp; "BR" &amp; IF(Z318 &lt;&gt; "-", "/" &amp; Z318 &amp; "BT", ""), IF(Z318 &lt;&gt; "-", Y318 &amp; "BT/" &amp; Z318 &amp; "BT", Y318 &amp; "BT"))))</f>
        <v/>
      </c>
    </row>
    <row r="319">
      <c r="A319" t="n">
        <v>0</v>
      </c>
      <c r="B319" t="inlineStr">
        <is>
          <t>SIKES MILL</t>
        </is>
      </c>
      <c r="C319" t="n">
        <v>2</v>
      </c>
      <c r="D319" t="inlineStr">
        <is>
          <t>N</t>
        </is>
      </c>
      <c r="E319" t="inlineStr">
        <is>
          <t>CHANEY</t>
        </is>
      </c>
      <c r="F319" t="inlineStr">
        <is>
          <t>UNIONVILLE</t>
        </is>
      </c>
      <c r="G319" t="inlineStr">
        <is>
          <t>SR 1001</t>
        </is>
      </c>
      <c r="H319" t="n">
        <v>4.11</v>
      </c>
      <c r="I319" t="inlineStr">
        <is>
          <t>NIS</t>
        </is>
      </c>
      <c r="L319" t="n">
        <v>108420506</v>
      </c>
      <c r="M319" s="6" t="n">
        <v>46080</v>
      </c>
      <c r="N319" t="n">
        <v>29</v>
      </c>
      <c r="O319" t="n">
        <v>2</v>
      </c>
      <c r="P319" t="n">
        <v>0</v>
      </c>
      <c r="Q319" t="n">
        <v>5</v>
      </c>
      <c r="R319" t="inlineStr">
        <is>
          <t>O</t>
        </is>
      </c>
      <c r="S319">
        <f>IFERROR(VLOOKUP(N319,Index!$A$1:$B$26,2,FALSE),"")</f>
        <v/>
      </c>
      <c r="T319">
        <f>AA319</f>
        <v/>
      </c>
      <c r="V319">
        <f>IFERROR(INDEX(DetailedFiche!Q:Q,MATCH(L319,DetailedFiche!J:J,0)),"")</f>
        <v/>
      </c>
      <c r="W319">
        <f>IFERROR(INDEX(DetailedFiche!R:R,MATCH(L319,DetailedFiche!J:J,0)),"")</f>
        <v/>
      </c>
      <c r="Y319">
        <f>IFERROR(IF(AND(INDEX('Initial Study'!K:K, MATCH(L319, 'Initial Study'!B:B, 0)+1)&lt;&gt;0,INDEX('Initial Study'!K:K, MATCH(L319, 'Initial Study'!B:B, 0)+1)&lt;&gt;""),INDEX('Initial Study'!K:K, MATCH(L319, 'Initial Study'!B:B, 0)+1),""),"")</f>
        <v/>
      </c>
      <c r="Z319">
        <f>IFERROR(IF(AND(INDEX('Initial Study'!K:K, MATCH(L319, 'Initial Study'!B:B, 0)+2)&lt;&gt;0,INDEX('Initial Study'!K:K, MATCH(L319, 'Initial Study'!B:B, 0)+2)&lt;&gt;"",NOT(ISNUMBER(INDEX('Initial Study'!K:K, MATCH(L319, 'Initial Study'!B:B, 0)+2)))),INDEX('Initial Study'!K:K, MATCH(L319, 'Initial Study'!B:B, 0)+2),"-"),"-")</f>
        <v/>
      </c>
      <c r="AA319">
        <f>IF(S319="RE", Y319 &amp; "BT/" &amp; IF(Z319 &lt;&gt; "-", Z319 &amp; "BT", ""), IF(OR(S319="LTDR", S319="LTSR"), Y319 &amp; "BL" &amp; IF(Z319 &lt;&gt; "-", "/" &amp; Z319 &amp; "BT", ""), IF(OR(S319="RTDR", S319="RTSR"), Y319 &amp; "BR" &amp; IF(Z319 &lt;&gt; "-", "/" &amp; Z319 &amp; "BT", ""), IF(Z319 &lt;&gt; "-", Y319 &amp; "BT/" &amp; Z319 &amp; "BT", Y319 &amp; "BT"))))</f>
        <v/>
      </c>
    </row>
    <row r="320">
      <c r="A320" t="n">
        <v>558</v>
      </c>
      <c r="B320" t="inlineStr">
        <is>
          <t>SIKES MILL</t>
        </is>
      </c>
      <c r="C320" t="n">
        <v>0.003</v>
      </c>
      <c r="D320" t="inlineStr">
        <is>
          <t>N</t>
        </is>
      </c>
      <c r="E320" t="inlineStr">
        <is>
          <t>LAWYERS</t>
        </is>
      </c>
      <c r="F320" t="inlineStr">
        <is>
          <t>LOVE MILL</t>
        </is>
      </c>
      <c r="G320" t="inlineStr">
        <is>
          <t>SR 1001</t>
        </is>
      </c>
      <c r="H320" t="n">
        <v>4.11</v>
      </c>
      <c r="I320" t="inlineStr">
        <is>
          <t>NIS</t>
        </is>
      </c>
      <c r="L320" t="n">
        <v>107472572</v>
      </c>
      <c r="M320" s="6" t="n">
        <v>45198</v>
      </c>
      <c r="N320" t="n">
        <v>28</v>
      </c>
      <c r="O320" t="n">
        <v>1</v>
      </c>
      <c r="P320" t="n">
        <v>10</v>
      </c>
      <c r="Q320" t="n">
        <v>1</v>
      </c>
      <c r="R320" t="inlineStr">
        <is>
          <t>O</t>
        </is>
      </c>
      <c r="S320">
        <f>IFERROR(VLOOKUP(N320,Index!$A$1:$B$26,2,FALSE),"")</f>
        <v/>
      </c>
      <c r="T320">
        <f>AA320</f>
        <v/>
      </c>
      <c r="V320">
        <f>IFERROR(INDEX(DetailedFiche!Q:Q,MATCH(L320,DetailedFiche!J:J,0)),"")</f>
        <v/>
      </c>
      <c r="W320">
        <f>IFERROR(INDEX(DetailedFiche!R:R,MATCH(L320,DetailedFiche!J:J,0)),"")</f>
        <v/>
      </c>
      <c r="Y320">
        <f>IFERROR(IF(AND(INDEX('Initial Study'!K:K, MATCH(L320, 'Initial Study'!B:B, 0)+1)&lt;&gt;0,INDEX('Initial Study'!K:K, MATCH(L320, 'Initial Study'!B:B, 0)+1)&lt;&gt;""),INDEX('Initial Study'!K:K, MATCH(L320, 'Initial Study'!B:B, 0)+1),""),"")</f>
        <v/>
      </c>
      <c r="Z320">
        <f>IFERROR(IF(AND(INDEX('Initial Study'!K:K, MATCH(L320, 'Initial Study'!B:B, 0)+2)&lt;&gt;0,INDEX('Initial Study'!K:K, MATCH(L320, 'Initial Study'!B:B, 0)+2)&lt;&gt;"",NOT(ISNUMBER(INDEX('Initial Study'!K:K, MATCH(L320, 'Initial Study'!B:B, 0)+2)))),INDEX('Initial Study'!K:K, MATCH(L320, 'Initial Study'!B:B, 0)+2),"-"),"-")</f>
        <v/>
      </c>
      <c r="AA320">
        <f>IF(S320="RE", Y320 &amp; "BT/" &amp; IF(Z320 &lt;&gt; "-", Z320 &amp; "BT", ""), IF(OR(S320="LTDR", S320="LTSR"), Y320 &amp; "BL" &amp; IF(Z320 &lt;&gt; "-", "/" &amp; Z320 &amp; "BT", ""), IF(OR(S320="RTDR", S320="RTSR"), Y320 &amp; "BR" &amp; IF(Z320 &lt;&gt; "-", "/" &amp; Z320 &amp; "BT", ""), IF(Z320 &lt;&gt; "-", Y320 &amp; "BT/" &amp; Z320 &amp; "BT", Y320 &amp; "BT"))))</f>
        <v/>
      </c>
    </row>
    <row r="321">
      <c r="A321" t="n">
        <v>558</v>
      </c>
      <c r="B321" t="inlineStr">
        <is>
          <t>SIKES MILL</t>
        </is>
      </c>
      <c r="C321" t="n">
        <v>0.19</v>
      </c>
      <c r="D321" t="inlineStr">
        <is>
          <t>N</t>
        </is>
      </c>
      <c r="E321" t="inlineStr">
        <is>
          <t>LOVE MILL</t>
        </is>
      </c>
      <c r="F321" t="inlineStr">
        <is>
          <t>HENRY SMITH</t>
        </is>
      </c>
      <c r="G321" t="inlineStr">
        <is>
          <t>SR 1001</t>
        </is>
      </c>
      <c r="H321" t="n">
        <v>4.11</v>
      </c>
      <c r="I321" t="inlineStr">
        <is>
          <t>NIS</t>
        </is>
      </c>
      <c r="L321" t="n">
        <v>107844522</v>
      </c>
      <c r="M321" s="6" t="n">
        <v>45545</v>
      </c>
      <c r="N321" t="n">
        <v>24</v>
      </c>
      <c r="O321" t="n">
        <v>1</v>
      </c>
      <c r="P321" t="n">
        <v>4</v>
      </c>
      <c r="Q321" t="n">
        <v>1</v>
      </c>
      <c r="R321" t="inlineStr">
        <is>
          <t>O</t>
        </is>
      </c>
      <c r="S321">
        <f>IFERROR(VLOOKUP(N321,Index!$A$1:$B$26,2,FALSE),"")</f>
        <v/>
      </c>
      <c r="T321">
        <f>AA321</f>
        <v/>
      </c>
      <c r="V321">
        <f>IFERROR(INDEX(DetailedFiche!Q:Q,MATCH(L321,DetailedFiche!J:J,0)),"")</f>
        <v/>
      </c>
      <c r="W321">
        <f>IFERROR(INDEX(DetailedFiche!R:R,MATCH(L321,DetailedFiche!J:J,0)),"")</f>
        <v/>
      </c>
      <c r="Y321">
        <f>IFERROR(IF(AND(INDEX('Initial Study'!K:K, MATCH(L321, 'Initial Study'!B:B, 0)+1)&lt;&gt;0,INDEX('Initial Study'!K:K, MATCH(L321, 'Initial Study'!B:B, 0)+1)&lt;&gt;""),INDEX('Initial Study'!K:K, MATCH(L321, 'Initial Study'!B:B, 0)+1),""),"")</f>
        <v/>
      </c>
      <c r="Z321">
        <f>IFERROR(IF(AND(INDEX('Initial Study'!K:K, MATCH(L321, 'Initial Study'!B:B, 0)+2)&lt;&gt;0,INDEX('Initial Study'!K:K, MATCH(L321, 'Initial Study'!B:B, 0)+2)&lt;&gt;"",NOT(ISNUMBER(INDEX('Initial Study'!K:K, MATCH(L321, 'Initial Study'!B:B, 0)+2)))),INDEX('Initial Study'!K:K, MATCH(L321, 'Initial Study'!B:B, 0)+2),"-"),"-")</f>
        <v/>
      </c>
      <c r="AA321">
        <f>IF(S321="RE", Y321 &amp; "BT/" &amp; IF(Z321 &lt;&gt; "-", Z321 &amp; "BT", ""), IF(OR(S321="LTDR", S321="LTSR"), Y321 &amp; "BL" &amp; IF(Z321 &lt;&gt; "-", "/" &amp; Z321 &amp; "BT", ""), IF(OR(S321="RTDR", S321="RTSR"), Y321 &amp; "BR" &amp; IF(Z321 &lt;&gt; "-", "/" &amp; Z321 &amp; "BT", ""), IF(Z321 &lt;&gt; "-", Y321 &amp; "BT/" &amp; Z321 &amp; "BT", Y321 &amp; "BT"))))</f>
        <v/>
      </c>
    </row>
    <row r="322">
      <c r="A322" t="n">
        <v>558</v>
      </c>
      <c r="B322" t="inlineStr">
        <is>
          <t>SR 1001</t>
        </is>
      </c>
      <c r="C322" t="n">
        <v>0</v>
      </c>
      <c r="E322" t="inlineStr">
        <is>
          <t>SR 1637</t>
        </is>
      </c>
      <c r="F322" t="inlineStr">
        <is>
          <t>LOVE MILL</t>
        </is>
      </c>
      <c r="G322" t="inlineStr">
        <is>
          <t>SR 1001</t>
        </is>
      </c>
      <c r="H322" t="n">
        <v>4.11</v>
      </c>
      <c r="I322" t="inlineStr">
        <is>
          <t>NIS</t>
        </is>
      </c>
      <c r="L322" t="n">
        <v>107495749</v>
      </c>
      <c r="M322" s="6" t="n">
        <v>45218</v>
      </c>
      <c r="N322" t="n">
        <v>28</v>
      </c>
      <c r="O322" t="n">
        <v>1</v>
      </c>
      <c r="P322" t="n">
        <v>10</v>
      </c>
      <c r="Q322" t="n">
        <v>5</v>
      </c>
      <c r="R322" t="inlineStr">
        <is>
          <t>O</t>
        </is>
      </c>
      <c r="S322">
        <f>IFERROR(VLOOKUP(N322,Index!$A$1:$B$26,2,FALSE),"")</f>
        <v/>
      </c>
      <c r="T322">
        <f>AA322</f>
        <v/>
      </c>
      <c r="V322">
        <f>IFERROR(INDEX(DetailedFiche!Q:Q,MATCH(L322,DetailedFiche!J:J,0)),"")</f>
        <v/>
      </c>
      <c r="W322">
        <f>IFERROR(INDEX(DetailedFiche!R:R,MATCH(L322,DetailedFiche!J:J,0)),"")</f>
        <v/>
      </c>
      <c r="Y322">
        <f>IFERROR(IF(AND(INDEX('Initial Study'!K:K, MATCH(L322, 'Initial Study'!B:B, 0)+1)&lt;&gt;0,INDEX('Initial Study'!K:K, MATCH(L322, 'Initial Study'!B:B, 0)+1)&lt;&gt;""),INDEX('Initial Study'!K:K, MATCH(L322, 'Initial Study'!B:B, 0)+1),""),"")</f>
        <v/>
      </c>
      <c r="Z322">
        <f>IFERROR(IF(AND(INDEX('Initial Study'!K:K, MATCH(L322, 'Initial Study'!B:B, 0)+2)&lt;&gt;0,INDEX('Initial Study'!K:K, MATCH(L322, 'Initial Study'!B:B, 0)+2)&lt;&gt;"",NOT(ISNUMBER(INDEX('Initial Study'!K:K, MATCH(L322, 'Initial Study'!B:B, 0)+2)))),INDEX('Initial Study'!K:K, MATCH(L322, 'Initial Study'!B:B, 0)+2),"-"),"-")</f>
        <v/>
      </c>
      <c r="AA322">
        <f>IF(S322="RE", Y322 &amp; "BT/" &amp; IF(Z322 &lt;&gt; "-", Z322 &amp; "BT", ""), IF(OR(S322="LTDR", S322="LTSR"), Y322 &amp; "BL" &amp; IF(Z322 &lt;&gt; "-", "/" &amp; Z322 &amp; "BT", ""), IF(OR(S322="RTDR", S322="RTSR"), Y322 &amp; "BR" &amp; IF(Z322 &lt;&gt; "-", "/" &amp; Z322 &amp; "BT", ""), IF(Z322 &lt;&gt; "-", Y322 &amp; "BT/" &amp; Z322 &amp; "BT", Y322 &amp; "BT"))))</f>
        <v/>
      </c>
    </row>
    <row r="323">
      <c r="A323" t="n">
        <v>558</v>
      </c>
      <c r="B323" t="inlineStr">
        <is>
          <t>SR 1001</t>
        </is>
      </c>
      <c r="C323" t="n">
        <v>0</v>
      </c>
      <c r="E323" t="inlineStr">
        <is>
          <t>SR 1637</t>
        </is>
      </c>
      <c r="F323" t="inlineStr">
        <is>
          <t>SR 1001</t>
        </is>
      </c>
      <c r="G323" t="inlineStr">
        <is>
          <t>SR 1001</t>
        </is>
      </c>
      <c r="H323" t="n">
        <v>4.11</v>
      </c>
      <c r="I323" t="inlineStr">
        <is>
          <t>NIS</t>
        </is>
      </c>
      <c r="L323" t="n">
        <v>105414221</v>
      </c>
      <c r="M323" s="6" t="n">
        <v>43173</v>
      </c>
      <c r="N323" t="n">
        <v>26</v>
      </c>
      <c r="O323" t="n">
        <v>1</v>
      </c>
      <c r="P323" t="n">
        <v>10</v>
      </c>
      <c r="Q323" t="n">
        <v>5</v>
      </c>
      <c r="R323" t="inlineStr">
        <is>
          <t>O</t>
        </is>
      </c>
      <c r="S323">
        <f>IFERROR(VLOOKUP(N323,Index!$A$1:$B$26,2,FALSE),"")</f>
        <v/>
      </c>
      <c r="T323">
        <f>AA323</f>
        <v/>
      </c>
      <c r="V323">
        <f>IFERROR(INDEX(DetailedFiche!Q:Q,MATCH(L323,DetailedFiche!J:J,0)),"")</f>
        <v/>
      </c>
      <c r="W323">
        <f>IFERROR(INDEX(DetailedFiche!R:R,MATCH(L323,DetailedFiche!J:J,0)),"")</f>
        <v/>
      </c>
      <c r="Y323">
        <f>IFERROR(IF(AND(INDEX('Initial Study'!K:K, MATCH(L323, 'Initial Study'!B:B, 0)+1)&lt;&gt;0,INDEX('Initial Study'!K:K, MATCH(L323, 'Initial Study'!B:B, 0)+1)&lt;&gt;""),INDEX('Initial Study'!K:K, MATCH(L323, 'Initial Study'!B:B, 0)+1),""),"")</f>
        <v/>
      </c>
      <c r="Z323">
        <f>IFERROR(IF(AND(INDEX('Initial Study'!K:K, MATCH(L323, 'Initial Study'!B:B, 0)+2)&lt;&gt;0,INDEX('Initial Study'!K:K, MATCH(L323, 'Initial Study'!B:B, 0)+2)&lt;&gt;"",NOT(ISNUMBER(INDEX('Initial Study'!K:K, MATCH(L323, 'Initial Study'!B:B, 0)+2)))),INDEX('Initial Study'!K:K, MATCH(L323, 'Initial Study'!B:B, 0)+2),"-"),"-")</f>
        <v/>
      </c>
      <c r="AA323">
        <f>IF(S323="RE", Y323 &amp; "BT/" &amp; IF(Z323 &lt;&gt; "-", Z323 &amp; "BT", ""), IF(OR(S323="LTDR", S323="LTSR"), Y323 &amp; "BL" &amp; IF(Z323 &lt;&gt; "-", "/" &amp; Z323 &amp; "BT", ""), IF(OR(S323="RTDR", S323="RTSR"), Y323 &amp; "BR" &amp; IF(Z323 &lt;&gt; "-", "/" &amp; Z323 &amp; "BT", ""), IF(Z323 &lt;&gt; "-", Y323 &amp; "BT/" &amp; Z323 &amp; "BT", Y323 &amp; "BT"))))</f>
        <v/>
      </c>
    </row>
    <row r="324">
      <c r="A324" t="n">
        <v>0</v>
      </c>
      <c r="B324" t="inlineStr">
        <is>
          <t>SR 1001</t>
        </is>
      </c>
      <c r="C324" t="n">
        <v>0</v>
      </c>
      <c r="E324" t="inlineStr">
        <is>
          <t>SR 1637</t>
        </is>
      </c>
      <c r="F324" t="inlineStr">
        <is>
          <t>SR 1606</t>
        </is>
      </c>
      <c r="G324" t="inlineStr">
        <is>
          <t>SR 1001</t>
        </is>
      </c>
      <c r="H324" t="n">
        <v>4.11</v>
      </c>
      <c r="I324" t="inlineStr">
        <is>
          <t>NIS</t>
        </is>
      </c>
      <c r="L324" t="n">
        <v>106532803</v>
      </c>
      <c r="M324" s="6" t="n">
        <v>44286</v>
      </c>
      <c r="N324" t="n">
        <v>26</v>
      </c>
      <c r="O324" t="n">
        <v>1</v>
      </c>
      <c r="P324" t="n">
        <v>10</v>
      </c>
      <c r="Q324" t="n">
        <v>1</v>
      </c>
      <c r="R324" t="inlineStr">
        <is>
          <t>O</t>
        </is>
      </c>
      <c r="S324">
        <f>IFERROR(VLOOKUP(N324,Index!$A$1:$B$26,2,FALSE),"")</f>
        <v/>
      </c>
      <c r="T324">
        <f>AA324</f>
        <v/>
      </c>
      <c r="V324">
        <f>IFERROR(INDEX(DetailedFiche!Q:Q,MATCH(L324,DetailedFiche!J:J,0)),"")</f>
        <v/>
      </c>
      <c r="W324">
        <f>IFERROR(INDEX(DetailedFiche!R:R,MATCH(L324,DetailedFiche!J:J,0)),"")</f>
        <v/>
      </c>
      <c r="Y324">
        <f>IFERROR(IF(AND(INDEX('Initial Study'!K:K, MATCH(L324, 'Initial Study'!B:B, 0)+1)&lt;&gt;0,INDEX('Initial Study'!K:K, MATCH(L324, 'Initial Study'!B:B, 0)+1)&lt;&gt;""),INDEX('Initial Study'!K:K, MATCH(L324, 'Initial Study'!B:B, 0)+1),""),"")</f>
        <v/>
      </c>
      <c r="Z324">
        <f>IFERROR(IF(AND(INDEX('Initial Study'!K:K, MATCH(L324, 'Initial Study'!B:B, 0)+2)&lt;&gt;0,INDEX('Initial Study'!K:K, MATCH(L324, 'Initial Study'!B:B, 0)+2)&lt;&gt;"",NOT(ISNUMBER(INDEX('Initial Study'!K:K, MATCH(L324, 'Initial Study'!B:B, 0)+2)))),INDEX('Initial Study'!K:K, MATCH(L324, 'Initial Study'!B:B, 0)+2),"-"),"-")</f>
        <v/>
      </c>
      <c r="AA324">
        <f>IF(S324="RE", Y324 &amp; "BT/" &amp; IF(Z324 &lt;&gt; "-", Z324 &amp; "BT", ""), IF(OR(S324="LTDR", S324="LTSR"), Y324 &amp; "BL" &amp; IF(Z324 &lt;&gt; "-", "/" &amp; Z324 &amp; "BT", ""), IF(OR(S324="RTDR", S324="RTSR"), Y324 &amp; "BR" &amp; IF(Z324 &lt;&gt; "-", "/" &amp; Z324 &amp; "BT", ""), IF(Z324 &lt;&gt; "-", Y324 &amp; "BT/" &amp; Z324 &amp; "BT", Y324 &amp; "BT"))))</f>
        <v/>
      </c>
    </row>
    <row r="325">
      <c r="A325" t="n">
        <v>558</v>
      </c>
      <c r="B325" t="inlineStr">
        <is>
          <t>SR 1001</t>
        </is>
      </c>
      <c r="C325" t="n">
        <v>0</v>
      </c>
      <c r="E325" t="inlineStr">
        <is>
          <t>SR 1637</t>
        </is>
      </c>
      <c r="F325" t="inlineStr">
        <is>
          <t>SR 1636</t>
        </is>
      </c>
      <c r="G325" t="inlineStr">
        <is>
          <t>SR 1001</t>
        </is>
      </c>
      <c r="H325" t="n">
        <v>4.11</v>
      </c>
      <c r="I325" t="inlineStr">
        <is>
          <t>NIS</t>
        </is>
      </c>
      <c r="L325" t="n">
        <v>105337648</v>
      </c>
      <c r="M325" s="6" t="n">
        <v>43088</v>
      </c>
      <c r="N325" t="n">
        <v>30</v>
      </c>
      <c r="O325" t="n">
        <v>1</v>
      </c>
      <c r="P325" t="n">
        <v>10</v>
      </c>
      <c r="Q325" t="n">
        <v>5</v>
      </c>
      <c r="R325" t="inlineStr">
        <is>
          <t>B</t>
        </is>
      </c>
      <c r="S325">
        <f>IFERROR(VLOOKUP(N325,Index!$A$1:$B$26,2,FALSE),"")</f>
        <v/>
      </c>
      <c r="T325">
        <f>AA325</f>
        <v/>
      </c>
      <c r="V325">
        <f>IFERROR(INDEX(DetailedFiche!Q:Q,MATCH(L325,DetailedFiche!J:J,0)),"")</f>
        <v/>
      </c>
      <c r="W325">
        <f>IFERROR(INDEX(DetailedFiche!R:R,MATCH(L325,DetailedFiche!J:J,0)),"")</f>
        <v/>
      </c>
      <c r="Y325">
        <f>IFERROR(IF(AND(INDEX('Initial Study'!K:K, MATCH(L325, 'Initial Study'!B:B, 0)+1)&lt;&gt;0,INDEX('Initial Study'!K:K, MATCH(L325, 'Initial Study'!B:B, 0)+1)&lt;&gt;""),INDEX('Initial Study'!K:K, MATCH(L325, 'Initial Study'!B:B, 0)+1),""),"")</f>
        <v/>
      </c>
      <c r="Z325">
        <f>IFERROR(IF(AND(INDEX('Initial Study'!K:K, MATCH(L325, 'Initial Study'!B:B, 0)+2)&lt;&gt;0,INDEX('Initial Study'!K:K, MATCH(L325, 'Initial Study'!B:B, 0)+2)&lt;&gt;"",NOT(ISNUMBER(INDEX('Initial Study'!K:K, MATCH(L325, 'Initial Study'!B:B, 0)+2)))),INDEX('Initial Study'!K:K, MATCH(L325, 'Initial Study'!B:B, 0)+2),"-"),"-")</f>
        <v/>
      </c>
      <c r="AA325">
        <f>IF(S325="RE", Y325 &amp; "BT/" &amp; IF(Z325 &lt;&gt; "-", Z325 &amp; "BT", ""), IF(OR(S325="LTDR", S325="LTSR"), Y325 &amp; "BL" &amp; IF(Z325 &lt;&gt; "-", "/" &amp; Z325 &amp; "BT", ""), IF(OR(S325="RTDR", S325="RTSR"), Y325 &amp; "BR" &amp; IF(Z325 &lt;&gt; "-", "/" &amp; Z325 &amp; "BT", ""), IF(Z325 &lt;&gt; "-", Y325 &amp; "BT/" &amp; Z325 &amp; "BT", Y325 &amp; "BT"))))</f>
        <v/>
      </c>
    </row>
    <row r="326">
      <c r="A326" t="n">
        <v>558</v>
      </c>
      <c r="B326" t="inlineStr">
        <is>
          <t>SR 1001</t>
        </is>
      </c>
      <c r="C326" t="n">
        <v>0</v>
      </c>
      <c r="E326" t="inlineStr">
        <is>
          <t>SR 1637</t>
        </is>
      </c>
      <c r="F326" t="inlineStr">
        <is>
          <t>SR 1001</t>
        </is>
      </c>
      <c r="G326" t="inlineStr">
        <is>
          <t>SR 1001</t>
        </is>
      </c>
      <c r="H326" t="n">
        <v>4.11</v>
      </c>
      <c r="I326" t="inlineStr">
        <is>
          <t>NIS</t>
        </is>
      </c>
      <c r="L326" t="n">
        <v>106482550</v>
      </c>
      <c r="M326" s="6" t="n">
        <v>44232</v>
      </c>
      <c r="N326" t="n">
        <v>32</v>
      </c>
      <c r="O326" t="n">
        <v>1</v>
      </c>
      <c r="P326" t="n">
        <v>10</v>
      </c>
      <c r="Q326" t="n">
        <v>5</v>
      </c>
      <c r="R326" t="inlineStr">
        <is>
          <t>O</t>
        </is>
      </c>
      <c r="S326">
        <f>IFERROR(VLOOKUP(N326,Index!$A$1:$B$26,2,FALSE),"")</f>
        <v/>
      </c>
      <c r="T326">
        <f>AA326</f>
        <v/>
      </c>
      <c r="V326">
        <f>IFERROR(INDEX(DetailedFiche!Q:Q,MATCH(L326,DetailedFiche!J:J,0)),"")</f>
        <v/>
      </c>
      <c r="W326">
        <f>IFERROR(INDEX(DetailedFiche!R:R,MATCH(L326,DetailedFiche!J:J,0)),"")</f>
        <v/>
      </c>
      <c r="Y326">
        <f>IFERROR(IF(AND(INDEX('Initial Study'!K:K, MATCH(L326, 'Initial Study'!B:B, 0)+1)&lt;&gt;0,INDEX('Initial Study'!K:K, MATCH(L326, 'Initial Study'!B:B, 0)+1)&lt;&gt;""),INDEX('Initial Study'!K:K, MATCH(L326, 'Initial Study'!B:B, 0)+1),""),"")</f>
        <v/>
      </c>
      <c r="Z326">
        <f>IFERROR(IF(AND(INDEX('Initial Study'!K:K, MATCH(L326, 'Initial Study'!B:B, 0)+2)&lt;&gt;0,INDEX('Initial Study'!K:K, MATCH(L326, 'Initial Study'!B:B, 0)+2)&lt;&gt;"",NOT(ISNUMBER(INDEX('Initial Study'!K:K, MATCH(L326, 'Initial Study'!B:B, 0)+2)))),INDEX('Initial Study'!K:K, MATCH(L326, 'Initial Study'!B:B, 0)+2),"-"),"-")</f>
        <v/>
      </c>
      <c r="AA326">
        <f>IF(S326="RE", Y326 &amp; "BT/" &amp; IF(Z326 &lt;&gt; "-", Z326 &amp; "BT", ""), IF(OR(S326="LTDR", S326="LTSR"), Y326 &amp; "BL" &amp; IF(Z326 &lt;&gt; "-", "/" &amp; Z326 &amp; "BT", ""), IF(OR(S326="RTDR", S326="RTSR"), Y326 &amp; "BR" &amp; IF(Z326 &lt;&gt; "-", "/" &amp; Z326 &amp; "BT", ""), IF(Z326 &lt;&gt; "-", Y326 &amp; "BT/" &amp; Z326 &amp; "BT", Y326 &amp; "BT"))))</f>
        <v/>
      </c>
    </row>
    <row r="327">
      <c r="A327" t="n">
        <v>558</v>
      </c>
      <c r="B327" t="inlineStr">
        <is>
          <t>SR 1001</t>
        </is>
      </c>
      <c r="C327" t="n">
        <v>0</v>
      </c>
      <c r="E327" t="inlineStr">
        <is>
          <t>SR 1637</t>
        </is>
      </c>
      <c r="F327" t="inlineStr">
        <is>
          <t>SR 1678</t>
        </is>
      </c>
      <c r="G327" t="inlineStr">
        <is>
          <t>SR 1001</t>
        </is>
      </c>
      <c r="H327" t="n">
        <v>4.11</v>
      </c>
      <c r="I327" t="inlineStr">
        <is>
          <t>NIS</t>
        </is>
      </c>
      <c r="L327" t="n">
        <v>105087246</v>
      </c>
      <c r="M327" s="6" t="n">
        <v>42849</v>
      </c>
      <c r="N327" t="n">
        <v>26</v>
      </c>
      <c r="O327" t="n">
        <v>2</v>
      </c>
      <c r="P327" t="n">
        <v>10</v>
      </c>
      <c r="Q327" t="n">
        <v>5</v>
      </c>
      <c r="R327" t="inlineStr">
        <is>
          <t>O</t>
        </is>
      </c>
      <c r="S327">
        <f>IFERROR(VLOOKUP(N327,Index!$A$1:$B$26,2,FALSE),"")</f>
        <v/>
      </c>
      <c r="T327">
        <f>AA327</f>
        <v/>
      </c>
      <c r="V327">
        <f>IFERROR(INDEX(DetailedFiche!Q:Q,MATCH(L327,DetailedFiche!J:J,0)),"")</f>
        <v/>
      </c>
      <c r="W327">
        <f>IFERROR(INDEX(DetailedFiche!R:R,MATCH(L327,DetailedFiche!J:J,0)),"")</f>
        <v/>
      </c>
      <c r="Y327">
        <f>IFERROR(IF(AND(INDEX('Initial Study'!K:K, MATCH(L327, 'Initial Study'!B:B, 0)+1)&lt;&gt;0,INDEX('Initial Study'!K:K, MATCH(L327, 'Initial Study'!B:B, 0)+1)&lt;&gt;""),INDEX('Initial Study'!K:K, MATCH(L327, 'Initial Study'!B:B, 0)+1),""),"")</f>
        <v/>
      </c>
      <c r="Z327">
        <f>IFERROR(IF(AND(INDEX('Initial Study'!K:K, MATCH(L327, 'Initial Study'!B:B, 0)+2)&lt;&gt;0,INDEX('Initial Study'!K:K, MATCH(L327, 'Initial Study'!B:B, 0)+2)&lt;&gt;"",NOT(ISNUMBER(INDEX('Initial Study'!K:K, MATCH(L327, 'Initial Study'!B:B, 0)+2)))),INDEX('Initial Study'!K:K, MATCH(L327, 'Initial Study'!B:B, 0)+2),"-"),"-")</f>
        <v/>
      </c>
      <c r="AA327">
        <f>IF(S327="RE", Y327 &amp; "BT/" &amp; IF(Z327 &lt;&gt; "-", Z327 &amp; "BT", ""), IF(OR(S327="LTDR", S327="LTSR"), Y327 &amp; "BL" &amp; IF(Z327 &lt;&gt; "-", "/" &amp; Z327 &amp; "BT", ""), IF(OR(S327="RTDR", S327="RTSR"), Y327 &amp; "BR" &amp; IF(Z327 &lt;&gt; "-", "/" &amp; Z327 &amp; "BT", ""), IF(Z327 &lt;&gt; "-", Y327 &amp; "BT/" &amp; Z327 &amp; "BT", Y327 &amp; "BT"))))</f>
        <v/>
      </c>
    </row>
    <row r="328">
      <c r="A328" t="n">
        <v>558</v>
      </c>
      <c r="B328" t="inlineStr">
        <is>
          <t>SR 1001</t>
        </is>
      </c>
      <c r="C328" t="n">
        <v>0</v>
      </c>
      <c r="E328" t="inlineStr">
        <is>
          <t>SR 1637</t>
        </is>
      </c>
      <c r="F328" t="inlineStr">
        <is>
          <t>SR 1001</t>
        </is>
      </c>
      <c r="G328" t="inlineStr">
        <is>
          <t>SR 1001</t>
        </is>
      </c>
      <c r="H328" t="n">
        <v>4.11</v>
      </c>
      <c r="I328" t="inlineStr">
        <is>
          <t>NIS</t>
        </is>
      </c>
      <c r="L328" t="n">
        <v>107563521</v>
      </c>
      <c r="M328" s="6" t="n">
        <v>45273</v>
      </c>
      <c r="N328" t="n">
        <v>28</v>
      </c>
      <c r="O328" t="n">
        <v>1</v>
      </c>
      <c r="P328" t="n">
        <v>10</v>
      </c>
      <c r="Q328" t="n">
        <v>5</v>
      </c>
      <c r="R328" t="inlineStr">
        <is>
          <t>O</t>
        </is>
      </c>
      <c r="S328">
        <f>IFERROR(VLOOKUP(N328,Index!$A$1:$B$26,2,FALSE),"")</f>
        <v/>
      </c>
      <c r="T328">
        <f>AA328</f>
        <v/>
      </c>
      <c r="V328">
        <f>IFERROR(INDEX(DetailedFiche!Q:Q,MATCH(L328,DetailedFiche!J:J,0)),"")</f>
        <v/>
      </c>
      <c r="W328">
        <f>IFERROR(INDEX(DetailedFiche!R:R,MATCH(L328,DetailedFiche!J:J,0)),"")</f>
        <v/>
      </c>
      <c r="Y328">
        <f>IFERROR(IF(AND(INDEX('Initial Study'!K:K, MATCH(L328, 'Initial Study'!B:B, 0)+1)&lt;&gt;0,INDEX('Initial Study'!K:K, MATCH(L328, 'Initial Study'!B:B, 0)+1)&lt;&gt;""),INDEX('Initial Study'!K:K, MATCH(L328, 'Initial Study'!B:B, 0)+1),""),"")</f>
        <v/>
      </c>
      <c r="Z328">
        <f>IFERROR(IF(AND(INDEX('Initial Study'!K:K, MATCH(L328, 'Initial Study'!B:B, 0)+2)&lt;&gt;0,INDEX('Initial Study'!K:K, MATCH(L328, 'Initial Study'!B:B, 0)+2)&lt;&gt;"",NOT(ISNUMBER(INDEX('Initial Study'!K:K, MATCH(L328, 'Initial Study'!B:B, 0)+2)))),INDEX('Initial Study'!K:K, MATCH(L328, 'Initial Study'!B:B, 0)+2),"-"),"-")</f>
        <v/>
      </c>
      <c r="AA328">
        <f>IF(S328="RE", Y328 &amp; "BT/" &amp; IF(Z328 &lt;&gt; "-", Z328 &amp; "BT", ""), IF(OR(S328="LTDR", S328="LTSR"), Y328 &amp; "BL" &amp; IF(Z328 &lt;&gt; "-", "/" &amp; Z328 &amp; "BT", ""), IF(OR(S328="RTDR", S328="RTSR"), Y328 &amp; "BR" &amp; IF(Z328 &lt;&gt; "-", "/" &amp; Z328 &amp; "BT", ""), IF(Z328 &lt;&gt; "-", Y328 &amp; "BT/" &amp; Z328 &amp; "BT", Y328 &amp; "BT"))))</f>
        <v/>
      </c>
    </row>
    <row r="329">
      <c r="A329" t="n">
        <v>558</v>
      </c>
      <c r="B329" t="inlineStr">
        <is>
          <t>SR 1001</t>
        </is>
      </c>
      <c r="C329" t="n">
        <v>0.1</v>
      </c>
      <c r="D329" t="inlineStr">
        <is>
          <t>NE</t>
        </is>
      </c>
      <c r="E329" t="inlineStr">
        <is>
          <t>SR 1606</t>
        </is>
      </c>
      <c r="F329" t="inlineStr">
        <is>
          <t>PIEDMONT SCHOOL</t>
        </is>
      </c>
      <c r="G329" t="inlineStr">
        <is>
          <t>SR 1001</t>
        </is>
      </c>
      <c r="H329" t="n">
        <v>4.194</v>
      </c>
      <c r="I329" t="inlineStr">
        <is>
          <t>NIS</t>
        </is>
      </c>
      <c r="L329" t="n">
        <v>104695165</v>
      </c>
      <c r="M329" s="6" t="n">
        <v>42464</v>
      </c>
      <c r="N329" t="n">
        <v>19</v>
      </c>
      <c r="O329" t="n">
        <v>1</v>
      </c>
      <c r="P329" t="n">
        <v>0</v>
      </c>
      <c r="Q329" t="n">
        <v>1</v>
      </c>
      <c r="R329" t="inlineStr">
        <is>
          <t>O</t>
        </is>
      </c>
      <c r="S329">
        <f>IFERROR(VLOOKUP(N329,Index!$A$1:$B$26,2,FALSE),"")</f>
        <v/>
      </c>
      <c r="T329">
        <f>AA329</f>
        <v/>
      </c>
      <c r="V329">
        <f>IFERROR(INDEX(DetailedFiche!Q:Q,MATCH(L329,DetailedFiche!J:J,0)),"")</f>
        <v/>
      </c>
      <c r="W329">
        <f>IFERROR(INDEX(DetailedFiche!R:R,MATCH(L329,DetailedFiche!J:J,0)),"")</f>
        <v/>
      </c>
      <c r="Y329">
        <f>IFERROR(IF(AND(INDEX('Initial Study'!K:K, MATCH(L329, 'Initial Study'!B:B, 0)+1)&lt;&gt;0,INDEX('Initial Study'!K:K, MATCH(L329, 'Initial Study'!B:B, 0)+1)&lt;&gt;""),INDEX('Initial Study'!K:K, MATCH(L329, 'Initial Study'!B:B, 0)+1),""),"")</f>
        <v/>
      </c>
      <c r="Z329">
        <f>IFERROR(IF(AND(INDEX('Initial Study'!K:K, MATCH(L329, 'Initial Study'!B:B, 0)+2)&lt;&gt;0,INDEX('Initial Study'!K:K, MATCH(L329, 'Initial Study'!B:B, 0)+2)&lt;&gt;"",NOT(ISNUMBER(INDEX('Initial Study'!K:K, MATCH(L329, 'Initial Study'!B:B, 0)+2)))),INDEX('Initial Study'!K:K, MATCH(L329, 'Initial Study'!B:B, 0)+2),"-"),"-")</f>
        <v/>
      </c>
      <c r="AA329">
        <f>IF(S329="RE", Y329 &amp; "BT/" &amp; IF(Z329 &lt;&gt; "-", Z329 &amp; "BT", ""), IF(OR(S329="LTDR", S329="LTSR"), Y329 &amp; "BL" &amp; IF(Z329 &lt;&gt; "-", "/" &amp; Z329 &amp; "BT", ""), IF(OR(S329="RTDR", S329="RTSR"), Y329 &amp; "BR" &amp; IF(Z329 &lt;&gt; "-", "/" &amp; Z329 &amp; "BT", ""), IF(Z329 &lt;&gt; "-", Y329 &amp; "BT/" &amp; Z329 &amp; "BT", Y329 &amp; "BT"))))</f>
        <v/>
      </c>
    </row>
    <row r="330">
      <c r="A330" t="n">
        <v>558</v>
      </c>
      <c r="B330" t="inlineStr">
        <is>
          <t>SR 1001</t>
        </is>
      </c>
      <c r="C330" t="n">
        <v>0.2</v>
      </c>
      <c r="D330" t="inlineStr">
        <is>
          <t>NE</t>
        </is>
      </c>
      <c r="E330" t="inlineStr">
        <is>
          <t>SR 1606</t>
        </is>
      </c>
      <c r="F330" t="inlineStr">
        <is>
          <t>PIEDMONT SCHOOL</t>
        </is>
      </c>
      <c r="G330" t="inlineStr">
        <is>
          <t>SR 1001</t>
        </is>
      </c>
      <c r="H330" t="n">
        <v>4.294</v>
      </c>
      <c r="I330" t="inlineStr">
        <is>
          <t>NIS</t>
        </is>
      </c>
      <c r="L330" t="n">
        <v>104987919</v>
      </c>
      <c r="M330" s="6" t="n">
        <v>42761</v>
      </c>
      <c r="N330" t="n">
        <v>29</v>
      </c>
      <c r="O330" t="n">
        <v>1</v>
      </c>
      <c r="P330" t="n">
        <v>0</v>
      </c>
      <c r="Q330" t="n">
        <v>1</v>
      </c>
      <c r="R330" t="inlineStr">
        <is>
          <t>O</t>
        </is>
      </c>
      <c r="S330">
        <f>IFERROR(VLOOKUP(N330,Index!$A$1:$B$26,2,FALSE),"")</f>
        <v/>
      </c>
      <c r="T330">
        <f>AA330</f>
        <v/>
      </c>
      <c r="V330">
        <f>IFERROR(INDEX(DetailedFiche!Q:Q,MATCH(L330,DetailedFiche!J:J,0)),"")</f>
        <v/>
      </c>
      <c r="W330">
        <f>IFERROR(INDEX(DetailedFiche!R:R,MATCH(L330,DetailedFiche!J:J,0)),"")</f>
        <v/>
      </c>
      <c r="Y330">
        <f>IFERROR(IF(AND(INDEX('Initial Study'!K:K, MATCH(L330, 'Initial Study'!B:B, 0)+1)&lt;&gt;0,INDEX('Initial Study'!K:K, MATCH(L330, 'Initial Study'!B:B, 0)+1)&lt;&gt;""),INDEX('Initial Study'!K:K, MATCH(L330, 'Initial Study'!B:B, 0)+1),""),"")</f>
        <v/>
      </c>
      <c r="Z330">
        <f>IFERROR(IF(AND(INDEX('Initial Study'!K:K, MATCH(L330, 'Initial Study'!B:B, 0)+2)&lt;&gt;0,INDEX('Initial Study'!K:K, MATCH(L330, 'Initial Study'!B:B, 0)+2)&lt;&gt;"",NOT(ISNUMBER(INDEX('Initial Study'!K:K, MATCH(L330, 'Initial Study'!B:B, 0)+2)))),INDEX('Initial Study'!K:K, MATCH(L330, 'Initial Study'!B:B, 0)+2),"-"),"-")</f>
        <v/>
      </c>
      <c r="AA330">
        <f>IF(S330="RE", Y330 &amp; "BT/" &amp; IF(Z330 &lt;&gt; "-", Z330 &amp; "BT", ""), IF(OR(S330="LTDR", S330="LTSR"), Y330 &amp; "BL" &amp; IF(Z330 &lt;&gt; "-", "/" &amp; Z330 &amp; "BT", ""), IF(OR(S330="RTDR", S330="RTSR"), Y330 &amp; "BR" &amp; IF(Z330 &lt;&gt; "-", "/" &amp; Z330 &amp; "BT", ""), IF(Z330 &lt;&gt; "-", Y330 &amp; "BT/" &amp; Z330 &amp; "BT", Y330 &amp; "BT"))))</f>
        <v/>
      </c>
    </row>
    <row r="331">
      <c r="A331" t="n">
        <v>0</v>
      </c>
      <c r="B331" t="inlineStr">
        <is>
          <t>SR 1001</t>
        </is>
      </c>
      <c r="C331" t="n">
        <v>0.2</v>
      </c>
      <c r="D331" t="inlineStr">
        <is>
          <t>N</t>
        </is>
      </c>
      <c r="E331" t="inlineStr">
        <is>
          <t>SR 1637</t>
        </is>
      </c>
      <c r="F331" t="inlineStr">
        <is>
          <t>SR 1674</t>
        </is>
      </c>
      <c r="G331" t="inlineStr">
        <is>
          <t>SR 1001</t>
        </is>
      </c>
      <c r="H331" t="n">
        <v>4.31</v>
      </c>
      <c r="I331" t="inlineStr">
        <is>
          <t>NIS</t>
        </is>
      </c>
      <c r="L331" t="n">
        <v>106017163</v>
      </c>
      <c r="M331" s="6" t="n">
        <v>43740</v>
      </c>
      <c r="N331" t="n">
        <v>23</v>
      </c>
      <c r="O331" t="n">
        <v>1</v>
      </c>
      <c r="P331" t="n">
        <v>0</v>
      </c>
      <c r="Q331" t="n">
        <v>1</v>
      </c>
      <c r="R331" t="inlineStr">
        <is>
          <t>O</t>
        </is>
      </c>
      <c r="S331">
        <f>IFERROR(VLOOKUP(N331,Index!$A$1:$B$26,2,FALSE),"")</f>
        <v/>
      </c>
      <c r="T331">
        <f>AA331</f>
        <v/>
      </c>
      <c r="V331">
        <f>IFERROR(INDEX(DetailedFiche!Q:Q,MATCH(L331,DetailedFiche!J:J,0)),"")</f>
        <v/>
      </c>
      <c r="W331">
        <f>IFERROR(INDEX(DetailedFiche!R:R,MATCH(L331,DetailedFiche!J:J,0)),"")</f>
        <v/>
      </c>
      <c r="Y331">
        <f>IFERROR(IF(AND(INDEX('Initial Study'!K:K, MATCH(L331, 'Initial Study'!B:B, 0)+1)&lt;&gt;0,INDEX('Initial Study'!K:K, MATCH(L331, 'Initial Study'!B:B, 0)+1)&lt;&gt;""),INDEX('Initial Study'!K:K, MATCH(L331, 'Initial Study'!B:B, 0)+1),""),"")</f>
        <v/>
      </c>
      <c r="Z331">
        <f>IFERROR(IF(AND(INDEX('Initial Study'!K:K, MATCH(L331, 'Initial Study'!B:B, 0)+2)&lt;&gt;0,INDEX('Initial Study'!K:K, MATCH(L331, 'Initial Study'!B:B, 0)+2)&lt;&gt;"",NOT(ISNUMBER(INDEX('Initial Study'!K:K, MATCH(L331, 'Initial Study'!B:B, 0)+2)))),INDEX('Initial Study'!K:K, MATCH(L331, 'Initial Study'!B:B, 0)+2),"-"),"-")</f>
        <v/>
      </c>
      <c r="AA331">
        <f>IF(S331="RE", Y331 &amp; "BT/" &amp; IF(Z331 &lt;&gt; "-", Z331 &amp; "BT", ""), IF(OR(S331="LTDR", S331="LTSR"), Y331 &amp; "BL" &amp; IF(Z331 &lt;&gt; "-", "/" &amp; Z331 &amp; "BT", ""), IF(OR(S331="RTDR", S331="RTSR"), Y331 &amp; "BR" &amp; IF(Z331 &lt;&gt; "-", "/" &amp; Z331 &amp; "BT", ""), IF(Z331 &lt;&gt; "-", Y331 &amp; "BT/" &amp; Z331 &amp; "BT", Y331 &amp; "BT"))))</f>
        <v/>
      </c>
    </row>
    <row r="332">
      <c r="A332" t="n">
        <v>558</v>
      </c>
      <c r="B332" t="inlineStr">
        <is>
          <t>LOVE MILL</t>
        </is>
      </c>
      <c r="C332" t="n">
        <v>0.15</v>
      </c>
      <c r="D332" t="inlineStr">
        <is>
          <t>W</t>
        </is>
      </c>
      <c r="E332" t="inlineStr">
        <is>
          <t>PIEDMONT SCHOOL</t>
        </is>
      </c>
      <c r="F332" t="inlineStr">
        <is>
          <t>SIKES MILL</t>
        </is>
      </c>
      <c r="G332" t="inlineStr">
        <is>
          <t>SR 1001</t>
        </is>
      </c>
      <c r="H332" t="n">
        <v>4.454</v>
      </c>
      <c r="I332" t="inlineStr">
        <is>
          <t>NIS</t>
        </is>
      </c>
      <c r="L332" t="n">
        <v>107442543</v>
      </c>
      <c r="M332" s="6" t="n">
        <v>45168</v>
      </c>
      <c r="N332" t="n">
        <v>21</v>
      </c>
      <c r="O332" t="n">
        <v>2</v>
      </c>
      <c r="P332" t="n">
        <v>0</v>
      </c>
      <c r="Q332" t="n">
        <v>1</v>
      </c>
      <c r="R332" t="inlineStr">
        <is>
          <t>O</t>
        </is>
      </c>
      <c r="S332">
        <f>IFERROR(VLOOKUP(N332,Index!$A$1:$B$26,2,FALSE),"")</f>
        <v/>
      </c>
      <c r="T332">
        <f>AA332</f>
        <v/>
      </c>
      <c r="V332">
        <f>IFERROR(INDEX(DetailedFiche!Q:Q,MATCH(L332,DetailedFiche!J:J,0)),"")</f>
        <v/>
      </c>
      <c r="W332">
        <f>IFERROR(INDEX(DetailedFiche!R:R,MATCH(L332,DetailedFiche!J:J,0)),"")</f>
        <v/>
      </c>
      <c r="Y332">
        <f>IFERROR(IF(AND(INDEX('Initial Study'!K:K, MATCH(L332, 'Initial Study'!B:B, 0)+1)&lt;&gt;0,INDEX('Initial Study'!K:K, MATCH(L332, 'Initial Study'!B:B, 0)+1)&lt;&gt;""),INDEX('Initial Study'!K:K, MATCH(L332, 'Initial Study'!B:B, 0)+1),""),"")</f>
        <v/>
      </c>
      <c r="Z332">
        <f>IFERROR(IF(AND(INDEX('Initial Study'!K:K, MATCH(L332, 'Initial Study'!B:B, 0)+2)&lt;&gt;0,INDEX('Initial Study'!K:K, MATCH(L332, 'Initial Study'!B:B, 0)+2)&lt;&gt;"",NOT(ISNUMBER(INDEX('Initial Study'!K:K, MATCH(L332, 'Initial Study'!B:B, 0)+2)))),INDEX('Initial Study'!K:K, MATCH(L332, 'Initial Study'!B:B, 0)+2),"-"),"-")</f>
        <v/>
      </c>
      <c r="AA332">
        <f>IF(S332="RE", Y332 &amp; "BT/" &amp; IF(Z332 &lt;&gt; "-", Z332 &amp; "BT", ""), IF(OR(S332="LTDR", S332="LTSR"), Y332 &amp; "BL" &amp; IF(Z332 &lt;&gt; "-", "/" &amp; Z332 &amp; "BT", ""), IF(OR(S332="RTDR", S332="RTSR"), Y332 &amp; "BR" &amp; IF(Z332 &lt;&gt; "-", "/" &amp; Z332 &amp; "BT", ""), IF(Z332 &lt;&gt; "-", Y332 &amp; "BT/" &amp; Z332 &amp; "BT", Y332 &amp; "BT"))))</f>
        <v/>
      </c>
    </row>
    <row r="333">
      <c r="A333" t="n">
        <v>558</v>
      </c>
      <c r="B333" t="inlineStr">
        <is>
          <t>SR 1001</t>
        </is>
      </c>
      <c r="C333" t="n">
        <v>0.75</v>
      </c>
      <c r="D333" t="inlineStr">
        <is>
          <t>S</t>
        </is>
      </c>
      <c r="E333" t="inlineStr">
        <is>
          <t>SR 1638</t>
        </is>
      </c>
      <c r="F333" t="inlineStr">
        <is>
          <t>SR 1688</t>
        </is>
      </c>
      <c r="G333" t="inlineStr">
        <is>
          <t>SR 1001</t>
        </is>
      </c>
      <c r="H333" t="n">
        <v>4.476</v>
      </c>
      <c r="I333" t="inlineStr">
        <is>
          <t>NIS</t>
        </is>
      </c>
      <c r="L333" t="n">
        <v>106194121</v>
      </c>
      <c r="M333" s="6" t="n">
        <v>43914</v>
      </c>
      <c r="N333" t="n">
        <v>17</v>
      </c>
      <c r="O333" t="n">
        <v>1</v>
      </c>
      <c r="P333" t="n">
        <v>0</v>
      </c>
      <c r="Q333" t="n">
        <v>5</v>
      </c>
      <c r="R333" t="inlineStr">
        <is>
          <t>O</t>
        </is>
      </c>
      <c r="S333">
        <f>IFERROR(VLOOKUP(N333,Index!$A$1:$B$26,2,FALSE),"")</f>
        <v/>
      </c>
      <c r="T333">
        <f>AA333</f>
        <v/>
      </c>
      <c r="V333">
        <f>IFERROR(INDEX(DetailedFiche!Q:Q,MATCH(L333,DetailedFiche!J:J,0)),"")</f>
        <v/>
      </c>
      <c r="W333">
        <f>IFERROR(INDEX(DetailedFiche!R:R,MATCH(L333,DetailedFiche!J:J,0)),"")</f>
        <v/>
      </c>
      <c r="Y333">
        <f>IFERROR(IF(AND(INDEX('Initial Study'!K:K, MATCH(L333, 'Initial Study'!B:B, 0)+1)&lt;&gt;0,INDEX('Initial Study'!K:K, MATCH(L333, 'Initial Study'!B:B, 0)+1)&lt;&gt;""),INDEX('Initial Study'!K:K, MATCH(L333, 'Initial Study'!B:B, 0)+1),""),"")</f>
        <v/>
      </c>
      <c r="Z333">
        <f>IFERROR(IF(AND(INDEX('Initial Study'!K:K, MATCH(L333, 'Initial Study'!B:B, 0)+2)&lt;&gt;0,INDEX('Initial Study'!K:K, MATCH(L333, 'Initial Study'!B:B, 0)+2)&lt;&gt;"",NOT(ISNUMBER(INDEX('Initial Study'!K:K, MATCH(L333, 'Initial Study'!B:B, 0)+2)))),INDEX('Initial Study'!K:K, MATCH(L333, 'Initial Study'!B:B, 0)+2),"-"),"-")</f>
        <v/>
      </c>
      <c r="AA333">
        <f>IF(S333="RE", Y333 &amp; "BT/" &amp; IF(Z333 &lt;&gt; "-", Z333 &amp; "BT", ""), IF(OR(S333="LTDR", S333="LTSR"), Y333 &amp; "BL" &amp; IF(Z333 &lt;&gt; "-", "/" &amp; Z333 &amp; "BT", ""), IF(OR(S333="RTDR", S333="RTSR"), Y333 &amp; "BR" &amp; IF(Z333 &lt;&gt; "-", "/" &amp; Z333 &amp; "BT", ""), IF(Z333 &lt;&gt; "-", Y333 &amp; "BT/" &amp; Z333 &amp; "BT", Y333 &amp; "BT"))))</f>
        <v/>
      </c>
    </row>
    <row r="334">
      <c r="A334" t="n">
        <v>0</v>
      </c>
      <c r="B334" t="inlineStr">
        <is>
          <t>SR 1001</t>
        </is>
      </c>
      <c r="C334" t="n">
        <v>0.7</v>
      </c>
      <c r="D334" t="inlineStr">
        <is>
          <t>S</t>
        </is>
      </c>
      <c r="E334" t="inlineStr">
        <is>
          <t>SR 1638</t>
        </is>
      </c>
      <c r="F334" t="inlineStr">
        <is>
          <t>SR 1674</t>
        </is>
      </c>
      <c r="G334" t="inlineStr">
        <is>
          <t>SR 1001</t>
        </is>
      </c>
      <c r="H334" t="n">
        <v>4.526</v>
      </c>
      <c r="I334" t="inlineStr">
        <is>
          <t>NIS</t>
        </is>
      </c>
      <c r="L334" t="n">
        <v>105670531</v>
      </c>
      <c r="M334" s="6" t="n">
        <v>43409</v>
      </c>
      <c r="N334" t="n">
        <v>20</v>
      </c>
      <c r="O334" t="n">
        <v>2</v>
      </c>
      <c r="P334" t="n">
        <v>0</v>
      </c>
      <c r="Q334" t="n">
        <v>1</v>
      </c>
      <c r="R334" t="inlineStr">
        <is>
          <t>O</t>
        </is>
      </c>
      <c r="S334">
        <f>IFERROR(VLOOKUP(N334,Index!$A$1:$B$26,2,FALSE),"")</f>
        <v/>
      </c>
      <c r="T334">
        <f>AA334</f>
        <v/>
      </c>
      <c r="V334">
        <f>IFERROR(INDEX(DetailedFiche!Q:Q,MATCH(L334,DetailedFiche!J:J,0)),"")</f>
        <v/>
      </c>
      <c r="W334">
        <f>IFERROR(INDEX(DetailedFiche!R:R,MATCH(L334,DetailedFiche!J:J,0)),"")</f>
        <v/>
      </c>
      <c r="Y334">
        <f>IFERROR(IF(AND(INDEX('Initial Study'!K:K, MATCH(L334, 'Initial Study'!B:B, 0)+1)&lt;&gt;0,INDEX('Initial Study'!K:K, MATCH(L334, 'Initial Study'!B:B, 0)+1)&lt;&gt;""),INDEX('Initial Study'!K:K, MATCH(L334, 'Initial Study'!B:B, 0)+1),""),"")</f>
        <v/>
      </c>
      <c r="Z334">
        <f>IFERROR(IF(AND(INDEX('Initial Study'!K:K, MATCH(L334, 'Initial Study'!B:B, 0)+2)&lt;&gt;0,INDEX('Initial Study'!K:K, MATCH(L334, 'Initial Study'!B:B, 0)+2)&lt;&gt;"",NOT(ISNUMBER(INDEX('Initial Study'!K:K, MATCH(L334, 'Initial Study'!B:B, 0)+2)))),INDEX('Initial Study'!K:K, MATCH(L334, 'Initial Study'!B:B, 0)+2),"-"),"-")</f>
        <v/>
      </c>
      <c r="AA334">
        <f>IF(S334="RE", Y334 &amp; "BT/" &amp; IF(Z334 &lt;&gt; "-", Z334 &amp; "BT", ""), IF(OR(S334="LTDR", S334="LTSR"), Y334 &amp; "BL" &amp; IF(Z334 &lt;&gt; "-", "/" &amp; Z334 &amp; "BT", ""), IF(OR(S334="RTDR", S334="RTSR"), Y334 &amp; "BR" &amp; IF(Z334 &lt;&gt; "-", "/" &amp; Z334 &amp; "BT", ""), IF(Z334 &lt;&gt; "-", Y334 &amp; "BT/" &amp; Z334 &amp; "BT", Y334 &amp; "BT"))))</f>
        <v/>
      </c>
    </row>
    <row r="335">
      <c r="A335" t="n">
        <v>558</v>
      </c>
      <c r="B335" t="inlineStr">
        <is>
          <t>LOVE MILL</t>
        </is>
      </c>
      <c r="C335" t="n">
        <v>0</v>
      </c>
      <c r="E335" t="inlineStr">
        <is>
          <t>PIEDMONT SCHOOL</t>
        </is>
      </c>
      <c r="F335" t="inlineStr">
        <is>
          <t>*LCL PURSER RUSHING ROAD</t>
        </is>
      </c>
      <c r="G335" t="inlineStr">
        <is>
          <t>SR 1001</t>
        </is>
      </c>
      <c r="H335" t="n">
        <v>4.604</v>
      </c>
      <c r="I335" t="inlineStr">
        <is>
          <t>NIS</t>
        </is>
      </c>
      <c r="L335" t="n">
        <v>106755818</v>
      </c>
      <c r="M335" s="6" t="n">
        <v>44508</v>
      </c>
      <c r="N335" t="n">
        <v>26</v>
      </c>
      <c r="O335" t="n">
        <v>1</v>
      </c>
      <c r="P335" t="n">
        <v>8</v>
      </c>
      <c r="Q335" t="n">
        <v>1</v>
      </c>
      <c r="R335" t="inlineStr">
        <is>
          <t>O</t>
        </is>
      </c>
      <c r="S335">
        <f>IFERROR(VLOOKUP(N335,Index!$A$1:$B$26,2,FALSE),"")</f>
        <v/>
      </c>
      <c r="T335">
        <f>AA335</f>
        <v/>
      </c>
      <c r="V335">
        <f>IFERROR(INDEX(DetailedFiche!Q:Q,MATCH(L335,DetailedFiche!J:J,0)),"")</f>
        <v/>
      </c>
      <c r="W335">
        <f>IFERROR(INDEX(DetailedFiche!R:R,MATCH(L335,DetailedFiche!J:J,0)),"")</f>
        <v/>
      </c>
      <c r="Y335">
        <f>IFERROR(IF(AND(INDEX('Initial Study'!K:K, MATCH(L335, 'Initial Study'!B:B, 0)+1)&lt;&gt;0,INDEX('Initial Study'!K:K, MATCH(L335, 'Initial Study'!B:B, 0)+1)&lt;&gt;""),INDEX('Initial Study'!K:K, MATCH(L335, 'Initial Study'!B:B, 0)+1),""),"")</f>
        <v/>
      </c>
      <c r="Z335">
        <f>IFERROR(IF(AND(INDEX('Initial Study'!K:K, MATCH(L335, 'Initial Study'!B:B, 0)+2)&lt;&gt;0,INDEX('Initial Study'!K:K, MATCH(L335, 'Initial Study'!B:B, 0)+2)&lt;&gt;"",NOT(ISNUMBER(INDEX('Initial Study'!K:K, MATCH(L335, 'Initial Study'!B:B, 0)+2)))),INDEX('Initial Study'!K:K, MATCH(L335, 'Initial Study'!B:B, 0)+2),"-"),"-")</f>
        <v/>
      </c>
      <c r="AA335">
        <f>IF(S335="RE", Y335 &amp; "BT/" &amp; IF(Z335 &lt;&gt; "-", Z335 &amp; "BT", ""), IF(OR(S335="LTDR", S335="LTSR"), Y335 &amp; "BL" &amp; IF(Z335 &lt;&gt; "-", "/" &amp; Z335 &amp; "BT", ""), IF(OR(S335="RTDR", S335="RTSR"), Y335 &amp; "BR" &amp; IF(Z335 &lt;&gt; "-", "/" &amp; Z335 &amp; "BT", ""), IF(Z335 &lt;&gt; "-", Y335 &amp; "BT/" &amp; Z335 &amp; "BT", Y335 &amp; "BT"))))</f>
        <v/>
      </c>
    </row>
    <row r="336">
      <c r="A336" t="n">
        <v>558</v>
      </c>
      <c r="B336" t="inlineStr">
        <is>
          <t>LOVE MILL</t>
        </is>
      </c>
      <c r="C336" t="n">
        <v>0</v>
      </c>
      <c r="E336" t="inlineStr">
        <is>
          <t>PIEDMONT SCHOOL</t>
        </is>
      </c>
      <c r="F336" t="inlineStr">
        <is>
          <t>SIKES MILL</t>
        </is>
      </c>
      <c r="G336" t="inlineStr">
        <is>
          <t>SR 1001</t>
        </is>
      </c>
      <c r="H336" t="n">
        <v>4.604</v>
      </c>
      <c r="I336" t="inlineStr">
        <is>
          <t>NIS</t>
        </is>
      </c>
      <c r="L336" t="n">
        <v>106585376</v>
      </c>
      <c r="M336" s="6" t="n">
        <v>44342</v>
      </c>
      <c r="N336" t="n">
        <v>24</v>
      </c>
      <c r="O336" t="n">
        <v>1</v>
      </c>
      <c r="P336" t="n">
        <v>8</v>
      </c>
      <c r="Q336" t="n">
        <v>1</v>
      </c>
      <c r="R336" t="inlineStr">
        <is>
          <t>O</t>
        </is>
      </c>
      <c r="S336">
        <f>IFERROR(VLOOKUP(N336,Index!$A$1:$B$26,2,FALSE),"")</f>
        <v/>
      </c>
      <c r="T336">
        <f>AA336</f>
        <v/>
      </c>
      <c r="V336">
        <f>IFERROR(INDEX(DetailedFiche!Q:Q,MATCH(L336,DetailedFiche!J:J,0)),"")</f>
        <v/>
      </c>
      <c r="W336">
        <f>IFERROR(INDEX(DetailedFiche!R:R,MATCH(L336,DetailedFiche!J:J,0)),"")</f>
        <v/>
      </c>
      <c r="Y336">
        <f>IFERROR(IF(AND(INDEX('Initial Study'!K:K, MATCH(L336, 'Initial Study'!B:B, 0)+1)&lt;&gt;0,INDEX('Initial Study'!K:K, MATCH(L336, 'Initial Study'!B:B, 0)+1)&lt;&gt;""),INDEX('Initial Study'!K:K, MATCH(L336, 'Initial Study'!B:B, 0)+1),""),"")</f>
        <v/>
      </c>
      <c r="Z336">
        <f>IFERROR(IF(AND(INDEX('Initial Study'!K:K, MATCH(L336, 'Initial Study'!B:B, 0)+2)&lt;&gt;0,INDEX('Initial Study'!K:K, MATCH(L336, 'Initial Study'!B:B, 0)+2)&lt;&gt;"",NOT(ISNUMBER(INDEX('Initial Study'!K:K, MATCH(L336, 'Initial Study'!B:B, 0)+2)))),INDEX('Initial Study'!K:K, MATCH(L336, 'Initial Study'!B:B, 0)+2),"-"),"-")</f>
        <v/>
      </c>
      <c r="AA336">
        <f>IF(S336="RE", Y336 &amp; "BT/" &amp; IF(Z336 &lt;&gt; "-", Z336 &amp; "BT", ""), IF(OR(S336="LTDR", S336="LTSR"), Y336 &amp; "BL" &amp; IF(Z336 &lt;&gt; "-", "/" &amp; Z336 &amp; "BT", ""), IF(OR(S336="RTDR", S336="RTSR"), Y336 &amp; "BR" &amp; IF(Z336 &lt;&gt; "-", "/" &amp; Z336 &amp; "BT", ""), IF(Z336 &lt;&gt; "-", Y336 &amp; "BT/" &amp; Z336 &amp; "BT", Y336 &amp; "BT"))))</f>
        <v/>
      </c>
    </row>
    <row r="337">
      <c r="A337" t="n">
        <v>558</v>
      </c>
      <c r="B337" t="inlineStr">
        <is>
          <t>SR 1001</t>
        </is>
      </c>
      <c r="C337" t="n">
        <v>0</v>
      </c>
      <c r="E337" t="inlineStr">
        <is>
          <t>SR 1668</t>
        </is>
      </c>
      <c r="F337" t="inlineStr">
        <is>
          <t>DEAD END</t>
        </is>
      </c>
      <c r="G337" t="inlineStr">
        <is>
          <t>SR 1001</t>
        </is>
      </c>
      <c r="H337" t="n">
        <v>4.604</v>
      </c>
      <c r="I337" t="inlineStr">
        <is>
          <t>NIS</t>
        </is>
      </c>
      <c r="L337" t="n">
        <v>107215772</v>
      </c>
      <c r="M337" s="6" t="n">
        <v>44937</v>
      </c>
      <c r="N337" t="n">
        <v>26</v>
      </c>
      <c r="O337" t="n">
        <v>1</v>
      </c>
      <c r="P337" t="n">
        <v>8</v>
      </c>
      <c r="Q337" t="n">
        <v>5</v>
      </c>
      <c r="R337" t="inlineStr">
        <is>
          <t>C</t>
        </is>
      </c>
      <c r="S337">
        <f>IFERROR(VLOOKUP(N337,Index!$A$1:$B$26,2,FALSE),"")</f>
        <v/>
      </c>
      <c r="T337">
        <f>AA337</f>
        <v/>
      </c>
      <c r="V337">
        <f>IFERROR(INDEX(DetailedFiche!Q:Q,MATCH(L337,DetailedFiche!J:J,0)),"")</f>
        <v/>
      </c>
      <c r="W337">
        <f>IFERROR(INDEX(DetailedFiche!R:R,MATCH(L337,DetailedFiche!J:J,0)),"")</f>
        <v/>
      </c>
      <c r="Y337">
        <f>IFERROR(IF(AND(INDEX('Initial Study'!K:K, MATCH(L337, 'Initial Study'!B:B, 0)+1)&lt;&gt;0,INDEX('Initial Study'!K:K, MATCH(L337, 'Initial Study'!B:B, 0)+1)&lt;&gt;""),INDEX('Initial Study'!K:K, MATCH(L337, 'Initial Study'!B:B, 0)+1),""),"")</f>
        <v/>
      </c>
      <c r="Z337">
        <f>IFERROR(IF(AND(INDEX('Initial Study'!K:K, MATCH(L337, 'Initial Study'!B:B, 0)+2)&lt;&gt;0,INDEX('Initial Study'!K:K, MATCH(L337, 'Initial Study'!B:B, 0)+2)&lt;&gt;"",NOT(ISNUMBER(INDEX('Initial Study'!K:K, MATCH(L337, 'Initial Study'!B:B, 0)+2)))),INDEX('Initial Study'!K:K, MATCH(L337, 'Initial Study'!B:B, 0)+2),"-"),"-")</f>
        <v/>
      </c>
      <c r="AA337">
        <f>IF(S337="RE", Y337 &amp; "BT/" &amp; IF(Z337 &lt;&gt; "-", Z337 &amp; "BT", ""), IF(OR(S337="LTDR", S337="LTSR"), Y337 &amp; "BL" &amp; IF(Z337 &lt;&gt; "-", "/" &amp; Z337 &amp; "BT", ""), IF(OR(S337="RTDR", S337="RTSR"), Y337 &amp; "BR" &amp; IF(Z337 &lt;&gt; "-", "/" &amp; Z337 &amp; "BT", ""), IF(Z337 &lt;&gt; "-", Y337 &amp; "BT/" &amp; Z337 &amp; "BT", Y337 &amp; "BT"))))</f>
        <v/>
      </c>
    </row>
    <row r="338">
      <c r="A338" t="n">
        <v>558</v>
      </c>
      <c r="B338" t="inlineStr">
        <is>
          <t>SR 1001</t>
        </is>
      </c>
      <c r="C338" t="n">
        <v>0.035</v>
      </c>
      <c r="D338" t="inlineStr">
        <is>
          <t>N</t>
        </is>
      </c>
      <c r="E338" t="inlineStr">
        <is>
          <t>SR 1668</t>
        </is>
      </c>
      <c r="F338" t="inlineStr">
        <is>
          <t>SR 1674</t>
        </is>
      </c>
      <c r="G338" t="inlineStr">
        <is>
          <t>SR 1001</t>
        </is>
      </c>
      <c r="H338" t="n">
        <v>4.639</v>
      </c>
      <c r="I338" t="inlineStr">
        <is>
          <t>NIS</t>
        </is>
      </c>
      <c r="L338" t="n">
        <v>107121599</v>
      </c>
      <c r="M338" s="6" t="n">
        <v>44856</v>
      </c>
      <c r="N338" t="n">
        <v>26</v>
      </c>
      <c r="O338" t="n">
        <v>1</v>
      </c>
      <c r="P338" t="n">
        <v>0</v>
      </c>
      <c r="Q338" t="n">
        <v>1</v>
      </c>
      <c r="R338" t="inlineStr">
        <is>
          <t>O</t>
        </is>
      </c>
      <c r="S338">
        <f>IFERROR(VLOOKUP(N338,Index!$A$1:$B$26,2,FALSE),"")</f>
        <v/>
      </c>
      <c r="T338">
        <f>AA338</f>
        <v/>
      </c>
      <c r="V338">
        <f>IFERROR(INDEX(DetailedFiche!Q:Q,MATCH(L338,DetailedFiche!J:J,0)),"")</f>
        <v/>
      </c>
      <c r="W338">
        <f>IFERROR(INDEX(DetailedFiche!R:R,MATCH(L338,DetailedFiche!J:J,0)),"")</f>
        <v/>
      </c>
      <c r="Y338">
        <f>IFERROR(IF(AND(INDEX('Initial Study'!K:K, MATCH(L338, 'Initial Study'!B:B, 0)+1)&lt;&gt;0,INDEX('Initial Study'!K:K, MATCH(L338, 'Initial Study'!B:B, 0)+1)&lt;&gt;""),INDEX('Initial Study'!K:K, MATCH(L338, 'Initial Study'!B:B, 0)+1),""),"")</f>
        <v/>
      </c>
      <c r="Z338">
        <f>IFERROR(IF(AND(INDEX('Initial Study'!K:K, MATCH(L338, 'Initial Study'!B:B, 0)+2)&lt;&gt;0,INDEX('Initial Study'!K:K, MATCH(L338, 'Initial Study'!B:B, 0)+2)&lt;&gt;"",NOT(ISNUMBER(INDEX('Initial Study'!K:K, MATCH(L338, 'Initial Study'!B:B, 0)+2)))),INDEX('Initial Study'!K:K, MATCH(L338, 'Initial Study'!B:B, 0)+2),"-"),"-")</f>
        <v/>
      </c>
      <c r="AA338">
        <f>IF(S338="RE", Y338 &amp; "BT/" &amp; IF(Z338 &lt;&gt; "-", Z338 &amp; "BT", ""), IF(OR(S338="LTDR", S338="LTSR"), Y338 &amp; "BL" &amp; IF(Z338 &lt;&gt; "-", "/" &amp; Z338 &amp; "BT", ""), IF(OR(S338="RTDR", S338="RTSR"), Y338 &amp; "BR" &amp; IF(Z338 &lt;&gt; "-", "/" &amp; Z338 &amp; "BT", ""), IF(Z338 &lt;&gt; "-", Y338 &amp; "BT/" &amp; Z338 &amp; "BT", Y338 &amp; "BT"))))</f>
        <v/>
      </c>
    </row>
    <row r="339">
      <c r="A339" t="n">
        <v>558</v>
      </c>
      <c r="B339" t="inlineStr">
        <is>
          <t>LOVE MILL</t>
        </is>
      </c>
      <c r="C339" t="n">
        <v>0.095</v>
      </c>
      <c r="D339" t="inlineStr">
        <is>
          <t>NE</t>
        </is>
      </c>
      <c r="E339" t="inlineStr">
        <is>
          <t>PIEDMONT SCHOOL</t>
        </is>
      </c>
      <c r="F339" t="inlineStr">
        <is>
          <t>*LCL PURSER RUSHING RD</t>
        </is>
      </c>
      <c r="G339" t="inlineStr">
        <is>
          <t>SR 1001</t>
        </is>
      </c>
      <c r="H339" t="n">
        <v>4.699</v>
      </c>
      <c r="I339" t="inlineStr">
        <is>
          <t>NIS</t>
        </is>
      </c>
      <c r="L339" t="n">
        <v>106705523</v>
      </c>
      <c r="M339" s="6" t="n">
        <v>44462</v>
      </c>
      <c r="N339" t="n">
        <v>21</v>
      </c>
      <c r="O339" t="n">
        <v>1</v>
      </c>
      <c r="P339" t="n">
        <v>0</v>
      </c>
      <c r="Q339" t="n">
        <v>1</v>
      </c>
      <c r="R339" t="inlineStr">
        <is>
          <t>O</t>
        </is>
      </c>
      <c r="S339">
        <f>IFERROR(VLOOKUP(N339,Index!$A$1:$B$26,2,FALSE),"")</f>
        <v/>
      </c>
      <c r="T339">
        <f>AA339</f>
        <v/>
      </c>
      <c r="V339">
        <f>IFERROR(INDEX(DetailedFiche!Q:Q,MATCH(L339,DetailedFiche!J:J,0)),"")</f>
        <v/>
      </c>
      <c r="W339">
        <f>IFERROR(INDEX(DetailedFiche!R:R,MATCH(L339,DetailedFiche!J:J,0)),"")</f>
        <v/>
      </c>
      <c r="Y339">
        <f>IFERROR(IF(AND(INDEX('Initial Study'!K:K, MATCH(L339, 'Initial Study'!B:B, 0)+1)&lt;&gt;0,INDEX('Initial Study'!K:K, MATCH(L339, 'Initial Study'!B:B, 0)+1)&lt;&gt;""),INDEX('Initial Study'!K:K, MATCH(L339, 'Initial Study'!B:B, 0)+1),""),"")</f>
        <v/>
      </c>
      <c r="Z339">
        <f>IFERROR(IF(AND(INDEX('Initial Study'!K:K, MATCH(L339, 'Initial Study'!B:B, 0)+2)&lt;&gt;0,INDEX('Initial Study'!K:K, MATCH(L339, 'Initial Study'!B:B, 0)+2)&lt;&gt;"",NOT(ISNUMBER(INDEX('Initial Study'!K:K, MATCH(L339, 'Initial Study'!B:B, 0)+2)))),INDEX('Initial Study'!K:K, MATCH(L339, 'Initial Study'!B:B, 0)+2),"-"),"-")</f>
        <v/>
      </c>
      <c r="AA339">
        <f>IF(S339="RE", Y339 &amp; "BT/" &amp; IF(Z339 &lt;&gt; "-", Z339 &amp; "BT", ""), IF(OR(S339="LTDR", S339="LTSR"), Y339 &amp; "BL" &amp; IF(Z339 &lt;&gt; "-", "/" &amp; Z339 &amp; "BT", ""), IF(OR(S339="RTDR", S339="RTSR"), Y339 &amp; "BR" &amp; IF(Z339 &lt;&gt; "-", "/" &amp; Z339 &amp; "BT", ""), IF(Z339 &lt;&gt; "-", Y339 &amp; "BT/" &amp; Z339 &amp; "BT", Y339 &amp; "BT"))))</f>
        <v/>
      </c>
    </row>
    <row r="340">
      <c r="A340" t="n">
        <v>558</v>
      </c>
      <c r="B340" t="inlineStr">
        <is>
          <t>SR 1001</t>
        </is>
      </c>
      <c r="C340" t="n">
        <v>0.08500000000000001</v>
      </c>
      <c r="D340" t="inlineStr">
        <is>
          <t>S</t>
        </is>
      </c>
      <c r="E340" t="inlineStr">
        <is>
          <t>SR 1674</t>
        </is>
      </c>
      <c r="F340" t="inlineStr">
        <is>
          <t>SR 1606</t>
        </is>
      </c>
      <c r="G340" t="inlineStr">
        <is>
          <t>SR 1001</t>
        </is>
      </c>
      <c r="H340" t="n">
        <v>4.713</v>
      </c>
      <c r="I340" t="inlineStr">
        <is>
          <t>NIS</t>
        </is>
      </c>
      <c r="L340" t="n">
        <v>107518060</v>
      </c>
      <c r="M340" s="6" t="n">
        <v>45231</v>
      </c>
      <c r="N340" t="n">
        <v>29</v>
      </c>
      <c r="O340" t="n">
        <v>1</v>
      </c>
      <c r="P340" t="n">
        <v>0</v>
      </c>
      <c r="Q340" t="n">
        <v>1</v>
      </c>
      <c r="R340" t="inlineStr">
        <is>
          <t>O</t>
        </is>
      </c>
      <c r="S340">
        <f>IFERROR(VLOOKUP(N340,Index!$A$1:$B$26,2,FALSE),"")</f>
        <v/>
      </c>
      <c r="T340">
        <f>AA340</f>
        <v/>
      </c>
      <c r="V340">
        <f>IFERROR(INDEX(DetailedFiche!Q:Q,MATCH(L340,DetailedFiche!J:J,0)),"")</f>
        <v/>
      </c>
      <c r="W340">
        <f>IFERROR(INDEX(DetailedFiche!R:R,MATCH(L340,DetailedFiche!J:J,0)),"")</f>
        <v/>
      </c>
      <c r="Y340">
        <f>IFERROR(IF(AND(INDEX('Initial Study'!K:K, MATCH(L340, 'Initial Study'!B:B, 0)+1)&lt;&gt;0,INDEX('Initial Study'!K:K, MATCH(L340, 'Initial Study'!B:B, 0)+1)&lt;&gt;""),INDEX('Initial Study'!K:K, MATCH(L340, 'Initial Study'!B:B, 0)+1),""),"")</f>
        <v/>
      </c>
      <c r="Z340">
        <f>IFERROR(IF(AND(INDEX('Initial Study'!K:K, MATCH(L340, 'Initial Study'!B:B, 0)+2)&lt;&gt;0,INDEX('Initial Study'!K:K, MATCH(L340, 'Initial Study'!B:B, 0)+2)&lt;&gt;"",NOT(ISNUMBER(INDEX('Initial Study'!K:K, MATCH(L340, 'Initial Study'!B:B, 0)+2)))),INDEX('Initial Study'!K:K, MATCH(L340, 'Initial Study'!B:B, 0)+2),"-"),"-")</f>
        <v/>
      </c>
      <c r="AA340">
        <f>IF(S340="RE", Y340 &amp; "BT/" &amp; IF(Z340 &lt;&gt; "-", Z340 &amp; "BT", ""), IF(OR(S340="LTDR", S340="LTSR"), Y340 &amp; "BL" &amp; IF(Z340 &lt;&gt; "-", "/" &amp; Z340 &amp; "BT", ""), IF(OR(S340="RTDR", S340="RTSR"), Y340 &amp; "BR" &amp; IF(Z340 &lt;&gt; "-", "/" &amp; Z340 &amp; "BT", ""), IF(Z340 &lt;&gt; "-", Y340 &amp; "BT/" &amp; Z340 &amp; "BT", Y340 &amp; "BT"))))</f>
        <v/>
      </c>
    </row>
    <row r="341">
      <c r="A341" t="n">
        <v>558</v>
      </c>
      <c r="B341" t="inlineStr">
        <is>
          <t>SR 1001</t>
        </is>
      </c>
      <c r="C341" t="n">
        <v>0.1</v>
      </c>
      <c r="D341" t="inlineStr">
        <is>
          <t>N</t>
        </is>
      </c>
      <c r="E341" t="inlineStr">
        <is>
          <t>SR 1674</t>
        </is>
      </c>
      <c r="F341" t="inlineStr">
        <is>
          <t>SR 1638</t>
        </is>
      </c>
      <c r="G341" t="inlineStr">
        <is>
          <t>SR 1001</t>
        </is>
      </c>
      <c r="H341" t="n">
        <v>4.898</v>
      </c>
      <c r="I341" t="inlineStr">
        <is>
          <t>NIS</t>
        </is>
      </c>
      <c r="L341" t="n">
        <v>108010852</v>
      </c>
      <c r="M341" s="6" t="n">
        <v>45692</v>
      </c>
      <c r="N341" t="n">
        <v>23</v>
      </c>
      <c r="O341" t="n">
        <v>1</v>
      </c>
      <c r="P341" t="n">
        <v>0</v>
      </c>
      <c r="Q341" t="n">
        <v>1</v>
      </c>
      <c r="R341" t="inlineStr">
        <is>
          <t>O</t>
        </is>
      </c>
      <c r="S341">
        <f>IFERROR(VLOOKUP(N341,Index!$A$1:$B$26,2,FALSE),"")</f>
        <v/>
      </c>
      <c r="T341">
        <f>AA341</f>
        <v/>
      </c>
      <c r="V341">
        <f>IFERROR(INDEX(DetailedFiche!Q:Q,MATCH(L341,DetailedFiche!J:J,0)),"")</f>
        <v/>
      </c>
      <c r="W341">
        <f>IFERROR(INDEX(DetailedFiche!R:R,MATCH(L341,DetailedFiche!J:J,0)),"")</f>
        <v/>
      </c>
      <c r="Y341">
        <f>IFERROR(IF(AND(INDEX('Initial Study'!K:K, MATCH(L341, 'Initial Study'!B:B, 0)+1)&lt;&gt;0,INDEX('Initial Study'!K:K, MATCH(L341, 'Initial Study'!B:B, 0)+1)&lt;&gt;""),INDEX('Initial Study'!K:K, MATCH(L341, 'Initial Study'!B:B, 0)+1),""),"")</f>
        <v/>
      </c>
      <c r="Z341">
        <f>IFERROR(IF(AND(INDEX('Initial Study'!K:K, MATCH(L341, 'Initial Study'!B:B, 0)+2)&lt;&gt;0,INDEX('Initial Study'!K:K, MATCH(L341, 'Initial Study'!B:B, 0)+2)&lt;&gt;"",NOT(ISNUMBER(INDEX('Initial Study'!K:K, MATCH(L341, 'Initial Study'!B:B, 0)+2)))),INDEX('Initial Study'!K:K, MATCH(L341, 'Initial Study'!B:B, 0)+2),"-"),"-")</f>
        <v/>
      </c>
      <c r="AA341">
        <f>IF(S341="RE", Y341 &amp; "BT/" &amp; IF(Z341 &lt;&gt; "-", Z341 &amp; "BT", ""), IF(OR(S341="LTDR", S341="LTSR"), Y341 &amp; "BL" &amp; IF(Z341 &lt;&gt; "-", "/" &amp; Z341 &amp; "BT", ""), IF(OR(S341="RTDR", S341="RTSR"), Y341 &amp; "BR" &amp; IF(Z341 &lt;&gt; "-", "/" &amp; Z341 &amp; "BT", ""), IF(Z341 &lt;&gt; "-", Y341 &amp; "BT/" &amp; Z341 &amp; "BT", Y341 &amp; "BT"))))</f>
        <v/>
      </c>
    </row>
    <row r="342">
      <c r="A342" t="n">
        <v>558</v>
      </c>
      <c r="B342" t="inlineStr">
        <is>
          <t>SR 1001</t>
        </is>
      </c>
      <c r="C342" t="n">
        <v>0.1</v>
      </c>
      <c r="D342" t="inlineStr">
        <is>
          <t>N</t>
        </is>
      </c>
      <c r="E342" t="inlineStr">
        <is>
          <t>SR 1674</t>
        </is>
      </c>
      <c r="F342" t="inlineStr">
        <is>
          <t>SR 1638</t>
        </is>
      </c>
      <c r="G342" t="inlineStr">
        <is>
          <t>SR 1001</t>
        </is>
      </c>
      <c r="H342" t="n">
        <v>4.898</v>
      </c>
      <c r="I342" t="inlineStr">
        <is>
          <t>NIS</t>
        </is>
      </c>
      <c r="L342" t="n">
        <v>107890769</v>
      </c>
      <c r="M342" s="6" t="n">
        <v>45585</v>
      </c>
      <c r="N342" t="n">
        <v>17</v>
      </c>
      <c r="O342" t="n">
        <v>1</v>
      </c>
      <c r="P342" t="n">
        <v>0</v>
      </c>
      <c r="Q342" t="n">
        <v>5</v>
      </c>
      <c r="R342" t="inlineStr">
        <is>
          <t>O</t>
        </is>
      </c>
      <c r="S342">
        <f>IFERROR(VLOOKUP(N342,Index!$A$1:$B$26,2,FALSE),"")</f>
        <v/>
      </c>
      <c r="T342">
        <f>AA342</f>
        <v/>
      </c>
      <c r="V342">
        <f>IFERROR(INDEX(DetailedFiche!Q:Q,MATCH(L342,DetailedFiche!J:J,0)),"")</f>
        <v/>
      </c>
      <c r="W342">
        <f>IFERROR(INDEX(DetailedFiche!R:R,MATCH(L342,DetailedFiche!J:J,0)),"")</f>
        <v/>
      </c>
      <c r="Y342">
        <f>IFERROR(IF(AND(INDEX('Initial Study'!K:K, MATCH(L342, 'Initial Study'!B:B, 0)+1)&lt;&gt;0,INDEX('Initial Study'!K:K, MATCH(L342, 'Initial Study'!B:B, 0)+1)&lt;&gt;""),INDEX('Initial Study'!K:K, MATCH(L342, 'Initial Study'!B:B, 0)+1),""),"")</f>
        <v/>
      </c>
      <c r="Z342">
        <f>IFERROR(IF(AND(INDEX('Initial Study'!K:K, MATCH(L342, 'Initial Study'!B:B, 0)+2)&lt;&gt;0,INDEX('Initial Study'!K:K, MATCH(L342, 'Initial Study'!B:B, 0)+2)&lt;&gt;"",NOT(ISNUMBER(INDEX('Initial Study'!K:K, MATCH(L342, 'Initial Study'!B:B, 0)+2)))),INDEX('Initial Study'!K:K, MATCH(L342, 'Initial Study'!B:B, 0)+2),"-"),"-")</f>
        <v/>
      </c>
      <c r="AA342">
        <f>IF(S342="RE", Y342 &amp; "BT/" &amp; IF(Z342 &lt;&gt; "-", Z342 &amp; "BT", ""), IF(OR(S342="LTDR", S342="LTSR"), Y342 &amp; "BL" &amp; IF(Z342 &lt;&gt; "-", "/" &amp; Z342 &amp; "BT", ""), IF(OR(S342="RTDR", S342="RTSR"), Y342 &amp; "BR" &amp; IF(Z342 &lt;&gt; "-", "/" &amp; Z342 &amp; "BT", ""), IF(Z342 &lt;&gt; "-", Y342 &amp; "BT/" &amp; Z342 &amp; "BT", Y342 &amp; "BT"))))</f>
        <v/>
      </c>
    </row>
    <row r="343">
      <c r="A343" t="n">
        <v>558</v>
      </c>
      <c r="B343" t="inlineStr">
        <is>
          <t>SR 1001</t>
        </is>
      </c>
      <c r="C343" t="n">
        <v>0.3</v>
      </c>
      <c r="D343" t="inlineStr">
        <is>
          <t>S</t>
        </is>
      </c>
      <c r="E343" t="inlineStr">
        <is>
          <t>SR 1638</t>
        </is>
      </c>
      <c r="F343" t="inlineStr">
        <is>
          <t>SR 1674</t>
        </is>
      </c>
      <c r="G343" t="inlineStr">
        <is>
          <t>SR 1001</t>
        </is>
      </c>
      <c r="H343" t="n">
        <v>4.926</v>
      </c>
      <c r="I343" t="inlineStr">
        <is>
          <t>NIS</t>
        </is>
      </c>
      <c r="L343" t="n">
        <v>107423126</v>
      </c>
      <c r="M343" s="6" t="n">
        <v>45150</v>
      </c>
      <c r="N343" t="n">
        <v>17</v>
      </c>
      <c r="O343" t="n">
        <v>1</v>
      </c>
      <c r="P343" t="n">
        <v>0</v>
      </c>
      <c r="Q343" t="n">
        <v>5</v>
      </c>
      <c r="R343" t="inlineStr">
        <is>
          <t>O</t>
        </is>
      </c>
      <c r="S343">
        <f>IFERROR(VLOOKUP(N343,Index!$A$1:$B$26,2,FALSE),"")</f>
        <v/>
      </c>
      <c r="T343">
        <f>AA343</f>
        <v/>
      </c>
      <c r="V343">
        <f>IFERROR(INDEX(DetailedFiche!Q:Q,MATCH(L343,DetailedFiche!J:J,0)),"")</f>
        <v/>
      </c>
      <c r="W343">
        <f>IFERROR(INDEX(DetailedFiche!R:R,MATCH(L343,DetailedFiche!J:J,0)),"")</f>
        <v/>
      </c>
      <c r="Y343">
        <f>IFERROR(IF(AND(INDEX('Initial Study'!K:K, MATCH(L343, 'Initial Study'!B:B, 0)+1)&lt;&gt;0,INDEX('Initial Study'!K:K, MATCH(L343, 'Initial Study'!B:B, 0)+1)&lt;&gt;""),INDEX('Initial Study'!K:K, MATCH(L343, 'Initial Study'!B:B, 0)+1),""),"")</f>
        <v/>
      </c>
      <c r="Z343">
        <f>IFERROR(IF(AND(INDEX('Initial Study'!K:K, MATCH(L343, 'Initial Study'!B:B, 0)+2)&lt;&gt;0,INDEX('Initial Study'!K:K, MATCH(L343, 'Initial Study'!B:B, 0)+2)&lt;&gt;"",NOT(ISNUMBER(INDEX('Initial Study'!K:K, MATCH(L343, 'Initial Study'!B:B, 0)+2)))),INDEX('Initial Study'!K:K, MATCH(L343, 'Initial Study'!B:B, 0)+2),"-"),"-")</f>
        <v/>
      </c>
      <c r="AA343">
        <f>IF(S343="RE", Y343 &amp; "BT/" &amp; IF(Z343 &lt;&gt; "-", Z343 &amp; "BT", ""), IF(OR(S343="LTDR", S343="LTSR"), Y343 &amp; "BL" &amp; IF(Z343 &lt;&gt; "-", "/" &amp; Z343 &amp; "BT", ""), IF(OR(S343="RTDR", S343="RTSR"), Y343 &amp; "BR" &amp; IF(Z343 &lt;&gt; "-", "/" &amp; Z343 &amp; "BT", ""), IF(Z343 &lt;&gt; "-", Y343 &amp; "BT/" &amp; Z343 &amp; "BT", Y343 &amp; "BT"))))</f>
        <v/>
      </c>
    </row>
    <row r="344">
      <c r="A344" t="n">
        <v>558</v>
      </c>
      <c r="B344" t="inlineStr">
        <is>
          <t>SR 1001</t>
        </is>
      </c>
      <c r="C344" t="n">
        <v>0.2</v>
      </c>
      <c r="D344" t="inlineStr">
        <is>
          <t>E</t>
        </is>
      </c>
      <c r="E344" t="inlineStr">
        <is>
          <t>SR 1674</t>
        </is>
      </c>
      <c r="F344" t="inlineStr">
        <is>
          <t>SR 1638</t>
        </is>
      </c>
      <c r="G344" t="inlineStr">
        <is>
          <t>SR 1001</t>
        </is>
      </c>
      <c r="H344" t="n">
        <v>4.998</v>
      </c>
      <c r="I344" t="inlineStr">
        <is>
          <t>NIS</t>
        </is>
      </c>
      <c r="L344" t="n">
        <v>108279466</v>
      </c>
      <c r="M344" s="6" t="n">
        <v>45953</v>
      </c>
      <c r="N344" t="n">
        <v>17</v>
      </c>
      <c r="O344" t="n">
        <v>1</v>
      </c>
      <c r="P344" t="n">
        <v>0</v>
      </c>
      <c r="Q344" t="n">
        <v>1</v>
      </c>
      <c r="R344" t="inlineStr">
        <is>
          <t>O</t>
        </is>
      </c>
      <c r="S344">
        <f>IFERROR(VLOOKUP(N344,Index!$A$1:$B$26,2,FALSE),"")</f>
        <v/>
      </c>
      <c r="T344">
        <f>AA344</f>
        <v/>
      </c>
      <c r="V344">
        <f>IFERROR(INDEX(DetailedFiche!Q:Q,MATCH(L344,DetailedFiche!J:J,0)),"")</f>
        <v/>
      </c>
      <c r="W344">
        <f>IFERROR(INDEX(DetailedFiche!R:R,MATCH(L344,DetailedFiche!J:J,0)),"")</f>
        <v/>
      </c>
      <c r="Y344">
        <f>IFERROR(IF(AND(INDEX('Initial Study'!K:K, MATCH(L344, 'Initial Study'!B:B, 0)+1)&lt;&gt;0,INDEX('Initial Study'!K:K, MATCH(L344, 'Initial Study'!B:B, 0)+1)&lt;&gt;""),INDEX('Initial Study'!K:K, MATCH(L344, 'Initial Study'!B:B, 0)+1),""),"")</f>
        <v/>
      </c>
      <c r="Z344">
        <f>IFERROR(IF(AND(INDEX('Initial Study'!K:K, MATCH(L344, 'Initial Study'!B:B, 0)+2)&lt;&gt;0,INDEX('Initial Study'!K:K, MATCH(L344, 'Initial Study'!B:B, 0)+2)&lt;&gt;"",NOT(ISNUMBER(INDEX('Initial Study'!K:K, MATCH(L344, 'Initial Study'!B:B, 0)+2)))),INDEX('Initial Study'!K:K, MATCH(L344, 'Initial Study'!B:B, 0)+2),"-"),"-")</f>
        <v/>
      </c>
      <c r="AA344">
        <f>IF(S344="RE", Y344 &amp; "BT/" &amp; IF(Z344 &lt;&gt; "-", Z344 &amp; "BT", ""), IF(OR(S344="LTDR", S344="LTSR"), Y344 &amp; "BL" &amp; IF(Z344 &lt;&gt; "-", "/" &amp; Z344 &amp; "BT", ""), IF(OR(S344="RTDR", S344="RTSR"), Y344 &amp; "BR" &amp; IF(Z344 &lt;&gt; "-", "/" &amp; Z344 &amp; "BT", ""), IF(Z344 &lt;&gt; "-", Y344 &amp; "BT/" &amp; Z344 &amp; "BT", Y344 &amp; "BT"))))</f>
        <v/>
      </c>
    </row>
    <row r="345">
      <c r="A345" t="n">
        <v>558</v>
      </c>
      <c r="B345" t="inlineStr">
        <is>
          <t>SR 1001</t>
        </is>
      </c>
      <c r="C345" t="n">
        <v>0.1</v>
      </c>
      <c r="D345" t="inlineStr">
        <is>
          <t>S</t>
        </is>
      </c>
      <c r="E345" t="inlineStr">
        <is>
          <t>SR 1638</t>
        </is>
      </c>
      <c r="F345" t="inlineStr">
        <is>
          <t>SR 1674</t>
        </is>
      </c>
      <c r="G345" t="inlineStr">
        <is>
          <t>SR 1001</t>
        </is>
      </c>
      <c r="H345" t="n">
        <v>5.126</v>
      </c>
      <c r="I345" t="inlineStr">
        <is>
          <t>NIS</t>
        </is>
      </c>
      <c r="L345" t="n">
        <v>105260877</v>
      </c>
      <c r="M345" s="6" t="n">
        <v>43023</v>
      </c>
      <c r="N345" t="n">
        <v>19</v>
      </c>
      <c r="O345" t="n">
        <v>1</v>
      </c>
      <c r="P345" t="n">
        <v>0</v>
      </c>
      <c r="Q345" t="n">
        <v>5</v>
      </c>
      <c r="R345" t="inlineStr">
        <is>
          <t>O</t>
        </is>
      </c>
      <c r="S345">
        <f>IFERROR(VLOOKUP(N345,Index!$A$1:$B$26,2,FALSE),"")</f>
        <v/>
      </c>
      <c r="T345">
        <f>AA345</f>
        <v/>
      </c>
      <c r="V345">
        <f>IFERROR(INDEX(DetailedFiche!Q:Q,MATCH(L345,DetailedFiche!J:J,0)),"")</f>
        <v/>
      </c>
      <c r="W345">
        <f>IFERROR(INDEX(DetailedFiche!R:R,MATCH(L345,DetailedFiche!J:J,0)),"")</f>
        <v/>
      </c>
      <c r="Y345">
        <f>IFERROR(IF(AND(INDEX('Initial Study'!K:K, MATCH(L345, 'Initial Study'!B:B, 0)+1)&lt;&gt;0,INDEX('Initial Study'!K:K, MATCH(L345, 'Initial Study'!B:B, 0)+1)&lt;&gt;""),INDEX('Initial Study'!K:K, MATCH(L345, 'Initial Study'!B:B, 0)+1),""),"")</f>
        <v/>
      </c>
      <c r="Z345">
        <f>IFERROR(IF(AND(INDEX('Initial Study'!K:K, MATCH(L345, 'Initial Study'!B:B, 0)+2)&lt;&gt;0,INDEX('Initial Study'!K:K, MATCH(L345, 'Initial Study'!B:B, 0)+2)&lt;&gt;"",NOT(ISNUMBER(INDEX('Initial Study'!K:K, MATCH(L345, 'Initial Study'!B:B, 0)+2)))),INDEX('Initial Study'!K:K, MATCH(L345, 'Initial Study'!B:B, 0)+2),"-"),"-")</f>
        <v/>
      </c>
      <c r="AA345">
        <f>IF(S345="RE", Y345 &amp; "BT/" &amp; IF(Z345 &lt;&gt; "-", Z345 &amp; "BT", ""), IF(OR(S345="LTDR", S345="LTSR"), Y345 &amp; "BL" &amp; IF(Z345 &lt;&gt; "-", "/" &amp; Z345 &amp; "BT", ""), IF(OR(S345="RTDR", S345="RTSR"), Y345 &amp; "BR" &amp; IF(Z345 &lt;&gt; "-", "/" &amp; Z345 &amp; "BT", ""), IF(Z345 &lt;&gt; "-", Y345 &amp; "BT/" &amp; Z345 &amp; "BT", Y345 &amp; "BT"))))</f>
        <v/>
      </c>
    </row>
    <row r="346">
      <c r="A346" t="n">
        <v>558</v>
      </c>
      <c r="B346" t="inlineStr">
        <is>
          <t>SR 1001</t>
        </is>
      </c>
      <c r="C346" t="n">
        <v>0.1</v>
      </c>
      <c r="D346" t="inlineStr">
        <is>
          <t>S</t>
        </is>
      </c>
      <c r="E346" t="inlineStr">
        <is>
          <t>SR 1638</t>
        </is>
      </c>
      <c r="F346" t="inlineStr">
        <is>
          <t>SR 1674</t>
        </is>
      </c>
      <c r="G346" t="inlineStr">
        <is>
          <t>SR 1001</t>
        </is>
      </c>
      <c r="H346" t="n">
        <v>5.126</v>
      </c>
      <c r="I346" t="inlineStr">
        <is>
          <t>NIS</t>
        </is>
      </c>
      <c r="L346" t="n">
        <v>107149319</v>
      </c>
      <c r="M346" s="6" t="n">
        <v>44881</v>
      </c>
      <c r="N346" t="n">
        <v>17</v>
      </c>
      <c r="O346" t="n">
        <v>1</v>
      </c>
      <c r="P346" t="n">
        <v>0</v>
      </c>
      <c r="Q346" t="n">
        <v>5</v>
      </c>
      <c r="R346" t="inlineStr">
        <is>
          <t>O</t>
        </is>
      </c>
      <c r="S346">
        <f>IFERROR(VLOOKUP(N346,Index!$A$1:$B$26,2,FALSE),"")</f>
        <v/>
      </c>
      <c r="T346">
        <f>AA346</f>
        <v/>
      </c>
      <c r="V346">
        <f>IFERROR(INDEX(DetailedFiche!Q:Q,MATCH(L346,DetailedFiche!J:J,0)),"")</f>
        <v/>
      </c>
      <c r="W346">
        <f>IFERROR(INDEX(DetailedFiche!R:R,MATCH(L346,DetailedFiche!J:J,0)),"")</f>
        <v/>
      </c>
      <c r="Y346">
        <f>IFERROR(IF(AND(INDEX('Initial Study'!K:K, MATCH(L346, 'Initial Study'!B:B, 0)+1)&lt;&gt;0,INDEX('Initial Study'!K:K, MATCH(L346, 'Initial Study'!B:B, 0)+1)&lt;&gt;""),INDEX('Initial Study'!K:K, MATCH(L346, 'Initial Study'!B:B, 0)+1),""),"")</f>
        <v/>
      </c>
      <c r="Z346">
        <f>IFERROR(IF(AND(INDEX('Initial Study'!K:K, MATCH(L346, 'Initial Study'!B:B, 0)+2)&lt;&gt;0,INDEX('Initial Study'!K:K, MATCH(L346, 'Initial Study'!B:B, 0)+2)&lt;&gt;"",NOT(ISNUMBER(INDEX('Initial Study'!K:K, MATCH(L346, 'Initial Study'!B:B, 0)+2)))),INDEX('Initial Study'!K:K, MATCH(L346, 'Initial Study'!B:B, 0)+2),"-"),"-")</f>
        <v/>
      </c>
      <c r="AA346">
        <f>IF(S346="RE", Y346 &amp; "BT/" &amp; IF(Z346 &lt;&gt; "-", Z346 &amp; "BT", ""), IF(OR(S346="LTDR", S346="LTSR"), Y346 &amp; "BL" &amp; IF(Z346 &lt;&gt; "-", "/" &amp; Z346 &amp; "BT", ""), IF(OR(S346="RTDR", S346="RTSR"), Y346 &amp; "BR" &amp; IF(Z346 &lt;&gt; "-", "/" &amp; Z346 &amp; "BT", ""), IF(Z346 &lt;&gt; "-", Y346 &amp; "BT/" &amp; Z346 &amp; "BT", Y346 &amp; "BT"))))</f>
        <v/>
      </c>
    </row>
    <row r="347">
      <c r="A347" t="n">
        <v>558</v>
      </c>
      <c r="B347" t="inlineStr">
        <is>
          <t>SR 1001</t>
        </is>
      </c>
      <c r="C347" t="n">
        <v>0.1</v>
      </c>
      <c r="D347" t="inlineStr">
        <is>
          <t>S</t>
        </is>
      </c>
      <c r="E347" t="inlineStr">
        <is>
          <t>SR 1638</t>
        </is>
      </c>
      <c r="F347" t="inlineStr">
        <is>
          <t>SR 1674</t>
        </is>
      </c>
      <c r="G347" t="inlineStr">
        <is>
          <t>SR 1001</t>
        </is>
      </c>
      <c r="H347" t="n">
        <v>5.126</v>
      </c>
      <c r="I347" t="inlineStr">
        <is>
          <t>NIS</t>
        </is>
      </c>
      <c r="L347" t="n">
        <v>105748330</v>
      </c>
      <c r="M347" s="6" t="n">
        <v>43485</v>
      </c>
      <c r="N347" t="n">
        <v>18</v>
      </c>
      <c r="O347" t="n">
        <v>1</v>
      </c>
      <c r="P347" t="n">
        <v>0</v>
      </c>
      <c r="Q347" t="n">
        <v>5</v>
      </c>
      <c r="R347" t="inlineStr">
        <is>
          <t>O</t>
        </is>
      </c>
      <c r="S347">
        <f>IFERROR(VLOOKUP(N347,Index!$A$1:$B$26,2,FALSE),"")</f>
        <v/>
      </c>
      <c r="T347">
        <f>AA347</f>
        <v/>
      </c>
      <c r="V347">
        <f>IFERROR(INDEX(DetailedFiche!Q:Q,MATCH(L347,DetailedFiche!J:J,0)),"")</f>
        <v/>
      </c>
      <c r="W347">
        <f>IFERROR(INDEX(DetailedFiche!R:R,MATCH(L347,DetailedFiche!J:J,0)),"")</f>
        <v/>
      </c>
      <c r="Y347">
        <f>IFERROR(IF(AND(INDEX('Initial Study'!K:K, MATCH(L347, 'Initial Study'!B:B, 0)+1)&lt;&gt;0,INDEX('Initial Study'!K:K, MATCH(L347, 'Initial Study'!B:B, 0)+1)&lt;&gt;""),INDEX('Initial Study'!K:K, MATCH(L347, 'Initial Study'!B:B, 0)+1),""),"")</f>
        <v/>
      </c>
      <c r="Z347">
        <f>IFERROR(IF(AND(INDEX('Initial Study'!K:K, MATCH(L347, 'Initial Study'!B:B, 0)+2)&lt;&gt;0,INDEX('Initial Study'!K:K, MATCH(L347, 'Initial Study'!B:B, 0)+2)&lt;&gt;"",NOT(ISNUMBER(INDEX('Initial Study'!K:K, MATCH(L347, 'Initial Study'!B:B, 0)+2)))),INDEX('Initial Study'!K:K, MATCH(L347, 'Initial Study'!B:B, 0)+2),"-"),"-")</f>
        <v/>
      </c>
      <c r="AA347">
        <f>IF(S347="RE", Y347 &amp; "BT/" &amp; IF(Z347 &lt;&gt; "-", Z347 &amp; "BT", ""), IF(OR(S347="LTDR", S347="LTSR"), Y347 &amp; "BL" &amp; IF(Z347 &lt;&gt; "-", "/" &amp; Z347 &amp; "BT", ""), IF(OR(S347="RTDR", S347="RTSR"), Y347 &amp; "BR" &amp; IF(Z347 &lt;&gt; "-", "/" &amp; Z347 &amp; "BT", ""), IF(Z347 &lt;&gt; "-", Y347 &amp; "BT/" &amp; Z347 &amp; "BT", Y347 &amp; "BT"))))</f>
        <v/>
      </c>
    </row>
    <row r="348">
      <c r="A348" t="n">
        <v>558</v>
      </c>
      <c r="B348" t="inlineStr">
        <is>
          <t>SR 1001</t>
        </is>
      </c>
      <c r="C348" t="n">
        <v>0.014</v>
      </c>
      <c r="D348" t="inlineStr">
        <is>
          <t>S</t>
        </is>
      </c>
      <c r="E348" t="inlineStr">
        <is>
          <t>SR 1638</t>
        </is>
      </c>
      <c r="F348" t="inlineStr">
        <is>
          <t>SR 1674</t>
        </is>
      </c>
      <c r="G348" t="inlineStr">
        <is>
          <t>SR 1001</t>
        </is>
      </c>
      <c r="H348" t="n">
        <v>5.212</v>
      </c>
      <c r="I348" t="inlineStr">
        <is>
          <t>NIS</t>
        </is>
      </c>
      <c r="L348" t="n">
        <v>105196253</v>
      </c>
      <c r="M348" s="6" t="n">
        <v>42965</v>
      </c>
      <c r="N348" t="n">
        <v>31</v>
      </c>
      <c r="O348" t="n">
        <v>1</v>
      </c>
      <c r="P348" t="n">
        <v>0</v>
      </c>
      <c r="Q348" t="n">
        <v>5</v>
      </c>
      <c r="R348" t="inlineStr">
        <is>
          <t>O</t>
        </is>
      </c>
      <c r="S348">
        <f>IFERROR(VLOOKUP(N348,Index!$A$1:$B$26,2,FALSE),"")</f>
        <v/>
      </c>
      <c r="T348">
        <f>AA348</f>
        <v/>
      </c>
      <c r="V348">
        <f>IFERROR(INDEX(DetailedFiche!Q:Q,MATCH(L348,DetailedFiche!J:J,0)),"")</f>
        <v/>
      </c>
      <c r="W348">
        <f>IFERROR(INDEX(DetailedFiche!R:R,MATCH(L348,DetailedFiche!J:J,0)),"")</f>
        <v/>
      </c>
      <c r="Y348">
        <f>IFERROR(IF(AND(INDEX('Initial Study'!K:K, MATCH(L348, 'Initial Study'!B:B, 0)+1)&lt;&gt;0,INDEX('Initial Study'!K:K, MATCH(L348, 'Initial Study'!B:B, 0)+1)&lt;&gt;""),INDEX('Initial Study'!K:K, MATCH(L348, 'Initial Study'!B:B, 0)+1),""),"")</f>
        <v/>
      </c>
      <c r="Z348">
        <f>IFERROR(IF(AND(INDEX('Initial Study'!K:K, MATCH(L348, 'Initial Study'!B:B, 0)+2)&lt;&gt;0,INDEX('Initial Study'!K:K, MATCH(L348, 'Initial Study'!B:B, 0)+2)&lt;&gt;"",NOT(ISNUMBER(INDEX('Initial Study'!K:K, MATCH(L348, 'Initial Study'!B:B, 0)+2)))),INDEX('Initial Study'!K:K, MATCH(L348, 'Initial Study'!B:B, 0)+2),"-"),"-")</f>
        <v/>
      </c>
      <c r="AA348">
        <f>IF(S348="RE", Y348 &amp; "BT/" &amp; IF(Z348 &lt;&gt; "-", Z348 &amp; "BT", ""), IF(OR(S348="LTDR", S348="LTSR"), Y348 &amp; "BL" &amp; IF(Z348 &lt;&gt; "-", "/" &amp; Z348 &amp; "BT", ""), IF(OR(S348="RTDR", S348="RTSR"), Y348 &amp; "BR" &amp; IF(Z348 &lt;&gt; "-", "/" &amp; Z348 &amp; "BT", ""), IF(Z348 &lt;&gt; "-", Y348 &amp; "BT/" &amp; Z348 &amp; "BT", Y348 &amp; "BT"))))</f>
        <v/>
      </c>
    </row>
    <row r="349">
      <c r="A349" t="n">
        <v>558</v>
      </c>
      <c r="B349" t="inlineStr">
        <is>
          <t>SR 1001</t>
        </is>
      </c>
      <c r="C349" t="n">
        <v>0</v>
      </c>
      <c r="E349" t="inlineStr">
        <is>
          <t>SR 1638</t>
        </is>
      </c>
      <c r="F349" t="inlineStr">
        <is>
          <t>SR 1674</t>
        </is>
      </c>
      <c r="G349" t="inlineStr">
        <is>
          <t>SR 1001</t>
        </is>
      </c>
      <c r="H349" t="n">
        <v>5.226</v>
      </c>
      <c r="I349" t="inlineStr">
        <is>
          <t>NIS</t>
        </is>
      </c>
      <c r="L349" t="n">
        <v>105561390</v>
      </c>
      <c r="M349" s="6" t="n">
        <v>43313</v>
      </c>
      <c r="N349" t="n">
        <v>30</v>
      </c>
      <c r="O349" t="n">
        <v>1</v>
      </c>
      <c r="P349" t="n">
        <v>7</v>
      </c>
      <c r="Q349" t="n">
        <v>1</v>
      </c>
      <c r="R349" t="inlineStr">
        <is>
          <t>O</t>
        </is>
      </c>
      <c r="S349">
        <f>IFERROR(VLOOKUP(N349,Index!$A$1:$B$26,2,FALSE),"")</f>
        <v/>
      </c>
      <c r="T349">
        <f>AA349</f>
        <v/>
      </c>
      <c r="V349">
        <f>IFERROR(INDEX(DetailedFiche!Q:Q,MATCH(L349,DetailedFiche!J:J,0)),"")</f>
        <v/>
      </c>
      <c r="W349">
        <f>IFERROR(INDEX(DetailedFiche!R:R,MATCH(L349,DetailedFiche!J:J,0)),"")</f>
        <v/>
      </c>
      <c r="Y349">
        <f>IFERROR(IF(AND(INDEX('Initial Study'!K:K, MATCH(L349, 'Initial Study'!B:B, 0)+1)&lt;&gt;0,INDEX('Initial Study'!K:K, MATCH(L349, 'Initial Study'!B:B, 0)+1)&lt;&gt;""),INDEX('Initial Study'!K:K, MATCH(L349, 'Initial Study'!B:B, 0)+1),""),"")</f>
        <v/>
      </c>
      <c r="Z349">
        <f>IFERROR(IF(AND(INDEX('Initial Study'!K:K, MATCH(L349, 'Initial Study'!B:B, 0)+2)&lt;&gt;0,INDEX('Initial Study'!K:K, MATCH(L349, 'Initial Study'!B:B, 0)+2)&lt;&gt;"",NOT(ISNUMBER(INDEX('Initial Study'!K:K, MATCH(L349, 'Initial Study'!B:B, 0)+2)))),INDEX('Initial Study'!K:K, MATCH(L349, 'Initial Study'!B:B, 0)+2),"-"),"-")</f>
        <v/>
      </c>
      <c r="AA349">
        <f>IF(S349="RE", Y349 &amp; "BT/" &amp; IF(Z349 &lt;&gt; "-", Z349 &amp; "BT", ""), IF(OR(S349="LTDR", S349="LTSR"), Y349 &amp; "BL" &amp; IF(Z349 &lt;&gt; "-", "/" &amp; Z349 &amp; "BT", ""), IF(OR(S349="RTDR", S349="RTSR"), Y349 &amp; "BR" &amp; IF(Z349 &lt;&gt; "-", "/" &amp; Z349 &amp; "BT", ""), IF(Z349 &lt;&gt; "-", Y349 &amp; "BT/" &amp; Z349 &amp; "BT", Y349 &amp; "BT"))))</f>
        <v/>
      </c>
    </row>
    <row r="350">
      <c r="A350" t="n">
        <v>558</v>
      </c>
      <c r="B350" t="inlineStr">
        <is>
          <t>SR 1001</t>
        </is>
      </c>
      <c r="C350" t="n">
        <v>0.1</v>
      </c>
      <c r="D350" t="inlineStr">
        <is>
          <t>N</t>
        </is>
      </c>
      <c r="E350" t="inlineStr">
        <is>
          <t>SR 1638</t>
        </is>
      </c>
      <c r="F350" t="inlineStr">
        <is>
          <t>SR 1675</t>
        </is>
      </c>
      <c r="G350" t="inlineStr">
        <is>
          <t>SR 1001</t>
        </is>
      </c>
      <c r="H350" t="n">
        <v>5.326</v>
      </c>
      <c r="I350" t="inlineStr">
        <is>
          <t>NIS</t>
        </is>
      </c>
      <c r="L350" t="n">
        <v>108521472</v>
      </c>
      <c r="M350" s="6" t="n">
        <v>46179</v>
      </c>
      <c r="N350" t="n">
        <v>19</v>
      </c>
      <c r="O350" t="n">
        <v>1</v>
      </c>
      <c r="P350" t="n">
        <v>0</v>
      </c>
      <c r="Q350" t="n">
        <v>1</v>
      </c>
      <c r="R350" t="inlineStr">
        <is>
          <t>C</t>
        </is>
      </c>
      <c r="S350">
        <f>IFERROR(VLOOKUP(N350,Index!$A$1:$B$26,2,FALSE),"")</f>
        <v/>
      </c>
      <c r="T350">
        <f>AA350</f>
        <v/>
      </c>
      <c r="V350">
        <f>IFERROR(INDEX(DetailedFiche!Q:Q,MATCH(L350,DetailedFiche!J:J,0)),"")</f>
        <v/>
      </c>
      <c r="W350">
        <f>IFERROR(INDEX(DetailedFiche!R:R,MATCH(L350,DetailedFiche!J:J,0)),"")</f>
        <v/>
      </c>
      <c r="Y350">
        <f>IFERROR(IF(AND(INDEX('Initial Study'!K:K, MATCH(L350, 'Initial Study'!B:B, 0)+1)&lt;&gt;0,INDEX('Initial Study'!K:K, MATCH(L350, 'Initial Study'!B:B, 0)+1)&lt;&gt;""),INDEX('Initial Study'!K:K, MATCH(L350, 'Initial Study'!B:B, 0)+1),""),"")</f>
        <v/>
      </c>
      <c r="Z350">
        <f>IFERROR(IF(AND(INDEX('Initial Study'!K:K, MATCH(L350, 'Initial Study'!B:B, 0)+2)&lt;&gt;0,INDEX('Initial Study'!K:K, MATCH(L350, 'Initial Study'!B:B, 0)+2)&lt;&gt;"",NOT(ISNUMBER(INDEX('Initial Study'!K:K, MATCH(L350, 'Initial Study'!B:B, 0)+2)))),INDEX('Initial Study'!K:K, MATCH(L350, 'Initial Study'!B:B, 0)+2),"-"),"-")</f>
        <v/>
      </c>
      <c r="AA350">
        <f>IF(S350="RE", Y350 &amp; "BT/" &amp; IF(Z350 &lt;&gt; "-", Z350 &amp; "BT", ""), IF(OR(S350="LTDR", S350="LTSR"), Y350 &amp; "BL" &amp; IF(Z350 &lt;&gt; "-", "/" &amp; Z350 &amp; "BT", ""), IF(OR(S350="RTDR", S350="RTSR"), Y350 &amp; "BR" &amp; IF(Z350 &lt;&gt; "-", "/" &amp; Z350 &amp; "BT", ""), IF(Z350 &lt;&gt; "-", Y350 &amp; "BT/" &amp; Z350 &amp; "BT", Y350 &amp; "BT"))))</f>
        <v/>
      </c>
    </row>
    <row r="351">
      <c r="A351" t="n">
        <v>558</v>
      </c>
      <c r="B351" t="inlineStr">
        <is>
          <t>SR 1001</t>
        </is>
      </c>
      <c r="C351" t="n">
        <v>0.4</v>
      </c>
      <c r="D351" t="inlineStr">
        <is>
          <t>N</t>
        </is>
      </c>
      <c r="E351" t="inlineStr">
        <is>
          <t>SR 1638</t>
        </is>
      </c>
      <c r="F351" t="inlineStr">
        <is>
          <t>SR 1675</t>
        </is>
      </c>
      <c r="G351" t="inlineStr">
        <is>
          <t>SR 1001</t>
        </is>
      </c>
      <c r="H351" t="n">
        <v>5.626</v>
      </c>
      <c r="I351" t="inlineStr">
        <is>
          <t>NIS</t>
        </is>
      </c>
      <c r="L351" t="n">
        <v>105335407</v>
      </c>
      <c r="M351" s="6" t="n">
        <v>43097</v>
      </c>
      <c r="N351" t="n">
        <v>29</v>
      </c>
      <c r="O351" t="n">
        <v>1</v>
      </c>
      <c r="P351" t="n">
        <v>0</v>
      </c>
      <c r="Q351" t="n">
        <v>1</v>
      </c>
      <c r="R351" t="inlineStr">
        <is>
          <t>O</t>
        </is>
      </c>
      <c r="S351">
        <f>IFERROR(VLOOKUP(N351,Index!$A$1:$B$26,2,FALSE),"")</f>
        <v/>
      </c>
      <c r="T351">
        <f>AA351</f>
        <v/>
      </c>
      <c r="V351">
        <f>IFERROR(INDEX(DetailedFiche!Q:Q,MATCH(L351,DetailedFiche!J:J,0)),"")</f>
        <v/>
      </c>
      <c r="W351">
        <f>IFERROR(INDEX(DetailedFiche!R:R,MATCH(L351,DetailedFiche!J:J,0)),"")</f>
        <v/>
      </c>
      <c r="Y351">
        <f>IFERROR(IF(AND(INDEX('Initial Study'!K:K, MATCH(L351, 'Initial Study'!B:B, 0)+1)&lt;&gt;0,INDEX('Initial Study'!K:K, MATCH(L351, 'Initial Study'!B:B, 0)+1)&lt;&gt;""),INDEX('Initial Study'!K:K, MATCH(L351, 'Initial Study'!B:B, 0)+1),""),"")</f>
        <v/>
      </c>
      <c r="Z351">
        <f>IFERROR(IF(AND(INDEX('Initial Study'!K:K, MATCH(L351, 'Initial Study'!B:B, 0)+2)&lt;&gt;0,INDEX('Initial Study'!K:K, MATCH(L351, 'Initial Study'!B:B, 0)+2)&lt;&gt;"",NOT(ISNUMBER(INDEX('Initial Study'!K:K, MATCH(L351, 'Initial Study'!B:B, 0)+2)))),INDEX('Initial Study'!K:K, MATCH(L351, 'Initial Study'!B:B, 0)+2),"-"),"-")</f>
        <v/>
      </c>
      <c r="AA351">
        <f>IF(S351="RE", Y351 &amp; "BT/" &amp; IF(Z351 &lt;&gt; "-", Z351 &amp; "BT", ""), IF(OR(S351="LTDR", S351="LTSR"), Y351 &amp; "BL" &amp; IF(Z351 &lt;&gt; "-", "/" &amp; Z351 &amp; "BT", ""), IF(OR(S351="RTDR", S351="RTSR"), Y351 &amp; "BR" &amp; IF(Z351 &lt;&gt; "-", "/" &amp; Z351 &amp; "BT", ""), IF(Z351 &lt;&gt; "-", Y351 &amp; "BT/" &amp; Z351 &amp; "BT", Y351 &amp; "BT"))))</f>
        <v/>
      </c>
    </row>
    <row r="352">
      <c r="A352" t="n">
        <v>0</v>
      </c>
      <c r="B352" t="inlineStr">
        <is>
          <t>SR 1001</t>
        </is>
      </c>
      <c r="C352" t="n">
        <v>0.32</v>
      </c>
      <c r="D352" t="inlineStr">
        <is>
          <t>S</t>
        </is>
      </c>
      <c r="E352" t="inlineStr">
        <is>
          <t>SR 1675</t>
        </is>
      </c>
      <c r="F352" t="inlineStr">
        <is>
          <t>SR 1638</t>
        </is>
      </c>
      <c r="G352" t="inlineStr">
        <is>
          <t>SR 1001</t>
        </is>
      </c>
      <c r="H352" t="n">
        <v>5.645</v>
      </c>
      <c r="I352" t="inlineStr">
        <is>
          <t>NIS</t>
        </is>
      </c>
      <c r="L352" t="n">
        <v>105555467</v>
      </c>
      <c r="M352" s="6" t="n">
        <v>43303</v>
      </c>
      <c r="N352" t="n">
        <v>1</v>
      </c>
      <c r="O352" t="n">
        <v>1</v>
      </c>
      <c r="P352" t="n">
        <v>0</v>
      </c>
      <c r="Q352" t="n">
        <v>1</v>
      </c>
      <c r="R352" t="inlineStr">
        <is>
          <t>O</t>
        </is>
      </c>
      <c r="S352">
        <f>IFERROR(VLOOKUP(N352,Index!$A$1:$B$26,2,FALSE),"")</f>
        <v/>
      </c>
      <c r="T352">
        <f>AA352</f>
        <v/>
      </c>
      <c r="V352">
        <f>IFERROR(INDEX(DetailedFiche!Q:Q,MATCH(L352,DetailedFiche!J:J,0)),"")</f>
        <v/>
      </c>
      <c r="W352">
        <f>IFERROR(INDEX(DetailedFiche!R:R,MATCH(L352,DetailedFiche!J:J,0)),"")</f>
        <v/>
      </c>
      <c r="Y352">
        <f>IFERROR(IF(AND(INDEX('Initial Study'!K:K, MATCH(L352, 'Initial Study'!B:B, 0)+1)&lt;&gt;0,INDEX('Initial Study'!K:K, MATCH(L352, 'Initial Study'!B:B, 0)+1)&lt;&gt;""),INDEX('Initial Study'!K:K, MATCH(L352, 'Initial Study'!B:B, 0)+1),""),"")</f>
        <v/>
      </c>
      <c r="Z352">
        <f>IFERROR(IF(AND(INDEX('Initial Study'!K:K, MATCH(L352, 'Initial Study'!B:B, 0)+2)&lt;&gt;0,INDEX('Initial Study'!K:K, MATCH(L352, 'Initial Study'!B:B, 0)+2)&lt;&gt;"",NOT(ISNUMBER(INDEX('Initial Study'!K:K, MATCH(L352, 'Initial Study'!B:B, 0)+2)))),INDEX('Initial Study'!K:K, MATCH(L352, 'Initial Study'!B:B, 0)+2),"-"),"-")</f>
        <v/>
      </c>
      <c r="AA352">
        <f>IF(S352="RE", Y352 &amp; "BT/" &amp; IF(Z352 &lt;&gt; "-", Z352 &amp; "BT", ""), IF(OR(S352="LTDR", S352="LTSR"), Y352 &amp; "BL" &amp; IF(Z352 &lt;&gt; "-", "/" &amp; Z352 &amp; "BT", ""), IF(OR(S352="RTDR", S352="RTSR"), Y352 &amp; "BR" &amp; IF(Z352 &lt;&gt; "-", "/" &amp; Z352 &amp; "BT", ""), IF(Z352 &lt;&gt; "-", Y352 &amp; "BT/" &amp; Z352 &amp; "BT", Y352 &amp; "BT"))))</f>
        <v/>
      </c>
    </row>
    <row r="353">
      <c r="A353" t="n">
        <v>0</v>
      </c>
      <c r="B353" t="inlineStr">
        <is>
          <t>LOVE MILL</t>
        </is>
      </c>
      <c r="C353" t="n">
        <v>0.14</v>
      </c>
      <c r="D353" t="inlineStr">
        <is>
          <t>S</t>
        </is>
      </c>
      <c r="E353" t="inlineStr">
        <is>
          <t>BRASSWELL RUSHING</t>
        </is>
      </c>
      <c r="F353" t="inlineStr">
        <is>
          <t>HAIGLER BAUCOM</t>
        </is>
      </c>
      <c r="G353" t="inlineStr">
        <is>
          <t>SR 1001</t>
        </is>
      </c>
      <c r="H353" t="n">
        <v>5.825</v>
      </c>
      <c r="I353" t="inlineStr">
        <is>
          <t>NIS</t>
        </is>
      </c>
      <c r="L353" t="n">
        <v>106148368</v>
      </c>
      <c r="M353" s="6" t="n">
        <v>43867</v>
      </c>
      <c r="N353" t="n">
        <v>19</v>
      </c>
      <c r="O353" t="n">
        <v>2</v>
      </c>
      <c r="P353" t="n">
        <v>0</v>
      </c>
      <c r="Q353" t="n">
        <v>1</v>
      </c>
      <c r="R353" t="inlineStr">
        <is>
          <t>O</t>
        </is>
      </c>
      <c r="S353">
        <f>IFERROR(VLOOKUP(N353,Index!$A$1:$B$26,2,FALSE),"")</f>
        <v/>
      </c>
      <c r="T353">
        <f>AA353</f>
        <v/>
      </c>
      <c r="V353">
        <f>IFERROR(INDEX(DetailedFiche!Q:Q,MATCH(L353,DetailedFiche!J:J,0)),"")</f>
        <v/>
      </c>
      <c r="W353">
        <f>IFERROR(INDEX(DetailedFiche!R:R,MATCH(L353,DetailedFiche!J:J,0)),"")</f>
        <v/>
      </c>
      <c r="Y353">
        <f>IFERROR(IF(AND(INDEX('Initial Study'!K:K, MATCH(L353, 'Initial Study'!B:B, 0)+1)&lt;&gt;0,INDEX('Initial Study'!K:K, MATCH(L353, 'Initial Study'!B:B, 0)+1)&lt;&gt;""),INDEX('Initial Study'!K:K, MATCH(L353, 'Initial Study'!B:B, 0)+1),""),"")</f>
        <v/>
      </c>
      <c r="Z353">
        <f>IFERROR(IF(AND(INDEX('Initial Study'!K:K, MATCH(L353, 'Initial Study'!B:B, 0)+2)&lt;&gt;0,INDEX('Initial Study'!K:K, MATCH(L353, 'Initial Study'!B:B, 0)+2)&lt;&gt;"",NOT(ISNUMBER(INDEX('Initial Study'!K:K, MATCH(L353, 'Initial Study'!B:B, 0)+2)))),INDEX('Initial Study'!K:K, MATCH(L353, 'Initial Study'!B:B, 0)+2),"-"),"-")</f>
        <v/>
      </c>
      <c r="AA353">
        <f>IF(S353="RE", Y353 &amp; "BT/" &amp; IF(Z353 &lt;&gt; "-", Z353 &amp; "BT", ""), IF(OR(S353="LTDR", S353="LTSR"), Y353 &amp; "BL" &amp; IF(Z353 &lt;&gt; "-", "/" &amp; Z353 &amp; "BT", ""), IF(OR(S353="RTDR", S353="RTSR"), Y353 &amp; "BR" &amp; IF(Z353 &lt;&gt; "-", "/" &amp; Z353 &amp; "BT", ""), IF(Z353 &lt;&gt; "-", Y353 &amp; "BT/" &amp; Z353 &amp; "BT", Y353 &amp; "BT"))))</f>
        <v/>
      </c>
    </row>
    <row r="354">
      <c r="A354" t="n">
        <v>558</v>
      </c>
      <c r="B354" t="inlineStr">
        <is>
          <t>SR 1001</t>
        </is>
      </c>
      <c r="C354" t="n">
        <v>0.1</v>
      </c>
      <c r="D354" t="inlineStr">
        <is>
          <t>S</t>
        </is>
      </c>
      <c r="E354" t="inlineStr">
        <is>
          <t>SR 1675</t>
        </is>
      </c>
      <c r="F354" t="inlineStr">
        <is>
          <t>SR 1638</t>
        </is>
      </c>
      <c r="G354" t="inlineStr">
        <is>
          <t>SR 1001</t>
        </is>
      </c>
      <c r="H354" t="n">
        <v>5.865</v>
      </c>
      <c r="I354" t="inlineStr">
        <is>
          <t>NIS</t>
        </is>
      </c>
      <c r="L354" t="n">
        <v>105877759</v>
      </c>
      <c r="M354" s="6" t="n">
        <v>43608</v>
      </c>
      <c r="N354" t="n">
        <v>28</v>
      </c>
      <c r="O354" t="n">
        <v>1</v>
      </c>
      <c r="P354" t="n">
        <v>0</v>
      </c>
      <c r="Q354" t="n">
        <v>1</v>
      </c>
      <c r="R354" t="inlineStr">
        <is>
          <t>O</t>
        </is>
      </c>
      <c r="S354">
        <f>IFERROR(VLOOKUP(N354,Index!$A$1:$B$26,2,FALSE),"")</f>
        <v/>
      </c>
      <c r="T354">
        <f>AA354</f>
        <v/>
      </c>
      <c r="V354">
        <f>IFERROR(INDEX(DetailedFiche!Q:Q,MATCH(L354,DetailedFiche!J:J,0)),"")</f>
        <v/>
      </c>
      <c r="W354">
        <f>IFERROR(INDEX(DetailedFiche!R:R,MATCH(L354,DetailedFiche!J:J,0)),"")</f>
        <v/>
      </c>
      <c r="Y354">
        <f>IFERROR(IF(AND(INDEX('Initial Study'!K:K, MATCH(L354, 'Initial Study'!B:B, 0)+1)&lt;&gt;0,INDEX('Initial Study'!K:K, MATCH(L354, 'Initial Study'!B:B, 0)+1)&lt;&gt;""),INDEX('Initial Study'!K:K, MATCH(L354, 'Initial Study'!B:B, 0)+1),""),"")</f>
        <v/>
      </c>
      <c r="Z354">
        <f>IFERROR(IF(AND(INDEX('Initial Study'!K:K, MATCH(L354, 'Initial Study'!B:B, 0)+2)&lt;&gt;0,INDEX('Initial Study'!K:K, MATCH(L354, 'Initial Study'!B:B, 0)+2)&lt;&gt;"",NOT(ISNUMBER(INDEX('Initial Study'!K:K, MATCH(L354, 'Initial Study'!B:B, 0)+2)))),INDEX('Initial Study'!K:K, MATCH(L354, 'Initial Study'!B:B, 0)+2),"-"),"-")</f>
        <v/>
      </c>
      <c r="AA354">
        <f>IF(S354="RE", Y354 &amp; "BT/" &amp; IF(Z354 &lt;&gt; "-", Z354 &amp; "BT", ""), IF(OR(S354="LTDR", S354="LTSR"), Y354 &amp; "BL" &amp; IF(Z354 &lt;&gt; "-", "/" &amp; Z354 &amp; "BT", ""), IF(OR(S354="RTDR", S354="RTSR"), Y354 &amp; "BR" &amp; IF(Z354 &lt;&gt; "-", "/" &amp; Z354 &amp; "BT", ""), IF(Z354 &lt;&gt; "-", Y354 &amp; "BT/" &amp; Z354 &amp; "BT", Y354 &amp; "BT"))))</f>
        <v/>
      </c>
    </row>
    <row r="355">
      <c r="A355" t="n">
        <v>558</v>
      </c>
      <c r="B355" t="inlineStr">
        <is>
          <t>SR 1001</t>
        </is>
      </c>
      <c r="C355" t="n">
        <v>0</v>
      </c>
      <c r="E355" t="inlineStr">
        <is>
          <t>SR 1675</t>
        </is>
      </c>
      <c r="F355" t="inlineStr">
        <is>
          <t>SR 1654</t>
        </is>
      </c>
      <c r="G355" t="inlineStr">
        <is>
          <t>SR 1001</t>
        </is>
      </c>
      <c r="H355" t="n">
        <v>5.965</v>
      </c>
      <c r="I355" t="inlineStr">
        <is>
          <t>NIS</t>
        </is>
      </c>
      <c r="L355" t="n">
        <v>108055290</v>
      </c>
      <c r="M355" s="6" t="n">
        <v>45737</v>
      </c>
      <c r="N355" t="n">
        <v>17</v>
      </c>
      <c r="O355" t="n">
        <v>1</v>
      </c>
      <c r="P355" t="n">
        <v>8</v>
      </c>
      <c r="Q355" t="n">
        <v>5</v>
      </c>
      <c r="R355" t="inlineStr">
        <is>
          <t>O</t>
        </is>
      </c>
      <c r="S355">
        <f>IFERROR(VLOOKUP(N355,Index!$A$1:$B$26,2,FALSE),"")</f>
        <v/>
      </c>
      <c r="T355">
        <f>AA355</f>
        <v/>
      </c>
      <c r="V355">
        <f>IFERROR(INDEX(DetailedFiche!Q:Q,MATCH(L355,DetailedFiche!J:J,0)),"")</f>
        <v/>
      </c>
      <c r="W355">
        <f>IFERROR(INDEX(DetailedFiche!R:R,MATCH(L355,DetailedFiche!J:J,0)),"")</f>
        <v/>
      </c>
      <c r="Y355">
        <f>IFERROR(IF(AND(INDEX('Initial Study'!K:K, MATCH(L355, 'Initial Study'!B:B, 0)+1)&lt;&gt;0,INDEX('Initial Study'!K:K, MATCH(L355, 'Initial Study'!B:B, 0)+1)&lt;&gt;""),INDEX('Initial Study'!K:K, MATCH(L355, 'Initial Study'!B:B, 0)+1),""),"")</f>
        <v/>
      </c>
      <c r="Z355">
        <f>IFERROR(IF(AND(INDEX('Initial Study'!K:K, MATCH(L355, 'Initial Study'!B:B, 0)+2)&lt;&gt;0,INDEX('Initial Study'!K:K, MATCH(L355, 'Initial Study'!B:B, 0)+2)&lt;&gt;"",NOT(ISNUMBER(INDEX('Initial Study'!K:K, MATCH(L355, 'Initial Study'!B:B, 0)+2)))),INDEX('Initial Study'!K:K, MATCH(L355, 'Initial Study'!B:B, 0)+2),"-"),"-")</f>
        <v/>
      </c>
      <c r="AA355">
        <f>IF(S355="RE", Y355 &amp; "BT/" &amp; IF(Z355 &lt;&gt; "-", Z355 &amp; "BT", ""), IF(OR(S355="LTDR", S355="LTSR"), Y355 &amp; "BL" &amp; IF(Z355 &lt;&gt; "-", "/" &amp; Z355 &amp; "BT", ""), IF(OR(S355="RTDR", S355="RTSR"), Y355 &amp; "BR" &amp; IF(Z355 &lt;&gt; "-", "/" &amp; Z355 &amp; "BT", ""), IF(Z355 &lt;&gt; "-", Y355 &amp; "BT/" &amp; Z355 &amp; "BT", Y355 &amp; "BT"))))</f>
        <v/>
      </c>
    </row>
    <row r="356">
      <c r="A356" t="n">
        <v>0</v>
      </c>
      <c r="B356" t="inlineStr">
        <is>
          <t>SR 1001</t>
        </is>
      </c>
      <c r="C356" t="n">
        <v>0.095</v>
      </c>
      <c r="D356" t="inlineStr">
        <is>
          <t>S</t>
        </is>
      </c>
      <c r="E356" t="inlineStr">
        <is>
          <t>SR 1654</t>
        </is>
      </c>
      <c r="F356" t="inlineStr">
        <is>
          <t>SR 1675</t>
        </is>
      </c>
      <c r="G356" t="inlineStr">
        <is>
          <t>SR 1001</t>
        </is>
      </c>
      <c r="H356" t="n">
        <v>6.136</v>
      </c>
      <c r="I356" t="inlineStr">
        <is>
          <t>NIS</t>
        </is>
      </c>
      <c r="L356" t="n">
        <v>106893722</v>
      </c>
      <c r="M356" s="6" t="n">
        <v>44636</v>
      </c>
      <c r="N356" t="n">
        <v>17</v>
      </c>
      <c r="O356" t="n">
        <v>1</v>
      </c>
      <c r="P356" t="n">
        <v>0</v>
      </c>
      <c r="Q356" t="n">
        <v>1</v>
      </c>
      <c r="R356" t="inlineStr">
        <is>
          <t>O</t>
        </is>
      </c>
      <c r="S356">
        <f>IFERROR(VLOOKUP(N356,Index!$A$1:$B$26,2,FALSE),"")</f>
        <v/>
      </c>
      <c r="T356">
        <f>AA356</f>
        <v/>
      </c>
      <c r="V356">
        <f>IFERROR(INDEX(DetailedFiche!Q:Q,MATCH(L356,DetailedFiche!J:J,0)),"")</f>
        <v/>
      </c>
      <c r="W356">
        <f>IFERROR(INDEX(DetailedFiche!R:R,MATCH(L356,DetailedFiche!J:J,0)),"")</f>
        <v/>
      </c>
      <c r="Y356">
        <f>IFERROR(IF(AND(INDEX('Initial Study'!K:K, MATCH(L356, 'Initial Study'!B:B, 0)+1)&lt;&gt;0,INDEX('Initial Study'!K:K, MATCH(L356, 'Initial Study'!B:B, 0)+1)&lt;&gt;""),INDEX('Initial Study'!K:K, MATCH(L356, 'Initial Study'!B:B, 0)+1),""),"")</f>
        <v/>
      </c>
      <c r="Z356">
        <f>IFERROR(IF(AND(INDEX('Initial Study'!K:K, MATCH(L356, 'Initial Study'!B:B, 0)+2)&lt;&gt;0,INDEX('Initial Study'!K:K, MATCH(L356, 'Initial Study'!B:B, 0)+2)&lt;&gt;"",NOT(ISNUMBER(INDEX('Initial Study'!K:K, MATCH(L356, 'Initial Study'!B:B, 0)+2)))),INDEX('Initial Study'!K:K, MATCH(L356, 'Initial Study'!B:B, 0)+2),"-"),"-")</f>
        <v/>
      </c>
      <c r="AA356">
        <f>IF(S356="RE", Y356 &amp; "BT/" &amp; IF(Z356 &lt;&gt; "-", Z356 &amp; "BT", ""), IF(OR(S356="LTDR", S356="LTSR"), Y356 &amp; "BL" &amp; IF(Z356 &lt;&gt; "-", "/" &amp; Z356 &amp; "BT", ""), IF(OR(S356="RTDR", S356="RTSR"), Y356 &amp; "BR" &amp; IF(Z356 &lt;&gt; "-", "/" &amp; Z356 &amp; "BT", ""), IF(Z356 &lt;&gt; "-", Y356 &amp; "BT/" &amp; Z356 &amp; "BT", Y356 &amp; "BT"))))</f>
        <v/>
      </c>
    </row>
    <row r="357">
      <c r="A357" t="n">
        <v>558</v>
      </c>
      <c r="B357" t="inlineStr">
        <is>
          <t>SR 1001</t>
        </is>
      </c>
      <c r="C357" t="n">
        <v>0.2</v>
      </c>
      <c r="D357" t="inlineStr">
        <is>
          <t>N</t>
        </is>
      </c>
      <c r="E357" t="inlineStr">
        <is>
          <t>SR 1675</t>
        </is>
      </c>
      <c r="F357" t="inlineStr">
        <is>
          <t>SR 1654</t>
        </is>
      </c>
      <c r="G357" t="inlineStr">
        <is>
          <t>SR 1001</t>
        </is>
      </c>
      <c r="H357" t="n">
        <v>6.165</v>
      </c>
      <c r="I357" t="inlineStr">
        <is>
          <t>NIS</t>
        </is>
      </c>
      <c r="L357" t="n">
        <v>107329666</v>
      </c>
      <c r="M357" s="6" t="n">
        <v>45054</v>
      </c>
      <c r="N357" t="n">
        <v>21</v>
      </c>
      <c r="O357" t="n">
        <v>1</v>
      </c>
      <c r="P357" t="n">
        <v>0</v>
      </c>
      <c r="Q357" t="n">
        <v>1</v>
      </c>
      <c r="R357" t="inlineStr">
        <is>
          <t>O</t>
        </is>
      </c>
      <c r="S357">
        <f>IFERROR(VLOOKUP(N357,Index!$A$1:$B$26,2,FALSE),"")</f>
        <v/>
      </c>
      <c r="T357">
        <f>AA357</f>
        <v/>
      </c>
      <c r="V357">
        <f>IFERROR(INDEX(DetailedFiche!Q:Q,MATCH(L357,DetailedFiche!J:J,0)),"")</f>
        <v/>
      </c>
      <c r="W357">
        <f>IFERROR(INDEX(DetailedFiche!R:R,MATCH(L357,DetailedFiche!J:J,0)),"")</f>
        <v/>
      </c>
      <c r="Y357">
        <f>IFERROR(IF(AND(INDEX('Initial Study'!K:K, MATCH(L357, 'Initial Study'!B:B, 0)+1)&lt;&gt;0,INDEX('Initial Study'!K:K, MATCH(L357, 'Initial Study'!B:B, 0)+1)&lt;&gt;""),INDEX('Initial Study'!K:K, MATCH(L357, 'Initial Study'!B:B, 0)+1),""),"")</f>
        <v/>
      </c>
      <c r="Z357">
        <f>IFERROR(IF(AND(INDEX('Initial Study'!K:K, MATCH(L357, 'Initial Study'!B:B, 0)+2)&lt;&gt;0,INDEX('Initial Study'!K:K, MATCH(L357, 'Initial Study'!B:B, 0)+2)&lt;&gt;"",NOT(ISNUMBER(INDEX('Initial Study'!K:K, MATCH(L357, 'Initial Study'!B:B, 0)+2)))),INDEX('Initial Study'!K:K, MATCH(L357, 'Initial Study'!B:B, 0)+2),"-"),"-")</f>
        <v/>
      </c>
      <c r="AA357">
        <f>IF(S357="RE", Y357 &amp; "BT/" &amp; IF(Z357 &lt;&gt; "-", Z357 &amp; "BT", ""), IF(OR(S357="LTDR", S357="LTSR"), Y357 &amp; "BL" &amp; IF(Z357 &lt;&gt; "-", "/" &amp; Z357 &amp; "BT", ""), IF(OR(S357="RTDR", S357="RTSR"), Y357 &amp; "BR" &amp; IF(Z357 &lt;&gt; "-", "/" &amp; Z357 &amp; "BT", ""), IF(Z357 &lt;&gt; "-", Y357 &amp; "BT/" &amp; Z357 &amp; "BT", Y357 &amp; "BT"))))</f>
        <v/>
      </c>
    </row>
    <row r="358">
      <c r="A358" t="n">
        <v>558</v>
      </c>
      <c r="B358" t="inlineStr">
        <is>
          <t>SR 1001</t>
        </is>
      </c>
      <c r="C358" t="n">
        <v>0.2</v>
      </c>
      <c r="D358" t="inlineStr">
        <is>
          <t>N</t>
        </is>
      </c>
      <c r="E358" t="inlineStr">
        <is>
          <t>SR 1675</t>
        </is>
      </c>
      <c r="F358" t="inlineStr">
        <is>
          <t>GRASSY</t>
        </is>
      </c>
      <c r="G358" t="inlineStr">
        <is>
          <t>SR 1001</t>
        </is>
      </c>
      <c r="H358" t="n">
        <v>6.165</v>
      </c>
      <c r="I358" t="inlineStr">
        <is>
          <t>NIS</t>
        </is>
      </c>
      <c r="L358" t="n">
        <v>105545920</v>
      </c>
      <c r="M358" s="6" t="n">
        <v>43299</v>
      </c>
      <c r="N358" t="n">
        <v>24</v>
      </c>
      <c r="O358" t="n">
        <v>1</v>
      </c>
      <c r="P358" t="n">
        <v>5</v>
      </c>
      <c r="Q358" t="n">
        <v>1</v>
      </c>
      <c r="R358" t="inlineStr">
        <is>
          <t>O</t>
        </is>
      </c>
      <c r="S358">
        <f>IFERROR(VLOOKUP(N358,Index!$A$1:$B$26,2,FALSE),"")</f>
        <v/>
      </c>
      <c r="T358">
        <f>AA358</f>
        <v/>
      </c>
      <c r="V358">
        <f>IFERROR(INDEX(DetailedFiche!Q:Q,MATCH(L358,DetailedFiche!J:J,0)),"")</f>
        <v/>
      </c>
      <c r="W358">
        <f>IFERROR(INDEX(DetailedFiche!R:R,MATCH(L358,DetailedFiche!J:J,0)),"")</f>
        <v/>
      </c>
      <c r="Y358">
        <f>IFERROR(IF(AND(INDEX('Initial Study'!K:K, MATCH(L358, 'Initial Study'!B:B, 0)+1)&lt;&gt;0,INDEX('Initial Study'!K:K, MATCH(L358, 'Initial Study'!B:B, 0)+1)&lt;&gt;""),INDEX('Initial Study'!K:K, MATCH(L358, 'Initial Study'!B:B, 0)+1),""),"")</f>
        <v/>
      </c>
      <c r="Z358">
        <f>IFERROR(IF(AND(INDEX('Initial Study'!K:K, MATCH(L358, 'Initial Study'!B:B, 0)+2)&lt;&gt;0,INDEX('Initial Study'!K:K, MATCH(L358, 'Initial Study'!B:B, 0)+2)&lt;&gt;"",NOT(ISNUMBER(INDEX('Initial Study'!K:K, MATCH(L358, 'Initial Study'!B:B, 0)+2)))),INDEX('Initial Study'!K:K, MATCH(L358, 'Initial Study'!B:B, 0)+2),"-"),"-")</f>
        <v/>
      </c>
      <c r="AA358">
        <f>IF(S358="RE", Y358 &amp; "BT/" &amp; IF(Z358 &lt;&gt; "-", Z358 &amp; "BT", ""), IF(OR(S358="LTDR", S358="LTSR"), Y358 &amp; "BL" &amp; IF(Z358 &lt;&gt; "-", "/" &amp; Z358 &amp; "BT", ""), IF(OR(S358="RTDR", S358="RTSR"), Y358 &amp; "BR" &amp; IF(Z358 &lt;&gt; "-", "/" &amp; Z358 &amp; "BT", ""), IF(Z358 &lt;&gt; "-", Y358 &amp; "BT/" &amp; Z358 &amp; "BT", Y358 &amp; "BT"))))</f>
        <v/>
      </c>
    </row>
    <row r="359">
      <c r="A359" t="n">
        <v>558</v>
      </c>
      <c r="B359" t="inlineStr">
        <is>
          <t>LOVE MILL</t>
        </is>
      </c>
      <c r="C359" t="n">
        <v>0.21</v>
      </c>
      <c r="D359" t="inlineStr">
        <is>
          <t>NE</t>
        </is>
      </c>
      <c r="E359" t="inlineStr">
        <is>
          <t>BRASSWELL RUSHING</t>
        </is>
      </c>
      <c r="F359" t="inlineStr">
        <is>
          <t>GRASSY</t>
        </is>
      </c>
      <c r="G359" t="inlineStr">
        <is>
          <t>SR 1001</t>
        </is>
      </c>
      <c r="H359" t="n">
        <v>6.175</v>
      </c>
      <c r="I359" t="inlineStr">
        <is>
          <t>NIS</t>
        </is>
      </c>
      <c r="L359" t="n">
        <v>104863234</v>
      </c>
      <c r="M359" s="6" t="n">
        <v>42636</v>
      </c>
      <c r="N359" t="n">
        <v>19</v>
      </c>
      <c r="O359" t="n">
        <v>1</v>
      </c>
      <c r="P359" t="n">
        <v>0</v>
      </c>
      <c r="Q359" t="n">
        <v>6</v>
      </c>
      <c r="R359" t="inlineStr">
        <is>
          <t>C</t>
        </is>
      </c>
      <c r="S359">
        <f>IFERROR(VLOOKUP(N359,Index!$A$1:$B$26,2,FALSE),"")</f>
        <v/>
      </c>
      <c r="T359">
        <f>AA359</f>
        <v/>
      </c>
      <c r="V359">
        <f>IFERROR(INDEX(DetailedFiche!Q:Q,MATCH(L359,DetailedFiche!J:J,0)),"")</f>
        <v/>
      </c>
      <c r="W359">
        <f>IFERROR(INDEX(DetailedFiche!R:R,MATCH(L359,DetailedFiche!J:J,0)),"")</f>
        <v/>
      </c>
      <c r="Y359">
        <f>IFERROR(IF(AND(INDEX('Initial Study'!K:K, MATCH(L359, 'Initial Study'!B:B, 0)+1)&lt;&gt;0,INDEX('Initial Study'!K:K, MATCH(L359, 'Initial Study'!B:B, 0)+1)&lt;&gt;""),INDEX('Initial Study'!K:K, MATCH(L359, 'Initial Study'!B:B, 0)+1),""),"")</f>
        <v/>
      </c>
      <c r="Z359">
        <f>IFERROR(IF(AND(INDEX('Initial Study'!K:K, MATCH(L359, 'Initial Study'!B:B, 0)+2)&lt;&gt;0,INDEX('Initial Study'!K:K, MATCH(L359, 'Initial Study'!B:B, 0)+2)&lt;&gt;"",NOT(ISNUMBER(INDEX('Initial Study'!K:K, MATCH(L359, 'Initial Study'!B:B, 0)+2)))),INDEX('Initial Study'!K:K, MATCH(L359, 'Initial Study'!B:B, 0)+2),"-"),"-")</f>
        <v/>
      </c>
      <c r="AA359">
        <f>IF(S359="RE", Y359 &amp; "BT/" &amp; IF(Z359 &lt;&gt; "-", Z359 &amp; "BT", ""), IF(OR(S359="LTDR", S359="LTSR"), Y359 &amp; "BL" &amp; IF(Z359 &lt;&gt; "-", "/" &amp; Z359 &amp; "BT", ""), IF(OR(S359="RTDR", S359="RTSR"), Y359 &amp; "BR" &amp; IF(Z359 &lt;&gt; "-", "/" &amp; Z359 &amp; "BT", ""), IF(Z359 &lt;&gt; "-", Y359 &amp; "BT/" &amp; Z359 &amp; "BT", Y359 &amp; "BT"))))</f>
        <v/>
      </c>
    </row>
    <row r="360">
      <c r="A360" t="n">
        <v>558</v>
      </c>
      <c r="B360" t="inlineStr">
        <is>
          <t>SR 1001</t>
        </is>
      </c>
      <c r="C360" t="n">
        <v>0</v>
      </c>
      <c r="E360" t="inlineStr">
        <is>
          <t>SR 1654</t>
        </is>
      </c>
      <c r="F360" t="inlineStr">
        <is>
          <t>SR 1653</t>
        </is>
      </c>
      <c r="G360" t="inlineStr">
        <is>
          <t>SR 1001</t>
        </is>
      </c>
      <c r="H360" t="n">
        <v>6.231</v>
      </c>
      <c r="I360" t="inlineStr">
        <is>
          <t>NIS</t>
        </is>
      </c>
      <c r="L360" t="n">
        <v>107363964</v>
      </c>
      <c r="M360" s="6" t="n">
        <v>45089</v>
      </c>
      <c r="N360" t="n">
        <v>21</v>
      </c>
      <c r="O360" t="n">
        <v>1</v>
      </c>
      <c r="P360" t="n">
        <v>8</v>
      </c>
      <c r="Q360" t="n">
        <v>1</v>
      </c>
      <c r="R360" t="inlineStr">
        <is>
          <t>O</t>
        </is>
      </c>
      <c r="S360">
        <f>IFERROR(VLOOKUP(N360,Index!$A$1:$B$26,2,FALSE),"")</f>
        <v/>
      </c>
      <c r="T360">
        <f>AA360</f>
        <v/>
      </c>
      <c r="V360">
        <f>IFERROR(INDEX(DetailedFiche!Q:Q,MATCH(L360,DetailedFiche!J:J,0)),"")</f>
        <v/>
      </c>
      <c r="W360">
        <f>IFERROR(INDEX(DetailedFiche!R:R,MATCH(L360,DetailedFiche!J:J,0)),"")</f>
        <v/>
      </c>
      <c r="Y360">
        <f>IFERROR(IF(AND(INDEX('Initial Study'!K:K, MATCH(L360, 'Initial Study'!B:B, 0)+1)&lt;&gt;0,INDEX('Initial Study'!K:K, MATCH(L360, 'Initial Study'!B:B, 0)+1)&lt;&gt;""),INDEX('Initial Study'!K:K, MATCH(L360, 'Initial Study'!B:B, 0)+1),""),"")</f>
        <v/>
      </c>
      <c r="Z360">
        <f>IFERROR(IF(AND(INDEX('Initial Study'!K:K, MATCH(L360, 'Initial Study'!B:B, 0)+2)&lt;&gt;0,INDEX('Initial Study'!K:K, MATCH(L360, 'Initial Study'!B:B, 0)+2)&lt;&gt;"",NOT(ISNUMBER(INDEX('Initial Study'!K:K, MATCH(L360, 'Initial Study'!B:B, 0)+2)))),INDEX('Initial Study'!K:K, MATCH(L360, 'Initial Study'!B:B, 0)+2),"-"),"-")</f>
        <v/>
      </c>
      <c r="AA360">
        <f>IF(S360="RE", Y360 &amp; "BT/" &amp; IF(Z360 &lt;&gt; "-", Z360 &amp; "BT", ""), IF(OR(S360="LTDR", S360="LTSR"), Y360 &amp; "BL" &amp; IF(Z360 &lt;&gt; "-", "/" &amp; Z360 &amp; "BT", ""), IF(OR(S360="RTDR", S360="RTSR"), Y360 &amp; "BR" &amp; IF(Z360 &lt;&gt; "-", "/" &amp; Z360 &amp; "BT", ""), IF(Z360 &lt;&gt; "-", Y360 &amp; "BT/" &amp; Z360 &amp; "BT", Y360 &amp; "BT"))))</f>
        <v/>
      </c>
    </row>
    <row r="361">
      <c r="A361" t="n">
        <v>558</v>
      </c>
      <c r="B361" t="inlineStr">
        <is>
          <t>SR 1001</t>
        </is>
      </c>
      <c r="C361" t="n">
        <v>0.2</v>
      </c>
      <c r="D361" t="inlineStr">
        <is>
          <t>N</t>
        </is>
      </c>
      <c r="E361" t="inlineStr">
        <is>
          <t>SR 1654</t>
        </is>
      </c>
      <c r="F361" t="inlineStr">
        <is>
          <t>SR 1653</t>
        </is>
      </c>
      <c r="G361" t="inlineStr">
        <is>
          <t>SR 1001</t>
        </is>
      </c>
      <c r="H361" t="n">
        <v>6.431</v>
      </c>
      <c r="I361" t="inlineStr">
        <is>
          <t>NIS</t>
        </is>
      </c>
      <c r="L361" t="n">
        <v>108050644</v>
      </c>
      <c r="M361" s="6" t="n">
        <v>45732</v>
      </c>
      <c r="N361" t="n">
        <v>19</v>
      </c>
      <c r="O361" t="n">
        <v>1</v>
      </c>
      <c r="P361" t="n">
        <v>0</v>
      </c>
      <c r="Q361" t="n">
        <v>1</v>
      </c>
      <c r="R361" t="inlineStr">
        <is>
          <t>O</t>
        </is>
      </c>
      <c r="S361">
        <f>IFERROR(VLOOKUP(N361,Index!$A$1:$B$26,2,FALSE),"")</f>
        <v/>
      </c>
      <c r="T361">
        <f>AA361</f>
        <v/>
      </c>
      <c r="V361">
        <f>IFERROR(INDEX(DetailedFiche!Q:Q,MATCH(L361,DetailedFiche!J:J,0)),"")</f>
        <v/>
      </c>
      <c r="W361">
        <f>IFERROR(INDEX(DetailedFiche!R:R,MATCH(L361,DetailedFiche!J:J,0)),"")</f>
        <v/>
      </c>
      <c r="Y361">
        <f>IFERROR(IF(AND(INDEX('Initial Study'!K:K, MATCH(L361, 'Initial Study'!B:B, 0)+1)&lt;&gt;0,INDEX('Initial Study'!K:K, MATCH(L361, 'Initial Study'!B:B, 0)+1)&lt;&gt;""),INDEX('Initial Study'!K:K, MATCH(L361, 'Initial Study'!B:B, 0)+1),""),"")</f>
        <v/>
      </c>
      <c r="Z361">
        <f>IFERROR(IF(AND(INDEX('Initial Study'!K:K, MATCH(L361, 'Initial Study'!B:B, 0)+2)&lt;&gt;0,INDEX('Initial Study'!K:K, MATCH(L361, 'Initial Study'!B:B, 0)+2)&lt;&gt;"",NOT(ISNUMBER(INDEX('Initial Study'!K:K, MATCH(L361, 'Initial Study'!B:B, 0)+2)))),INDEX('Initial Study'!K:K, MATCH(L361, 'Initial Study'!B:B, 0)+2),"-"),"-")</f>
        <v/>
      </c>
      <c r="AA361">
        <f>IF(S361="RE", Y361 &amp; "BT/" &amp; IF(Z361 &lt;&gt; "-", Z361 &amp; "BT", ""), IF(OR(S361="LTDR", S361="LTSR"), Y361 &amp; "BL" &amp; IF(Z361 &lt;&gt; "-", "/" &amp; Z361 &amp; "BT", ""), IF(OR(S361="RTDR", S361="RTSR"), Y361 &amp; "BR" &amp; IF(Z361 &lt;&gt; "-", "/" &amp; Z361 &amp; "BT", ""), IF(Z361 &lt;&gt; "-", Y361 &amp; "BT/" &amp; Z361 &amp; "BT", Y361 &amp; "BT"))))</f>
        <v/>
      </c>
    </row>
    <row r="362">
      <c r="A362" t="n">
        <v>0</v>
      </c>
      <c r="B362" t="inlineStr">
        <is>
          <t>SR 1001</t>
        </is>
      </c>
      <c r="C362" t="n">
        <v>0.23</v>
      </c>
      <c r="D362" t="inlineStr">
        <is>
          <t>N</t>
        </is>
      </c>
      <c r="E362" t="inlineStr">
        <is>
          <t>SR 1654</t>
        </is>
      </c>
      <c r="F362" t="inlineStr">
        <is>
          <t>SR 1658</t>
        </is>
      </c>
      <c r="G362" t="inlineStr">
        <is>
          <t>SR 1001</t>
        </is>
      </c>
      <c r="H362" t="n">
        <v>6.461</v>
      </c>
      <c r="I362" t="inlineStr">
        <is>
          <t>NIS</t>
        </is>
      </c>
      <c r="L362" t="n">
        <v>105156270</v>
      </c>
      <c r="M362" s="6" t="n">
        <v>42917</v>
      </c>
      <c r="N362" t="n">
        <v>18</v>
      </c>
      <c r="O362" t="n">
        <v>1</v>
      </c>
      <c r="P362" t="n">
        <v>0</v>
      </c>
      <c r="Q362" t="n">
        <v>3</v>
      </c>
      <c r="R362" t="inlineStr">
        <is>
          <t>C</t>
        </is>
      </c>
      <c r="S362">
        <f>IFERROR(VLOOKUP(N362,Index!$A$1:$B$26,2,FALSE),"")</f>
        <v/>
      </c>
      <c r="T362">
        <f>AA362</f>
        <v/>
      </c>
      <c r="V362">
        <f>IFERROR(INDEX(DetailedFiche!Q:Q,MATCH(L362,DetailedFiche!J:J,0)),"")</f>
        <v/>
      </c>
      <c r="W362">
        <f>IFERROR(INDEX(DetailedFiche!R:R,MATCH(L362,DetailedFiche!J:J,0)),"")</f>
        <v/>
      </c>
      <c r="Y362">
        <f>IFERROR(IF(AND(INDEX('Initial Study'!K:K, MATCH(L362, 'Initial Study'!B:B, 0)+1)&lt;&gt;0,INDEX('Initial Study'!K:K, MATCH(L362, 'Initial Study'!B:B, 0)+1)&lt;&gt;""),INDEX('Initial Study'!K:K, MATCH(L362, 'Initial Study'!B:B, 0)+1),""),"")</f>
        <v/>
      </c>
      <c r="Z362">
        <f>IFERROR(IF(AND(INDEX('Initial Study'!K:K, MATCH(L362, 'Initial Study'!B:B, 0)+2)&lt;&gt;0,INDEX('Initial Study'!K:K, MATCH(L362, 'Initial Study'!B:B, 0)+2)&lt;&gt;"",NOT(ISNUMBER(INDEX('Initial Study'!K:K, MATCH(L362, 'Initial Study'!B:B, 0)+2)))),INDEX('Initial Study'!K:K, MATCH(L362, 'Initial Study'!B:B, 0)+2),"-"),"-")</f>
        <v/>
      </c>
      <c r="AA362">
        <f>IF(S362="RE", Y362 &amp; "BT/" &amp; IF(Z362 &lt;&gt; "-", Z362 &amp; "BT", ""), IF(OR(S362="LTDR", S362="LTSR"), Y362 &amp; "BL" &amp; IF(Z362 &lt;&gt; "-", "/" &amp; Z362 &amp; "BT", ""), IF(OR(S362="RTDR", S362="RTSR"), Y362 &amp; "BR" &amp; IF(Z362 &lt;&gt; "-", "/" &amp; Z362 &amp; "BT", ""), IF(Z362 &lt;&gt; "-", Y362 &amp; "BT/" &amp; Z362 &amp; "BT", Y362 &amp; "BT"))))</f>
        <v/>
      </c>
    </row>
    <row r="363">
      <c r="A363" t="n">
        <v>0</v>
      </c>
      <c r="B363" t="inlineStr">
        <is>
          <t>SR 1001</t>
        </is>
      </c>
      <c r="C363" t="n">
        <v>0.22</v>
      </c>
      <c r="D363" t="inlineStr">
        <is>
          <t>SE</t>
        </is>
      </c>
      <c r="E363" t="inlineStr">
        <is>
          <t>SR 1653</t>
        </is>
      </c>
      <c r="F363" t="inlineStr">
        <is>
          <t>SR 1654</t>
        </is>
      </c>
      <c r="G363" t="inlineStr">
        <is>
          <t>SR 1001</t>
        </is>
      </c>
      <c r="H363" t="n">
        <v>6.47</v>
      </c>
      <c r="I363" t="inlineStr">
        <is>
          <t>NIS</t>
        </is>
      </c>
      <c r="L363" t="n">
        <v>108275804</v>
      </c>
      <c r="M363" s="6" t="n">
        <v>45949</v>
      </c>
      <c r="N363" t="n">
        <v>19</v>
      </c>
      <c r="O363" t="n">
        <v>1</v>
      </c>
      <c r="P363" t="n">
        <v>0</v>
      </c>
      <c r="Q363" t="n">
        <v>1</v>
      </c>
      <c r="R363" t="inlineStr">
        <is>
          <t>O</t>
        </is>
      </c>
      <c r="S363">
        <f>IFERROR(VLOOKUP(N363,Index!$A$1:$B$26,2,FALSE),"")</f>
        <v/>
      </c>
      <c r="T363">
        <f>AA363</f>
        <v/>
      </c>
      <c r="V363">
        <f>IFERROR(INDEX(DetailedFiche!Q:Q,MATCH(L363,DetailedFiche!J:J,0)),"")</f>
        <v/>
      </c>
      <c r="W363">
        <f>IFERROR(INDEX(DetailedFiche!R:R,MATCH(L363,DetailedFiche!J:J,0)),"")</f>
        <v/>
      </c>
      <c r="Y363">
        <f>IFERROR(IF(AND(INDEX('Initial Study'!K:K, MATCH(L363, 'Initial Study'!B:B, 0)+1)&lt;&gt;0,INDEX('Initial Study'!K:K, MATCH(L363, 'Initial Study'!B:B, 0)+1)&lt;&gt;""),INDEX('Initial Study'!K:K, MATCH(L363, 'Initial Study'!B:B, 0)+1),""),"")</f>
        <v/>
      </c>
      <c r="Z363">
        <f>IFERROR(IF(AND(INDEX('Initial Study'!K:K, MATCH(L363, 'Initial Study'!B:B, 0)+2)&lt;&gt;0,INDEX('Initial Study'!K:K, MATCH(L363, 'Initial Study'!B:B, 0)+2)&lt;&gt;"",NOT(ISNUMBER(INDEX('Initial Study'!K:K, MATCH(L363, 'Initial Study'!B:B, 0)+2)))),INDEX('Initial Study'!K:K, MATCH(L363, 'Initial Study'!B:B, 0)+2),"-"),"-")</f>
        <v/>
      </c>
      <c r="AA363">
        <f>IF(S363="RE", Y363 &amp; "BT/" &amp; IF(Z363 &lt;&gt; "-", Z363 &amp; "BT", ""), IF(OR(S363="LTDR", S363="LTSR"), Y363 &amp; "BL" &amp; IF(Z363 &lt;&gt; "-", "/" &amp; Z363 &amp; "BT", ""), IF(OR(S363="RTDR", S363="RTSR"), Y363 &amp; "BR" &amp; IF(Z363 &lt;&gt; "-", "/" &amp; Z363 &amp; "BT", ""), IF(Z363 &lt;&gt; "-", Y363 &amp; "BT/" &amp; Z363 &amp; "BT", Y363 &amp; "BT"))))</f>
        <v/>
      </c>
    </row>
    <row r="364">
      <c r="A364" t="n">
        <v>0</v>
      </c>
      <c r="B364" t="inlineStr">
        <is>
          <t>SR 1001</t>
        </is>
      </c>
      <c r="C364" t="n">
        <v>0.2</v>
      </c>
      <c r="D364" t="inlineStr">
        <is>
          <t>SW</t>
        </is>
      </c>
      <c r="E364" t="inlineStr">
        <is>
          <t>SR 1653</t>
        </is>
      </c>
      <c r="F364" t="inlineStr">
        <is>
          <t>SR 1654</t>
        </is>
      </c>
      <c r="G364" t="inlineStr">
        <is>
          <t>SR 1001</t>
        </is>
      </c>
      <c r="H364" t="n">
        <v>6.49</v>
      </c>
      <c r="I364" t="inlineStr">
        <is>
          <t>NIS</t>
        </is>
      </c>
      <c r="L364" t="n">
        <v>105046828</v>
      </c>
      <c r="M364" s="6" t="n">
        <v>42814</v>
      </c>
      <c r="N364" t="n">
        <v>19</v>
      </c>
      <c r="O364" t="n">
        <v>1</v>
      </c>
      <c r="P364" t="n">
        <v>0</v>
      </c>
      <c r="Q364" t="n">
        <v>1</v>
      </c>
      <c r="S364">
        <f>IFERROR(VLOOKUP(N364,Index!$A$1:$B$26,2,FALSE),"")</f>
        <v/>
      </c>
      <c r="T364">
        <f>AA364</f>
        <v/>
      </c>
      <c r="V364">
        <f>IFERROR(INDEX(DetailedFiche!Q:Q,MATCH(L364,DetailedFiche!J:J,0)),"")</f>
        <v/>
      </c>
      <c r="W364">
        <f>IFERROR(INDEX(DetailedFiche!R:R,MATCH(L364,DetailedFiche!J:J,0)),"")</f>
        <v/>
      </c>
      <c r="Y364">
        <f>IFERROR(IF(AND(INDEX('Initial Study'!K:K, MATCH(L364, 'Initial Study'!B:B, 0)+1)&lt;&gt;0,INDEX('Initial Study'!K:K, MATCH(L364, 'Initial Study'!B:B, 0)+1)&lt;&gt;""),INDEX('Initial Study'!K:K, MATCH(L364, 'Initial Study'!B:B, 0)+1),""),"")</f>
        <v/>
      </c>
      <c r="Z364">
        <f>IFERROR(IF(AND(INDEX('Initial Study'!K:K, MATCH(L364, 'Initial Study'!B:B, 0)+2)&lt;&gt;0,INDEX('Initial Study'!K:K, MATCH(L364, 'Initial Study'!B:B, 0)+2)&lt;&gt;"",NOT(ISNUMBER(INDEX('Initial Study'!K:K, MATCH(L364, 'Initial Study'!B:B, 0)+2)))),INDEX('Initial Study'!K:K, MATCH(L364, 'Initial Study'!B:B, 0)+2),"-"),"-")</f>
        <v/>
      </c>
      <c r="AA364">
        <f>IF(S364="RE", Y364 &amp; "BT/" &amp; IF(Z364 &lt;&gt; "-", Z364 &amp; "BT", ""), IF(OR(S364="LTDR", S364="LTSR"), Y364 &amp; "BL" &amp; IF(Z364 &lt;&gt; "-", "/" &amp; Z364 &amp; "BT", ""), IF(OR(S364="RTDR", S364="RTSR"), Y364 &amp; "BR" &amp; IF(Z364 &lt;&gt; "-", "/" &amp; Z364 &amp; "BT", ""), IF(Z364 &lt;&gt; "-", Y364 &amp; "BT/" &amp; Z364 &amp; "BT", Y364 &amp; "BT"))))</f>
        <v/>
      </c>
    </row>
    <row r="365">
      <c r="A365" t="n">
        <v>0</v>
      </c>
      <c r="B365" t="inlineStr">
        <is>
          <t>SR 1001</t>
        </is>
      </c>
      <c r="C365" t="n">
        <v>0</v>
      </c>
      <c r="E365" t="inlineStr">
        <is>
          <t>SR 1653</t>
        </is>
      </c>
      <c r="F365" t="inlineStr">
        <is>
          <t>SR 1654</t>
        </is>
      </c>
      <c r="G365" t="inlineStr">
        <is>
          <t>SR 1001</t>
        </is>
      </c>
      <c r="H365" t="n">
        <v>6.69</v>
      </c>
      <c r="I365" t="inlineStr">
        <is>
          <t>NIS</t>
        </is>
      </c>
      <c r="L365" t="n">
        <v>106620818</v>
      </c>
      <c r="M365" s="6" t="n">
        <v>44372</v>
      </c>
      <c r="N365" t="n">
        <v>24</v>
      </c>
      <c r="O365" t="n">
        <v>1</v>
      </c>
      <c r="P365" t="n">
        <v>8</v>
      </c>
      <c r="Q365" t="n">
        <v>1</v>
      </c>
      <c r="R365" t="inlineStr">
        <is>
          <t>B</t>
        </is>
      </c>
      <c r="S365">
        <f>IFERROR(VLOOKUP(N365,Index!$A$1:$B$26,2,FALSE),"")</f>
        <v/>
      </c>
      <c r="T365">
        <f>AA365</f>
        <v/>
      </c>
      <c r="V365">
        <f>IFERROR(INDEX(DetailedFiche!Q:Q,MATCH(L365,DetailedFiche!J:J,0)),"")</f>
        <v/>
      </c>
      <c r="W365">
        <f>IFERROR(INDEX(DetailedFiche!R:R,MATCH(L365,DetailedFiche!J:J,0)),"")</f>
        <v/>
      </c>
      <c r="Y365">
        <f>IFERROR(IF(AND(INDEX('Initial Study'!K:K, MATCH(L365, 'Initial Study'!B:B, 0)+1)&lt;&gt;0,INDEX('Initial Study'!K:K, MATCH(L365, 'Initial Study'!B:B, 0)+1)&lt;&gt;""),INDEX('Initial Study'!K:K, MATCH(L365, 'Initial Study'!B:B, 0)+1),""),"")</f>
        <v/>
      </c>
      <c r="Z365">
        <f>IFERROR(IF(AND(INDEX('Initial Study'!K:K, MATCH(L365, 'Initial Study'!B:B, 0)+2)&lt;&gt;0,INDEX('Initial Study'!K:K, MATCH(L365, 'Initial Study'!B:B, 0)+2)&lt;&gt;"",NOT(ISNUMBER(INDEX('Initial Study'!K:K, MATCH(L365, 'Initial Study'!B:B, 0)+2)))),INDEX('Initial Study'!K:K, MATCH(L365, 'Initial Study'!B:B, 0)+2),"-"),"-")</f>
        <v/>
      </c>
      <c r="AA365">
        <f>IF(S365="RE", Y365 &amp; "BT/" &amp; IF(Z365 &lt;&gt; "-", Z365 &amp; "BT", ""), IF(OR(S365="LTDR", S365="LTSR"), Y365 &amp; "BL" &amp; IF(Z365 &lt;&gt; "-", "/" &amp; Z365 &amp; "BT", ""), IF(OR(S365="RTDR", S365="RTSR"), Y365 &amp; "BR" &amp; IF(Z365 &lt;&gt; "-", "/" &amp; Z365 &amp; "BT", ""), IF(Z365 &lt;&gt; "-", Y365 &amp; "BT/" &amp; Z365 &amp; "BT", Y365 &amp; "BT"))))</f>
        <v/>
      </c>
    </row>
    <row r="366">
      <c r="A366" t="n">
        <v>558</v>
      </c>
      <c r="B366" t="inlineStr">
        <is>
          <t>LOVE MILL</t>
        </is>
      </c>
      <c r="C366" t="n">
        <v>0</v>
      </c>
      <c r="E366" t="inlineStr">
        <is>
          <t>ZEBULON WILLIAMS</t>
        </is>
      </c>
      <c r="F366" t="inlineStr">
        <is>
          <t>*LCL AGR NANCE ROAD</t>
        </is>
      </c>
      <c r="G366" t="inlineStr">
        <is>
          <t>SR 1001</t>
        </is>
      </c>
      <c r="H366" t="n">
        <v>6.69</v>
      </c>
      <c r="I366" t="inlineStr">
        <is>
          <t>NIS</t>
        </is>
      </c>
      <c r="L366" t="n">
        <v>107319519</v>
      </c>
      <c r="M366" s="6" t="n">
        <v>45005</v>
      </c>
      <c r="N366" t="n">
        <v>23</v>
      </c>
      <c r="O366" t="n">
        <v>1</v>
      </c>
      <c r="P366" t="n">
        <v>8</v>
      </c>
      <c r="Q366" t="n">
        <v>1</v>
      </c>
      <c r="R366" t="inlineStr">
        <is>
          <t>C</t>
        </is>
      </c>
      <c r="S366">
        <f>IFERROR(VLOOKUP(N366,Index!$A$1:$B$26,2,FALSE),"")</f>
        <v/>
      </c>
      <c r="T366">
        <f>AA366</f>
        <v/>
      </c>
      <c r="V366">
        <f>IFERROR(INDEX(DetailedFiche!Q:Q,MATCH(L366,DetailedFiche!J:J,0)),"")</f>
        <v/>
      </c>
      <c r="W366">
        <f>IFERROR(INDEX(DetailedFiche!R:R,MATCH(L366,DetailedFiche!J:J,0)),"")</f>
        <v/>
      </c>
      <c r="Y366">
        <f>IFERROR(IF(AND(INDEX('Initial Study'!K:K, MATCH(L366, 'Initial Study'!B:B, 0)+1)&lt;&gt;0,INDEX('Initial Study'!K:K, MATCH(L366, 'Initial Study'!B:B, 0)+1)&lt;&gt;""),INDEX('Initial Study'!K:K, MATCH(L366, 'Initial Study'!B:B, 0)+1),""),"")</f>
        <v/>
      </c>
      <c r="Z366">
        <f>IFERROR(IF(AND(INDEX('Initial Study'!K:K, MATCH(L366, 'Initial Study'!B:B, 0)+2)&lt;&gt;0,INDEX('Initial Study'!K:K, MATCH(L366, 'Initial Study'!B:B, 0)+2)&lt;&gt;"",NOT(ISNUMBER(INDEX('Initial Study'!K:K, MATCH(L366, 'Initial Study'!B:B, 0)+2)))),INDEX('Initial Study'!K:K, MATCH(L366, 'Initial Study'!B:B, 0)+2),"-"),"-")</f>
        <v/>
      </c>
      <c r="AA366">
        <f>IF(S366="RE", Y366 &amp; "BT/" &amp; IF(Z366 &lt;&gt; "-", Z366 &amp; "BT", ""), IF(OR(S366="LTDR", S366="LTSR"), Y366 &amp; "BL" &amp; IF(Z366 &lt;&gt; "-", "/" &amp; Z366 &amp; "BT", ""), IF(OR(S366="RTDR", S366="RTSR"), Y366 &amp; "BR" &amp; IF(Z366 &lt;&gt; "-", "/" &amp; Z366 &amp; "BT", ""), IF(Z366 &lt;&gt; "-", Y366 &amp; "BT/" &amp; Z366 &amp; "BT", Y366 &amp; "BT"))))</f>
        <v/>
      </c>
    </row>
    <row r="367">
      <c r="A367" t="n">
        <v>558</v>
      </c>
      <c r="B367" t="inlineStr">
        <is>
          <t>SR 1001</t>
        </is>
      </c>
      <c r="C367" t="n">
        <v>0.002</v>
      </c>
      <c r="D367" t="inlineStr">
        <is>
          <t>N</t>
        </is>
      </c>
      <c r="E367" t="inlineStr">
        <is>
          <t>SR 1653</t>
        </is>
      </c>
      <c r="F367" t="inlineStr">
        <is>
          <t>SR 1655</t>
        </is>
      </c>
      <c r="G367" t="inlineStr">
        <is>
          <t>SR 1001</t>
        </is>
      </c>
      <c r="H367" t="n">
        <v>6.692</v>
      </c>
      <c r="I367" t="inlineStr">
        <is>
          <t>NIS</t>
        </is>
      </c>
      <c r="L367" t="n">
        <v>107684157</v>
      </c>
      <c r="M367" s="6" t="n">
        <v>45393</v>
      </c>
      <c r="N367" t="n">
        <v>21</v>
      </c>
      <c r="O367" t="n">
        <v>1</v>
      </c>
      <c r="P367" t="n">
        <v>5</v>
      </c>
      <c r="Q367" t="n">
        <v>1</v>
      </c>
      <c r="R367" t="inlineStr">
        <is>
          <t>O</t>
        </is>
      </c>
      <c r="S367">
        <f>IFERROR(VLOOKUP(N367,Index!$A$1:$B$26,2,FALSE),"")</f>
        <v/>
      </c>
      <c r="T367">
        <f>AA367</f>
        <v/>
      </c>
      <c r="V367">
        <f>IFERROR(INDEX(DetailedFiche!Q:Q,MATCH(L367,DetailedFiche!J:J,0)),"")</f>
        <v/>
      </c>
      <c r="W367">
        <f>IFERROR(INDEX(DetailedFiche!R:R,MATCH(L367,DetailedFiche!J:J,0)),"")</f>
        <v/>
      </c>
      <c r="Y367">
        <f>IFERROR(IF(AND(INDEX('Initial Study'!K:K, MATCH(L367, 'Initial Study'!B:B, 0)+1)&lt;&gt;0,INDEX('Initial Study'!K:K, MATCH(L367, 'Initial Study'!B:B, 0)+1)&lt;&gt;""),INDEX('Initial Study'!K:K, MATCH(L367, 'Initial Study'!B:B, 0)+1),""),"")</f>
        <v/>
      </c>
      <c r="Z367">
        <f>IFERROR(IF(AND(INDEX('Initial Study'!K:K, MATCH(L367, 'Initial Study'!B:B, 0)+2)&lt;&gt;0,INDEX('Initial Study'!K:K, MATCH(L367, 'Initial Study'!B:B, 0)+2)&lt;&gt;"",NOT(ISNUMBER(INDEX('Initial Study'!K:K, MATCH(L367, 'Initial Study'!B:B, 0)+2)))),INDEX('Initial Study'!K:K, MATCH(L367, 'Initial Study'!B:B, 0)+2),"-"),"-")</f>
        <v/>
      </c>
      <c r="AA367">
        <f>IF(S367="RE", Y367 &amp; "BT/" &amp; IF(Z367 &lt;&gt; "-", Z367 &amp; "BT", ""), IF(OR(S367="LTDR", S367="LTSR"), Y367 &amp; "BL" &amp; IF(Z367 &lt;&gt; "-", "/" &amp; Z367 &amp; "BT", ""), IF(OR(S367="RTDR", S367="RTSR"), Y367 &amp; "BR" &amp; IF(Z367 &lt;&gt; "-", "/" &amp; Z367 &amp; "BT", ""), IF(Z367 &lt;&gt; "-", Y367 &amp; "BT/" &amp; Z367 &amp; "BT", Y367 &amp; "BT"))))</f>
        <v/>
      </c>
    </row>
    <row r="368">
      <c r="A368" t="n">
        <v>558</v>
      </c>
      <c r="B368" t="inlineStr">
        <is>
          <t>SR 1001</t>
        </is>
      </c>
      <c r="C368" t="n">
        <v>0.016</v>
      </c>
      <c r="D368" t="inlineStr">
        <is>
          <t>N</t>
        </is>
      </c>
      <c r="E368" t="inlineStr">
        <is>
          <t>SR 1653</t>
        </is>
      </c>
      <c r="F368" t="inlineStr">
        <is>
          <t>NC 218</t>
        </is>
      </c>
      <c r="G368" t="inlineStr">
        <is>
          <t>SR 1001</t>
        </is>
      </c>
      <c r="H368" t="n">
        <v>6.706</v>
      </c>
      <c r="I368" t="inlineStr">
        <is>
          <t>NIS</t>
        </is>
      </c>
      <c r="L368" t="n">
        <v>106263795</v>
      </c>
      <c r="M368" s="6" t="n">
        <v>44012</v>
      </c>
      <c r="N368" t="n">
        <v>19</v>
      </c>
      <c r="O368" t="n">
        <v>1</v>
      </c>
      <c r="P368" t="n">
        <v>0</v>
      </c>
      <c r="Q368" t="n">
        <v>1</v>
      </c>
      <c r="R368" t="inlineStr">
        <is>
          <t>O</t>
        </is>
      </c>
      <c r="S368">
        <f>IFERROR(VLOOKUP(N368,Index!$A$1:$B$26,2,FALSE),"")</f>
        <v/>
      </c>
      <c r="T368">
        <f>AA368</f>
        <v/>
      </c>
      <c r="V368">
        <f>IFERROR(INDEX(DetailedFiche!Q:Q,MATCH(L368,DetailedFiche!J:J,0)),"")</f>
        <v/>
      </c>
      <c r="W368">
        <f>IFERROR(INDEX(DetailedFiche!R:R,MATCH(L368,DetailedFiche!J:J,0)),"")</f>
        <v/>
      </c>
      <c r="Y368">
        <f>IFERROR(IF(AND(INDEX('Initial Study'!K:K, MATCH(L368, 'Initial Study'!B:B, 0)+1)&lt;&gt;0,INDEX('Initial Study'!K:K, MATCH(L368, 'Initial Study'!B:B, 0)+1)&lt;&gt;""),INDEX('Initial Study'!K:K, MATCH(L368, 'Initial Study'!B:B, 0)+1),""),"")</f>
        <v/>
      </c>
      <c r="Z368">
        <f>IFERROR(IF(AND(INDEX('Initial Study'!K:K, MATCH(L368, 'Initial Study'!B:B, 0)+2)&lt;&gt;0,INDEX('Initial Study'!K:K, MATCH(L368, 'Initial Study'!B:B, 0)+2)&lt;&gt;"",NOT(ISNUMBER(INDEX('Initial Study'!K:K, MATCH(L368, 'Initial Study'!B:B, 0)+2)))),INDEX('Initial Study'!K:K, MATCH(L368, 'Initial Study'!B:B, 0)+2),"-"),"-")</f>
        <v/>
      </c>
      <c r="AA368">
        <f>IF(S368="RE", Y368 &amp; "BT/" &amp; IF(Z368 &lt;&gt; "-", Z368 &amp; "BT", ""), IF(OR(S368="LTDR", S368="LTSR"), Y368 &amp; "BL" &amp; IF(Z368 &lt;&gt; "-", "/" &amp; Z368 &amp; "BT", ""), IF(OR(S368="RTDR", S368="RTSR"), Y368 &amp; "BR" &amp; IF(Z368 &lt;&gt; "-", "/" &amp; Z368 &amp; "BT", ""), IF(Z368 &lt;&gt; "-", Y368 &amp; "BT/" &amp; Z368 &amp; "BT", Y368 &amp; "BT"))))</f>
        <v/>
      </c>
    </row>
    <row r="369">
      <c r="A369" t="n">
        <v>0</v>
      </c>
      <c r="B369" t="inlineStr">
        <is>
          <t>SR 1001</t>
        </is>
      </c>
      <c r="C369" t="n">
        <v>0.5</v>
      </c>
      <c r="D369" t="inlineStr">
        <is>
          <t>N</t>
        </is>
      </c>
      <c r="E369" t="inlineStr">
        <is>
          <t>AGR NANCE</t>
        </is>
      </c>
      <c r="F369" t="inlineStr">
        <is>
          <t>ZEBULON WILLIAMS</t>
        </is>
      </c>
      <c r="G369" t="inlineStr">
        <is>
          <t>SR 1001</t>
        </is>
      </c>
      <c r="H369" t="n">
        <v>6.731</v>
      </c>
      <c r="I369" t="inlineStr">
        <is>
          <t>NIS</t>
        </is>
      </c>
      <c r="L369" t="n">
        <v>105635077</v>
      </c>
      <c r="M369" s="6" t="n">
        <v>43384</v>
      </c>
      <c r="N369" t="n">
        <v>17</v>
      </c>
      <c r="O369" t="n">
        <v>1</v>
      </c>
      <c r="P369" t="n">
        <v>0</v>
      </c>
      <c r="Q369" t="n">
        <v>5</v>
      </c>
      <c r="R369" t="inlineStr">
        <is>
          <t>O</t>
        </is>
      </c>
      <c r="S369">
        <f>IFERROR(VLOOKUP(N369,Index!$A$1:$B$26,2,FALSE),"")</f>
        <v/>
      </c>
      <c r="T369">
        <f>AA369</f>
        <v/>
      </c>
      <c r="V369">
        <f>IFERROR(INDEX(DetailedFiche!Q:Q,MATCH(L369,DetailedFiche!J:J,0)),"")</f>
        <v/>
      </c>
      <c r="W369">
        <f>IFERROR(INDEX(DetailedFiche!R:R,MATCH(L369,DetailedFiche!J:J,0)),"")</f>
        <v/>
      </c>
      <c r="Y369">
        <f>IFERROR(IF(AND(INDEX('Initial Study'!K:K, MATCH(L369, 'Initial Study'!B:B, 0)+1)&lt;&gt;0,INDEX('Initial Study'!K:K, MATCH(L369, 'Initial Study'!B:B, 0)+1)&lt;&gt;""),INDEX('Initial Study'!K:K, MATCH(L369, 'Initial Study'!B:B, 0)+1),""),"")</f>
        <v/>
      </c>
      <c r="Z369">
        <f>IFERROR(IF(AND(INDEX('Initial Study'!K:K, MATCH(L369, 'Initial Study'!B:B, 0)+2)&lt;&gt;0,INDEX('Initial Study'!K:K, MATCH(L369, 'Initial Study'!B:B, 0)+2)&lt;&gt;"",NOT(ISNUMBER(INDEX('Initial Study'!K:K, MATCH(L369, 'Initial Study'!B:B, 0)+2)))),INDEX('Initial Study'!K:K, MATCH(L369, 'Initial Study'!B:B, 0)+2),"-"),"-")</f>
        <v/>
      </c>
      <c r="AA369">
        <f>IF(S369="RE", Y369 &amp; "BT/" &amp; IF(Z369 &lt;&gt; "-", Z369 &amp; "BT", ""), IF(OR(S369="LTDR", S369="LTSR"), Y369 &amp; "BL" &amp; IF(Z369 &lt;&gt; "-", "/" &amp; Z369 &amp; "BT", ""), IF(OR(S369="RTDR", S369="RTSR"), Y369 &amp; "BR" &amp; IF(Z369 &lt;&gt; "-", "/" &amp; Z369 &amp; "BT", ""), IF(Z369 &lt;&gt; "-", Y369 &amp; "BT/" &amp; Z369 &amp; "BT", Y369 &amp; "BT"))))</f>
        <v/>
      </c>
    </row>
    <row r="370">
      <c r="A370" t="n">
        <v>558</v>
      </c>
      <c r="B370" t="inlineStr">
        <is>
          <t>LOVE MILL</t>
        </is>
      </c>
      <c r="C370" t="n">
        <v>0.058</v>
      </c>
      <c r="D370" t="inlineStr">
        <is>
          <t>N</t>
        </is>
      </c>
      <c r="E370" t="inlineStr">
        <is>
          <t>ZEBULON WILLIAMS</t>
        </is>
      </c>
      <c r="F370" t="inlineStr">
        <is>
          <t>HAGLER</t>
        </is>
      </c>
      <c r="G370" t="inlineStr">
        <is>
          <t>SR 1001</t>
        </is>
      </c>
      <c r="H370" t="n">
        <v>6.748</v>
      </c>
      <c r="I370" t="inlineStr">
        <is>
          <t>NIS</t>
        </is>
      </c>
      <c r="L370" t="n">
        <v>107006747</v>
      </c>
      <c r="M370" s="6" t="n">
        <v>44747</v>
      </c>
      <c r="N370" t="n">
        <v>29</v>
      </c>
      <c r="O370" t="n">
        <v>1</v>
      </c>
      <c r="P370" t="n">
        <v>0</v>
      </c>
      <c r="Q370" t="n">
        <v>1</v>
      </c>
      <c r="R370" t="inlineStr">
        <is>
          <t>C</t>
        </is>
      </c>
      <c r="S370">
        <f>IFERROR(VLOOKUP(N370,Index!$A$1:$B$26,2,FALSE),"")</f>
        <v/>
      </c>
      <c r="T370">
        <f>AA370</f>
        <v/>
      </c>
      <c r="V370">
        <f>IFERROR(INDEX(DetailedFiche!Q:Q,MATCH(L370,DetailedFiche!J:J,0)),"")</f>
        <v/>
      </c>
      <c r="W370">
        <f>IFERROR(INDEX(DetailedFiche!R:R,MATCH(L370,DetailedFiche!J:J,0)),"")</f>
        <v/>
      </c>
      <c r="Y370">
        <f>IFERROR(IF(AND(INDEX('Initial Study'!K:K, MATCH(L370, 'Initial Study'!B:B, 0)+1)&lt;&gt;0,INDEX('Initial Study'!K:K, MATCH(L370, 'Initial Study'!B:B, 0)+1)&lt;&gt;""),INDEX('Initial Study'!K:K, MATCH(L370, 'Initial Study'!B:B, 0)+1),""),"")</f>
        <v/>
      </c>
      <c r="Z370">
        <f>IFERROR(IF(AND(INDEX('Initial Study'!K:K, MATCH(L370, 'Initial Study'!B:B, 0)+2)&lt;&gt;0,INDEX('Initial Study'!K:K, MATCH(L370, 'Initial Study'!B:B, 0)+2)&lt;&gt;"",NOT(ISNUMBER(INDEX('Initial Study'!K:K, MATCH(L370, 'Initial Study'!B:B, 0)+2)))),INDEX('Initial Study'!K:K, MATCH(L370, 'Initial Study'!B:B, 0)+2),"-"),"-")</f>
        <v/>
      </c>
      <c r="AA370">
        <f>IF(S370="RE", Y370 &amp; "BT/" &amp; IF(Z370 &lt;&gt; "-", Z370 &amp; "BT", ""), IF(OR(S370="LTDR", S370="LTSR"), Y370 &amp; "BL" &amp; IF(Z370 &lt;&gt; "-", "/" &amp; Z370 &amp; "BT", ""), IF(OR(S370="RTDR", S370="RTSR"), Y370 &amp; "BR" &amp; IF(Z370 &lt;&gt; "-", "/" &amp; Z370 &amp; "BT", ""), IF(Z370 &lt;&gt; "-", Y370 &amp; "BT/" &amp; Z370 &amp; "BT", Y370 &amp; "BT"))))</f>
        <v/>
      </c>
    </row>
    <row r="371">
      <c r="A371" t="n">
        <v>637</v>
      </c>
      <c r="B371" t="inlineStr">
        <is>
          <t>SR 1001</t>
        </is>
      </c>
      <c r="C371" t="n">
        <v>0.9</v>
      </c>
      <c r="D371" t="inlineStr">
        <is>
          <t>N</t>
        </is>
      </c>
      <c r="E371" t="inlineStr">
        <is>
          <t>SR 1654</t>
        </is>
      </c>
      <c r="F371" t="inlineStr">
        <is>
          <t>SR 1610</t>
        </is>
      </c>
      <c r="G371" t="inlineStr">
        <is>
          <t>SR 1001</t>
        </is>
      </c>
      <c r="H371" t="n">
        <v>7.131</v>
      </c>
      <c r="I371" t="inlineStr">
        <is>
          <t>NIS</t>
        </is>
      </c>
      <c r="L371" t="n">
        <v>105778686</v>
      </c>
      <c r="M371" s="6" t="n">
        <v>43507</v>
      </c>
      <c r="N371" t="n">
        <v>5</v>
      </c>
      <c r="O371" t="n">
        <v>2</v>
      </c>
      <c r="P371" t="n">
        <v>0</v>
      </c>
      <c r="Q371" t="n">
        <v>1</v>
      </c>
      <c r="R371" t="inlineStr">
        <is>
          <t>C</t>
        </is>
      </c>
      <c r="S371">
        <f>IFERROR(VLOOKUP(N371,Index!$A$1:$B$26,2,FALSE),"")</f>
        <v/>
      </c>
      <c r="T371">
        <f>AA371</f>
        <v/>
      </c>
      <c r="V371">
        <f>IFERROR(INDEX(DetailedFiche!Q:Q,MATCH(L371,DetailedFiche!J:J,0)),"")</f>
        <v/>
      </c>
      <c r="W371">
        <f>IFERROR(INDEX(DetailedFiche!R:R,MATCH(L371,DetailedFiche!J:J,0)),"")</f>
        <v/>
      </c>
      <c r="Y371">
        <f>IFERROR(IF(AND(INDEX('Initial Study'!K:K, MATCH(L371, 'Initial Study'!B:B, 0)+1)&lt;&gt;0,INDEX('Initial Study'!K:K, MATCH(L371, 'Initial Study'!B:B, 0)+1)&lt;&gt;""),INDEX('Initial Study'!K:K, MATCH(L371, 'Initial Study'!B:B, 0)+1),""),"")</f>
        <v/>
      </c>
      <c r="Z371">
        <f>IFERROR(IF(AND(INDEX('Initial Study'!K:K, MATCH(L371, 'Initial Study'!B:B, 0)+2)&lt;&gt;0,INDEX('Initial Study'!K:K, MATCH(L371, 'Initial Study'!B:B, 0)+2)&lt;&gt;"",NOT(ISNUMBER(INDEX('Initial Study'!K:K, MATCH(L371, 'Initial Study'!B:B, 0)+2)))),INDEX('Initial Study'!K:K, MATCH(L371, 'Initial Study'!B:B, 0)+2),"-"),"-")</f>
        <v/>
      </c>
      <c r="AA371">
        <f>IF(S371="RE", Y371 &amp; "BT/" &amp; IF(Z371 &lt;&gt; "-", Z371 &amp; "BT", ""), IF(OR(S371="LTDR", S371="LTSR"), Y371 &amp; "BL" &amp; IF(Z371 &lt;&gt; "-", "/" &amp; Z371 &amp; "BT", ""), IF(OR(S371="RTDR", S371="RTSR"), Y371 &amp; "BR" &amp; IF(Z371 &lt;&gt; "-", "/" &amp; Z371 &amp; "BT", ""), IF(Z371 &lt;&gt; "-", Y371 &amp; "BT/" &amp; Z371 &amp; "BT", Y371 &amp; "BT"))))</f>
        <v/>
      </c>
    </row>
    <row r="372">
      <c r="A372" t="n">
        <v>558</v>
      </c>
      <c r="B372" t="inlineStr">
        <is>
          <t>SR 1001</t>
        </is>
      </c>
      <c r="C372" t="n">
        <v>0</v>
      </c>
      <c r="E372" t="inlineStr">
        <is>
          <t>SR 1655</t>
        </is>
      </c>
      <c r="F372" t="inlineStr">
        <is>
          <t>SR 1656</t>
        </is>
      </c>
      <c r="G372" t="inlineStr">
        <is>
          <t>SR 1001</t>
        </is>
      </c>
      <c r="H372" t="n">
        <v>7.256</v>
      </c>
      <c r="I372" t="inlineStr">
        <is>
          <t>NIS</t>
        </is>
      </c>
      <c r="L372" t="n">
        <v>107575087</v>
      </c>
      <c r="M372" s="6" t="n">
        <v>45282</v>
      </c>
      <c r="N372" t="n">
        <v>24</v>
      </c>
      <c r="O372" t="n">
        <v>1</v>
      </c>
      <c r="P372" t="n">
        <v>8</v>
      </c>
      <c r="Q372" t="n">
        <v>5</v>
      </c>
      <c r="R372" t="inlineStr">
        <is>
          <t>O</t>
        </is>
      </c>
      <c r="S372">
        <f>IFERROR(VLOOKUP(N372,Index!$A$1:$B$26,2,FALSE),"")</f>
        <v/>
      </c>
      <c r="T372">
        <f>AA372</f>
        <v/>
      </c>
      <c r="V372">
        <f>IFERROR(INDEX(DetailedFiche!Q:Q,MATCH(L372,DetailedFiche!J:J,0)),"")</f>
        <v/>
      </c>
      <c r="W372">
        <f>IFERROR(INDEX(DetailedFiche!R:R,MATCH(L372,DetailedFiche!J:J,0)),"")</f>
        <v/>
      </c>
      <c r="Y372">
        <f>IFERROR(IF(AND(INDEX('Initial Study'!K:K, MATCH(L372, 'Initial Study'!B:B, 0)+1)&lt;&gt;0,INDEX('Initial Study'!K:K, MATCH(L372, 'Initial Study'!B:B, 0)+1)&lt;&gt;""),INDEX('Initial Study'!K:K, MATCH(L372, 'Initial Study'!B:B, 0)+1),""),"")</f>
        <v/>
      </c>
      <c r="Z372">
        <f>IFERROR(IF(AND(INDEX('Initial Study'!K:K, MATCH(L372, 'Initial Study'!B:B, 0)+2)&lt;&gt;0,INDEX('Initial Study'!K:K, MATCH(L372, 'Initial Study'!B:B, 0)+2)&lt;&gt;"",NOT(ISNUMBER(INDEX('Initial Study'!K:K, MATCH(L372, 'Initial Study'!B:B, 0)+2)))),INDEX('Initial Study'!K:K, MATCH(L372, 'Initial Study'!B:B, 0)+2),"-"),"-")</f>
        <v/>
      </c>
      <c r="AA372">
        <f>IF(S372="RE", Y372 &amp; "BT/" &amp; IF(Z372 &lt;&gt; "-", Z372 &amp; "BT", ""), IF(OR(S372="LTDR", S372="LTSR"), Y372 &amp; "BL" &amp; IF(Z372 &lt;&gt; "-", "/" &amp; Z372 &amp; "BT", ""), IF(OR(S372="RTDR", S372="RTSR"), Y372 &amp; "BR" &amp; IF(Z372 &lt;&gt; "-", "/" &amp; Z372 &amp; "BT", ""), IF(Z372 &lt;&gt; "-", Y372 &amp; "BT/" &amp; Z372 &amp; "BT", Y372 &amp; "BT"))))</f>
        <v/>
      </c>
    </row>
    <row r="373">
      <c r="A373" t="n">
        <v>0</v>
      </c>
      <c r="B373" t="inlineStr">
        <is>
          <t>SR 1001</t>
        </is>
      </c>
      <c r="C373" t="n">
        <v>0</v>
      </c>
      <c r="E373" t="inlineStr">
        <is>
          <t>SR 1655</t>
        </is>
      </c>
      <c r="F373" t="inlineStr">
        <is>
          <t>SR 1656</t>
        </is>
      </c>
      <c r="G373" t="inlineStr">
        <is>
          <t>SR 1001</t>
        </is>
      </c>
      <c r="H373" t="n">
        <v>7.256</v>
      </c>
      <c r="I373" t="inlineStr">
        <is>
          <t>NIS</t>
        </is>
      </c>
      <c r="L373" t="n">
        <v>107127894</v>
      </c>
      <c r="M373" s="6" t="n">
        <v>44862</v>
      </c>
      <c r="N373" t="n">
        <v>19</v>
      </c>
      <c r="O373" t="n">
        <v>1</v>
      </c>
      <c r="P373" t="n">
        <v>0</v>
      </c>
      <c r="Q373" t="n">
        <v>1</v>
      </c>
      <c r="R373" t="inlineStr">
        <is>
          <t>C</t>
        </is>
      </c>
      <c r="S373">
        <f>IFERROR(VLOOKUP(N373,Index!$A$1:$B$26,2,FALSE),"")</f>
        <v/>
      </c>
      <c r="T373">
        <f>AA373</f>
        <v/>
      </c>
      <c r="V373">
        <f>IFERROR(INDEX(DetailedFiche!Q:Q,MATCH(L373,DetailedFiche!J:J,0)),"")</f>
        <v/>
      </c>
      <c r="W373">
        <f>IFERROR(INDEX(DetailedFiche!R:R,MATCH(L373,DetailedFiche!J:J,0)),"")</f>
        <v/>
      </c>
      <c r="Y373">
        <f>IFERROR(IF(AND(INDEX('Initial Study'!K:K, MATCH(L373, 'Initial Study'!B:B, 0)+1)&lt;&gt;0,INDEX('Initial Study'!K:K, MATCH(L373, 'Initial Study'!B:B, 0)+1)&lt;&gt;""),INDEX('Initial Study'!K:K, MATCH(L373, 'Initial Study'!B:B, 0)+1),""),"")</f>
        <v/>
      </c>
      <c r="Z373">
        <f>IFERROR(IF(AND(INDEX('Initial Study'!K:K, MATCH(L373, 'Initial Study'!B:B, 0)+2)&lt;&gt;0,INDEX('Initial Study'!K:K, MATCH(L373, 'Initial Study'!B:B, 0)+2)&lt;&gt;"",NOT(ISNUMBER(INDEX('Initial Study'!K:K, MATCH(L373, 'Initial Study'!B:B, 0)+2)))),INDEX('Initial Study'!K:K, MATCH(L373, 'Initial Study'!B:B, 0)+2),"-"),"-")</f>
        <v/>
      </c>
      <c r="AA373">
        <f>IF(S373="RE", Y373 &amp; "BT/" &amp; IF(Z373 &lt;&gt; "-", Z373 &amp; "BT", ""), IF(OR(S373="LTDR", S373="LTSR"), Y373 &amp; "BL" &amp; IF(Z373 &lt;&gt; "-", "/" &amp; Z373 &amp; "BT", ""), IF(OR(S373="RTDR", S373="RTSR"), Y373 &amp; "BR" &amp; IF(Z373 &lt;&gt; "-", "/" &amp; Z373 &amp; "BT", ""), IF(Z373 &lt;&gt; "-", Y373 &amp; "BT/" &amp; Z373 &amp; "BT", Y373 &amp; "BT"))))</f>
        <v/>
      </c>
    </row>
    <row r="374">
      <c r="A374" t="n">
        <v>0</v>
      </c>
      <c r="B374" t="inlineStr">
        <is>
          <t>SR 1001</t>
        </is>
      </c>
      <c r="C374" t="n">
        <v>0</v>
      </c>
      <c r="E374" t="inlineStr">
        <is>
          <t>SR 1655</t>
        </is>
      </c>
      <c r="F374" t="inlineStr">
        <is>
          <t>SR 1656</t>
        </is>
      </c>
      <c r="G374" t="inlineStr">
        <is>
          <t>SR 1001</t>
        </is>
      </c>
      <c r="H374" t="n">
        <v>7.256</v>
      </c>
      <c r="I374" t="inlineStr">
        <is>
          <t>NIS</t>
        </is>
      </c>
      <c r="L374" t="n">
        <v>105344475</v>
      </c>
      <c r="M374" s="6" t="n">
        <v>43106</v>
      </c>
      <c r="N374" t="n">
        <v>27</v>
      </c>
      <c r="O374" t="n">
        <v>1</v>
      </c>
      <c r="P374" t="n">
        <v>8</v>
      </c>
      <c r="Q374" t="n">
        <v>1</v>
      </c>
      <c r="R374" t="inlineStr">
        <is>
          <t>C</t>
        </is>
      </c>
      <c r="S374">
        <f>IFERROR(VLOOKUP(N374,Index!$A$1:$B$26,2,FALSE),"")</f>
        <v/>
      </c>
      <c r="T374">
        <f>AA374</f>
        <v/>
      </c>
      <c r="V374">
        <f>IFERROR(INDEX(DetailedFiche!Q:Q,MATCH(L374,DetailedFiche!J:J,0)),"")</f>
        <v/>
      </c>
      <c r="W374">
        <f>IFERROR(INDEX(DetailedFiche!R:R,MATCH(L374,DetailedFiche!J:J,0)),"")</f>
        <v/>
      </c>
      <c r="Y374">
        <f>IFERROR(IF(AND(INDEX('Initial Study'!K:K, MATCH(L374, 'Initial Study'!B:B, 0)+1)&lt;&gt;0,INDEX('Initial Study'!K:K, MATCH(L374, 'Initial Study'!B:B, 0)+1)&lt;&gt;""),INDEX('Initial Study'!K:K, MATCH(L374, 'Initial Study'!B:B, 0)+1),""),"")</f>
        <v/>
      </c>
      <c r="Z374">
        <f>IFERROR(IF(AND(INDEX('Initial Study'!K:K, MATCH(L374, 'Initial Study'!B:B, 0)+2)&lt;&gt;0,INDEX('Initial Study'!K:K, MATCH(L374, 'Initial Study'!B:B, 0)+2)&lt;&gt;"",NOT(ISNUMBER(INDEX('Initial Study'!K:K, MATCH(L374, 'Initial Study'!B:B, 0)+2)))),INDEX('Initial Study'!K:K, MATCH(L374, 'Initial Study'!B:B, 0)+2),"-"),"-")</f>
        <v/>
      </c>
      <c r="AA374">
        <f>IF(S374="RE", Y374 &amp; "BT/" &amp; IF(Z374 &lt;&gt; "-", Z374 &amp; "BT", ""), IF(OR(S374="LTDR", S374="LTSR"), Y374 &amp; "BL" &amp; IF(Z374 &lt;&gt; "-", "/" &amp; Z374 &amp; "BT", ""), IF(OR(S374="RTDR", S374="RTSR"), Y374 &amp; "BR" &amp; IF(Z374 &lt;&gt; "-", "/" &amp; Z374 &amp; "BT", ""), IF(Z374 &lt;&gt; "-", Y374 &amp; "BT/" &amp; Z374 &amp; "BT", Y374 &amp; "BT"))))</f>
        <v/>
      </c>
    </row>
    <row r="375">
      <c r="A375" t="n">
        <v>0</v>
      </c>
      <c r="B375" t="inlineStr">
        <is>
          <t>SR 1001</t>
        </is>
      </c>
      <c r="C375" t="n">
        <v>0</v>
      </c>
      <c r="E375" t="inlineStr">
        <is>
          <t>SR 1656</t>
        </is>
      </c>
      <c r="F375" t="inlineStr">
        <is>
          <t>SR 1655</t>
        </is>
      </c>
      <c r="G375" t="inlineStr">
        <is>
          <t>SR 1001</t>
        </is>
      </c>
      <c r="H375" t="n">
        <v>7.279</v>
      </c>
      <c r="I375" t="inlineStr">
        <is>
          <t>NIS</t>
        </is>
      </c>
      <c r="L375" t="n">
        <v>106846006</v>
      </c>
      <c r="M375" s="6" t="n">
        <v>44588</v>
      </c>
      <c r="N375" t="n">
        <v>24</v>
      </c>
      <c r="O375" t="n">
        <v>1</v>
      </c>
      <c r="P375" t="n">
        <v>8</v>
      </c>
      <c r="Q375" t="n">
        <v>1</v>
      </c>
      <c r="R375" t="inlineStr">
        <is>
          <t>O</t>
        </is>
      </c>
      <c r="S375">
        <f>IFERROR(VLOOKUP(N375,Index!$A$1:$B$26,2,FALSE),"")</f>
        <v/>
      </c>
      <c r="T375">
        <f>AA375</f>
        <v/>
      </c>
      <c r="V375">
        <f>IFERROR(INDEX(DetailedFiche!Q:Q,MATCH(L375,DetailedFiche!J:J,0)),"")</f>
        <v/>
      </c>
      <c r="W375">
        <f>IFERROR(INDEX(DetailedFiche!R:R,MATCH(L375,DetailedFiche!J:J,0)),"")</f>
        <v/>
      </c>
      <c r="Y375">
        <f>IFERROR(IF(AND(INDEX('Initial Study'!K:K, MATCH(L375, 'Initial Study'!B:B, 0)+1)&lt;&gt;0,INDEX('Initial Study'!K:K, MATCH(L375, 'Initial Study'!B:B, 0)+1)&lt;&gt;""),INDEX('Initial Study'!K:K, MATCH(L375, 'Initial Study'!B:B, 0)+1),""),"")</f>
        <v/>
      </c>
      <c r="Z375">
        <f>IFERROR(IF(AND(INDEX('Initial Study'!K:K, MATCH(L375, 'Initial Study'!B:B, 0)+2)&lt;&gt;0,INDEX('Initial Study'!K:K, MATCH(L375, 'Initial Study'!B:B, 0)+2)&lt;&gt;"",NOT(ISNUMBER(INDEX('Initial Study'!K:K, MATCH(L375, 'Initial Study'!B:B, 0)+2)))),INDEX('Initial Study'!K:K, MATCH(L375, 'Initial Study'!B:B, 0)+2),"-"),"-")</f>
        <v/>
      </c>
      <c r="AA375">
        <f>IF(S375="RE", Y375 &amp; "BT/" &amp; IF(Z375 &lt;&gt; "-", Z375 &amp; "BT", ""), IF(OR(S375="LTDR", S375="LTSR"), Y375 &amp; "BL" &amp; IF(Z375 &lt;&gt; "-", "/" &amp; Z375 &amp; "BT", ""), IF(OR(S375="RTDR", S375="RTSR"), Y375 &amp; "BR" &amp; IF(Z375 &lt;&gt; "-", "/" &amp; Z375 &amp; "BT", ""), IF(Z375 &lt;&gt; "-", Y375 &amp; "BT/" &amp; Z375 &amp; "BT", Y375 &amp; "BT"))))</f>
        <v/>
      </c>
    </row>
    <row r="376">
      <c r="A376" t="n">
        <v>0</v>
      </c>
      <c r="B376" t="inlineStr">
        <is>
          <t>SR 1001</t>
        </is>
      </c>
      <c r="C376" t="n">
        <v>0.019</v>
      </c>
      <c r="D376" t="inlineStr">
        <is>
          <t>N</t>
        </is>
      </c>
      <c r="E376" t="inlineStr">
        <is>
          <t>SR 1656</t>
        </is>
      </c>
      <c r="F376" t="inlineStr">
        <is>
          <t>NC 218</t>
        </is>
      </c>
      <c r="G376" t="inlineStr">
        <is>
          <t>SR 1001</t>
        </is>
      </c>
      <c r="H376" t="n">
        <v>7.298</v>
      </c>
      <c r="I376" t="inlineStr">
        <is>
          <t>NIS</t>
        </is>
      </c>
      <c r="L376" t="n">
        <v>105308467</v>
      </c>
      <c r="M376" s="6" t="n">
        <v>43072</v>
      </c>
      <c r="N376" t="n">
        <v>17</v>
      </c>
      <c r="O376" t="n">
        <v>1</v>
      </c>
      <c r="P376" t="n">
        <v>8</v>
      </c>
      <c r="Q376" t="n">
        <v>5</v>
      </c>
      <c r="R376" t="inlineStr">
        <is>
          <t>O</t>
        </is>
      </c>
      <c r="S376">
        <f>IFERROR(VLOOKUP(N376,Index!$A$1:$B$26,2,FALSE),"")</f>
        <v/>
      </c>
      <c r="T376">
        <f>AA376</f>
        <v/>
      </c>
      <c r="V376">
        <f>IFERROR(INDEX(DetailedFiche!Q:Q,MATCH(L376,DetailedFiche!J:J,0)),"")</f>
        <v/>
      </c>
      <c r="W376">
        <f>IFERROR(INDEX(DetailedFiche!R:R,MATCH(L376,DetailedFiche!J:J,0)),"")</f>
        <v/>
      </c>
      <c r="Y376">
        <f>IFERROR(IF(AND(INDEX('Initial Study'!K:K, MATCH(L376, 'Initial Study'!B:B, 0)+1)&lt;&gt;0,INDEX('Initial Study'!K:K, MATCH(L376, 'Initial Study'!B:B, 0)+1)&lt;&gt;""),INDEX('Initial Study'!K:K, MATCH(L376, 'Initial Study'!B:B, 0)+1),""),"")</f>
        <v/>
      </c>
      <c r="Z376">
        <f>IFERROR(IF(AND(INDEX('Initial Study'!K:K, MATCH(L376, 'Initial Study'!B:B, 0)+2)&lt;&gt;0,INDEX('Initial Study'!K:K, MATCH(L376, 'Initial Study'!B:B, 0)+2)&lt;&gt;"",NOT(ISNUMBER(INDEX('Initial Study'!K:K, MATCH(L376, 'Initial Study'!B:B, 0)+2)))),INDEX('Initial Study'!K:K, MATCH(L376, 'Initial Study'!B:B, 0)+2),"-"),"-")</f>
        <v/>
      </c>
      <c r="AA376">
        <f>IF(S376="RE", Y376 &amp; "BT/" &amp; IF(Z376 &lt;&gt; "-", Z376 &amp; "BT", ""), IF(OR(S376="LTDR", S376="LTSR"), Y376 &amp; "BL" &amp; IF(Z376 &lt;&gt; "-", "/" &amp; Z376 &amp; "BT", ""), IF(OR(S376="RTDR", S376="RTSR"), Y376 &amp; "BR" &amp; IF(Z376 &lt;&gt; "-", "/" &amp; Z376 &amp; "BT", ""), IF(Z376 &lt;&gt; "-", Y376 &amp; "BT/" &amp; Z376 &amp; "BT", Y376 &amp; "BT"))))</f>
        <v/>
      </c>
    </row>
    <row r="377">
      <c r="A377" t="n">
        <v>0</v>
      </c>
      <c r="B377" t="inlineStr">
        <is>
          <t>SR 1001</t>
        </is>
      </c>
      <c r="C377" t="n">
        <v>0.12</v>
      </c>
      <c r="D377" t="inlineStr">
        <is>
          <t>N</t>
        </is>
      </c>
      <c r="E377" t="inlineStr">
        <is>
          <t>SR 1656</t>
        </is>
      </c>
      <c r="F377" t="inlineStr">
        <is>
          <t>NC 218</t>
        </is>
      </c>
      <c r="G377" t="inlineStr">
        <is>
          <t>SR 1001</t>
        </is>
      </c>
      <c r="H377" t="n">
        <v>7.399</v>
      </c>
      <c r="I377" t="inlineStr">
        <is>
          <t>NIS</t>
        </is>
      </c>
      <c r="L377" t="n">
        <v>108066713</v>
      </c>
      <c r="M377" s="6" t="n">
        <v>45747</v>
      </c>
      <c r="N377" t="n">
        <v>19</v>
      </c>
      <c r="O377" t="n">
        <v>1</v>
      </c>
      <c r="P377" t="n">
        <v>0</v>
      </c>
      <c r="Q377" t="n">
        <v>5</v>
      </c>
      <c r="R377" t="inlineStr">
        <is>
          <t>C</t>
        </is>
      </c>
      <c r="S377">
        <f>IFERROR(VLOOKUP(N377,Index!$A$1:$B$26,2,FALSE),"")</f>
        <v/>
      </c>
      <c r="T377">
        <f>AA377</f>
        <v/>
      </c>
      <c r="V377">
        <f>IFERROR(INDEX(DetailedFiche!Q:Q,MATCH(L377,DetailedFiche!J:J,0)),"")</f>
        <v/>
      </c>
      <c r="W377">
        <f>IFERROR(INDEX(DetailedFiche!R:R,MATCH(L377,DetailedFiche!J:J,0)),"")</f>
        <v/>
      </c>
      <c r="Y377">
        <f>IFERROR(IF(AND(INDEX('Initial Study'!K:K, MATCH(L377, 'Initial Study'!B:B, 0)+1)&lt;&gt;0,INDEX('Initial Study'!K:K, MATCH(L377, 'Initial Study'!B:B, 0)+1)&lt;&gt;""),INDEX('Initial Study'!K:K, MATCH(L377, 'Initial Study'!B:B, 0)+1),""),"")</f>
        <v/>
      </c>
      <c r="Z377">
        <f>IFERROR(IF(AND(INDEX('Initial Study'!K:K, MATCH(L377, 'Initial Study'!B:B, 0)+2)&lt;&gt;0,INDEX('Initial Study'!K:K, MATCH(L377, 'Initial Study'!B:B, 0)+2)&lt;&gt;"",NOT(ISNUMBER(INDEX('Initial Study'!K:K, MATCH(L377, 'Initial Study'!B:B, 0)+2)))),INDEX('Initial Study'!K:K, MATCH(L377, 'Initial Study'!B:B, 0)+2),"-"),"-")</f>
        <v/>
      </c>
      <c r="AA377">
        <f>IF(S377="RE", Y377 &amp; "BT/" &amp; IF(Z377 &lt;&gt; "-", Z377 &amp; "BT", ""), IF(OR(S377="LTDR", S377="LTSR"), Y377 &amp; "BL" &amp; IF(Z377 &lt;&gt; "-", "/" &amp; Z377 &amp; "BT", ""), IF(OR(S377="RTDR", S377="RTSR"), Y377 &amp; "BR" &amp; IF(Z377 &lt;&gt; "-", "/" &amp; Z377 &amp; "BT", ""), IF(Z377 &lt;&gt; "-", Y377 &amp; "BT/" &amp; Z377 &amp; "BT", Y377 &amp; "BT"))))</f>
        <v/>
      </c>
    </row>
    <row r="378">
      <c r="A378" t="n">
        <v>0</v>
      </c>
      <c r="B378" t="inlineStr">
        <is>
          <t>SR 1001</t>
        </is>
      </c>
      <c r="C378" t="n">
        <v>0.4</v>
      </c>
      <c r="D378" t="inlineStr">
        <is>
          <t>S</t>
        </is>
      </c>
      <c r="E378" t="inlineStr">
        <is>
          <t>NC 218</t>
        </is>
      </c>
      <c r="F378" t="inlineStr">
        <is>
          <t>SR 1657</t>
        </is>
      </c>
      <c r="G378" t="inlineStr">
        <is>
          <t>SR 1001</t>
        </is>
      </c>
      <c r="H378" t="n">
        <v>7.737</v>
      </c>
      <c r="I378" t="inlineStr">
        <is>
          <t>NIS</t>
        </is>
      </c>
      <c r="L378" t="n">
        <v>106117344</v>
      </c>
      <c r="M378" s="6" t="n">
        <v>43836</v>
      </c>
      <c r="N378" t="n">
        <v>19</v>
      </c>
      <c r="O378" t="n">
        <v>1</v>
      </c>
      <c r="P378" t="n">
        <v>0</v>
      </c>
      <c r="Q378" t="n">
        <v>5</v>
      </c>
      <c r="R378" t="inlineStr">
        <is>
          <t>O</t>
        </is>
      </c>
      <c r="S378">
        <f>IFERROR(VLOOKUP(N378,Index!$A$1:$B$26,2,FALSE),"")</f>
        <v/>
      </c>
      <c r="T378">
        <f>AA378</f>
        <v/>
      </c>
      <c r="V378">
        <f>IFERROR(INDEX(DetailedFiche!Q:Q,MATCH(L378,DetailedFiche!J:J,0)),"")</f>
        <v/>
      </c>
      <c r="W378">
        <f>IFERROR(INDEX(DetailedFiche!R:R,MATCH(L378,DetailedFiche!J:J,0)),"")</f>
        <v/>
      </c>
      <c r="Y378">
        <f>IFERROR(IF(AND(INDEX('Initial Study'!K:K, MATCH(L378, 'Initial Study'!B:B, 0)+1)&lt;&gt;0,INDEX('Initial Study'!K:K, MATCH(L378, 'Initial Study'!B:B, 0)+1)&lt;&gt;""),INDEX('Initial Study'!K:K, MATCH(L378, 'Initial Study'!B:B, 0)+1),""),"")</f>
        <v/>
      </c>
      <c r="Z378">
        <f>IFERROR(IF(AND(INDEX('Initial Study'!K:K, MATCH(L378, 'Initial Study'!B:B, 0)+2)&lt;&gt;0,INDEX('Initial Study'!K:K, MATCH(L378, 'Initial Study'!B:B, 0)+2)&lt;&gt;"",NOT(ISNUMBER(INDEX('Initial Study'!K:K, MATCH(L378, 'Initial Study'!B:B, 0)+2)))),INDEX('Initial Study'!K:K, MATCH(L378, 'Initial Study'!B:B, 0)+2),"-"),"-")</f>
        <v/>
      </c>
      <c r="AA378">
        <f>IF(S378="RE", Y378 &amp; "BT/" &amp; IF(Z378 &lt;&gt; "-", Z378 &amp; "BT", ""), IF(OR(S378="LTDR", S378="LTSR"), Y378 &amp; "BL" &amp; IF(Z378 &lt;&gt; "-", "/" &amp; Z378 &amp; "BT", ""), IF(OR(S378="RTDR", S378="RTSR"), Y378 &amp; "BR" &amp; IF(Z378 &lt;&gt; "-", "/" &amp; Z378 &amp; "BT", ""), IF(Z378 &lt;&gt; "-", Y378 &amp; "BT/" &amp; Z378 &amp; "BT", Y378 &amp; "BT"))))</f>
        <v/>
      </c>
    </row>
    <row r="379">
      <c r="A379" t="n">
        <v>0</v>
      </c>
      <c r="B379" t="inlineStr">
        <is>
          <t>LOVE MILL</t>
        </is>
      </c>
      <c r="C379" t="n">
        <v>1.2</v>
      </c>
      <c r="D379" t="inlineStr">
        <is>
          <t>N</t>
        </is>
      </c>
      <c r="E379" t="inlineStr">
        <is>
          <t>ZEBULON WILLIAMS</t>
        </is>
      </c>
      <c r="F379" t="inlineStr">
        <is>
          <t>CARRIKER</t>
        </is>
      </c>
      <c r="G379" t="inlineStr">
        <is>
          <t>SR 1001</t>
        </is>
      </c>
      <c r="H379" t="n">
        <v>7.89</v>
      </c>
      <c r="I379" t="inlineStr">
        <is>
          <t>NIS</t>
        </is>
      </c>
      <c r="L379" t="n">
        <v>107535604</v>
      </c>
      <c r="M379" s="6" t="n">
        <v>45251</v>
      </c>
      <c r="N379" t="n">
        <v>17</v>
      </c>
      <c r="O379" t="n">
        <v>2</v>
      </c>
      <c r="P379" t="n">
        <v>0</v>
      </c>
      <c r="Q379" t="n">
        <v>5</v>
      </c>
      <c r="R379" t="inlineStr">
        <is>
          <t>O</t>
        </is>
      </c>
      <c r="S379">
        <f>IFERROR(VLOOKUP(N379,Index!$A$1:$B$26,2,FALSE),"")</f>
        <v/>
      </c>
      <c r="T379">
        <f>AA379</f>
        <v/>
      </c>
      <c r="V379">
        <f>IFERROR(INDEX(DetailedFiche!Q:Q,MATCH(L379,DetailedFiche!J:J,0)),"")</f>
        <v/>
      </c>
      <c r="W379">
        <f>IFERROR(INDEX(DetailedFiche!R:R,MATCH(L379,DetailedFiche!J:J,0)),"")</f>
        <v/>
      </c>
      <c r="Y379">
        <f>IFERROR(IF(AND(INDEX('Initial Study'!K:K, MATCH(L379, 'Initial Study'!B:B, 0)+1)&lt;&gt;0,INDEX('Initial Study'!K:K, MATCH(L379, 'Initial Study'!B:B, 0)+1)&lt;&gt;""),INDEX('Initial Study'!K:K, MATCH(L379, 'Initial Study'!B:B, 0)+1),""),"")</f>
        <v/>
      </c>
      <c r="Z379">
        <f>IFERROR(IF(AND(INDEX('Initial Study'!K:K, MATCH(L379, 'Initial Study'!B:B, 0)+2)&lt;&gt;0,INDEX('Initial Study'!K:K, MATCH(L379, 'Initial Study'!B:B, 0)+2)&lt;&gt;"",NOT(ISNUMBER(INDEX('Initial Study'!K:K, MATCH(L379, 'Initial Study'!B:B, 0)+2)))),INDEX('Initial Study'!K:K, MATCH(L379, 'Initial Study'!B:B, 0)+2),"-"),"-")</f>
        <v/>
      </c>
      <c r="AA379">
        <f>IF(S379="RE", Y379 &amp; "BT/" &amp; IF(Z379 &lt;&gt; "-", Z379 &amp; "BT", ""), IF(OR(S379="LTDR", S379="LTSR"), Y379 &amp; "BL" &amp; IF(Z379 &lt;&gt; "-", "/" &amp; Z379 &amp; "BT", ""), IF(OR(S379="RTDR", S379="RTSR"), Y379 &amp; "BR" &amp; IF(Z379 &lt;&gt; "-", "/" &amp; Z379 &amp; "BT", ""), IF(Z379 &lt;&gt; "-", Y379 &amp; "BT/" &amp; Z379 &amp; "BT", Y379 &amp; "BT"))))</f>
        <v/>
      </c>
    </row>
    <row r="380">
      <c r="A380" t="n">
        <v>558</v>
      </c>
      <c r="B380" t="inlineStr">
        <is>
          <t>LOVE MILL</t>
        </is>
      </c>
      <c r="C380" t="n">
        <v>0</v>
      </c>
      <c r="E380" t="inlineStr">
        <is>
          <t>NC 218</t>
        </is>
      </c>
      <c r="F380" t="inlineStr">
        <is>
          <t>HAGLER</t>
        </is>
      </c>
      <c r="G380" t="inlineStr">
        <is>
          <t>SR 1001</t>
        </is>
      </c>
      <c r="H380" t="n">
        <v>8.137</v>
      </c>
      <c r="I380" t="inlineStr">
        <is>
          <t>NIS</t>
        </is>
      </c>
      <c r="L380" t="n">
        <v>105472692</v>
      </c>
      <c r="M380" s="6" t="n">
        <v>43224</v>
      </c>
      <c r="N380" t="n">
        <v>21</v>
      </c>
      <c r="O380" t="n">
        <v>1</v>
      </c>
      <c r="P380" t="n">
        <v>7</v>
      </c>
      <c r="Q380" t="n">
        <v>1</v>
      </c>
      <c r="R380" t="inlineStr">
        <is>
          <t>O</t>
        </is>
      </c>
      <c r="S380">
        <f>IFERROR(VLOOKUP(N380,Index!$A$1:$B$26,2,FALSE),"")</f>
        <v/>
      </c>
      <c r="T380">
        <f>AA380</f>
        <v/>
      </c>
      <c r="V380">
        <f>IFERROR(INDEX(DetailedFiche!Q:Q,MATCH(L380,DetailedFiche!J:J,0)),"")</f>
        <v/>
      </c>
      <c r="W380">
        <f>IFERROR(INDEX(DetailedFiche!R:R,MATCH(L380,DetailedFiche!J:J,0)),"")</f>
        <v/>
      </c>
      <c r="Y380">
        <f>IFERROR(IF(AND(INDEX('Initial Study'!K:K, MATCH(L380, 'Initial Study'!B:B, 0)+1)&lt;&gt;0,INDEX('Initial Study'!K:K, MATCH(L380, 'Initial Study'!B:B, 0)+1)&lt;&gt;""),INDEX('Initial Study'!K:K, MATCH(L380, 'Initial Study'!B:B, 0)+1),""),"")</f>
        <v/>
      </c>
      <c r="Z380">
        <f>IFERROR(IF(AND(INDEX('Initial Study'!K:K, MATCH(L380, 'Initial Study'!B:B, 0)+2)&lt;&gt;0,INDEX('Initial Study'!K:K, MATCH(L380, 'Initial Study'!B:B, 0)+2)&lt;&gt;"",NOT(ISNUMBER(INDEX('Initial Study'!K:K, MATCH(L380, 'Initial Study'!B:B, 0)+2)))),INDEX('Initial Study'!K:K, MATCH(L380, 'Initial Study'!B:B, 0)+2),"-"),"-")</f>
        <v/>
      </c>
      <c r="AA380">
        <f>IF(S380="RE", Y380 &amp; "BT/" &amp; IF(Z380 &lt;&gt; "-", Z380 &amp; "BT", ""), IF(OR(S380="LTDR", S380="LTSR"), Y380 &amp; "BL" &amp; IF(Z380 &lt;&gt; "-", "/" &amp; Z380 &amp; "BT", ""), IF(OR(S380="RTDR", S380="RTSR"), Y380 &amp; "BR" &amp; IF(Z380 &lt;&gt; "-", "/" &amp; Z380 &amp; "BT", ""), IF(Z380 &lt;&gt; "-", Y380 &amp; "BT/" &amp; Z380 &amp; "BT", Y380 &amp; "BT"))))</f>
        <v/>
      </c>
    </row>
    <row r="381">
      <c r="A381" t="n">
        <v>0</v>
      </c>
      <c r="B381" t="inlineStr">
        <is>
          <t>LOVE MILL</t>
        </is>
      </c>
      <c r="C381" t="n">
        <v>0</v>
      </c>
      <c r="E381" t="inlineStr">
        <is>
          <t>NC 218</t>
        </is>
      </c>
      <c r="G381" t="inlineStr">
        <is>
          <t>SR 1001</t>
        </is>
      </c>
      <c r="H381" t="n">
        <v>8.137</v>
      </c>
      <c r="I381" t="inlineStr">
        <is>
          <t>NIS</t>
        </is>
      </c>
      <c r="L381" t="n">
        <v>106117028</v>
      </c>
      <c r="M381" s="6" t="n">
        <v>43833</v>
      </c>
      <c r="N381" t="n">
        <v>30</v>
      </c>
      <c r="O381" t="n">
        <v>2</v>
      </c>
      <c r="P381" t="n">
        <v>7</v>
      </c>
      <c r="Q381" t="n">
        <v>1</v>
      </c>
      <c r="R381" t="inlineStr">
        <is>
          <t>C</t>
        </is>
      </c>
      <c r="S381">
        <f>IFERROR(VLOOKUP(N381,Index!$A$1:$B$26,2,FALSE),"")</f>
        <v/>
      </c>
      <c r="T381">
        <f>AA381</f>
        <v/>
      </c>
      <c r="V381">
        <f>IFERROR(INDEX(DetailedFiche!Q:Q,MATCH(L381,DetailedFiche!J:J,0)),"")</f>
        <v/>
      </c>
      <c r="W381">
        <f>IFERROR(INDEX(DetailedFiche!R:R,MATCH(L381,DetailedFiche!J:J,0)),"")</f>
        <v/>
      </c>
      <c r="Y381">
        <f>IFERROR(IF(AND(INDEX('Initial Study'!K:K, MATCH(L381, 'Initial Study'!B:B, 0)+1)&lt;&gt;0,INDEX('Initial Study'!K:K, MATCH(L381, 'Initial Study'!B:B, 0)+1)&lt;&gt;""),INDEX('Initial Study'!K:K, MATCH(L381, 'Initial Study'!B:B, 0)+1),""),"")</f>
        <v/>
      </c>
      <c r="Z381">
        <f>IFERROR(IF(AND(INDEX('Initial Study'!K:K, MATCH(L381, 'Initial Study'!B:B, 0)+2)&lt;&gt;0,INDEX('Initial Study'!K:K, MATCH(L381, 'Initial Study'!B:B, 0)+2)&lt;&gt;"",NOT(ISNUMBER(INDEX('Initial Study'!K:K, MATCH(L381, 'Initial Study'!B:B, 0)+2)))),INDEX('Initial Study'!K:K, MATCH(L381, 'Initial Study'!B:B, 0)+2),"-"),"-")</f>
        <v/>
      </c>
      <c r="AA381">
        <f>IF(S381="RE", Y381 &amp; "BT/" &amp; IF(Z381 &lt;&gt; "-", Z381 &amp; "BT", ""), IF(OR(S381="LTDR", S381="LTSR"), Y381 &amp; "BL" &amp; IF(Z381 &lt;&gt; "-", "/" &amp; Z381 &amp; "BT", ""), IF(OR(S381="RTDR", S381="RTSR"), Y381 &amp; "BR" &amp; IF(Z381 &lt;&gt; "-", "/" &amp; Z381 &amp; "BT", ""), IF(Z381 &lt;&gt; "-", Y381 &amp; "BT/" &amp; Z381 &amp; "BT", Y381 &amp; "BT"))))</f>
        <v/>
      </c>
    </row>
    <row r="382">
      <c r="A382" t="n">
        <v>0</v>
      </c>
      <c r="B382" t="inlineStr">
        <is>
          <t>SR 1001</t>
        </is>
      </c>
      <c r="C382" t="n">
        <v>0</v>
      </c>
      <c r="E382" t="inlineStr">
        <is>
          <t>NC 218</t>
        </is>
      </c>
      <c r="F382" t="inlineStr">
        <is>
          <t>SR 1639</t>
        </is>
      </c>
      <c r="G382" t="inlineStr">
        <is>
          <t>SR 1001</t>
        </is>
      </c>
      <c r="H382" t="n">
        <v>8.137</v>
      </c>
      <c r="I382" t="inlineStr">
        <is>
          <t>NIS</t>
        </is>
      </c>
      <c r="L382" t="n">
        <v>107423069</v>
      </c>
      <c r="M382" s="6" t="n">
        <v>45149</v>
      </c>
      <c r="N382" t="n">
        <v>30</v>
      </c>
      <c r="O382" t="n">
        <v>1</v>
      </c>
      <c r="P382" t="n">
        <v>0</v>
      </c>
      <c r="Q382" t="n">
        <v>1</v>
      </c>
      <c r="R382" t="inlineStr">
        <is>
          <t>O</t>
        </is>
      </c>
      <c r="S382">
        <f>IFERROR(VLOOKUP(N382,Index!$A$1:$B$26,2,FALSE),"")</f>
        <v/>
      </c>
      <c r="T382">
        <f>AA382</f>
        <v/>
      </c>
      <c r="V382">
        <f>IFERROR(INDEX(DetailedFiche!Q:Q,MATCH(L382,DetailedFiche!J:J,0)),"")</f>
        <v/>
      </c>
      <c r="W382">
        <f>IFERROR(INDEX(DetailedFiche!R:R,MATCH(L382,DetailedFiche!J:J,0)),"")</f>
        <v/>
      </c>
      <c r="Y382">
        <f>IFERROR(IF(AND(INDEX('Initial Study'!K:K, MATCH(L382, 'Initial Study'!B:B, 0)+1)&lt;&gt;0,INDEX('Initial Study'!K:K, MATCH(L382, 'Initial Study'!B:B, 0)+1)&lt;&gt;""),INDEX('Initial Study'!K:K, MATCH(L382, 'Initial Study'!B:B, 0)+1),""),"")</f>
        <v/>
      </c>
      <c r="Z382">
        <f>IFERROR(IF(AND(INDEX('Initial Study'!K:K, MATCH(L382, 'Initial Study'!B:B, 0)+2)&lt;&gt;0,INDEX('Initial Study'!K:K, MATCH(L382, 'Initial Study'!B:B, 0)+2)&lt;&gt;"",NOT(ISNUMBER(INDEX('Initial Study'!K:K, MATCH(L382, 'Initial Study'!B:B, 0)+2)))),INDEX('Initial Study'!K:K, MATCH(L382, 'Initial Study'!B:B, 0)+2),"-"),"-")</f>
        <v/>
      </c>
      <c r="AA382">
        <f>IF(S382="RE", Y382 &amp; "BT/" &amp; IF(Z382 &lt;&gt; "-", Z382 &amp; "BT", ""), IF(OR(S382="LTDR", S382="LTSR"), Y382 &amp; "BL" &amp; IF(Z382 &lt;&gt; "-", "/" &amp; Z382 &amp; "BT", ""), IF(OR(S382="RTDR", S382="RTSR"), Y382 &amp; "BR" &amp; IF(Z382 &lt;&gt; "-", "/" &amp; Z382 &amp; "BT", ""), IF(Z382 &lt;&gt; "-", Y382 &amp; "BT/" &amp; Z382 &amp; "BT", Y382 &amp; "BT"))))</f>
        <v/>
      </c>
    </row>
    <row r="383">
      <c r="A383" t="n">
        <v>0</v>
      </c>
      <c r="B383" t="inlineStr">
        <is>
          <t>SR 1001</t>
        </is>
      </c>
      <c r="C383" t="n">
        <v>0</v>
      </c>
      <c r="E383" t="inlineStr">
        <is>
          <t>NC 218</t>
        </is>
      </c>
      <c r="F383" t="inlineStr">
        <is>
          <t>NC 200</t>
        </is>
      </c>
      <c r="G383" t="inlineStr">
        <is>
          <t>SR 1001</t>
        </is>
      </c>
      <c r="H383" t="n">
        <v>8.137</v>
      </c>
      <c r="I383" t="inlineStr">
        <is>
          <t>NIS</t>
        </is>
      </c>
      <c r="L383" t="n">
        <v>107384204</v>
      </c>
      <c r="M383" s="6" t="n">
        <v>45107</v>
      </c>
      <c r="N383" t="n">
        <v>30</v>
      </c>
      <c r="O383" t="n">
        <v>1</v>
      </c>
      <c r="P383" t="n">
        <v>7</v>
      </c>
      <c r="Q383" t="n">
        <v>5</v>
      </c>
      <c r="R383" t="inlineStr">
        <is>
          <t>C</t>
        </is>
      </c>
      <c r="S383">
        <f>IFERROR(VLOOKUP(N383,Index!$A$1:$B$26,2,FALSE),"")</f>
        <v/>
      </c>
      <c r="T383">
        <f>AA383</f>
        <v/>
      </c>
      <c r="V383">
        <f>IFERROR(INDEX(DetailedFiche!Q:Q,MATCH(L383,DetailedFiche!J:J,0)),"")</f>
        <v/>
      </c>
      <c r="W383">
        <f>IFERROR(INDEX(DetailedFiche!R:R,MATCH(L383,DetailedFiche!J:J,0)),"")</f>
        <v/>
      </c>
      <c r="Y383">
        <f>IFERROR(IF(AND(INDEX('Initial Study'!K:K, MATCH(L383, 'Initial Study'!B:B, 0)+1)&lt;&gt;0,INDEX('Initial Study'!K:K, MATCH(L383, 'Initial Study'!B:B, 0)+1)&lt;&gt;""),INDEX('Initial Study'!K:K, MATCH(L383, 'Initial Study'!B:B, 0)+1),""),"")</f>
        <v/>
      </c>
      <c r="Z383">
        <f>IFERROR(IF(AND(INDEX('Initial Study'!K:K, MATCH(L383, 'Initial Study'!B:B, 0)+2)&lt;&gt;0,INDEX('Initial Study'!K:K, MATCH(L383, 'Initial Study'!B:B, 0)+2)&lt;&gt;"",NOT(ISNUMBER(INDEX('Initial Study'!K:K, MATCH(L383, 'Initial Study'!B:B, 0)+2)))),INDEX('Initial Study'!K:K, MATCH(L383, 'Initial Study'!B:B, 0)+2),"-"),"-")</f>
        <v/>
      </c>
      <c r="AA383">
        <f>IF(S383="RE", Y383 &amp; "BT/" &amp; IF(Z383 &lt;&gt; "-", Z383 &amp; "BT", ""), IF(OR(S383="LTDR", S383="LTSR"), Y383 &amp; "BL" &amp; IF(Z383 &lt;&gt; "-", "/" &amp; Z383 &amp; "BT", ""), IF(OR(S383="RTDR", S383="RTSR"), Y383 &amp; "BR" &amp; IF(Z383 &lt;&gt; "-", "/" &amp; Z383 &amp; "BT", ""), IF(Z383 &lt;&gt; "-", Y383 &amp; "BT/" &amp; Z383 &amp; "BT", Y383 &amp; "BT"))))</f>
        <v/>
      </c>
    </row>
    <row r="384">
      <c r="A384" t="n">
        <v>0</v>
      </c>
      <c r="B384" t="inlineStr">
        <is>
          <t>SR 1001</t>
        </is>
      </c>
      <c r="C384" t="n">
        <v>0</v>
      </c>
      <c r="E384" t="inlineStr">
        <is>
          <t>NC 218</t>
        </is>
      </c>
      <c r="F384" t="inlineStr">
        <is>
          <t>SR 1639</t>
        </is>
      </c>
      <c r="G384" t="inlineStr">
        <is>
          <t>SR 1001</t>
        </is>
      </c>
      <c r="H384" t="n">
        <v>8.137</v>
      </c>
      <c r="I384" t="inlineStr">
        <is>
          <t>NIS</t>
        </is>
      </c>
      <c r="L384" t="n">
        <v>107214357</v>
      </c>
      <c r="M384" s="6" t="n">
        <v>44941</v>
      </c>
      <c r="N384" t="n">
        <v>30</v>
      </c>
      <c r="O384" t="n">
        <v>1</v>
      </c>
      <c r="P384" t="n">
        <v>7</v>
      </c>
      <c r="Q384" t="n">
        <v>1</v>
      </c>
      <c r="R384" t="inlineStr">
        <is>
          <t>B</t>
        </is>
      </c>
      <c r="S384">
        <f>IFERROR(VLOOKUP(N384,Index!$A$1:$B$26,2,FALSE),"")</f>
        <v/>
      </c>
      <c r="T384">
        <f>AA384</f>
        <v/>
      </c>
      <c r="V384">
        <f>IFERROR(INDEX(DetailedFiche!Q:Q,MATCH(L384,DetailedFiche!J:J,0)),"")</f>
        <v/>
      </c>
      <c r="W384">
        <f>IFERROR(INDEX(DetailedFiche!R:R,MATCH(L384,DetailedFiche!J:J,0)),"")</f>
        <v/>
      </c>
      <c r="Y384">
        <f>IFERROR(IF(AND(INDEX('Initial Study'!K:K, MATCH(L384, 'Initial Study'!B:B, 0)+1)&lt;&gt;0,INDEX('Initial Study'!K:K, MATCH(L384, 'Initial Study'!B:B, 0)+1)&lt;&gt;""),INDEX('Initial Study'!K:K, MATCH(L384, 'Initial Study'!B:B, 0)+1),""),"")</f>
        <v/>
      </c>
      <c r="Z384">
        <f>IFERROR(IF(AND(INDEX('Initial Study'!K:K, MATCH(L384, 'Initial Study'!B:B, 0)+2)&lt;&gt;0,INDEX('Initial Study'!K:K, MATCH(L384, 'Initial Study'!B:B, 0)+2)&lt;&gt;"",NOT(ISNUMBER(INDEX('Initial Study'!K:K, MATCH(L384, 'Initial Study'!B:B, 0)+2)))),INDEX('Initial Study'!K:K, MATCH(L384, 'Initial Study'!B:B, 0)+2),"-"),"-")</f>
        <v/>
      </c>
      <c r="AA384">
        <f>IF(S384="RE", Y384 &amp; "BT/" &amp; IF(Z384 &lt;&gt; "-", Z384 &amp; "BT", ""), IF(OR(S384="LTDR", S384="LTSR"), Y384 &amp; "BL" &amp; IF(Z384 &lt;&gt; "-", "/" &amp; Z384 &amp; "BT", ""), IF(OR(S384="RTDR", S384="RTSR"), Y384 &amp; "BR" &amp; IF(Z384 &lt;&gt; "-", "/" &amp; Z384 &amp; "BT", ""), IF(Z384 &lt;&gt; "-", Y384 &amp; "BT/" &amp; Z384 &amp; "BT", Y384 &amp; "BT"))))</f>
        <v/>
      </c>
    </row>
    <row r="385">
      <c r="A385" t="n">
        <v>0</v>
      </c>
      <c r="B385" t="inlineStr">
        <is>
          <t>SR 1001</t>
        </is>
      </c>
      <c r="C385" t="n">
        <v>0</v>
      </c>
      <c r="E385" t="inlineStr">
        <is>
          <t>NC 218</t>
        </is>
      </c>
      <c r="F385" t="inlineStr">
        <is>
          <t>SR 1655</t>
        </is>
      </c>
      <c r="G385" t="inlineStr">
        <is>
          <t>SR 1001</t>
        </is>
      </c>
      <c r="H385" t="n">
        <v>8.137</v>
      </c>
      <c r="I385" t="inlineStr">
        <is>
          <t>NIS</t>
        </is>
      </c>
      <c r="L385" t="n">
        <v>105414167</v>
      </c>
      <c r="M385" s="6" t="n">
        <v>43154</v>
      </c>
      <c r="N385" t="n">
        <v>23</v>
      </c>
      <c r="O385" t="n">
        <v>1</v>
      </c>
      <c r="P385" t="n">
        <v>7</v>
      </c>
      <c r="Q385" t="n">
        <v>5</v>
      </c>
      <c r="R385" t="inlineStr">
        <is>
          <t>O</t>
        </is>
      </c>
      <c r="S385">
        <f>IFERROR(VLOOKUP(N385,Index!$A$1:$B$26,2,FALSE),"")</f>
        <v/>
      </c>
      <c r="T385">
        <f>AA385</f>
        <v/>
      </c>
      <c r="V385">
        <f>IFERROR(INDEX(DetailedFiche!Q:Q,MATCH(L385,DetailedFiche!J:J,0)),"")</f>
        <v/>
      </c>
      <c r="W385">
        <f>IFERROR(INDEX(DetailedFiche!R:R,MATCH(L385,DetailedFiche!J:J,0)),"")</f>
        <v/>
      </c>
      <c r="Y385">
        <f>IFERROR(IF(AND(INDEX('Initial Study'!K:K, MATCH(L385, 'Initial Study'!B:B, 0)+1)&lt;&gt;0,INDEX('Initial Study'!K:K, MATCH(L385, 'Initial Study'!B:B, 0)+1)&lt;&gt;""),INDEX('Initial Study'!K:K, MATCH(L385, 'Initial Study'!B:B, 0)+1),""),"")</f>
        <v/>
      </c>
      <c r="Z385">
        <f>IFERROR(IF(AND(INDEX('Initial Study'!K:K, MATCH(L385, 'Initial Study'!B:B, 0)+2)&lt;&gt;0,INDEX('Initial Study'!K:K, MATCH(L385, 'Initial Study'!B:B, 0)+2)&lt;&gt;"",NOT(ISNUMBER(INDEX('Initial Study'!K:K, MATCH(L385, 'Initial Study'!B:B, 0)+2)))),INDEX('Initial Study'!K:K, MATCH(L385, 'Initial Study'!B:B, 0)+2),"-"),"-")</f>
        <v/>
      </c>
      <c r="AA385">
        <f>IF(S385="RE", Y385 &amp; "BT/" &amp; IF(Z385 &lt;&gt; "-", Z385 &amp; "BT", ""), IF(OR(S385="LTDR", S385="LTSR"), Y385 &amp; "BL" &amp; IF(Z385 &lt;&gt; "-", "/" &amp; Z385 &amp; "BT", ""), IF(OR(S385="RTDR", S385="RTSR"), Y385 &amp; "BR" &amp; IF(Z385 &lt;&gt; "-", "/" &amp; Z385 &amp; "BT", ""), IF(Z385 &lt;&gt; "-", Y385 &amp; "BT/" &amp; Z385 &amp; "BT", Y385 &amp; "BT"))))</f>
        <v/>
      </c>
    </row>
    <row r="386">
      <c r="A386" t="n">
        <v>0</v>
      </c>
      <c r="B386" t="inlineStr">
        <is>
          <t>SR 1001</t>
        </is>
      </c>
      <c r="C386" t="n">
        <v>0</v>
      </c>
      <c r="E386" t="inlineStr">
        <is>
          <t>NC 218</t>
        </is>
      </c>
      <c r="F386" t="inlineStr">
        <is>
          <t>SR 1547</t>
        </is>
      </c>
      <c r="G386" t="inlineStr">
        <is>
          <t>SR 1001</t>
        </is>
      </c>
      <c r="H386" t="n">
        <v>8.137</v>
      </c>
      <c r="I386" t="inlineStr">
        <is>
          <t>NIS</t>
        </is>
      </c>
      <c r="L386" t="n">
        <v>107456725</v>
      </c>
      <c r="M386" s="6" t="n">
        <v>45181</v>
      </c>
      <c r="N386" t="n">
        <v>30</v>
      </c>
      <c r="O386" t="n">
        <v>1</v>
      </c>
      <c r="P386" t="n">
        <v>7</v>
      </c>
      <c r="Q386" t="n">
        <v>1</v>
      </c>
      <c r="R386" t="inlineStr">
        <is>
          <t>C</t>
        </is>
      </c>
      <c r="S386">
        <f>IFERROR(VLOOKUP(N386,Index!$A$1:$B$26,2,FALSE),"")</f>
        <v/>
      </c>
      <c r="T386">
        <f>AA386</f>
        <v/>
      </c>
      <c r="V386">
        <f>IFERROR(INDEX(DetailedFiche!Q:Q,MATCH(L386,DetailedFiche!J:J,0)),"")</f>
        <v/>
      </c>
      <c r="W386">
        <f>IFERROR(INDEX(DetailedFiche!R:R,MATCH(L386,DetailedFiche!J:J,0)),"")</f>
        <v/>
      </c>
      <c r="Y386">
        <f>IFERROR(IF(AND(INDEX('Initial Study'!K:K, MATCH(L386, 'Initial Study'!B:B, 0)+1)&lt;&gt;0,INDEX('Initial Study'!K:K, MATCH(L386, 'Initial Study'!B:B, 0)+1)&lt;&gt;""),INDEX('Initial Study'!K:K, MATCH(L386, 'Initial Study'!B:B, 0)+1),""),"")</f>
        <v/>
      </c>
      <c r="Z386">
        <f>IFERROR(IF(AND(INDEX('Initial Study'!K:K, MATCH(L386, 'Initial Study'!B:B, 0)+2)&lt;&gt;0,INDEX('Initial Study'!K:K, MATCH(L386, 'Initial Study'!B:B, 0)+2)&lt;&gt;"",NOT(ISNUMBER(INDEX('Initial Study'!K:K, MATCH(L386, 'Initial Study'!B:B, 0)+2)))),INDEX('Initial Study'!K:K, MATCH(L386, 'Initial Study'!B:B, 0)+2),"-"),"-")</f>
        <v/>
      </c>
      <c r="AA386">
        <f>IF(S386="RE", Y386 &amp; "BT/" &amp; IF(Z386 &lt;&gt; "-", Z386 &amp; "BT", ""), IF(OR(S386="LTDR", S386="LTSR"), Y386 &amp; "BL" &amp; IF(Z386 &lt;&gt; "-", "/" &amp; Z386 &amp; "BT", ""), IF(OR(S386="RTDR", S386="RTSR"), Y386 &amp; "BR" &amp; IF(Z386 &lt;&gt; "-", "/" &amp; Z386 &amp; "BT", ""), IF(Z386 &lt;&gt; "-", Y386 &amp; "BT/" &amp; Z386 &amp; "BT", Y386 &amp; "BT"))))</f>
        <v/>
      </c>
    </row>
    <row r="387">
      <c r="A387" t="n">
        <v>558</v>
      </c>
      <c r="B387" t="inlineStr">
        <is>
          <t>SR 1001</t>
        </is>
      </c>
      <c r="C387" t="n">
        <v>0.3</v>
      </c>
      <c r="D387" t="inlineStr">
        <is>
          <t>N</t>
        </is>
      </c>
      <c r="E387" t="inlineStr">
        <is>
          <t>NC 218</t>
        </is>
      </c>
      <c r="F387" t="inlineStr">
        <is>
          <t>SR 1547</t>
        </is>
      </c>
      <c r="G387" t="inlineStr">
        <is>
          <t>SR 1001</t>
        </is>
      </c>
      <c r="H387" t="n">
        <v>8.436999999999999</v>
      </c>
      <c r="I387" t="inlineStr">
        <is>
          <t>NIS</t>
        </is>
      </c>
      <c r="L387" t="n">
        <v>105838344</v>
      </c>
      <c r="M387" s="6" t="n">
        <v>43573</v>
      </c>
      <c r="N387" t="n">
        <v>17</v>
      </c>
      <c r="O387" t="n">
        <v>1</v>
      </c>
      <c r="P387" t="n">
        <v>0</v>
      </c>
      <c r="Q387" t="n">
        <v>5</v>
      </c>
      <c r="R387" t="inlineStr">
        <is>
          <t>O</t>
        </is>
      </c>
      <c r="S387">
        <f>IFERROR(VLOOKUP(N387,Index!$A$1:$B$26,2,FALSE),"")</f>
        <v/>
      </c>
      <c r="T387">
        <f>AA387</f>
        <v/>
      </c>
      <c r="V387">
        <f>IFERROR(INDEX(DetailedFiche!Q:Q,MATCH(L387,DetailedFiche!J:J,0)),"")</f>
        <v/>
      </c>
      <c r="W387">
        <f>IFERROR(INDEX(DetailedFiche!R:R,MATCH(L387,DetailedFiche!J:J,0)),"")</f>
        <v/>
      </c>
      <c r="Y387">
        <f>IFERROR(IF(AND(INDEX('Initial Study'!K:K, MATCH(L387, 'Initial Study'!B:B, 0)+1)&lt;&gt;0,INDEX('Initial Study'!K:K, MATCH(L387, 'Initial Study'!B:B, 0)+1)&lt;&gt;""),INDEX('Initial Study'!K:K, MATCH(L387, 'Initial Study'!B:B, 0)+1),""),"")</f>
        <v/>
      </c>
      <c r="Z387">
        <f>IFERROR(IF(AND(INDEX('Initial Study'!K:K, MATCH(L387, 'Initial Study'!B:B, 0)+2)&lt;&gt;0,INDEX('Initial Study'!K:K, MATCH(L387, 'Initial Study'!B:B, 0)+2)&lt;&gt;"",NOT(ISNUMBER(INDEX('Initial Study'!K:K, MATCH(L387, 'Initial Study'!B:B, 0)+2)))),INDEX('Initial Study'!K:K, MATCH(L387, 'Initial Study'!B:B, 0)+2),"-"),"-")</f>
        <v/>
      </c>
      <c r="AA387">
        <f>IF(S387="RE", Y387 &amp; "BT/" &amp; IF(Z387 &lt;&gt; "-", Z387 &amp; "BT", ""), IF(OR(S387="LTDR", S387="LTSR"), Y387 &amp; "BL" &amp; IF(Z387 &lt;&gt; "-", "/" &amp; Z387 &amp; "BT", ""), IF(OR(S387="RTDR", S387="RTSR"), Y387 &amp; "BR" &amp; IF(Z387 &lt;&gt; "-", "/" &amp; Z387 &amp; "BT", ""), IF(Z387 &lt;&gt; "-", Y387 &amp; "BT/" &amp; Z387 &amp; "BT", Y387 &amp; "BT"))))</f>
        <v/>
      </c>
    </row>
    <row r="388">
      <c r="A388" t="n">
        <v>0</v>
      </c>
      <c r="B388" t="inlineStr">
        <is>
          <t>SR 1001</t>
        </is>
      </c>
      <c r="C388" t="n">
        <v>0</v>
      </c>
      <c r="E388" t="inlineStr">
        <is>
          <t>SR 1639</t>
        </is>
      </c>
      <c r="F388" t="inlineStr">
        <is>
          <t>NC 218</t>
        </is>
      </c>
      <c r="G388" t="inlineStr">
        <is>
          <t>SR 1001</t>
        </is>
      </c>
      <c r="H388" t="n">
        <v>8.536</v>
      </c>
      <c r="I388" t="inlineStr">
        <is>
          <t>NIS</t>
        </is>
      </c>
      <c r="L388" t="n">
        <v>108145851</v>
      </c>
      <c r="M388" s="6" t="n">
        <v>45822</v>
      </c>
      <c r="N388" t="n">
        <v>17</v>
      </c>
      <c r="O388" t="n">
        <v>1</v>
      </c>
      <c r="P388" t="n">
        <v>0</v>
      </c>
      <c r="Q388" t="n">
        <v>5</v>
      </c>
      <c r="R388" t="inlineStr">
        <is>
          <t>O</t>
        </is>
      </c>
      <c r="S388">
        <f>IFERROR(VLOOKUP(N388,Index!$A$1:$B$26,2,FALSE),"")</f>
        <v/>
      </c>
      <c r="T388">
        <f>AA388</f>
        <v/>
      </c>
      <c r="V388">
        <f>IFERROR(INDEX(DetailedFiche!Q:Q,MATCH(L388,DetailedFiche!J:J,0)),"")</f>
        <v/>
      </c>
      <c r="W388">
        <f>IFERROR(INDEX(DetailedFiche!R:R,MATCH(L388,DetailedFiche!J:J,0)),"")</f>
        <v/>
      </c>
      <c r="Y388">
        <f>IFERROR(IF(AND(INDEX('Initial Study'!K:K, MATCH(L388, 'Initial Study'!B:B, 0)+1)&lt;&gt;0,INDEX('Initial Study'!K:K, MATCH(L388, 'Initial Study'!B:B, 0)+1)&lt;&gt;""),INDEX('Initial Study'!K:K, MATCH(L388, 'Initial Study'!B:B, 0)+1),""),"")</f>
        <v/>
      </c>
      <c r="Z388">
        <f>IFERROR(IF(AND(INDEX('Initial Study'!K:K, MATCH(L388, 'Initial Study'!B:B, 0)+2)&lt;&gt;0,INDEX('Initial Study'!K:K, MATCH(L388, 'Initial Study'!B:B, 0)+2)&lt;&gt;"",NOT(ISNUMBER(INDEX('Initial Study'!K:K, MATCH(L388, 'Initial Study'!B:B, 0)+2)))),INDEX('Initial Study'!K:K, MATCH(L388, 'Initial Study'!B:B, 0)+2),"-"),"-")</f>
        <v/>
      </c>
      <c r="AA388">
        <f>IF(S388="RE", Y388 &amp; "BT/" &amp; IF(Z388 &lt;&gt; "-", Z388 &amp; "BT", ""), IF(OR(S388="LTDR", S388="LTSR"), Y388 &amp; "BL" &amp; IF(Z388 &lt;&gt; "-", "/" &amp; Z388 &amp; "BT", ""), IF(OR(S388="RTDR", S388="RTSR"), Y388 &amp; "BR" &amp; IF(Z388 &lt;&gt; "-", "/" &amp; Z388 &amp; "BT", ""), IF(Z388 &lt;&gt; "-", Y388 &amp; "BT/" &amp; Z388 &amp; "BT", Y388 &amp; "BT"))))</f>
        <v/>
      </c>
    </row>
    <row r="389">
      <c r="A389" t="n">
        <v>0</v>
      </c>
      <c r="B389" t="inlineStr">
        <is>
          <t>SR 1001</t>
        </is>
      </c>
      <c r="C389" t="n">
        <v>0</v>
      </c>
      <c r="E389" t="inlineStr">
        <is>
          <t>SR 1639</t>
        </is>
      </c>
      <c r="F389" t="inlineStr">
        <is>
          <t>NC 218</t>
        </is>
      </c>
      <c r="G389" t="inlineStr">
        <is>
          <t>SR 1001</t>
        </is>
      </c>
      <c r="H389" t="n">
        <v>8.536</v>
      </c>
      <c r="I389" t="inlineStr">
        <is>
          <t>NIS</t>
        </is>
      </c>
      <c r="L389" t="n">
        <v>107852234</v>
      </c>
      <c r="M389" s="6" t="n">
        <v>45549</v>
      </c>
      <c r="N389" t="n">
        <v>14</v>
      </c>
      <c r="O389" t="n">
        <v>1</v>
      </c>
      <c r="P389" t="n">
        <v>0</v>
      </c>
      <c r="Q389" t="n">
        <v>5</v>
      </c>
      <c r="R389" t="inlineStr">
        <is>
          <t>A</t>
        </is>
      </c>
      <c r="S389">
        <f>IFERROR(VLOOKUP(N389,Index!$A$1:$B$26,2,FALSE),"")</f>
        <v/>
      </c>
      <c r="T389">
        <f>AA389</f>
        <v/>
      </c>
      <c r="V389">
        <f>IFERROR(INDEX(DetailedFiche!Q:Q,MATCH(L389,DetailedFiche!J:J,0)),"")</f>
        <v/>
      </c>
      <c r="W389">
        <f>IFERROR(INDEX(DetailedFiche!R:R,MATCH(L389,DetailedFiche!J:J,0)),"")</f>
        <v/>
      </c>
      <c r="Y389">
        <f>IFERROR(IF(AND(INDEX('Initial Study'!K:K, MATCH(L389, 'Initial Study'!B:B, 0)+1)&lt;&gt;0,INDEX('Initial Study'!K:K, MATCH(L389, 'Initial Study'!B:B, 0)+1)&lt;&gt;""),INDEX('Initial Study'!K:K, MATCH(L389, 'Initial Study'!B:B, 0)+1),""),"")</f>
        <v/>
      </c>
      <c r="Z389">
        <f>IFERROR(IF(AND(INDEX('Initial Study'!K:K, MATCH(L389, 'Initial Study'!B:B, 0)+2)&lt;&gt;0,INDEX('Initial Study'!K:K, MATCH(L389, 'Initial Study'!B:B, 0)+2)&lt;&gt;"",NOT(ISNUMBER(INDEX('Initial Study'!K:K, MATCH(L389, 'Initial Study'!B:B, 0)+2)))),INDEX('Initial Study'!K:K, MATCH(L389, 'Initial Study'!B:B, 0)+2),"-"),"-")</f>
        <v/>
      </c>
      <c r="AA389">
        <f>IF(S389="RE", Y389 &amp; "BT/" &amp; IF(Z389 &lt;&gt; "-", Z389 &amp; "BT", ""), IF(OR(S389="LTDR", S389="LTSR"), Y389 &amp; "BL" &amp; IF(Z389 &lt;&gt; "-", "/" &amp; Z389 &amp; "BT", ""), IF(OR(S389="RTDR", S389="RTSR"), Y389 &amp; "BR" &amp; IF(Z389 &lt;&gt; "-", "/" &amp; Z389 &amp; "BT", ""), IF(Z389 &lt;&gt; "-", Y389 &amp; "BT/" &amp; Z389 &amp; "BT", Y389 &amp; "BT"))))</f>
        <v/>
      </c>
    </row>
    <row r="390">
      <c r="A390" t="n">
        <v>637</v>
      </c>
      <c r="B390" t="inlineStr">
        <is>
          <t>SR 1001</t>
        </is>
      </c>
      <c r="C390" t="n">
        <v>0.1</v>
      </c>
      <c r="D390" t="inlineStr">
        <is>
          <t>S</t>
        </is>
      </c>
      <c r="E390" t="inlineStr">
        <is>
          <t>SR 1663</t>
        </is>
      </c>
      <c r="F390" t="inlineStr">
        <is>
          <t>SR 1639</t>
        </is>
      </c>
      <c r="G390" t="inlineStr">
        <is>
          <t>SR 1001</t>
        </is>
      </c>
      <c r="H390" t="n">
        <v>8.548999999999999</v>
      </c>
      <c r="I390" t="inlineStr">
        <is>
          <t>NIS</t>
        </is>
      </c>
      <c r="L390" t="n">
        <v>106934042</v>
      </c>
      <c r="M390" s="6" t="n">
        <v>44676</v>
      </c>
      <c r="N390" t="n">
        <v>5</v>
      </c>
      <c r="O390" t="n">
        <v>1</v>
      </c>
      <c r="P390" t="n">
        <v>0</v>
      </c>
      <c r="Q390" t="n">
        <v>1</v>
      </c>
      <c r="R390" t="inlineStr">
        <is>
          <t>C</t>
        </is>
      </c>
      <c r="S390">
        <f>IFERROR(VLOOKUP(N390,Index!$A$1:$B$26,2,FALSE),"")</f>
        <v/>
      </c>
      <c r="T390">
        <f>AA390</f>
        <v/>
      </c>
      <c r="V390">
        <f>IFERROR(INDEX(DetailedFiche!Q:Q,MATCH(L390,DetailedFiche!J:J,0)),"")</f>
        <v/>
      </c>
      <c r="W390">
        <f>IFERROR(INDEX(DetailedFiche!R:R,MATCH(L390,DetailedFiche!J:J,0)),"")</f>
        <v/>
      </c>
      <c r="Y390">
        <f>IFERROR(IF(AND(INDEX('Initial Study'!K:K, MATCH(L390, 'Initial Study'!B:B, 0)+1)&lt;&gt;0,INDEX('Initial Study'!K:K, MATCH(L390, 'Initial Study'!B:B, 0)+1)&lt;&gt;""),INDEX('Initial Study'!K:K, MATCH(L390, 'Initial Study'!B:B, 0)+1),""),"")</f>
        <v/>
      </c>
      <c r="Z390">
        <f>IFERROR(IF(AND(INDEX('Initial Study'!K:K, MATCH(L390, 'Initial Study'!B:B, 0)+2)&lt;&gt;0,INDEX('Initial Study'!K:K, MATCH(L390, 'Initial Study'!B:B, 0)+2)&lt;&gt;"",NOT(ISNUMBER(INDEX('Initial Study'!K:K, MATCH(L390, 'Initial Study'!B:B, 0)+2)))),INDEX('Initial Study'!K:K, MATCH(L390, 'Initial Study'!B:B, 0)+2),"-"),"-")</f>
        <v/>
      </c>
      <c r="AA390">
        <f>IF(S390="RE", Y390 &amp; "BT/" &amp; IF(Z390 &lt;&gt; "-", Z390 &amp; "BT", ""), IF(OR(S390="LTDR", S390="LTSR"), Y390 &amp; "BL" &amp; IF(Z390 &lt;&gt; "-", "/" &amp; Z390 &amp; "BT", ""), IF(OR(S390="RTDR", S390="RTSR"), Y390 &amp; "BR" &amp; IF(Z390 &lt;&gt; "-", "/" &amp; Z390 &amp; "BT", ""), IF(Z390 &lt;&gt; "-", Y390 &amp; "BT/" &amp; Z390 &amp; "BT", Y390 &amp; "BT"))))</f>
        <v/>
      </c>
    </row>
    <row r="391">
      <c r="A391" t="n">
        <v>650</v>
      </c>
      <c r="B391" t="inlineStr">
        <is>
          <t>LOVE MILL</t>
        </is>
      </c>
      <c r="C391" t="n">
        <v>0.026</v>
      </c>
      <c r="D391" t="inlineStr">
        <is>
          <t>S</t>
        </is>
      </c>
      <c r="E391" t="inlineStr">
        <is>
          <t>GREEN</t>
        </is>
      </c>
      <c r="F391" t="inlineStr">
        <is>
          <t>SANTA CLAUS</t>
        </is>
      </c>
      <c r="G391" t="inlineStr">
        <is>
          <t>SR 1001</t>
        </is>
      </c>
      <c r="H391" t="n">
        <v>8.622999999999999</v>
      </c>
      <c r="I391" t="inlineStr">
        <is>
          <t>NIS</t>
        </is>
      </c>
      <c r="L391" t="n">
        <v>106457925</v>
      </c>
      <c r="M391" s="6" t="n">
        <v>44203</v>
      </c>
      <c r="N391" t="n">
        <v>5</v>
      </c>
      <c r="O391" t="n">
        <v>1</v>
      </c>
      <c r="P391" t="n">
        <v>0</v>
      </c>
      <c r="Q391" t="n">
        <v>1</v>
      </c>
      <c r="R391" t="inlineStr">
        <is>
          <t>C</t>
        </is>
      </c>
      <c r="S391">
        <f>IFERROR(VLOOKUP(N391,Index!$A$1:$B$26,2,FALSE),"")</f>
        <v/>
      </c>
      <c r="T391">
        <f>AA391</f>
        <v/>
      </c>
      <c r="V391">
        <f>IFERROR(INDEX(DetailedFiche!Q:Q,MATCH(L391,DetailedFiche!J:J,0)),"")</f>
        <v/>
      </c>
      <c r="W391">
        <f>IFERROR(INDEX(DetailedFiche!R:R,MATCH(L391,DetailedFiche!J:J,0)),"")</f>
        <v/>
      </c>
      <c r="Y391">
        <f>IFERROR(IF(AND(INDEX('Initial Study'!K:K, MATCH(L391, 'Initial Study'!B:B, 0)+1)&lt;&gt;0,INDEX('Initial Study'!K:K, MATCH(L391, 'Initial Study'!B:B, 0)+1)&lt;&gt;""),INDEX('Initial Study'!K:K, MATCH(L391, 'Initial Study'!B:B, 0)+1),""),"")</f>
        <v/>
      </c>
      <c r="Z391">
        <f>IFERROR(IF(AND(INDEX('Initial Study'!K:K, MATCH(L391, 'Initial Study'!B:B, 0)+2)&lt;&gt;0,INDEX('Initial Study'!K:K, MATCH(L391, 'Initial Study'!B:B, 0)+2)&lt;&gt;"",NOT(ISNUMBER(INDEX('Initial Study'!K:K, MATCH(L391, 'Initial Study'!B:B, 0)+2)))),INDEX('Initial Study'!K:K, MATCH(L391, 'Initial Study'!B:B, 0)+2),"-"),"-")</f>
        <v/>
      </c>
      <c r="AA391">
        <f>IF(S391="RE", Y391 &amp; "BT/" &amp; IF(Z391 &lt;&gt; "-", Z391 &amp; "BT", ""), IF(OR(S391="LTDR", S391="LTSR"), Y391 &amp; "BL" &amp; IF(Z391 &lt;&gt; "-", "/" &amp; Z391 &amp; "BT", ""), IF(OR(S391="RTDR", S391="RTSR"), Y391 &amp; "BR" &amp; IF(Z391 &lt;&gt; "-", "/" &amp; Z391 &amp; "BT", ""), IF(Z391 &lt;&gt; "-", Y391 &amp; "BT/" &amp; Z391 &amp; "BT", Y391 &amp; "BT"))))</f>
        <v/>
      </c>
    </row>
    <row r="392">
      <c r="A392" t="n">
        <v>650</v>
      </c>
      <c r="B392" t="inlineStr">
        <is>
          <t>SR 1001</t>
        </is>
      </c>
      <c r="C392" t="n">
        <v>0.5</v>
      </c>
      <c r="D392" t="inlineStr">
        <is>
          <t>N</t>
        </is>
      </c>
      <c r="E392" t="inlineStr">
        <is>
          <t>NC 218</t>
        </is>
      </c>
      <c r="F392" t="inlineStr">
        <is>
          <t>SR 1639</t>
        </is>
      </c>
      <c r="G392" t="inlineStr">
        <is>
          <t>SR 1001</t>
        </is>
      </c>
      <c r="H392" t="n">
        <v>8.637</v>
      </c>
      <c r="I392" t="inlineStr">
        <is>
          <t>NIS</t>
        </is>
      </c>
      <c r="L392" t="n">
        <v>104740509</v>
      </c>
      <c r="M392" s="6" t="n">
        <v>42499</v>
      </c>
      <c r="N392" t="n">
        <v>1</v>
      </c>
      <c r="O392" t="n">
        <v>1</v>
      </c>
      <c r="P392" t="n">
        <v>0</v>
      </c>
      <c r="Q392" t="n">
        <v>1</v>
      </c>
      <c r="R392" t="inlineStr">
        <is>
          <t>O</t>
        </is>
      </c>
      <c r="S392">
        <f>IFERROR(VLOOKUP(N392,Index!$A$1:$B$26,2,FALSE),"")</f>
        <v/>
      </c>
      <c r="T392">
        <f>AA392</f>
        <v/>
      </c>
      <c r="V392">
        <f>IFERROR(INDEX(DetailedFiche!Q:Q,MATCH(L392,DetailedFiche!J:J,0)),"")</f>
        <v/>
      </c>
      <c r="W392">
        <f>IFERROR(INDEX(DetailedFiche!R:R,MATCH(L392,DetailedFiche!J:J,0)),"")</f>
        <v/>
      </c>
      <c r="Y392">
        <f>IFERROR(IF(AND(INDEX('Initial Study'!K:K, MATCH(L392, 'Initial Study'!B:B, 0)+1)&lt;&gt;0,INDEX('Initial Study'!K:K, MATCH(L392, 'Initial Study'!B:B, 0)+1)&lt;&gt;""),INDEX('Initial Study'!K:K, MATCH(L392, 'Initial Study'!B:B, 0)+1),""),"")</f>
        <v/>
      </c>
      <c r="Z392">
        <f>IFERROR(IF(AND(INDEX('Initial Study'!K:K, MATCH(L392, 'Initial Study'!B:B, 0)+2)&lt;&gt;0,INDEX('Initial Study'!K:K, MATCH(L392, 'Initial Study'!B:B, 0)+2)&lt;&gt;"",NOT(ISNUMBER(INDEX('Initial Study'!K:K, MATCH(L392, 'Initial Study'!B:B, 0)+2)))),INDEX('Initial Study'!K:K, MATCH(L392, 'Initial Study'!B:B, 0)+2),"-"),"-")</f>
        <v/>
      </c>
      <c r="AA392">
        <f>IF(S392="RE", Y392 &amp; "BT/" &amp; IF(Z392 &lt;&gt; "-", Z392 &amp; "BT", ""), IF(OR(S392="LTDR", S392="LTSR"), Y392 &amp; "BL" &amp; IF(Z392 &lt;&gt; "-", "/" &amp; Z392 &amp; "BT", ""), IF(OR(S392="RTDR", S392="RTSR"), Y392 &amp; "BR" &amp; IF(Z392 &lt;&gt; "-", "/" &amp; Z392 &amp; "BT", ""), IF(Z392 &lt;&gt; "-", Y392 &amp; "BT/" &amp; Z392 &amp; "BT", Y392 &amp; "BT"))))</f>
        <v/>
      </c>
    </row>
    <row r="393">
      <c r="A393" t="n">
        <v>0</v>
      </c>
      <c r="B393" t="inlineStr">
        <is>
          <t>SR 1001</t>
        </is>
      </c>
      <c r="C393" t="n">
        <v>0.008999999999999999</v>
      </c>
      <c r="D393" t="inlineStr">
        <is>
          <t>E</t>
        </is>
      </c>
      <c r="E393" t="inlineStr">
        <is>
          <t>SR 1663</t>
        </is>
      </c>
      <c r="F393" t="inlineStr">
        <is>
          <t>NC 218</t>
        </is>
      </c>
      <c r="G393" t="inlineStr">
        <is>
          <t>SR 1001</t>
        </is>
      </c>
      <c r="H393" t="n">
        <v>8.657999999999999</v>
      </c>
      <c r="I393" t="inlineStr">
        <is>
          <t>NIS</t>
        </is>
      </c>
      <c r="L393" t="n">
        <v>107330783</v>
      </c>
      <c r="M393" s="6" t="n">
        <v>45052</v>
      </c>
      <c r="N393" t="n">
        <v>17</v>
      </c>
      <c r="O393" t="n">
        <v>1</v>
      </c>
      <c r="P393" t="n">
        <v>0</v>
      </c>
      <c r="Q393" t="n">
        <v>5</v>
      </c>
      <c r="R393" t="inlineStr">
        <is>
          <t>O</t>
        </is>
      </c>
      <c r="S393">
        <f>IFERROR(VLOOKUP(N393,Index!$A$1:$B$26,2,FALSE),"")</f>
        <v/>
      </c>
      <c r="T393">
        <f>AA393</f>
        <v/>
      </c>
      <c r="V393">
        <f>IFERROR(INDEX(DetailedFiche!Q:Q,MATCH(L393,DetailedFiche!J:J,0)),"")</f>
        <v/>
      </c>
      <c r="W393">
        <f>IFERROR(INDEX(DetailedFiche!R:R,MATCH(L393,DetailedFiche!J:J,0)),"")</f>
        <v/>
      </c>
      <c r="Y393">
        <f>IFERROR(IF(AND(INDEX('Initial Study'!K:K, MATCH(L393, 'Initial Study'!B:B, 0)+1)&lt;&gt;0,INDEX('Initial Study'!K:K, MATCH(L393, 'Initial Study'!B:B, 0)+1)&lt;&gt;""),INDEX('Initial Study'!K:K, MATCH(L393, 'Initial Study'!B:B, 0)+1),""),"")</f>
        <v/>
      </c>
      <c r="Z393">
        <f>IFERROR(IF(AND(INDEX('Initial Study'!K:K, MATCH(L393, 'Initial Study'!B:B, 0)+2)&lt;&gt;0,INDEX('Initial Study'!K:K, MATCH(L393, 'Initial Study'!B:B, 0)+2)&lt;&gt;"",NOT(ISNUMBER(INDEX('Initial Study'!K:K, MATCH(L393, 'Initial Study'!B:B, 0)+2)))),INDEX('Initial Study'!K:K, MATCH(L393, 'Initial Study'!B:B, 0)+2),"-"),"-")</f>
        <v/>
      </c>
      <c r="AA393">
        <f>IF(S393="RE", Y393 &amp; "BT/" &amp; IF(Z393 &lt;&gt; "-", Z393 &amp; "BT", ""), IF(OR(S393="LTDR", S393="LTSR"), Y393 &amp; "BL" &amp; IF(Z393 &lt;&gt; "-", "/" &amp; Z393 &amp; "BT", ""), IF(OR(S393="RTDR", S393="RTSR"), Y393 &amp; "BR" &amp; IF(Z393 &lt;&gt; "-", "/" &amp; Z393 &amp; "BT", ""), IF(Z393 &lt;&gt; "-", Y393 &amp; "BT/" &amp; Z393 &amp; "BT", Y393 &amp; "BT"))))</f>
        <v/>
      </c>
    </row>
    <row r="394">
      <c r="A394" t="n">
        <v>650</v>
      </c>
      <c r="B394" t="inlineStr">
        <is>
          <t>SR 1001</t>
        </is>
      </c>
      <c r="C394" t="n">
        <v>0.1</v>
      </c>
      <c r="D394" t="inlineStr">
        <is>
          <t>N</t>
        </is>
      </c>
      <c r="E394" t="inlineStr">
        <is>
          <t>SR 1663</t>
        </is>
      </c>
      <c r="F394" t="inlineStr">
        <is>
          <t>SR 1664</t>
        </is>
      </c>
      <c r="G394" t="inlineStr">
        <is>
          <t>SR 1001</t>
        </is>
      </c>
      <c r="H394" t="n">
        <v>8.749000000000001</v>
      </c>
      <c r="I394" t="inlineStr">
        <is>
          <t>NIS</t>
        </is>
      </c>
      <c r="L394" t="n">
        <v>105964117</v>
      </c>
      <c r="M394" s="6" t="n">
        <v>43690</v>
      </c>
      <c r="N394" t="n">
        <v>19</v>
      </c>
      <c r="O394" t="n">
        <v>2</v>
      </c>
      <c r="P394" t="n">
        <v>0</v>
      </c>
      <c r="Q394" t="n">
        <v>1</v>
      </c>
      <c r="R394" t="inlineStr">
        <is>
          <t>O</t>
        </is>
      </c>
      <c r="S394">
        <f>IFERROR(VLOOKUP(N394,Index!$A$1:$B$26,2,FALSE),"")</f>
        <v/>
      </c>
      <c r="T394">
        <f>AA394</f>
        <v/>
      </c>
      <c r="V394">
        <f>IFERROR(INDEX(DetailedFiche!Q:Q,MATCH(L394,DetailedFiche!J:J,0)),"")</f>
        <v/>
      </c>
      <c r="W394">
        <f>IFERROR(INDEX(DetailedFiche!R:R,MATCH(L394,DetailedFiche!J:J,0)),"")</f>
        <v/>
      </c>
      <c r="Y394">
        <f>IFERROR(IF(AND(INDEX('Initial Study'!K:K, MATCH(L394, 'Initial Study'!B:B, 0)+1)&lt;&gt;0,INDEX('Initial Study'!K:K, MATCH(L394, 'Initial Study'!B:B, 0)+1)&lt;&gt;""),INDEX('Initial Study'!K:K, MATCH(L394, 'Initial Study'!B:B, 0)+1),""),"")</f>
        <v/>
      </c>
      <c r="Z394">
        <f>IFERROR(IF(AND(INDEX('Initial Study'!K:K, MATCH(L394, 'Initial Study'!B:B, 0)+2)&lt;&gt;0,INDEX('Initial Study'!K:K, MATCH(L394, 'Initial Study'!B:B, 0)+2)&lt;&gt;"",NOT(ISNUMBER(INDEX('Initial Study'!K:K, MATCH(L394, 'Initial Study'!B:B, 0)+2)))),INDEX('Initial Study'!K:K, MATCH(L394, 'Initial Study'!B:B, 0)+2),"-"),"-")</f>
        <v/>
      </c>
      <c r="AA394">
        <f>IF(S394="RE", Y394 &amp; "BT/" &amp; IF(Z394 &lt;&gt; "-", Z394 &amp; "BT", ""), IF(OR(S394="LTDR", S394="LTSR"), Y394 &amp; "BL" &amp; IF(Z394 &lt;&gt; "-", "/" &amp; Z394 &amp; "BT", ""), IF(OR(S394="RTDR", S394="RTSR"), Y394 &amp; "BR" &amp; IF(Z394 &lt;&gt; "-", "/" &amp; Z394 &amp; "BT", ""), IF(Z394 &lt;&gt; "-", Y394 &amp; "BT/" &amp; Z394 &amp; "BT", Y394 &amp; "BT"))))</f>
        <v/>
      </c>
    </row>
    <row r="395">
      <c r="A395" t="n">
        <v>0</v>
      </c>
      <c r="B395" t="inlineStr">
        <is>
          <t>SR 1001</t>
        </is>
      </c>
      <c r="C395" t="n">
        <v>0.8</v>
      </c>
      <c r="D395" t="inlineStr">
        <is>
          <t>S</t>
        </is>
      </c>
      <c r="E395" t="inlineStr">
        <is>
          <t>SR 1664</t>
        </is>
      </c>
      <c r="F395" t="inlineStr">
        <is>
          <t>SR 1663</t>
        </is>
      </c>
      <c r="G395" t="inlineStr">
        <is>
          <t>SR 1001</t>
        </is>
      </c>
      <c r="H395" t="n">
        <v>8.845000000000001</v>
      </c>
      <c r="I395" t="inlineStr">
        <is>
          <t>NIS</t>
        </is>
      </c>
      <c r="L395" t="n">
        <v>106283239</v>
      </c>
      <c r="M395" s="6" t="n">
        <v>44033</v>
      </c>
      <c r="N395" t="n">
        <v>29</v>
      </c>
      <c r="O395" t="n">
        <v>1</v>
      </c>
      <c r="P395" t="n">
        <v>0</v>
      </c>
      <c r="Q395" t="n">
        <v>1</v>
      </c>
      <c r="R395" t="inlineStr">
        <is>
          <t>O</t>
        </is>
      </c>
      <c r="S395">
        <f>IFERROR(VLOOKUP(N395,Index!$A$1:$B$26,2,FALSE),"")</f>
        <v/>
      </c>
      <c r="T395">
        <f>AA395</f>
        <v/>
      </c>
      <c r="V395">
        <f>IFERROR(INDEX(DetailedFiche!Q:Q,MATCH(L395,DetailedFiche!J:J,0)),"")</f>
        <v/>
      </c>
      <c r="W395">
        <f>IFERROR(INDEX(DetailedFiche!R:R,MATCH(L395,DetailedFiche!J:J,0)),"")</f>
        <v/>
      </c>
      <c r="Y395">
        <f>IFERROR(IF(AND(INDEX('Initial Study'!K:K, MATCH(L395, 'Initial Study'!B:B, 0)+1)&lt;&gt;0,INDEX('Initial Study'!K:K, MATCH(L395, 'Initial Study'!B:B, 0)+1)&lt;&gt;""),INDEX('Initial Study'!K:K, MATCH(L395, 'Initial Study'!B:B, 0)+1),""),"")</f>
        <v/>
      </c>
      <c r="Z395">
        <f>IFERROR(IF(AND(INDEX('Initial Study'!K:K, MATCH(L395, 'Initial Study'!B:B, 0)+2)&lt;&gt;0,INDEX('Initial Study'!K:K, MATCH(L395, 'Initial Study'!B:B, 0)+2)&lt;&gt;"",NOT(ISNUMBER(INDEX('Initial Study'!K:K, MATCH(L395, 'Initial Study'!B:B, 0)+2)))),INDEX('Initial Study'!K:K, MATCH(L395, 'Initial Study'!B:B, 0)+2),"-"),"-")</f>
        <v/>
      </c>
      <c r="AA395">
        <f>IF(S395="RE", Y395 &amp; "BT/" &amp; IF(Z395 &lt;&gt; "-", Z395 &amp; "BT", ""), IF(OR(S395="LTDR", S395="LTSR"), Y395 &amp; "BL" &amp; IF(Z395 &lt;&gt; "-", "/" &amp; Z395 &amp; "BT", ""), IF(OR(S395="RTDR", S395="RTSR"), Y395 &amp; "BR" &amp; IF(Z395 &lt;&gt; "-", "/" &amp; Z395 &amp; "BT", ""), IF(Z395 &lt;&gt; "-", Y395 &amp; "BT/" &amp; Z395 &amp; "BT", Y395 &amp; "BT"))))</f>
        <v/>
      </c>
    </row>
    <row r="396">
      <c r="A396" t="n">
        <v>0</v>
      </c>
      <c r="B396" t="inlineStr">
        <is>
          <t>SR 1001</t>
        </is>
      </c>
      <c r="C396" t="n">
        <v>0.75</v>
      </c>
      <c r="D396" t="inlineStr">
        <is>
          <t>N</t>
        </is>
      </c>
      <c r="E396" t="inlineStr">
        <is>
          <t>NC 218</t>
        </is>
      </c>
      <c r="F396" t="inlineStr">
        <is>
          <t>SANTA CLAUS</t>
        </is>
      </c>
      <c r="G396" t="inlineStr">
        <is>
          <t>SR 1001</t>
        </is>
      </c>
      <c r="H396" t="n">
        <v>8.887</v>
      </c>
      <c r="I396" t="inlineStr">
        <is>
          <t>NIS</t>
        </is>
      </c>
      <c r="L396" t="n">
        <v>105604627</v>
      </c>
      <c r="M396" s="6" t="n">
        <v>43359</v>
      </c>
      <c r="N396" t="n">
        <v>18</v>
      </c>
      <c r="O396" t="n">
        <v>2</v>
      </c>
      <c r="P396" t="n">
        <v>0</v>
      </c>
      <c r="Q396" t="n">
        <v>5</v>
      </c>
      <c r="R396" t="inlineStr">
        <is>
          <t>O</t>
        </is>
      </c>
      <c r="S396">
        <f>IFERROR(VLOOKUP(N396,Index!$A$1:$B$26,2,FALSE),"")</f>
        <v/>
      </c>
      <c r="T396">
        <f>AA396</f>
        <v/>
      </c>
      <c r="V396">
        <f>IFERROR(INDEX(DetailedFiche!Q:Q,MATCH(L396,DetailedFiche!J:J,0)),"")</f>
        <v/>
      </c>
      <c r="W396">
        <f>IFERROR(INDEX(DetailedFiche!R:R,MATCH(L396,DetailedFiche!J:J,0)),"")</f>
        <v/>
      </c>
      <c r="Y396">
        <f>IFERROR(IF(AND(INDEX('Initial Study'!K:K, MATCH(L396, 'Initial Study'!B:B, 0)+1)&lt;&gt;0,INDEX('Initial Study'!K:K, MATCH(L396, 'Initial Study'!B:B, 0)+1)&lt;&gt;""),INDEX('Initial Study'!K:K, MATCH(L396, 'Initial Study'!B:B, 0)+1),""),"")</f>
        <v/>
      </c>
      <c r="Z396">
        <f>IFERROR(IF(AND(INDEX('Initial Study'!K:K, MATCH(L396, 'Initial Study'!B:B, 0)+2)&lt;&gt;0,INDEX('Initial Study'!K:K, MATCH(L396, 'Initial Study'!B:B, 0)+2)&lt;&gt;"",NOT(ISNUMBER(INDEX('Initial Study'!K:K, MATCH(L396, 'Initial Study'!B:B, 0)+2)))),INDEX('Initial Study'!K:K, MATCH(L396, 'Initial Study'!B:B, 0)+2),"-"),"-")</f>
        <v/>
      </c>
      <c r="AA396">
        <f>IF(S396="RE", Y396 &amp; "BT/" &amp; IF(Z396 &lt;&gt; "-", Z396 &amp; "BT", ""), IF(OR(S396="LTDR", S396="LTSR"), Y396 &amp; "BL" &amp; IF(Z396 &lt;&gt; "-", "/" &amp; Z396 &amp; "BT", ""), IF(OR(S396="RTDR", S396="RTSR"), Y396 &amp; "BR" &amp; IF(Z396 &lt;&gt; "-", "/" &amp; Z396 &amp; "BT", ""), IF(Z396 &lt;&gt; "-", Y396 &amp; "BT/" &amp; Z396 &amp; "BT", Y396 &amp; "BT"))))</f>
        <v/>
      </c>
    </row>
    <row r="397">
      <c r="A397" t="n">
        <v>0</v>
      </c>
      <c r="B397" t="inlineStr">
        <is>
          <t>SR 1001</t>
        </is>
      </c>
      <c r="C397" t="n">
        <v>0.25</v>
      </c>
      <c r="D397" t="inlineStr">
        <is>
          <t>N</t>
        </is>
      </c>
      <c r="E397" t="inlineStr">
        <is>
          <t>SR 1663</t>
        </is>
      </c>
      <c r="F397" t="inlineStr">
        <is>
          <t>SR 1664</t>
        </is>
      </c>
      <c r="G397" t="inlineStr">
        <is>
          <t>SR 1001</t>
        </is>
      </c>
      <c r="H397" t="n">
        <v>8.898999999999999</v>
      </c>
      <c r="I397" t="inlineStr">
        <is>
          <t>NIS</t>
        </is>
      </c>
      <c r="L397" t="n">
        <v>107069209</v>
      </c>
      <c r="M397" s="6" t="n">
        <v>44805</v>
      </c>
      <c r="N397" t="n">
        <v>17</v>
      </c>
      <c r="O397" t="n">
        <v>1</v>
      </c>
      <c r="P397" t="n">
        <v>0</v>
      </c>
      <c r="Q397" t="n">
        <v>5</v>
      </c>
      <c r="R397" t="inlineStr">
        <is>
          <t>O</t>
        </is>
      </c>
      <c r="S397">
        <f>IFERROR(VLOOKUP(N397,Index!$A$1:$B$26,2,FALSE),"")</f>
        <v/>
      </c>
      <c r="T397">
        <f>AA397</f>
        <v/>
      </c>
      <c r="V397">
        <f>IFERROR(INDEX(DetailedFiche!Q:Q,MATCH(L397,DetailedFiche!J:J,0)),"")</f>
        <v/>
      </c>
      <c r="W397">
        <f>IFERROR(INDEX(DetailedFiche!R:R,MATCH(L397,DetailedFiche!J:J,0)),"")</f>
        <v/>
      </c>
      <c r="Y397">
        <f>IFERROR(IF(AND(INDEX('Initial Study'!K:K, MATCH(L397, 'Initial Study'!B:B, 0)+1)&lt;&gt;0,INDEX('Initial Study'!K:K, MATCH(L397, 'Initial Study'!B:B, 0)+1)&lt;&gt;""),INDEX('Initial Study'!K:K, MATCH(L397, 'Initial Study'!B:B, 0)+1),""),"")</f>
        <v/>
      </c>
      <c r="Z397">
        <f>IFERROR(IF(AND(INDEX('Initial Study'!K:K, MATCH(L397, 'Initial Study'!B:B, 0)+2)&lt;&gt;0,INDEX('Initial Study'!K:K, MATCH(L397, 'Initial Study'!B:B, 0)+2)&lt;&gt;"",NOT(ISNUMBER(INDEX('Initial Study'!K:K, MATCH(L397, 'Initial Study'!B:B, 0)+2)))),INDEX('Initial Study'!K:K, MATCH(L397, 'Initial Study'!B:B, 0)+2),"-"),"-")</f>
        <v/>
      </c>
      <c r="AA397">
        <f>IF(S397="RE", Y397 &amp; "BT/" &amp; IF(Z397 &lt;&gt; "-", Z397 &amp; "BT", ""), IF(OR(S397="LTDR", S397="LTSR"), Y397 &amp; "BL" &amp; IF(Z397 &lt;&gt; "-", "/" &amp; Z397 &amp; "BT", ""), IF(OR(S397="RTDR", S397="RTSR"), Y397 &amp; "BR" &amp; IF(Z397 &lt;&gt; "-", "/" &amp; Z397 &amp; "BT", ""), IF(Z397 &lt;&gt; "-", Y397 &amp; "BT/" &amp; Z397 &amp; "BT", Y397 &amp; "BT"))))</f>
        <v/>
      </c>
    </row>
    <row r="398">
      <c r="A398" t="n">
        <v>650</v>
      </c>
      <c r="B398" t="inlineStr">
        <is>
          <t>SR 1001</t>
        </is>
      </c>
      <c r="C398" t="n">
        <v>1</v>
      </c>
      <c r="D398" t="inlineStr">
        <is>
          <t>N</t>
        </is>
      </c>
      <c r="E398" t="inlineStr">
        <is>
          <t>NC 218</t>
        </is>
      </c>
      <c r="F398" t="inlineStr">
        <is>
          <t>SR 1664</t>
        </is>
      </c>
      <c r="G398" t="inlineStr">
        <is>
          <t>SR 1001</t>
        </is>
      </c>
      <c r="H398" t="n">
        <v>9.137</v>
      </c>
      <c r="I398" t="inlineStr">
        <is>
          <t>NIS</t>
        </is>
      </c>
      <c r="L398" t="n">
        <v>106286245</v>
      </c>
      <c r="M398" s="6" t="n">
        <v>44033</v>
      </c>
      <c r="N398" t="n">
        <v>17</v>
      </c>
      <c r="O398" t="n">
        <v>1</v>
      </c>
      <c r="P398" t="n">
        <v>0</v>
      </c>
      <c r="Q398" t="n">
        <v>1</v>
      </c>
      <c r="R398" t="inlineStr">
        <is>
          <t>O</t>
        </is>
      </c>
      <c r="S398">
        <f>IFERROR(VLOOKUP(N398,Index!$A$1:$B$26,2,FALSE),"")</f>
        <v/>
      </c>
      <c r="T398">
        <f>AA398</f>
        <v/>
      </c>
      <c r="V398">
        <f>IFERROR(INDEX(DetailedFiche!Q:Q,MATCH(L398,DetailedFiche!J:J,0)),"")</f>
        <v/>
      </c>
      <c r="W398">
        <f>IFERROR(INDEX(DetailedFiche!R:R,MATCH(L398,DetailedFiche!J:J,0)),"")</f>
        <v/>
      </c>
      <c r="Y398">
        <f>IFERROR(IF(AND(INDEX('Initial Study'!K:K, MATCH(L398, 'Initial Study'!B:B, 0)+1)&lt;&gt;0,INDEX('Initial Study'!K:K, MATCH(L398, 'Initial Study'!B:B, 0)+1)&lt;&gt;""),INDEX('Initial Study'!K:K, MATCH(L398, 'Initial Study'!B:B, 0)+1),""),"")</f>
        <v/>
      </c>
      <c r="Z398">
        <f>IFERROR(IF(AND(INDEX('Initial Study'!K:K, MATCH(L398, 'Initial Study'!B:B, 0)+2)&lt;&gt;0,INDEX('Initial Study'!K:K, MATCH(L398, 'Initial Study'!B:B, 0)+2)&lt;&gt;"",NOT(ISNUMBER(INDEX('Initial Study'!K:K, MATCH(L398, 'Initial Study'!B:B, 0)+2)))),INDEX('Initial Study'!K:K, MATCH(L398, 'Initial Study'!B:B, 0)+2),"-"),"-")</f>
        <v/>
      </c>
      <c r="AA398">
        <f>IF(S398="RE", Y398 &amp; "BT/" &amp; IF(Z398 &lt;&gt; "-", Z398 &amp; "BT", ""), IF(OR(S398="LTDR", S398="LTSR"), Y398 &amp; "BL" &amp; IF(Z398 &lt;&gt; "-", "/" &amp; Z398 &amp; "BT", ""), IF(OR(S398="RTDR", S398="RTSR"), Y398 &amp; "BR" &amp; IF(Z398 &lt;&gt; "-", "/" &amp; Z398 &amp; "BT", ""), IF(Z398 &lt;&gt; "-", Y398 &amp; "BT/" &amp; Z398 &amp; "BT", Y398 &amp; "BT"))))</f>
        <v/>
      </c>
    </row>
    <row r="399">
      <c r="A399" t="n">
        <v>0</v>
      </c>
      <c r="B399" t="inlineStr">
        <is>
          <t>SR 1001</t>
        </is>
      </c>
      <c r="C399" t="n">
        <v>1</v>
      </c>
      <c r="D399" t="inlineStr">
        <is>
          <t>NE</t>
        </is>
      </c>
      <c r="E399" t="inlineStr">
        <is>
          <t>NC 218</t>
        </is>
      </c>
      <c r="F399" t="inlineStr">
        <is>
          <t>SR 1639</t>
        </is>
      </c>
      <c r="G399" t="inlineStr">
        <is>
          <t>SR 1001</t>
        </is>
      </c>
      <c r="H399" t="n">
        <v>9.137</v>
      </c>
      <c r="I399" t="inlineStr">
        <is>
          <t>NIS</t>
        </is>
      </c>
      <c r="L399" t="n">
        <v>108021945</v>
      </c>
      <c r="M399" s="6" t="n">
        <v>45690</v>
      </c>
      <c r="N399" t="n">
        <v>19</v>
      </c>
      <c r="O399" t="n">
        <v>1</v>
      </c>
      <c r="P399" t="n">
        <v>0</v>
      </c>
      <c r="Q399" t="n">
        <v>1</v>
      </c>
      <c r="R399" t="inlineStr">
        <is>
          <t>C</t>
        </is>
      </c>
      <c r="S399">
        <f>IFERROR(VLOOKUP(N399,Index!$A$1:$B$26,2,FALSE),"")</f>
        <v/>
      </c>
      <c r="T399">
        <f>AA399</f>
        <v/>
      </c>
      <c r="V399">
        <f>IFERROR(INDEX(DetailedFiche!Q:Q,MATCH(L399,DetailedFiche!J:J,0)),"")</f>
        <v/>
      </c>
      <c r="W399">
        <f>IFERROR(INDEX(DetailedFiche!R:R,MATCH(L399,DetailedFiche!J:J,0)),"")</f>
        <v/>
      </c>
      <c r="Y399">
        <f>IFERROR(IF(AND(INDEX('Initial Study'!K:K, MATCH(L399, 'Initial Study'!B:B, 0)+1)&lt;&gt;0,INDEX('Initial Study'!K:K, MATCH(L399, 'Initial Study'!B:B, 0)+1)&lt;&gt;""),INDEX('Initial Study'!K:K, MATCH(L399, 'Initial Study'!B:B, 0)+1),""),"")</f>
        <v/>
      </c>
      <c r="Z399">
        <f>IFERROR(IF(AND(INDEX('Initial Study'!K:K, MATCH(L399, 'Initial Study'!B:B, 0)+2)&lt;&gt;0,INDEX('Initial Study'!K:K, MATCH(L399, 'Initial Study'!B:B, 0)+2)&lt;&gt;"",NOT(ISNUMBER(INDEX('Initial Study'!K:K, MATCH(L399, 'Initial Study'!B:B, 0)+2)))),INDEX('Initial Study'!K:K, MATCH(L399, 'Initial Study'!B:B, 0)+2),"-"),"-")</f>
        <v/>
      </c>
      <c r="AA399">
        <f>IF(S399="RE", Y399 &amp; "BT/" &amp; IF(Z399 &lt;&gt; "-", Z399 &amp; "BT", ""), IF(OR(S399="LTDR", S399="LTSR"), Y399 &amp; "BL" &amp; IF(Z399 &lt;&gt; "-", "/" &amp; Z399 &amp; "BT", ""), IF(OR(S399="RTDR", S399="RTSR"), Y399 &amp; "BR" &amp; IF(Z399 &lt;&gt; "-", "/" &amp; Z399 &amp; "BT", ""), IF(Z399 &lt;&gt; "-", Y399 &amp; "BT/" &amp; Z399 &amp; "BT", Y399 &amp; "BT"))))</f>
        <v/>
      </c>
    </row>
    <row r="400">
      <c r="A400" t="n">
        <v>0</v>
      </c>
      <c r="B400" t="inlineStr">
        <is>
          <t>SR 1001</t>
        </is>
      </c>
      <c r="C400" t="n">
        <v>0.7</v>
      </c>
      <c r="D400" t="inlineStr">
        <is>
          <t>N</t>
        </is>
      </c>
      <c r="E400" t="inlineStr">
        <is>
          <t>SR 1663</t>
        </is>
      </c>
      <c r="F400" t="inlineStr">
        <is>
          <t>SR 1664</t>
        </is>
      </c>
      <c r="G400" t="inlineStr">
        <is>
          <t>SR 1001</t>
        </is>
      </c>
      <c r="H400" t="n">
        <v>9.349</v>
      </c>
      <c r="I400" t="inlineStr">
        <is>
          <t>NIS</t>
        </is>
      </c>
      <c r="L400" t="n">
        <v>107665486</v>
      </c>
      <c r="M400" s="6" t="n">
        <v>45374</v>
      </c>
      <c r="N400" t="n">
        <v>17</v>
      </c>
      <c r="O400" t="n">
        <v>1</v>
      </c>
      <c r="P400" t="n">
        <v>0</v>
      </c>
      <c r="Q400" t="n">
        <v>5</v>
      </c>
      <c r="R400" t="inlineStr">
        <is>
          <t>O</t>
        </is>
      </c>
      <c r="S400">
        <f>IFERROR(VLOOKUP(N400,Index!$A$1:$B$26,2,FALSE),"")</f>
        <v/>
      </c>
      <c r="T400">
        <f>AA400</f>
        <v/>
      </c>
      <c r="V400">
        <f>IFERROR(INDEX(DetailedFiche!Q:Q,MATCH(L400,DetailedFiche!J:J,0)),"")</f>
        <v/>
      </c>
      <c r="W400">
        <f>IFERROR(INDEX(DetailedFiche!R:R,MATCH(L400,DetailedFiche!J:J,0)),"")</f>
        <v/>
      </c>
      <c r="Y400">
        <f>IFERROR(IF(AND(INDEX('Initial Study'!K:K, MATCH(L400, 'Initial Study'!B:B, 0)+1)&lt;&gt;0,INDEX('Initial Study'!K:K, MATCH(L400, 'Initial Study'!B:B, 0)+1)&lt;&gt;""),INDEX('Initial Study'!K:K, MATCH(L400, 'Initial Study'!B:B, 0)+1),""),"")</f>
        <v/>
      </c>
      <c r="Z400">
        <f>IFERROR(IF(AND(INDEX('Initial Study'!K:K, MATCH(L400, 'Initial Study'!B:B, 0)+2)&lt;&gt;0,INDEX('Initial Study'!K:K, MATCH(L400, 'Initial Study'!B:B, 0)+2)&lt;&gt;"",NOT(ISNUMBER(INDEX('Initial Study'!K:K, MATCH(L400, 'Initial Study'!B:B, 0)+2)))),INDEX('Initial Study'!K:K, MATCH(L400, 'Initial Study'!B:B, 0)+2),"-"),"-")</f>
        <v/>
      </c>
      <c r="AA400">
        <f>IF(S400="RE", Y400 &amp; "BT/" &amp; IF(Z400 &lt;&gt; "-", Z400 &amp; "BT", ""), IF(OR(S400="LTDR", S400="LTSR"), Y400 &amp; "BL" &amp; IF(Z400 &lt;&gt; "-", "/" &amp; Z400 &amp; "BT", ""), IF(OR(S400="RTDR", S400="RTSR"), Y400 &amp; "BR" &amp; IF(Z400 &lt;&gt; "-", "/" &amp; Z400 &amp; "BT", ""), IF(Z400 &lt;&gt; "-", Y400 &amp; "BT/" &amp; Z400 &amp; "BT", Y400 &amp; "BT"))))</f>
        <v/>
      </c>
    </row>
    <row r="401">
      <c r="A401" t="n">
        <v>0</v>
      </c>
      <c r="B401" t="inlineStr">
        <is>
          <t>SR 1001</t>
        </is>
      </c>
      <c r="C401" t="n">
        <v>0.2</v>
      </c>
      <c r="D401" t="inlineStr">
        <is>
          <t>S</t>
        </is>
      </c>
      <c r="E401" t="inlineStr">
        <is>
          <t>SR 1664</t>
        </is>
      </c>
      <c r="F401" t="inlineStr">
        <is>
          <t>SR 1663</t>
        </is>
      </c>
      <c r="G401" t="inlineStr">
        <is>
          <t>SR 1001</t>
        </is>
      </c>
      <c r="H401" t="n">
        <v>9.445</v>
      </c>
      <c r="I401" t="inlineStr">
        <is>
          <t>NIS</t>
        </is>
      </c>
      <c r="L401" t="n">
        <v>108045760</v>
      </c>
      <c r="M401" s="6" t="n">
        <v>45728</v>
      </c>
      <c r="N401" t="n">
        <v>17</v>
      </c>
      <c r="O401" t="n">
        <v>1</v>
      </c>
      <c r="P401" t="n">
        <v>0</v>
      </c>
      <c r="Q401" t="n">
        <v>1</v>
      </c>
      <c r="R401" t="inlineStr">
        <is>
          <t>O</t>
        </is>
      </c>
      <c r="S401">
        <f>IFERROR(VLOOKUP(N401,Index!$A$1:$B$26,2,FALSE),"")</f>
        <v/>
      </c>
      <c r="T401">
        <f>AA401</f>
        <v/>
      </c>
      <c r="V401">
        <f>IFERROR(INDEX(DetailedFiche!Q:Q,MATCH(L401,DetailedFiche!J:J,0)),"")</f>
        <v/>
      </c>
      <c r="W401">
        <f>IFERROR(INDEX(DetailedFiche!R:R,MATCH(L401,DetailedFiche!J:J,0)),"")</f>
        <v/>
      </c>
      <c r="Y401">
        <f>IFERROR(IF(AND(INDEX('Initial Study'!K:K, MATCH(L401, 'Initial Study'!B:B, 0)+1)&lt;&gt;0,INDEX('Initial Study'!K:K, MATCH(L401, 'Initial Study'!B:B, 0)+1)&lt;&gt;""),INDEX('Initial Study'!K:K, MATCH(L401, 'Initial Study'!B:B, 0)+1),""),"")</f>
        <v/>
      </c>
      <c r="Z401">
        <f>IFERROR(IF(AND(INDEX('Initial Study'!K:K, MATCH(L401, 'Initial Study'!B:B, 0)+2)&lt;&gt;0,INDEX('Initial Study'!K:K, MATCH(L401, 'Initial Study'!B:B, 0)+2)&lt;&gt;"",NOT(ISNUMBER(INDEX('Initial Study'!K:K, MATCH(L401, 'Initial Study'!B:B, 0)+2)))),INDEX('Initial Study'!K:K, MATCH(L401, 'Initial Study'!B:B, 0)+2),"-"),"-")</f>
        <v/>
      </c>
      <c r="AA401">
        <f>IF(S401="RE", Y401 &amp; "BT/" &amp; IF(Z401 &lt;&gt; "-", Z401 &amp; "BT", ""), IF(OR(S401="LTDR", S401="LTSR"), Y401 &amp; "BL" &amp; IF(Z401 &lt;&gt; "-", "/" &amp; Z401 &amp; "BT", ""), IF(OR(S401="RTDR", S401="RTSR"), Y401 &amp; "BR" &amp; IF(Z401 &lt;&gt; "-", "/" &amp; Z401 &amp; "BT", ""), IF(Z401 &lt;&gt; "-", Y401 &amp; "BT/" &amp; Z401 &amp; "BT", Y401 &amp; "BT"))))</f>
        <v/>
      </c>
    </row>
    <row r="402">
      <c r="A402" t="n">
        <v>0</v>
      </c>
      <c r="B402" t="inlineStr">
        <is>
          <t>SR 1001</t>
        </is>
      </c>
      <c r="C402" t="n">
        <v>0.11</v>
      </c>
      <c r="D402" t="inlineStr">
        <is>
          <t>S</t>
        </is>
      </c>
      <c r="E402" t="inlineStr">
        <is>
          <t>SR 1664</t>
        </is>
      </c>
      <c r="F402" t="inlineStr">
        <is>
          <t>SR 1663</t>
        </is>
      </c>
      <c r="G402" t="inlineStr">
        <is>
          <t>SR 1001</t>
        </is>
      </c>
      <c r="H402" t="n">
        <v>9.535</v>
      </c>
      <c r="I402" t="inlineStr">
        <is>
          <t>NIS</t>
        </is>
      </c>
      <c r="L402" t="n">
        <v>108001947</v>
      </c>
      <c r="M402" s="6" t="n">
        <v>45681</v>
      </c>
      <c r="N402" t="n">
        <v>17</v>
      </c>
      <c r="O402" t="n">
        <v>1</v>
      </c>
      <c r="P402" t="n">
        <v>0</v>
      </c>
      <c r="Q402" t="n">
        <v>5</v>
      </c>
      <c r="R402" t="inlineStr">
        <is>
          <t>O</t>
        </is>
      </c>
      <c r="S402">
        <f>IFERROR(VLOOKUP(N402,Index!$A$1:$B$26,2,FALSE),"")</f>
        <v/>
      </c>
      <c r="T402">
        <f>AA402</f>
        <v/>
      </c>
      <c r="V402">
        <f>IFERROR(INDEX(DetailedFiche!Q:Q,MATCH(L402,DetailedFiche!J:J,0)),"")</f>
        <v/>
      </c>
      <c r="W402">
        <f>IFERROR(INDEX(DetailedFiche!R:R,MATCH(L402,DetailedFiche!J:J,0)),"")</f>
        <v/>
      </c>
      <c r="Y402">
        <f>IFERROR(IF(AND(INDEX('Initial Study'!K:K, MATCH(L402, 'Initial Study'!B:B, 0)+1)&lt;&gt;0,INDEX('Initial Study'!K:K, MATCH(L402, 'Initial Study'!B:B, 0)+1)&lt;&gt;""),INDEX('Initial Study'!K:K, MATCH(L402, 'Initial Study'!B:B, 0)+1),""),"")</f>
        <v/>
      </c>
      <c r="Z402">
        <f>IFERROR(IF(AND(INDEX('Initial Study'!K:K, MATCH(L402, 'Initial Study'!B:B, 0)+2)&lt;&gt;0,INDEX('Initial Study'!K:K, MATCH(L402, 'Initial Study'!B:B, 0)+2)&lt;&gt;"",NOT(ISNUMBER(INDEX('Initial Study'!K:K, MATCH(L402, 'Initial Study'!B:B, 0)+2)))),INDEX('Initial Study'!K:K, MATCH(L402, 'Initial Study'!B:B, 0)+2),"-"),"-")</f>
        <v/>
      </c>
      <c r="AA402">
        <f>IF(S402="RE", Y402 &amp; "BT/" &amp; IF(Z402 &lt;&gt; "-", Z402 &amp; "BT", ""), IF(OR(S402="LTDR", S402="LTSR"), Y402 &amp; "BL" &amp; IF(Z402 &lt;&gt; "-", "/" &amp; Z402 &amp; "BT", ""), IF(OR(S402="RTDR", S402="RTSR"), Y402 &amp; "BR" &amp; IF(Z402 &lt;&gt; "-", "/" &amp; Z402 &amp; "BT", ""), IF(Z402 &lt;&gt; "-", Y402 &amp; "BT/" &amp; Z402 &amp; "BT", Y402 &amp; "BT"))))</f>
        <v/>
      </c>
    </row>
    <row r="403">
      <c r="A403" t="n">
        <v>0</v>
      </c>
      <c r="B403" t="inlineStr">
        <is>
          <t>SR 1001</t>
        </is>
      </c>
      <c r="C403" t="n">
        <v>0.3</v>
      </c>
      <c r="D403" t="inlineStr">
        <is>
          <t>N</t>
        </is>
      </c>
      <c r="E403" t="inlineStr">
        <is>
          <t>SR 1664</t>
        </is>
      </c>
      <c r="F403" t="inlineStr">
        <is>
          <t>CL-STANLY</t>
        </is>
      </c>
      <c r="G403" t="inlineStr">
        <is>
          <t>SR 1001</t>
        </is>
      </c>
      <c r="H403" t="n">
        <v>9.945</v>
      </c>
      <c r="I403" t="inlineStr">
        <is>
          <t>NIS</t>
        </is>
      </c>
      <c r="L403" t="n">
        <v>106138896</v>
      </c>
      <c r="M403" s="6" t="n">
        <v>43857</v>
      </c>
      <c r="N403" t="n">
        <v>19</v>
      </c>
      <c r="O403" t="n">
        <v>1</v>
      </c>
      <c r="P403" t="n">
        <v>0</v>
      </c>
      <c r="Q403" t="n">
        <v>1</v>
      </c>
      <c r="R403" t="inlineStr">
        <is>
          <t>C</t>
        </is>
      </c>
      <c r="S403">
        <f>IFERROR(VLOOKUP(N403,Index!$A$1:$B$26,2,FALSE),"")</f>
        <v/>
      </c>
      <c r="T403">
        <f>AA403</f>
        <v/>
      </c>
      <c r="V403">
        <f>IFERROR(INDEX(DetailedFiche!Q:Q,MATCH(L403,DetailedFiche!J:J,0)),"")</f>
        <v/>
      </c>
      <c r="W403">
        <f>IFERROR(INDEX(DetailedFiche!R:R,MATCH(L403,DetailedFiche!J:J,0)),"")</f>
        <v/>
      </c>
      <c r="Y403">
        <f>IFERROR(IF(AND(INDEX('Initial Study'!K:K, MATCH(L403, 'Initial Study'!B:B, 0)+1)&lt;&gt;0,INDEX('Initial Study'!K:K, MATCH(L403, 'Initial Study'!B:B, 0)+1)&lt;&gt;""),INDEX('Initial Study'!K:K, MATCH(L403, 'Initial Study'!B:B, 0)+1),""),"")</f>
        <v/>
      </c>
      <c r="Z403">
        <f>IFERROR(IF(AND(INDEX('Initial Study'!K:K, MATCH(L403, 'Initial Study'!B:B, 0)+2)&lt;&gt;0,INDEX('Initial Study'!K:K, MATCH(L403, 'Initial Study'!B:B, 0)+2)&lt;&gt;"",NOT(ISNUMBER(INDEX('Initial Study'!K:K, MATCH(L403, 'Initial Study'!B:B, 0)+2)))),INDEX('Initial Study'!K:K, MATCH(L403, 'Initial Study'!B:B, 0)+2),"-"),"-")</f>
        <v/>
      </c>
      <c r="AA403">
        <f>IF(S403="RE", Y403 &amp; "BT/" &amp; IF(Z403 &lt;&gt; "-", Z403 &amp; "BT", ""), IF(OR(S403="LTDR", S403="LTSR"), Y403 &amp; "BL" &amp; IF(Z403 &lt;&gt; "-", "/" &amp; Z403 &amp; "BT", ""), IF(OR(S403="RTDR", S403="RTSR"), Y403 &amp; "BR" &amp; IF(Z403 &lt;&gt; "-", "/" &amp; Z403 &amp; "BT", ""), IF(Z403 &lt;&gt; "-", Y403 &amp; "BT/" &amp; Z403 &amp; "BT", Y403 &amp; "BT"))))</f>
        <v/>
      </c>
    </row>
    <row r="404">
      <c r="A404" t="n">
        <v>0</v>
      </c>
      <c r="B404" t="inlineStr">
        <is>
          <t>SR 1001</t>
        </is>
      </c>
      <c r="C404" t="n">
        <v>0.4</v>
      </c>
      <c r="D404" t="inlineStr">
        <is>
          <t>N</t>
        </is>
      </c>
      <c r="E404" t="inlineStr">
        <is>
          <t>SR 1664</t>
        </is>
      </c>
      <c r="F404" t="inlineStr">
        <is>
          <t>SR 1152</t>
        </is>
      </c>
      <c r="G404" t="inlineStr">
        <is>
          <t>SR 1001</t>
        </is>
      </c>
      <c r="H404" t="n">
        <v>10.045</v>
      </c>
      <c r="I404" t="inlineStr">
        <is>
          <t>NIS</t>
        </is>
      </c>
      <c r="L404" t="n">
        <v>106674471</v>
      </c>
      <c r="M404" s="6" t="n">
        <v>44398</v>
      </c>
      <c r="N404" t="n">
        <v>19</v>
      </c>
      <c r="O404" t="n">
        <v>1</v>
      </c>
      <c r="P404" t="n">
        <v>0</v>
      </c>
      <c r="Q404" t="n">
        <v>1</v>
      </c>
      <c r="R404" t="inlineStr">
        <is>
          <t>B</t>
        </is>
      </c>
      <c r="S404">
        <f>IFERROR(VLOOKUP(N404,Index!$A$1:$B$26,2,FALSE),"")</f>
        <v/>
      </c>
      <c r="T404">
        <f>AA404</f>
        <v/>
      </c>
      <c r="V404">
        <f>IFERROR(INDEX(DetailedFiche!Q:Q,MATCH(L404,DetailedFiche!J:J,0)),"")</f>
        <v/>
      </c>
      <c r="W404">
        <f>IFERROR(INDEX(DetailedFiche!R:R,MATCH(L404,DetailedFiche!J:J,0)),"")</f>
        <v/>
      </c>
      <c r="Y404">
        <f>IFERROR(IF(AND(INDEX('Initial Study'!K:K, MATCH(L404, 'Initial Study'!B:B, 0)+1)&lt;&gt;0,INDEX('Initial Study'!K:K, MATCH(L404, 'Initial Study'!B:B, 0)+1)&lt;&gt;""),INDEX('Initial Study'!K:K, MATCH(L404, 'Initial Study'!B:B, 0)+1),""),"")</f>
        <v/>
      </c>
      <c r="Z404">
        <f>IFERROR(IF(AND(INDEX('Initial Study'!K:K, MATCH(L404, 'Initial Study'!B:B, 0)+2)&lt;&gt;0,INDEX('Initial Study'!K:K, MATCH(L404, 'Initial Study'!B:B, 0)+2)&lt;&gt;"",NOT(ISNUMBER(INDEX('Initial Study'!K:K, MATCH(L404, 'Initial Study'!B:B, 0)+2)))),INDEX('Initial Study'!K:K, MATCH(L404, 'Initial Study'!B:B, 0)+2),"-"),"-")</f>
        <v/>
      </c>
      <c r="AA404">
        <f>IF(S404="RE", Y404 &amp; "BT/" &amp; IF(Z404 &lt;&gt; "-", Z404 &amp; "BT", ""), IF(OR(S404="LTDR", S404="LTSR"), Y404 &amp; "BL" &amp; IF(Z404 &lt;&gt; "-", "/" &amp; Z404 &amp; "BT", ""), IF(OR(S404="RTDR", S404="RTSR"), Y404 &amp; "BR" &amp; IF(Z404 &lt;&gt; "-", "/" &amp; Z404 &amp; "BT", ""), IF(Z404 &lt;&gt; "-", Y404 &amp; "BT/" &amp; Z404 &amp; "BT", Y404 &amp; "BT"))))</f>
        <v/>
      </c>
    </row>
    <row r="405">
      <c r="A405" t="n">
        <v>0</v>
      </c>
      <c r="B405" t="inlineStr">
        <is>
          <t>LOVE MILL</t>
        </is>
      </c>
      <c r="C405" t="n">
        <v>0.66</v>
      </c>
      <c r="D405" t="inlineStr">
        <is>
          <t>N</t>
        </is>
      </c>
      <c r="E405" t="inlineStr">
        <is>
          <t>SANTA CLAUS</t>
        </is>
      </c>
      <c r="F405" t="inlineStr">
        <is>
          <t>TITE</t>
        </is>
      </c>
      <c r="G405" t="inlineStr">
        <is>
          <t>SR 1001</t>
        </is>
      </c>
      <c r="H405" t="n">
        <v>10.305</v>
      </c>
      <c r="I405" t="inlineStr">
        <is>
          <t>NIS</t>
        </is>
      </c>
      <c r="L405" t="n">
        <v>108507895</v>
      </c>
      <c r="M405" s="6" t="n">
        <v>46167</v>
      </c>
      <c r="N405" t="n">
        <v>19</v>
      </c>
      <c r="O405" t="n">
        <v>2</v>
      </c>
      <c r="P405" t="n">
        <v>0</v>
      </c>
      <c r="Q405" t="n">
        <v>1</v>
      </c>
      <c r="R405" t="inlineStr">
        <is>
          <t>C</t>
        </is>
      </c>
      <c r="S405">
        <f>IFERROR(VLOOKUP(N405,Index!$A$1:$B$26,2,FALSE),"")</f>
        <v/>
      </c>
      <c r="T405">
        <f>AA405</f>
        <v/>
      </c>
      <c r="V405">
        <f>IFERROR(INDEX(DetailedFiche!Q:Q,MATCH(L405,DetailedFiche!J:J,0)),"")</f>
        <v/>
      </c>
      <c r="W405">
        <f>IFERROR(INDEX(DetailedFiche!R:R,MATCH(L405,DetailedFiche!J:J,0)),"")</f>
        <v/>
      </c>
      <c r="Y405">
        <f>IFERROR(IF(AND(INDEX('Initial Study'!K:K, MATCH(L405, 'Initial Study'!B:B, 0)+1)&lt;&gt;0,INDEX('Initial Study'!K:K, MATCH(L405, 'Initial Study'!B:B, 0)+1)&lt;&gt;""),INDEX('Initial Study'!K:K, MATCH(L405, 'Initial Study'!B:B, 0)+1),""),"")</f>
        <v/>
      </c>
      <c r="Z405">
        <f>IFERROR(IF(AND(INDEX('Initial Study'!K:K, MATCH(L405, 'Initial Study'!B:B, 0)+2)&lt;&gt;0,INDEX('Initial Study'!K:K, MATCH(L405, 'Initial Study'!B:B, 0)+2)&lt;&gt;"",NOT(ISNUMBER(INDEX('Initial Study'!K:K, MATCH(L405, 'Initial Study'!B:B, 0)+2)))),INDEX('Initial Study'!K:K, MATCH(L405, 'Initial Study'!B:B, 0)+2),"-"),"-")</f>
        <v/>
      </c>
      <c r="AA405">
        <f>IF(S405="RE", Y405 &amp; "BT/" &amp; IF(Z405 &lt;&gt; "-", Z405 &amp; "BT", ""), IF(OR(S405="LTDR", S405="LTSR"), Y405 &amp; "BL" &amp; IF(Z405 &lt;&gt; "-", "/" &amp; Z405 &amp; "BT", ""), IF(OR(S405="RTDR", S405="RTSR"), Y405 &amp; "BR" &amp; IF(Z405 &lt;&gt; "-", "/" &amp; Z405 &amp; "BT", ""), IF(Z405 &lt;&gt; "-", Y405 &amp; "BT/" &amp; Z405 &amp; "BT", Y405 &amp; "BT"))))</f>
        <v/>
      </c>
    </row>
    <row r="406">
      <c r="A406" t="n">
        <v>0</v>
      </c>
      <c r="B406" t="inlineStr">
        <is>
          <t>SR 1001</t>
        </is>
      </c>
      <c r="C406" t="n">
        <v>0.1</v>
      </c>
      <c r="D406" t="inlineStr">
        <is>
          <t>S</t>
        </is>
      </c>
      <c r="E406" t="inlineStr">
        <is>
          <t>CL-STANLY</t>
        </is>
      </c>
      <c r="F406" t="inlineStr">
        <is>
          <t>SR 1664</t>
        </is>
      </c>
      <c r="G406" t="inlineStr">
        <is>
          <t>SR 1001</t>
        </is>
      </c>
      <c r="H406" t="n">
        <v>10.376</v>
      </c>
      <c r="I406" t="inlineStr">
        <is>
          <t>NIS</t>
        </is>
      </c>
      <c r="L406" t="n">
        <v>104947533</v>
      </c>
      <c r="M406" s="6" t="n">
        <v>42718</v>
      </c>
      <c r="N406" t="n">
        <v>19</v>
      </c>
      <c r="O406" t="n">
        <v>2</v>
      </c>
      <c r="P406" t="n">
        <v>0</v>
      </c>
      <c r="Q406" t="n">
        <v>5</v>
      </c>
      <c r="R406" t="inlineStr">
        <is>
          <t>B</t>
        </is>
      </c>
      <c r="S406">
        <f>IFERROR(VLOOKUP(N406,Index!$A$1:$B$26,2,FALSE),"")</f>
        <v/>
      </c>
      <c r="T406">
        <f>AA406</f>
        <v/>
      </c>
      <c r="V406">
        <f>IFERROR(INDEX(DetailedFiche!Q:Q,MATCH(L406,DetailedFiche!J:J,0)),"")</f>
        <v/>
      </c>
      <c r="W406">
        <f>IFERROR(INDEX(DetailedFiche!R:R,MATCH(L406,DetailedFiche!J:J,0)),"")</f>
        <v/>
      </c>
      <c r="Y406">
        <f>IFERROR(IF(AND(INDEX('Initial Study'!K:K, MATCH(L406, 'Initial Study'!B:B, 0)+1)&lt;&gt;0,INDEX('Initial Study'!K:K, MATCH(L406, 'Initial Study'!B:B, 0)+1)&lt;&gt;""),INDEX('Initial Study'!K:K, MATCH(L406, 'Initial Study'!B:B, 0)+1),""),"")</f>
        <v/>
      </c>
      <c r="Z406">
        <f>IFERROR(IF(AND(INDEX('Initial Study'!K:K, MATCH(L406, 'Initial Study'!B:B, 0)+2)&lt;&gt;0,INDEX('Initial Study'!K:K, MATCH(L406, 'Initial Study'!B:B, 0)+2)&lt;&gt;"",NOT(ISNUMBER(INDEX('Initial Study'!K:K, MATCH(L406, 'Initial Study'!B:B, 0)+2)))),INDEX('Initial Study'!K:K, MATCH(L406, 'Initial Study'!B:B, 0)+2),"-"),"-")</f>
        <v/>
      </c>
      <c r="AA406">
        <f>IF(S406="RE", Y406 &amp; "BT/" &amp; IF(Z406 &lt;&gt; "-", Z406 &amp; "BT", ""), IF(OR(S406="LTDR", S406="LTSR"), Y406 &amp; "BL" &amp; IF(Z406 &lt;&gt; "-", "/" &amp; Z406 &amp; "BT", ""), IF(OR(S406="RTDR", S406="RTSR"), Y406 &amp; "BR" &amp; IF(Z406 &lt;&gt; "-", "/" &amp; Z406 &amp; "BT", ""), IF(Z406 &lt;&gt; "-", Y406 &amp; "BT/" &amp; Z406 &amp; "BT", Y406 &amp; "BT"))))</f>
        <v/>
      </c>
    </row>
    <row r="407">
      <c r="A407" t="n">
        <v>245</v>
      </c>
      <c r="B407" t="inlineStr">
        <is>
          <t>SR 1001</t>
        </is>
      </c>
      <c r="C407" t="n">
        <v>0.2</v>
      </c>
      <c r="D407" t="inlineStr">
        <is>
          <t>S</t>
        </is>
      </c>
      <c r="E407" t="inlineStr">
        <is>
          <t>SR 1004</t>
        </is>
      </c>
      <c r="F407" t="inlineStr">
        <is>
          <t>SR 2492</t>
        </is>
      </c>
      <c r="G407" t="inlineStr">
        <is>
          <t>SR 1001</t>
        </is>
      </c>
      <c r="H407" t="n">
        <v>999.999</v>
      </c>
      <c r="I407" t="inlineStr">
        <is>
          <t>NIS</t>
        </is>
      </c>
      <c r="L407" t="n">
        <v>104794097</v>
      </c>
      <c r="M407" s="6" t="n">
        <v>42566</v>
      </c>
      <c r="N407" t="n">
        <v>1</v>
      </c>
      <c r="O407" t="n">
        <v>1</v>
      </c>
      <c r="P407" t="n">
        <v>0</v>
      </c>
      <c r="Q407" t="n">
        <v>1</v>
      </c>
      <c r="R407" t="inlineStr">
        <is>
          <t>O</t>
        </is>
      </c>
      <c r="S407">
        <f>IFERROR(VLOOKUP(N407,Index!$A$1:$B$26,2,FALSE),"")</f>
        <v/>
      </c>
      <c r="T407">
        <f>AA407</f>
        <v/>
      </c>
      <c r="V407">
        <f>IFERROR(INDEX(DetailedFiche!Q:Q,MATCH(L407,DetailedFiche!J:J,0)),"")</f>
        <v/>
      </c>
      <c r="W407">
        <f>IFERROR(INDEX(DetailedFiche!R:R,MATCH(L407,DetailedFiche!J:J,0)),"")</f>
        <v/>
      </c>
      <c r="Y407">
        <f>IFERROR(IF(AND(INDEX('Initial Study'!K:K, MATCH(L407, 'Initial Study'!B:B, 0)+1)&lt;&gt;0,INDEX('Initial Study'!K:K, MATCH(L407, 'Initial Study'!B:B, 0)+1)&lt;&gt;""),INDEX('Initial Study'!K:K, MATCH(L407, 'Initial Study'!B:B, 0)+1),""),"")</f>
        <v/>
      </c>
      <c r="Z407">
        <f>IFERROR(IF(AND(INDEX('Initial Study'!K:K, MATCH(L407, 'Initial Study'!B:B, 0)+2)&lt;&gt;0,INDEX('Initial Study'!K:K, MATCH(L407, 'Initial Study'!B:B, 0)+2)&lt;&gt;"",NOT(ISNUMBER(INDEX('Initial Study'!K:K, MATCH(L407, 'Initial Study'!B:B, 0)+2)))),INDEX('Initial Study'!K:K, MATCH(L407, 'Initial Study'!B:B, 0)+2),"-"),"-")</f>
        <v/>
      </c>
      <c r="AA407">
        <f>IF(S407="RE", Y407 &amp; "BT/" &amp; IF(Z407 &lt;&gt; "-", Z407 &amp; "BT", ""), IF(OR(S407="LTDR", S407="LTSR"), Y407 &amp; "BL" &amp; IF(Z407 &lt;&gt; "-", "/" &amp; Z407 &amp; "BT", ""), IF(OR(S407="RTDR", S407="RTSR"), Y407 &amp; "BR" &amp; IF(Z407 &lt;&gt; "-", "/" &amp; Z407 &amp; "BT", ""), IF(Z407 &lt;&gt; "-", Y407 &amp; "BT/" &amp; Z407 &amp; "BT", Y407 &amp; "BT"))))</f>
        <v/>
      </c>
    </row>
    <row r="408">
      <c r="A408" t="n">
        <v>558</v>
      </c>
      <c r="B408" t="inlineStr">
        <is>
          <t>SR 1001</t>
        </is>
      </c>
      <c r="C408" t="n">
        <v>1.5</v>
      </c>
      <c r="D408" t="inlineStr">
        <is>
          <t>N</t>
        </is>
      </c>
      <c r="E408" t="inlineStr">
        <is>
          <t>SR 1367</t>
        </is>
      </c>
      <c r="F408" t="inlineStr">
        <is>
          <t>SR 1606</t>
        </is>
      </c>
      <c r="G408" t="inlineStr">
        <is>
          <t>SR 1001</t>
        </is>
      </c>
      <c r="H408" t="n">
        <v>999.999</v>
      </c>
      <c r="I408" t="inlineStr">
        <is>
          <t>NIS</t>
        </is>
      </c>
      <c r="L408" t="n">
        <v>104852366</v>
      </c>
      <c r="M408" s="6" t="n">
        <v>42627</v>
      </c>
      <c r="N408" t="n">
        <v>29</v>
      </c>
      <c r="O408" t="n">
        <v>1</v>
      </c>
      <c r="P408" t="n">
        <v>0</v>
      </c>
      <c r="Q408" t="n">
        <v>5</v>
      </c>
      <c r="R408" t="inlineStr">
        <is>
          <t>O</t>
        </is>
      </c>
      <c r="S408">
        <f>IFERROR(VLOOKUP(N408,Index!$A$1:$B$26,2,FALSE),"")</f>
        <v/>
      </c>
      <c r="T408">
        <f>AA408</f>
        <v/>
      </c>
      <c r="V408">
        <f>IFERROR(INDEX(DetailedFiche!Q:Q,MATCH(L408,DetailedFiche!J:J,0)),"")</f>
        <v/>
      </c>
      <c r="W408">
        <f>IFERROR(INDEX(DetailedFiche!R:R,MATCH(L408,DetailedFiche!J:J,0)),"")</f>
        <v/>
      </c>
      <c r="Y408">
        <f>IFERROR(IF(AND(INDEX('Initial Study'!K:K, MATCH(L408, 'Initial Study'!B:B, 0)+1)&lt;&gt;0,INDEX('Initial Study'!K:K, MATCH(L408, 'Initial Study'!B:B, 0)+1)&lt;&gt;""),INDEX('Initial Study'!K:K, MATCH(L408, 'Initial Study'!B:B, 0)+1),""),"")</f>
        <v/>
      </c>
      <c r="Z408">
        <f>IFERROR(IF(AND(INDEX('Initial Study'!K:K, MATCH(L408, 'Initial Study'!B:B, 0)+2)&lt;&gt;0,INDEX('Initial Study'!K:K, MATCH(L408, 'Initial Study'!B:B, 0)+2)&lt;&gt;"",NOT(ISNUMBER(INDEX('Initial Study'!K:K, MATCH(L408, 'Initial Study'!B:B, 0)+2)))),INDEX('Initial Study'!K:K, MATCH(L408, 'Initial Study'!B:B, 0)+2),"-"),"-")</f>
        <v/>
      </c>
      <c r="AA408">
        <f>IF(S408="RE", Y408 &amp; "BT/" &amp; IF(Z408 &lt;&gt; "-", Z408 &amp; "BT", ""), IF(OR(S408="LTDR", S408="LTSR"), Y408 &amp; "BL" &amp; IF(Z408 &lt;&gt; "-", "/" &amp; Z408 &amp; "BT", ""), IF(OR(S408="RTDR", S408="RTSR"), Y408 &amp; "BR" &amp; IF(Z408 &lt;&gt; "-", "/" &amp; Z408 &amp; "BT", ""), IF(Z408 &lt;&gt; "-", Y408 &amp; "BT/" &amp; Z408 &amp; "BT", Y408 &amp; "BT"))))</f>
        <v/>
      </c>
    </row>
    <row r="409">
      <c r="A409" t="n">
        <v>0</v>
      </c>
      <c r="B409" t="inlineStr">
        <is>
          <t>SR 1001</t>
        </is>
      </c>
      <c r="C409" t="n">
        <v>0.2</v>
      </c>
      <c r="D409" t="inlineStr">
        <is>
          <t>S</t>
        </is>
      </c>
      <c r="E409" t="inlineStr">
        <is>
          <t>SR 1508</t>
        </is>
      </c>
      <c r="F409" t="inlineStr">
        <is>
          <t>SR 1503</t>
        </is>
      </c>
      <c r="G409" t="inlineStr">
        <is>
          <t>SR 1001</t>
        </is>
      </c>
      <c r="H409" t="n">
        <v>999.999</v>
      </c>
      <c r="I409" t="inlineStr">
        <is>
          <t>NIS</t>
        </is>
      </c>
      <c r="L409" t="n">
        <v>105717397</v>
      </c>
      <c r="M409" s="6" t="n">
        <v>43451</v>
      </c>
      <c r="N409" t="n">
        <v>21</v>
      </c>
      <c r="O409" t="n">
        <v>1</v>
      </c>
      <c r="P409" t="n">
        <v>0</v>
      </c>
      <c r="Q409" t="n">
        <v>1</v>
      </c>
      <c r="R409" t="inlineStr">
        <is>
          <t>O</t>
        </is>
      </c>
      <c r="S409">
        <f>IFERROR(VLOOKUP(N409,Index!$A$1:$B$26,2,FALSE),"")</f>
        <v/>
      </c>
      <c r="T409">
        <f>AA409</f>
        <v/>
      </c>
      <c r="V409">
        <f>IFERROR(INDEX(DetailedFiche!Q:Q,MATCH(L409,DetailedFiche!J:J,0)),"")</f>
        <v/>
      </c>
      <c r="W409">
        <f>IFERROR(INDEX(DetailedFiche!R:R,MATCH(L409,DetailedFiche!J:J,0)),"")</f>
        <v/>
      </c>
      <c r="Y409">
        <f>IFERROR(IF(AND(INDEX('Initial Study'!K:K, MATCH(L409, 'Initial Study'!B:B, 0)+1)&lt;&gt;0,INDEX('Initial Study'!K:K, MATCH(L409, 'Initial Study'!B:B, 0)+1)&lt;&gt;""),INDEX('Initial Study'!K:K, MATCH(L409, 'Initial Study'!B:B, 0)+1),""),"")</f>
        <v/>
      </c>
      <c r="Z409">
        <f>IFERROR(IF(AND(INDEX('Initial Study'!K:K, MATCH(L409, 'Initial Study'!B:B, 0)+2)&lt;&gt;0,INDEX('Initial Study'!K:K, MATCH(L409, 'Initial Study'!B:B, 0)+2)&lt;&gt;"",NOT(ISNUMBER(INDEX('Initial Study'!K:K, MATCH(L409, 'Initial Study'!B:B, 0)+2)))),INDEX('Initial Study'!K:K, MATCH(L409, 'Initial Study'!B:B, 0)+2),"-"),"-")</f>
        <v/>
      </c>
      <c r="AA409">
        <f>IF(S409="RE", Y409 &amp; "BT/" &amp; IF(Z409 &lt;&gt; "-", Z409 &amp; "BT", ""), IF(OR(S409="LTDR", S409="LTSR"), Y409 &amp; "BL" &amp; IF(Z409 &lt;&gt; "-", "/" &amp; Z409 &amp; "BT", ""), IF(OR(S409="RTDR", S409="RTSR"), Y409 &amp; "BR" &amp; IF(Z409 &lt;&gt; "-", "/" &amp; Z409 &amp; "BT", ""), IF(Z409 &lt;&gt; "-", Y409 &amp; "BT/" &amp; Z409 &amp; "BT", Y409 &amp; "BT"))))</f>
        <v/>
      </c>
    </row>
    <row r="410">
      <c r="A410" t="n">
        <v>0</v>
      </c>
      <c r="B410" t="inlineStr">
        <is>
          <t>SR 1001</t>
        </is>
      </c>
      <c r="C410" t="n">
        <v>1</v>
      </c>
      <c r="D410" t="inlineStr">
        <is>
          <t>E</t>
        </is>
      </c>
      <c r="E410" t="inlineStr">
        <is>
          <t>SR 1524</t>
        </is>
      </c>
      <c r="F410" t="inlineStr">
        <is>
          <t>SR 1007</t>
        </is>
      </c>
      <c r="G410" t="inlineStr">
        <is>
          <t>SR 1001</t>
        </is>
      </c>
      <c r="H410" t="n">
        <v>999.999</v>
      </c>
      <c r="I410" t="inlineStr">
        <is>
          <t>NIS</t>
        </is>
      </c>
      <c r="L410" t="n">
        <v>107177955</v>
      </c>
      <c r="M410" s="6" t="n">
        <v>44905</v>
      </c>
      <c r="N410" t="n">
        <v>21</v>
      </c>
      <c r="O410" t="n">
        <v>1</v>
      </c>
      <c r="P410" t="n">
        <v>0</v>
      </c>
      <c r="Q410" t="n">
        <v>1</v>
      </c>
      <c r="R410" t="inlineStr">
        <is>
          <t>O</t>
        </is>
      </c>
      <c r="S410">
        <f>IFERROR(VLOOKUP(N410,Index!$A$1:$B$26,2,FALSE),"")</f>
        <v/>
      </c>
      <c r="T410">
        <f>AA410</f>
        <v/>
      </c>
      <c r="V410">
        <f>IFERROR(INDEX(DetailedFiche!Q:Q,MATCH(L410,DetailedFiche!J:J,0)),"")</f>
        <v/>
      </c>
      <c r="W410">
        <f>IFERROR(INDEX(DetailedFiche!R:R,MATCH(L410,DetailedFiche!J:J,0)),"")</f>
        <v/>
      </c>
      <c r="Y410">
        <f>IFERROR(IF(AND(INDEX('Initial Study'!K:K, MATCH(L410, 'Initial Study'!B:B, 0)+1)&lt;&gt;0,INDEX('Initial Study'!K:K, MATCH(L410, 'Initial Study'!B:B, 0)+1)&lt;&gt;""),INDEX('Initial Study'!K:K, MATCH(L410, 'Initial Study'!B:B, 0)+1),""),"")</f>
        <v/>
      </c>
      <c r="Z410">
        <f>IFERROR(IF(AND(INDEX('Initial Study'!K:K, MATCH(L410, 'Initial Study'!B:B, 0)+2)&lt;&gt;0,INDEX('Initial Study'!K:K, MATCH(L410, 'Initial Study'!B:B, 0)+2)&lt;&gt;"",NOT(ISNUMBER(INDEX('Initial Study'!K:K, MATCH(L410, 'Initial Study'!B:B, 0)+2)))),INDEX('Initial Study'!K:K, MATCH(L410, 'Initial Study'!B:B, 0)+2),"-"),"-")</f>
        <v/>
      </c>
      <c r="AA410">
        <f>IF(S410="RE", Y410 &amp; "BT/" &amp; IF(Z410 &lt;&gt; "-", Z410 &amp; "BT", ""), IF(OR(S410="LTDR", S410="LTSR"), Y410 &amp; "BL" &amp; IF(Z410 &lt;&gt; "-", "/" &amp; Z410 &amp; "BT", ""), IF(OR(S410="RTDR", S410="RTSR"), Y410 &amp; "BR" &amp; IF(Z410 &lt;&gt; "-", "/" &amp; Z410 &amp; "BT", ""), IF(Z410 &lt;&gt; "-", Y410 &amp; "BT/" &amp; Z410 &amp; "BT", Y410 &amp; "BT"))))</f>
        <v/>
      </c>
    </row>
    <row r="411">
      <c r="A411" t="n">
        <v>558</v>
      </c>
      <c r="B411" t="inlineStr">
        <is>
          <t>SR 1001</t>
        </is>
      </c>
      <c r="C411" t="n">
        <v>0</v>
      </c>
      <c r="E411" t="inlineStr">
        <is>
          <t>SR 1547</t>
        </is>
      </c>
      <c r="F411" t="inlineStr">
        <is>
          <t>SR 1655</t>
        </is>
      </c>
      <c r="G411" t="inlineStr">
        <is>
          <t>SR 1001</t>
        </is>
      </c>
      <c r="H411" t="n">
        <v>999.999</v>
      </c>
      <c r="I411" t="inlineStr">
        <is>
          <t>NIS</t>
        </is>
      </c>
      <c r="L411" t="n">
        <v>105273256</v>
      </c>
      <c r="M411" s="6" t="n">
        <v>43035</v>
      </c>
      <c r="N411" t="n">
        <v>24</v>
      </c>
      <c r="O411" t="n">
        <v>1</v>
      </c>
      <c r="P411" t="n">
        <v>7</v>
      </c>
      <c r="Q411" t="n">
        <v>1</v>
      </c>
      <c r="R411" t="inlineStr">
        <is>
          <t>C</t>
        </is>
      </c>
      <c r="S411">
        <f>IFERROR(VLOOKUP(N411,Index!$A$1:$B$26,2,FALSE),"")</f>
        <v/>
      </c>
      <c r="T411">
        <f>AA411</f>
        <v/>
      </c>
      <c r="V411">
        <f>IFERROR(INDEX(DetailedFiche!Q:Q,MATCH(L411,DetailedFiche!J:J,0)),"")</f>
        <v/>
      </c>
      <c r="W411">
        <f>IFERROR(INDEX(DetailedFiche!R:R,MATCH(L411,DetailedFiche!J:J,0)),"")</f>
        <v/>
      </c>
      <c r="Y411">
        <f>IFERROR(IF(AND(INDEX('Initial Study'!K:K, MATCH(L411, 'Initial Study'!B:B, 0)+1)&lt;&gt;0,INDEX('Initial Study'!K:K, MATCH(L411, 'Initial Study'!B:B, 0)+1)&lt;&gt;""),INDEX('Initial Study'!K:K, MATCH(L411, 'Initial Study'!B:B, 0)+1),""),"")</f>
        <v/>
      </c>
      <c r="Z411">
        <f>IFERROR(IF(AND(INDEX('Initial Study'!K:K, MATCH(L411, 'Initial Study'!B:B, 0)+2)&lt;&gt;0,INDEX('Initial Study'!K:K, MATCH(L411, 'Initial Study'!B:B, 0)+2)&lt;&gt;"",NOT(ISNUMBER(INDEX('Initial Study'!K:K, MATCH(L411, 'Initial Study'!B:B, 0)+2)))),INDEX('Initial Study'!K:K, MATCH(L411, 'Initial Study'!B:B, 0)+2),"-"),"-")</f>
        <v/>
      </c>
      <c r="AA411">
        <f>IF(S411="RE", Y411 &amp; "BT/" &amp; IF(Z411 &lt;&gt; "-", Z411 &amp; "BT", ""), IF(OR(S411="LTDR", S411="LTSR"), Y411 &amp; "BL" &amp; IF(Z411 &lt;&gt; "-", "/" &amp; Z411 &amp; "BT", ""), IF(OR(S411="RTDR", S411="RTSR"), Y411 &amp; "BR" &amp; IF(Z411 &lt;&gt; "-", "/" &amp; Z411 &amp; "BT", ""), IF(Z411 &lt;&gt; "-", Y411 &amp; "BT/" &amp; Z411 &amp; "BT", Y411 &amp; "BT"))))</f>
        <v/>
      </c>
    </row>
    <row r="412">
      <c r="A412" t="n">
        <v>0</v>
      </c>
      <c r="B412" t="inlineStr">
        <is>
          <t>SR 1001</t>
        </is>
      </c>
      <c r="C412" t="n">
        <v>0.2</v>
      </c>
      <c r="D412" t="inlineStr">
        <is>
          <t>N</t>
        </is>
      </c>
      <c r="E412" t="inlineStr">
        <is>
          <t>SR 1547</t>
        </is>
      </c>
      <c r="F412" t="inlineStr">
        <is>
          <t>SR 1607</t>
        </is>
      </c>
      <c r="G412" t="inlineStr">
        <is>
          <t>SR 1001</t>
        </is>
      </c>
      <c r="H412" t="n">
        <v>999.999</v>
      </c>
      <c r="I412" t="inlineStr">
        <is>
          <t>NIS</t>
        </is>
      </c>
      <c r="L412" t="n">
        <v>108343169</v>
      </c>
      <c r="M412" s="6" t="n">
        <v>46002</v>
      </c>
      <c r="N412" t="n">
        <v>29</v>
      </c>
      <c r="O412" t="n">
        <v>1</v>
      </c>
      <c r="P412" t="n">
        <v>0</v>
      </c>
      <c r="Q412" t="n">
        <v>5</v>
      </c>
      <c r="R412" t="inlineStr">
        <is>
          <t>O</t>
        </is>
      </c>
      <c r="S412">
        <f>IFERROR(VLOOKUP(N412,Index!$A$1:$B$26,2,FALSE),"")</f>
        <v/>
      </c>
      <c r="T412">
        <f>AA412</f>
        <v/>
      </c>
      <c r="V412">
        <f>IFERROR(INDEX(DetailedFiche!Q:Q,MATCH(L412,DetailedFiche!J:J,0)),"")</f>
        <v/>
      </c>
      <c r="W412">
        <f>IFERROR(INDEX(DetailedFiche!R:R,MATCH(L412,DetailedFiche!J:J,0)),"")</f>
        <v/>
      </c>
      <c r="Y412">
        <f>IFERROR(IF(AND(INDEX('Initial Study'!K:K, MATCH(L412, 'Initial Study'!B:B, 0)+1)&lt;&gt;0,INDEX('Initial Study'!K:K, MATCH(L412, 'Initial Study'!B:B, 0)+1)&lt;&gt;""),INDEX('Initial Study'!K:K, MATCH(L412, 'Initial Study'!B:B, 0)+1),""),"")</f>
        <v/>
      </c>
      <c r="Z412">
        <f>IFERROR(IF(AND(INDEX('Initial Study'!K:K, MATCH(L412, 'Initial Study'!B:B, 0)+2)&lt;&gt;0,INDEX('Initial Study'!K:K, MATCH(L412, 'Initial Study'!B:B, 0)+2)&lt;&gt;"",NOT(ISNUMBER(INDEX('Initial Study'!K:K, MATCH(L412, 'Initial Study'!B:B, 0)+2)))),INDEX('Initial Study'!K:K, MATCH(L412, 'Initial Study'!B:B, 0)+2),"-"),"-")</f>
        <v/>
      </c>
      <c r="AA412">
        <f>IF(S412="RE", Y412 &amp; "BT/" &amp; IF(Z412 &lt;&gt; "-", Z412 &amp; "BT", ""), IF(OR(S412="LTDR", S412="LTSR"), Y412 &amp; "BL" &amp; IF(Z412 &lt;&gt; "-", "/" &amp; Z412 &amp; "BT", ""), IF(OR(S412="RTDR", S412="RTSR"), Y412 &amp; "BR" &amp; IF(Z412 &lt;&gt; "-", "/" &amp; Z412 &amp; "BT", ""), IF(Z412 &lt;&gt; "-", Y412 &amp; "BT/" &amp; Z412 &amp; "BT", Y412 &amp; "BT"))))</f>
        <v/>
      </c>
    </row>
    <row r="413">
      <c r="A413" t="n">
        <v>0</v>
      </c>
      <c r="B413" t="inlineStr">
        <is>
          <t>SR 1001</t>
        </is>
      </c>
      <c r="C413" t="n">
        <v>0</v>
      </c>
      <c r="E413" t="inlineStr">
        <is>
          <t>SR 1604</t>
        </is>
      </c>
      <c r="F413" t="inlineStr">
        <is>
          <t>SR 1547</t>
        </is>
      </c>
      <c r="G413" t="inlineStr">
        <is>
          <t>SR 1001</t>
        </is>
      </c>
      <c r="H413" t="n">
        <v>999.999</v>
      </c>
      <c r="I413" t="inlineStr">
        <is>
          <t>NIS</t>
        </is>
      </c>
      <c r="L413" t="n">
        <v>104914991</v>
      </c>
      <c r="M413" s="6" t="n">
        <v>42687</v>
      </c>
      <c r="N413" t="n">
        <v>17</v>
      </c>
      <c r="O413" t="n">
        <v>1</v>
      </c>
      <c r="P413" t="n">
        <v>0</v>
      </c>
      <c r="Q413" t="n">
        <v>1</v>
      </c>
      <c r="R413" t="inlineStr">
        <is>
          <t>O</t>
        </is>
      </c>
      <c r="S413">
        <f>IFERROR(VLOOKUP(N413,Index!$A$1:$B$26,2,FALSE),"")</f>
        <v/>
      </c>
      <c r="T413">
        <f>AA413</f>
        <v/>
      </c>
      <c r="V413">
        <f>IFERROR(INDEX(DetailedFiche!Q:Q,MATCH(L413,DetailedFiche!J:J,0)),"")</f>
        <v/>
      </c>
      <c r="W413">
        <f>IFERROR(INDEX(DetailedFiche!R:R,MATCH(L413,DetailedFiche!J:J,0)),"")</f>
        <v/>
      </c>
      <c r="Y413">
        <f>IFERROR(IF(AND(INDEX('Initial Study'!K:K, MATCH(L413, 'Initial Study'!B:B, 0)+1)&lt;&gt;0,INDEX('Initial Study'!K:K, MATCH(L413, 'Initial Study'!B:B, 0)+1)&lt;&gt;""),INDEX('Initial Study'!K:K, MATCH(L413, 'Initial Study'!B:B, 0)+1),""),"")</f>
        <v/>
      </c>
      <c r="Z413">
        <f>IFERROR(IF(AND(INDEX('Initial Study'!K:K, MATCH(L413, 'Initial Study'!B:B, 0)+2)&lt;&gt;0,INDEX('Initial Study'!K:K, MATCH(L413, 'Initial Study'!B:B, 0)+2)&lt;&gt;"",NOT(ISNUMBER(INDEX('Initial Study'!K:K, MATCH(L413, 'Initial Study'!B:B, 0)+2)))),INDEX('Initial Study'!K:K, MATCH(L413, 'Initial Study'!B:B, 0)+2),"-"),"-")</f>
        <v/>
      </c>
      <c r="AA413">
        <f>IF(S413="RE", Y413 &amp; "BT/" &amp; IF(Z413 &lt;&gt; "-", Z413 &amp; "BT", ""), IF(OR(S413="LTDR", S413="LTSR"), Y413 &amp; "BL" &amp; IF(Z413 &lt;&gt; "-", "/" &amp; Z413 &amp; "BT", ""), IF(OR(S413="RTDR", S413="RTSR"), Y413 &amp; "BR" &amp; IF(Z413 &lt;&gt; "-", "/" &amp; Z413 &amp; "BT", ""), IF(Z413 &lt;&gt; "-", Y413 &amp; "BT/" &amp; Z413 &amp; "BT", Y413 &amp; "BT"))))</f>
        <v/>
      </c>
    </row>
    <row r="414">
      <c r="A414" t="n">
        <v>0</v>
      </c>
      <c r="B414" t="inlineStr">
        <is>
          <t>SR 1001</t>
        </is>
      </c>
      <c r="C414" t="n">
        <v>0</v>
      </c>
      <c r="E414" t="inlineStr">
        <is>
          <t>SR 1607</t>
        </is>
      </c>
      <c r="F414" t="inlineStr">
        <is>
          <t>SR 1604</t>
        </is>
      </c>
      <c r="G414" t="inlineStr">
        <is>
          <t>SR 1001</t>
        </is>
      </c>
      <c r="H414" t="n">
        <v>999.999</v>
      </c>
      <c r="I414" t="inlineStr">
        <is>
          <t>NIS</t>
        </is>
      </c>
      <c r="L414" t="n">
        <v>108506936</v>
      </c>
      <c r="M414" s="6" t="n">
        <v>46161</v>
      </c>
      <c r="N414" t="n">
        <v>24</v>
      </c>
      <c r="O414" t="n">
        <v>1</v>
      </c>
      <c r="P414" t="n">
        <v>8</v>
      </c>
      <c r="Q414" t="n">
        <v>1</v>
      </c>
      <c r="R414" t="inlineStr">
        <is>
          <t>O</t>
        </is>
      </c>
      <c r="S414">
        <f>IFERROR(VLOOKUP(N414,Index!$A$1:$B$26,2,FALSE),"")</f>
        <v/>
      </c>
      <c r="T414">
        <f>AA414</f>
        <v/>
      </c>
      <c r="V414">
        <f>IFERROR(INDEX(DetailedFiche!Q:Q,MATCH(L414,DetailedFiche!J:J,0)),"")</f>
        <v/>
      </c>
      <c r="W414">
        <f>IFERROR(INDEX(DetailedFiche!R:R,MATCH(L414,DetailedFiche!J:J,0)),"")</f>
        <v/>
      </c>
      <c r="Y414">
        <f>IFERROR(IF(AND(INDEX('Initial Study'!K:K, MATCH(L414, 'Initial Study'!B:B, 0)+1)&lt;&gt;0,INDEX('Initial Study'!K:K, MATCH(L414, 'Initial Study'!B:B, 0)+1)&lt;&gt;""),INDEX('Initial Study'!K:K, MATCH(L414, 'Initial Study'!B:B, 0)+1),""),"")</f>
        <v/>
      </c>
      <c r="Z414">
        <f>IFERROR(IF(AND(INDEX('Initial Study'!K:K, MATCH(L414, 'Initial Study'!B:B, 0)+2)&lt;&gt;0,INDEX('Initial Study'!K:K, MATCH(L414, 'Initial Study'!B:B, 0)+2)&lt;&gt;"",NOT(ISNUMBER(INDEX('Initial Study'!K:K, MATCH(L414, 'Initial Study'!B:B, 0)+2)))),INDEX('Initial Study'!K:K, MATCH(L414, 'Initial Study'!B:B, 0)+2),"-"),"-")</f>
        <v/>
      </c>
      <c r="AA414">
        <f>IF(S414="RE", Y414 &amp; "BT/" &amp; IF(Z414 &lt;&gt; "-", Z414 &amp; "BT", ""), IF(OR(S414="LTDR", S414="LTSR"), Y414 &amp; "BL" &amp; IF(Z414 &lt;&gt; "-", "/" &amp; Z414 &amp; "BT", ""), IF(OR(S414="RTDR", S414="RTSR"), Y414 &amp; "BR" &amp; IF(Z414 &lt;&gt; "-", "/" &amp; Z414 &amp; "BT", ""), IF(Z414 &lt;&gt; "-", Y414 &amp; "BT/" &amp; Z414 &amp; "BT", Y414 &amp; "BT"))))</f>
        <v/>
      </c>
    </row>
    <row r="415">
      <c r="A415" t="n">
        <v>558</v>
      </c>
      <c r="B415" t="inlineStr">
        <is>
          <t>SR 1001</t>
        </is>
      </c>
      <c r="C415" t="n">
        <v>0.1</v>
      </c>
      <c r="D415" t="inlineStr">
        <is>
          <t>S</t>
        </is>
      </c>
      <c r="E415" t="inlineStr">
        <is>
          <t>SR 1610</t>
        </is>
      </c>
      <c r="F415" t="inlineStr">
        <is>
          <t>SR 1601</t>
        </is>
      </c>
      <c r="G415" t="inlineStr">
        <is>
          <t>SR 1001</t>
        </is>
      </c>
      <c r="H415" t="n">
        <v>999.999</v>
      </c>
      <c r="I415" t="inlineStr">
        <is>
          <t>NIS</t>
        </is>
      </c>
      <c r="L415" t="n">
        <v>104726807</v>
      </c>
      <c r="M415" s="6" t="n">
        <v>42498</v>
      </c>
      <c r="N415" t="n">
        <v>23</v>
      </c>
      <c r="O415" t="n">
        <v>1</v>
      </c>
      <c r="P415" t="n">
        <v>5</v>
      </c>
      <c r="Q415" t="n">
        <v>5</v>
      </c>
      <c r="R415" t="inlineStr">
        <is>
          <t>A</t>
        </is>
      </c>
      <c r="S415">
        <f>IFERROR(VLOOKUP(N415,Index!$A$1:$B$26,2,FALSE),"")</f>
        <v/>
      </c>
      <c r="T415">
        <f>AA415</f>
        <v/>
      </c>
      <c r="V415">
        <f>IFERROR(INDEX(DetailedFiche!Q:Q,MATCH(L415,DetailedFiche!J:J,0)),"")</f>
        <v/>
      </c>
      <c r="W415">
        <f>IFERROR(INDEX(DetailedFiche!R:R,MATCH(L415,DetailedFiche!J:J,0)),"")</f>
        <v/>
      </c>
      <c r="Y415">
        <f>IFERROR(IF(AND(INDEX('Initial Study'!K:K, MATCH(L415, 'Initial Study'!B:B, 0)+1)&lt;&gt;0,INDEX('Initial Study'!K:K, MATCH(L415, 'Initial Study'!B:B, 0)+1)&lt;&gt;""),INDEX('Initial Study'!K:K, MATCH(L415, 'Initial Study'!B:B, 0)+1),""),"")</f>
        <v/>
      </c>
      <c r="Z415">
        <f>IFERROR(IF(AND(INDEX('Initial Study'!K:K, MATCH(L415, 'Initial Study'!B:B, 0)+2)&lt;&gt;0,INDEX('Initial Study'!K:K, MATCH(L415, 'Initial Study'!B:B, 0)+2)&lt;&gt;"",NOT(ISNUMBER(INDEX('Initial Study'!K:K, MATCH(L415, 'Initial Study'!B:B, 0)+2)))),INDEX('Initial Study'!K:K, MATCH(L415, 'Initial Study'!B:B, 0)+2),"-"),"-")</f>
        <v/>
      </c>
      <c r="AA415">
        <f>IF(S415="RE", Y415 &amp; "BT/" &amp; IF(Z415 &lt;&gt; "-", Z415 &amp; "BT", ""), IF(OR(S415="LTDR", S415="LTSR"), Y415 &amp; "BL" &amp; IF(Z415 &lt;&gt; "-", "/" &amp; Z415 &amp; "BT", ""), IF(OR(S415="RTDR", S415="RTSR"), Y415 &amp; "BR" &amp; IF(Z415 &lt;&gt; "-", "/" &amp; Z415 &amp; "BT", ""), IF(Z415 &lt;&gt; "-", Y415 &amp; "BT/" &amp; Z415 &amp; "BT", Y415 &amp; "BT"))))</f>
        <v/>
      </c>
    </row>
    <row r="416">
      <c r="A416" t="n">
        <v>0</v>
      </c>
      <c r="B416" t="inlineStr">
        <is>
          <t>SR 1001</t>
        </is>
      </c>
      <c r="C416" t="n">
        <v>0.1</v>
      </c>
      <c r="D416" t="inlineStr">
        <is>
          <t>S</t>
        </is>
      </c>
      <c r="E416" t="inlineStr">
        <is>
          <t>SR 1610</t>
        </is>
      </c>
      <c r="F416" t="inlineStr">
        <is>
          <t>SR 1655</t>
        </is>
      </c>
      <c r="G416" t="inlineStr">
        <is>
          <t>SR 1001</t>
        </is>
      </c>
      <c r="H416" t="n">
        <v>999.999</v>
      </c>
      <c r="I416" t="inlineStr">
        <is>
          <t>NIS</t>
        </is>
      </c>
      <c r="L416" t="n">
        <v>106078976</v>
      </c>
      <c r="M416" s="6" t="n">
        <v>43799</v>
      </c>
      <c r="N416" t="n">
        <v>17</v>
      </c>
      <c r="O416" t="n">
        <v>1</v>
      </c>
      <c r="P416" t="n">
        <v>0</v>
      </c>
      <c r="Q416" t="n">
        <v>5</v>
      </c>
      <c r="R416" t="inlineStr">
        <is>
          <t>O</t>
        </is>
      </c>
      <c r="S416">
        <f>IFERROR(VLOOKUP(N416,Index!$A$1:$B$26,2,FALSE),"")</f>
        <v/>
      </c>
      <c r="T416">
        <f>AA416</f>
        <v/>
      </c>
      <c r="V416">
        <f>IFERROR(INDEX(DetailedFiche!Q:Q,MATCH(L416,DetailedFiche!J:J,0)),"")</f>
        <v/>
      </c>
      <c r="W416">
        <f>IFERROR(INDEX(DetailedFiche!R:R,MATCH(L416,DetailedFiche!J:J,0)),"")</f>
        <v/>
      </c>
      <c r="Y416">
        <f>IFERROR(IF(AND(INDEX('Initial Study'!K:K, MATCH(L416, 'Initial Study'!B:B, 0)+1)&lt;&gt;0,INDEX('Initial Study'!K:K, MATCH(L416, 'Initial Study'!B:B, 0)+1)&lt;&gt;""),INDEX('Initial Study'!K:K, MATCH(L416, 'Initial Study'!B:B, 0)+1),""),"")</f>
        <v/>
      </c>
      <c r="Z416">
        <f>IFERROR(IF(AND(INDEX('Initial Study'!K:K, MATCH(L416, 'Initial Study'!B:B, 0)+2)&lt;&gt;0,INDEX('Initial Study'!K:K, MATCH(L416, 'Initial Study'!B:B, 0)+2)&lt;&gt;"",NOT(ISNUMBER(INDEX('Initial Study'!K:K, MATCH(L416, 'Initial Study'!B:B, 0)+2)))),INDEX('Initial Study'!K:K, MATCH(L416, 'Initial Study'!B:B, 0)+2),"-"),"-")</f>
        <v/>
      </c>
      <c r="AA416">
        <f>IF(S416="RE", Y416 &amp; "BT/" &amp; IF(Z416 &lt;&gt; "-", Z416 &amp; "BT", ""), IF(OR(S416="LTDR", S416="LTSR"), Y416 &amp; "BL" &amp; IF(Z416 &lt;&gt; "-", "/" &amp; Z416 &amp; "BT", ""), IF(OR(S416="RTDR", S416="RTSR"), Y416 &amp; "BR" &amp; IF(Z416 &lt;&gt; "-", "/" &amp; Z416 &amp; "BT", ""), IF(Z416 &lt;&gt; "-", Y416 &amp; "BT/" &amp; Z416 &amp; "BT", Y416 &amp; "BT"))))</f>
        <v/>
      </c>
    </row>
    <row r="417">
      <c r="A417" t="n">
        <v>558</v>
      </c>
      <c r="B417" t="inlineStr">
        <is>
          <t>SR 1001</t>
        </is>
      </c>
      <c r="C417" t="n">
        <v>0.2</v>
      </c>
      <c r="D417" t="inlineStr">
        <is>
          <t>S</t>
        </is>
      </c>
      <c r="E417" t="inlineStr">
        <is>
          <t>SR 1610</t>
        </is>
      </c>
      <c r="F417" t="inlineStr">
        <is>
          <t>SR 1654</t>
        </is>
      </c>
      <c r="G417" t="inlineStr">
        <is>
          <t>SR 1001</t>
        </is>
      </c>
      <c r="H417" t="n">
        <v>999.999</v>
      </c>
      <c r="I417" t="inlineStr">
        <is>
          <t>NIS</t>
        </is>
      </c>
      <c r="L417" t="n">
        <v>105363575</v>
      </c>
      <c r="M417" s="6" t="n">
        <v>43124</v>
      </c>
      <c r="N417" t="n">
        <v>29</v>
      </c>
      <c r="O417" t="n">
        <v>1</v>
      </c>
      <c r="P417" t="n">
        <v>0</v>
      </c>
      <c r="Q417" t="n">
        <v>5</v>
      </c>
      <c r="R417" t="inlineStr">
        <is>
          <t>O</t>
        </is>
      </c>
      <c r="S417">
        <f>IFERROR(VLOOKUP(N417,Index!$A$1:$B$26,2,FALSE),"")</f>
        <v/>
      </c>
      <c r="T417">
        <f>AA417</f>
        <v/>
      </c>
      <c r="V417">
        <f>IFERROR(INDEX(DetailedFiche!Q:Q,MATCH(L417,DetailedFiche!J:J,0)),"")</f>
        <v/>
      </c>
      <c r="W417">
        <f>IFERROR(INDEX(DetailedFiche!R:R,MATCH(L417,DetailedFiche!J:J,0)),"")</f>
        <v/>
      </c>
      <c r="Y417">
        <f>IFERROR(IF(AND(INDEX('Initial Study'!K:K, MATCH(L417, 'Initial Study'!B:B, 0)+1)&lt;&gt;0,INDEX('Initial Study'!K:K, MATCH(L417, 'Initial Study'!B:B, 0)+1)&lt;&gt;""),INDEX('Initial Study'!K:K, MATCH(L417, 'Initial Study'!B:B, 0)+1),""),"")</f>
        <v/>
      </c>
      <c r="Z417">
        <f>IFERROR(IF(AND(INDEX('Initial Study'!K:K, MATCH(L417, 'Initial Study'!B:B, 0)+2)&lt;&gt;0,INDEX('Initial Study'!K:K, MATCH(L417, 'Initial Study'!B:B, 0)+2)&lt;&gt;"",NOT(ISNUMBER(INDEX('Initial Study'!K:K, MATCH(L417, 'Initial Study'!B:B, 0)+2)))),INDEX('Initial Study'!K:K, MATCH(L417, 'Initial Study'!B:B, 0)+2),"-"),"-")</f>
        <v/>
      </c>
      <c r="AA417">
        <f>IF(S417="RE", Y417 &amp; "BT/" &amp; IF(Z417 &lt;&gt; "-", Z417 &amp; "BT", ""), IF(OR(S417="LTDR", S417="LTSR"), Y417 &amp; "BL" &amp; IF(Z417 &lt;&gt; "-", "/" &amp; Z417 &amp; "BT", ""), IF(OR(S417="RTDR", S417="RTSR"), Y417 &amp; "BR" &amp; IF(Z417 &lt;&gt; "-", "/" &amp; Z417 &amp; "BT", ""), IF(Z417 &lt;&gt; "-", Y417 &amp; "BT/" &amp; Z417 &amp; "BT", Y417 &amp; "BT"))))</f>
        <v/>
      </c>
    </row>
    <row r="418">
      <c r="A418" t="n">
        <v>0</v>
      </c>
      <c r="B418" t="inlineStr">
        <is>
          <t>SR 1001</t>
        </is>
      </c>
      <c r="C418" t="n">
        <v>0.057</v>
      </c>
      <c r="D418" t="inlineStr">
        <is>
          <t>S</t>
        </is>
      </c>
      <c r="E418" t="inlineStr">
        <is>
          <t>SR 1611</t>
        </is>
      </c>
      <c r="F418" t="inlineStr">
        <is>
          <t>SR 1615</t>
        </is>
      </c>
      <c r="G418" t="inlineStr">
        <is>
          <t>SR 1001</t>
        </is>
      </c>
      <c r="H418" t="n">
        <v>999.999</v>
      </c>
      <c r="I418" t="inlineStr">
        <is>
          <t>NIS</t>
        </is>
      </c>
      <c r="L418" t="n">
        <v>106496450</v>
      </c>
      <c r="M418" s="6" t="n">
        <v>44249</v>
      </c>
      <c r="N418" t="n">
        <v>17</v>
      </c>
      <c r="O418" t="n">
        <v>1</v>
      </c>
      <c r="P418" t="n">
        <v>0</v>
      </c>
      <c r="Q418" t="n">
        <v>1</v>
      </c>
      <c r="R418" t="inlineStr">
        <is>
          <t>O</t>
        </is>
      </c>
      <c r="S418">
        <f>IFERROR(VLOOKUP(N418,Index!$A$1:$B$26,2,FALSE),"")</f>
        <v/>
      </c>
      <c r="T418">
        <f>AA418</f>
        <v/>
      </c>
      <c r="V418">
        <f>IFERROR(INDEX(DetailedFiche!Q:Q,MATCH(L418,DetailedFiche!J:J,0)),"")</f>
        <v/>
      </c>
      <c r="W418">
        <f>IFERROR(INDEX(DetailedFiche!R:R,MATCH(L418,DetailedFiche!J:J,0)),"")</f>
        <v/>
      </c>
      <c r="Y418">
        <f>IFERROR(IF(AND(INDEX('Initial Study'!K:K, MATCH(L418, 'Initial Study'!B:B, 0)+1)&lt;&gt;0,INDEX('Initial Study'!K:K, MATCH(L418, 'Initial Study'!B:B, 0)+1)&lt;&gt;""),INDEX('Initial Study'!K:K, MATCH(L418, 'Initial Study'!B:B, 0)+1),""),"")</f>
        <v/>
      </c>
      <c r="Z418">
        <f>IFERROR(IF(AND(INDEX('Initial Study'!K:K, MATCH(L418, 'Initial Study'!B:B, 0)+2)&lt;&gt;0,INDEX('Initial Study'!K:K, MATCH(L418, 'Initial Study'!B:B, 0)+2)&lt;&gt;"",NOT(ISNUMBER(INDEX('Initial Study'!K:K, MATCH(L418, 'Initial Study'!B:B, 0)+2)))),INDEX('Initial Study'!K:K, MATCH(L418, 'Initial Study'!B:B, 0)+2),"-"),"-")</f>
        <v/>
      </c>
      <c r="AA418">
        <f>IF(S418="RE", Y418 &amp; "BT/" &amp; IF(Z418 &lt;&gt; "-", Z418 &amp; "BT", ""), IF(OR(S418="LTDR", S418="LTSR"), Y418 &amp; "BL" &amp; IF(Z418 &lt;&gt; "-", "/" &amp; Z418 &amp; "BT", ""), IF(OR(S418="RTDR", S418="RTSR"), Y418 &amp; "BR" &amp; IF(Z418 &lt;&gt; "-", "/" &amp; Z418 &amp; "BT", ""), IF(Z418 &lt;&gt; "-", Y418 &amp; "BT/" &amp; Z418 &amp; "BT", Y418 &amp; "BT"))))</f>
        <v/>
      </c>
    </row>
    <row r="419">
      <c r="A419" t="n">
        <v>558</v>
      </c>
      <c r="B419" t="inlineStr">
        <is>
          <t>SR 1001</t>
        </is>
      </c>
      <c r="C419" t="n">
        <v>0.1</v>
      </c>
      <c r="D419" t="inlineStr">
        <is>
          <t>N</t>
        </is>
      </c>
      <c r="E419" t="inlineStr">
        <is>
          <t>SR 1628</t>
        </is>
      </c>
      <c r="F419" t="inlineStr">
        <is>
          <t>SR 1631</t>
        </is>
      </c>
      <c r="G419" t="inlineStr">
        <is>
          <t>SR 1001</t>
        </is>
      </c>
      <c r="H419" t="n">
        <v>999.999</v>
      </c>
      <c r="I419" t="inlineStr">
        <is>
          <t>NIS</t>
        </is>
      </c>
      <c r="L419" t="n">
        <v>105062524</v>
      </c>
      <c r="M419" s="6" t="n">
        <v>42828</v>
      </c>
      <c r="N419" t="n">
        <v>30</v>
      </c>
      <c r="O419" t="n">
        <v>2</v>
      </c>
      <c r="P419" t="n">
        <v>0</v>
      </c>
      <c r="Q419" t="n">
        <v>1</v>
      </c>
      <c r="R419" t="inlineStr">
        <is>
          <t>C</t>
        </is>
      </c>
      <c r="S419">
        <f>IFERROR(VLOOKUP(N419,Index!$A$1:$B$26,2,FALSE),"")</f>
        <v/>
      </c>
      <c r="T419">
        <f>AA419</f>
        <v/>
      </c>
      <c r="V419">
        <f>IFERROR(INDEX(DetailedFiche!Q:Q,MATCH(L419,DetailedFiche!J:J,0)),"")</f>
        <v/>
      </c>
      <c r="W419">
        <f>IFERROR(INDEX(DetailedFiche!R:R,MATCH(L419,DetailedFiche!J:J,0)),"")</f>
        <v/>
      </c>
      <c r="Y419">
        <f>IFERROR(IF(AND(INDEX('Initial Study'!K:K, MATCH(L419, 'Initial Study'!B:B, 0)+1)&lt;&gt;0,INDEX('Initial Study'!K:K, MATCH(L419, 'Initial Study'!B:B, 0)+1)&lt;&gt;""),INDEX('Initial Study'!K:K, MATCH(L419, 'Initial Study'!B:B, 0)+1),""),"")</f>
        <v/>
      </c>
      <c r="Z419">
        <f>IFERROR(IF(AND(INDEX('Initial Study'!K:K, MATCH(L419, 'Initial Study'!B:B, 0)+2)&lt;&gt;0,INDEX('Initial Study'!K:K, MATCH(L419, 'Initial Study'!B:B, 0)+2)&lt;&gt;"",NOT(ISNUMBER(INDEX('Initial Study'!K:K, MATCH(L419, 'Initial Study'!B:B, 0)+2)))),INDEX('Initial Study'!K:K, MATCH(L419, 'Initial Study'!B:B, 0)+2),"-"),"-")</f>
        <v/>
      </c>
      <c r="AA419">
        <f>IF(S419="RE", Y419 &amp; "BT/" &amp; IF(Z419 &lt;&gt; "-", Z419 &amp; "BT", ""), IF(OR(S419="LTDR", S419="LTSR"), Y419 &amp; "BL" &amp; IF(Z419 &lt;&gt; "-", "/" &amp; Z419 &amp; "BT", ""), IF(OR(S419="RTDR", S419="RTSR"), Y419 &amp; "BR" &amp; IF(Z419 &lt;&gt; "-", "/" &amp; Z419 &amp; "BT", ""), IF(Z419 &lt;&gt; "-", Y419 &amp; "BT/" &amp; Z419 &amp; "BT", Y419 &amp; "BT"))))</f>
        <v/>
      </c>
    </row>
    <row r="420">
      <c r="A420" t="n">
        <v>558</v>
      </c>
      <c r="B420" t="inlineStr">
        <is>
          <t>SR 1001</t>
        </is>
      </c>
      <c r="C420" t="n">
        <v>0.2</v>
      </c>
      <c r="D420" t="inlineStr">
        <is>
          <t>N</t>
        </is>
      </c>
      <c r="E420" t="inlineStr">
        <is>
          <t>SR 1678</t>
        </is>
      </c>
      <c r="F420" t="inlineStr">
        <is>
          <t>SR 1676</t>
        </is>
      </c>
      <c r="G420" t="inlineStr">
        <is>
          <t>SR 1001</t>
        </is>
      </c>
      <c r="H420" t="n">
        <v>999.999</v>
      </c>
      <c r="I420" t="inlineStr">
        <is>
          <t>NIS</t>
        </is>
      </c>
      <c r="L420" t="n">
        <v>105623790</v>
      </c>
      <c r="M420" s="6" t="n">
        <v>43370</v>
      </c>
      <c r="N420" t="n">
        <v>26</v>
      </c>
      <c r="O420" t="n">
        <v>1</v>
      </c>
      <c r="P420" t="n">
        <v>0</v>
      </c>
      <c r="Q420" t="n">
        <v>1</v>
      </c>
      <c r="R420" t="inlineStr">
        <is>
          <t>O</t>
        </is>
      </c>
      <c r="S420">
        <f>IFERROR(VLOOKUP(N420,Index!$A$1:$B$26,2,FALSE),"")</f>
        <v/>
      </c>
      <c r="T420">
        <f>AA420</f>
        <v/>
      </c>
      <c r="V420">
        <f>IFERROR(INDEX(DetailedFiche!Q:Q,MATCH(L420,DetailedFiche!J:J,0)),"")</f>
        <v/>
      </c>
      <c r="W420">
        <f>IFERROR(INDEX(DetailedFiche!R:R,MATCH(L420,DetailedFiche!J:J,0)),"")</f>
        <v/>
      </c>
      <c r="Y420">
        <f>IFERROR(IF(AND(INDEX('Initial Study'!K:K, MATCH(L420, 'Initial Study'!B:B, 0)+1)&lt;&gt;0,INDEX('Initial Study'!K:K, MATCH(L420, 'Initial Study'!B:B, 0)+1)&lt;&gt;""),INDEX('Initial Study'!K:K, MATCH(L420, 'Initial Study'!B:B, 0)+1),""),"")</f>
        <v/>
      </c>
      <c r="Z420">
        <f>IFERROR(IF(AND(INDEX('Initial Study'!K:K, MATCH(L420, 'Initial Study'!B:B, 0)+2)&lt;&gt;0,INDEX('Initial Study'!K:K, MATCH(L420, 'Initial Study'!B:B, 0)+2)&lt;&gt;"",NOT(ISNUMBER(INDEX('Initial Study'!K:K, MATCH(L420, 'Initial Study'!B:B, 0)+2)))),INDEX('Initial Study'!K:K, MATCH(L420, 'Initial Study'!B:B, 0)+2),"-"),"-")</f>
        <v/>
      </c>
      <c r="AA420">
        <f>IF(S420="RE", Y420 &amp; "BT/" &amp; IF(Z420 &lt;&gt; "-", Z420 &amp; "BT", ""), IF(OR(S420="LTDR", S420="LTSR"), Y420 &amp; "BL" &amp; IF(Z420 &lt;&gt; "-", "/" &amp; Z420 &amp; "BT", ""), IF(OR(S420="RTDR", S420="RTSR"), Y420 &amp; "BR" &amp; IF(Z420 &lt;&gt; "-", "/" &amp; Z420 &amp; "BT", ""), IF(Z420 &lt;&gt; "-", Y420 &amp; "BT/" &amp; Z420 &amp; "BT", Y420 &amp; "BT"))))</f>
        <v/>
      </c>
    </row>
    <row r="421">
      <c r="A421" t="n">
        <v>558</v>
      </c>
      <c r="B421" t="inlineStr">
        <is>
          <t>SR 1001</t>
        </is>
      </c>
      <c r="C421" t="n">
        <v>0.3</v>
      </c>
      <c r="D421" t="inlineStr">
        <is>
          <t>N</t>
        </is>
      </c>
      <c r="E421" t="inlineStr">
        <is>
          <t>SR 1678</t>
        </is>
      </c>
      <c r="F421" t="inlineStr">
        <is>
          <t>SR 1615</t>
        </is>
      </c>
      <c r="G421" t="inlineStr">
        <is>
          <t>SR 1001</t>
        </is>
      </c>
      <c r="H421" t="n">
        <v>999.999</v>
      </c>
      <c r="I421" t="inlineStr">
        <is>
          <t>NIS</t>
        </is>
      </c>
      <c r="L421" t="n">
        <v>104835188</v>
      </c>
      <c r="M421" s="6" t="n">
        <v>42613</v>
      </c>
      <c r="N421" t="n">
        <v>29</v>
      </c>
      <c r="O421" t="n">
        <v>1</v>
      </c>
      <c r="P421" t="n">
        <v>0</v>
      </c>
      <c r="Q421" t="n">
        <v>1</v>
      </c>
      <c r="R421" t="inlineStr">
        <is>
          <t>O</t>
        </is>
      </c>
      <c r="S421">
        <f>IFERROR(VLOOKUP(N421,Index!$A$1:$B$26,2,FALSE),"")</f>
        <v/>
      </c>
      <c r="T421">
        <f>AA421</f>
        <v/>
      </c>
      <c r="V421">
        <f>IFERROR(INDEX(DetailedFiche!Q:Q,MATCH(L421,DetailedFiche!J:J,0)),"")</f>
        <v/>
      </c>
      <c r="W421">
        <f>IFERROR(INDEX(DetailedFiche!R:R,MATCH(L421,DetailedFiche!J:J,0)),"")</f>
        <v/>
      </c>
      <c r="Y421">
        <f>IFERROR(IF(AND(INDEX('Initial Study'!K:K, MATCH(L421, 'Initial Study'!B:B, 0)+1)&lt;&gt;0,INDEX('Initial Study'!K:K, MATCH(L421, 'Initial Study'!B:B, 0)+1)&lt;&gt;""),INDEX('Initial Study'!K:K, MATCH(L421, 'Initial Study'!B:B, 0)+1),""),"")</f>
        <v/>
      </c>
      <c r="Z421">
        <f>IFERROR(IF(AND(INDEX('Initial Study'!K:K, MATCH(L421, 'Initial Study'!B:B, 0)+2)&lt;&gt;0,INDEX('Initial Study'!K:K, MATCH(L421, 'Initial Study'!B:B, 0)+2)&lt;&gt;"",NOT(ISNUMBER(INDEX('Initial Study'!K:K, MATCH(L421, 'Initial Study'!B:B, 0)+2)))),INDEX('Initial Study'!K:K, MATCH(L421, 'Initial Study'!B:B, 0)+2),"-"),"-")</f>
        <v/>
      </c>
      <c r="AA421">
        <f>IF(S421="RE", Y421 &amp; "BT/" &amp; IF(Z421 &lt;&gt; "-", Z421 &amp; "BT", ""), IF(OR(S421="LTDR", S421="LTSR"), Y421 &amp; "BL" &amp; IF(Z421 &lt;&gt; "-", "/" &amp; Z421 &amp; "BT", ""), IF(OR(S421="RTDR", S421="RTSR"), Y421 &amp; "BR" &amp; IF(Z421 &lt;&gt; "-", "/" &amp; Z421 &amp; "BT", ""), IF(Z421 &lt;&gt; "-", Y421 &amp; "BT/" &amp; Z421 &amp; "BT", Y421 &amp; "BT"))))</f>
        <v/>
      </c>
    </row>
    <row r="422">
      <c r="A422" t="n">
        <v>558</v>
      </c>
      <c r="B422" t="inlineStr">
        <is>
          <t>SR 1001</t>
        </is>
      </c>
      <c r="C422" t="n">
        <v>0.3</v>
      </c>
      <c r="D422" t="inlineStr">
        <is>
          <t>S</t>
        </is>
      </c>
      <c r="E422" t="inlineStr">
        <is>
          <t>SR 1678</t>
        </is>
      </c>
      <c r="F422" t="inlineStr">
        <is>
          <t>SR 1618</t>
        </is>
      </c>
      <c r="G422" t="inlineStr">
        <is>
          <t>SR 1001</t>
        </is>
      </c>
      <c r="H422" t="n">
        <v>999.999</v>
      </c>
      <c r="I422" t="inlineStr">
        <is>
          <t>NIS</t>
        </is>
      </c>
      <c r="L422" t="n">
        <v>106458989</v>
      </c>
      <c r="M422" s="6" t="n">
        <v>44188</v>
      </c>
      <c r="N422" t="n">
        <v>19</v>
      </c>
      <c r="O422" t="n">
        <v>1</v>
      </c>
      <c r="P422" t="n">
        <v>0</v>
      </c>
      <c r="Q422" t="n">
        <v>1</v>
      </c>
      <c r="R422" t="inlineStr">
        <is>
          <t>O</t>
        </is>
      </c>
      <c r="S422">
        <f>IFERROR(VLOOKUP(N422,Index!$A$1:$B$26,2,FALSE),"")</f>
        <v/>
      </c>
      <c r="T422">
        <f>AA422</f>
        <v/>
      </c>
      <c r="V422">
        <f>IFERROR(INDEX(DetailedFiche!Q:Q,MATCH(L422,DetailedFiche!J:J,0)),"")</f>
        <v/>
      </c>
      <c r="W422">
        <f>IFERROR(INDEX(DetailedFiche!R:R,MATCH(L422,DetailedFiche!J:J,0)),"")</f>
        <v/>
      </c>
      <c r="Y422">
        <f>IFERROR(IF(AND(INDEX('Initial Study'!K:K, MATCH(L422, 'Initial Study'!B:B, 0)+1)&lt;&gt;0,INDEX('Initial Study'!K:K, MATCH(L422, 'Initial Study'!B:B, 0)+1)&lt;&gt;""),INDEX('Initial Study'!K:K, MATCH(L422, 'Initial Study'!B:B, 0)+1),""),"")</f>
        <v/>
      </c>
      <c r="Z422">
        <f>IFERROR(IF(AND(INDEX('Initial Study'!K:K, MATCH(L422, 'Initial Study'!B:B, 0)+2)&lt;&gt;0,INDEX('Initial Study'!K:K, MATCH(L422, 'Initial Study'!B:B, 0)+2)&lt;&gt;"",NOT(ISNUMBER(INDEX('Initial Study'!K:K, MATCH(L422, 'Initial Study'!B:B, 0)+2)))),INDEX('Initial Study'!K:K, MATCH(L422, 'Initial Study'!B:B, 0)+2),"-"),"-")</f>
        <v/>
      </c>
      <c r="AA422">
        <f>IF(S422="RE", Y422 &amp; "BT/" &amp; IF(Z422 &lt;&gt; "-", Z422 &amp; "BT", ""), IF(OR(S422="LTDR", S422="LTSR"), Y422 &amp; "BL" &amp; IF(Z422 &lt;&gt; "-", "/" &amp; Z422 &amp; "BT", ""), IF(OR(S422="RTDR", S422="RTSR"), Y422 &amp; "BR" &amp; IF(Z422 &lt;&gt; "-", "/" &amp; Z422 &amp; "BT", ""), IF(Z422 &lt;&gt; "-", Y422 &amp; "BT/" &amp; Z422 &amp; "BT", Y422 &amp; "BT"))))</f>
        <v/>
      </c>
    </row>
    <row r="423">
      <c r="A423" t="n">
        <v>558</v>
      </c>
      <c r="B423" t="inlineStr">
        <is>
          <t>SR 1001</t>
        </is>
      </c>
      <c r="C423" t="n">
        <v>0.2</v>
      </c>
      <c r="D423" t="inlineStr">
        <is>
          <t>N</t>
        </is>
      </c>
      <c r="E423" t="inlineStr">
        <is>
          <t>SR 1688</t>
        </is>
      </c>
      <c r="F423" t="inlineStr">
        <is>
          <t>SR 1674</t>
        </is>
      </c>
      <c r="G423" t="inlineStr">
        <is>
          <t>SR 1001</t>
        </is>
      </c>
      <c r="H423" t="n">
        <v>999.999</v>
      </c>
      <c r="I423" t="inlineStr">
        <is>
          <t>NIS</t>
        </is>
      </c>
      <c r="L423" t="n">
        <v>105820903</v>
      </c>
      <c r="M423" s="6" t="n">
        <v>43557</v>
      </c>
      <c r="N423" t="n">
        <v>19</v>
      </c>
      <c r="O423" t="n">
        <v>4</v>
      </c>
      <c r="P423" t="n">
        <v>0</v>
      </c>
      <c r="Q423" t="n">
        <v>1</v>
      </c>
      <c r="R423" t="inlineStr">
        <is>
          <t>O</t>
        </is>
      </c>
      <c r="S423">
        <f>IFERROR(VLOOKUP(N423,Index!$A$1:$B$26,2,FALSE),"")</f>
        <v/>
      </c>
      <c r="T423">
        <f>AA423</f>
        <v/>
      </c>
      <c r="V423">
        <f>IFERROR(INDEX(DetailedFiche!Q:Q,MATCH(L423,DetailedFiche!J:J,0)),"")</f>
        <v/>
      </c>
      <c r="W423">
        <f>IFERROR(INDEX(DetailedFiche!R:R,MATCH(L423,DetailedFiche!J:J,0)),"")</f>
        <v/>
      </c>
      <c r="Y423">
        <f>IFERROR(IF(AND(INDEX('Initial Study'!K:K, MATCH(L423, 'Initial Study'!B:B, 0)+1)&lt;&gt;0,INDEX('Initial Study'!K:K, MATCH(L423, 'Initial Study'!B:B, 0)+1)&lt;&gt;""),INDEX('Initial Study'!K:K, MATCH(L423, 'Initial Study'!B:B, 0)+1),""),"")</f>
        <v/>
      </c>
      <c r="Z423">
        <f>IFERROR(IF(AND(INDEX('Initial Study'!K:K, MATCH(L423, 'Initial Study'!B:B, 0)+2)&lt;&gt;0,INDEX('Initial Study'!K:K, MATCH(L423, 'Initial Study'!B:B, 0)+2)&lt;&gt;"",NOT(ISNUMBER(INDEX('Initial Study'!K:K, MATCH(L423, 'Initial Study'!B:B, 0)+2)))),INDEX('Initial Study'!K:K, MATCH(L423, 'Initial Study'!B:B, 0)+2),"-"),"-")</f>
        <v/>
      </c>
      <c r="AA423">
        <f>IF(S423="RE", Y423 &amp; "BT/" &amp; IF(Z423 &lt;&gt; "-", Z423 &amp; "BT", ""), IF(OR(S423="LTDR", S423="LTSR"), Y423 &amp; "BL" &amp; IF(Z423 &lt;&gt; "-", "/" &amp; Z423 &amp; "BT", ""), IF(OR(S423="RTDR", S423="RTSR"), Y423 &amp; "BR" &amp; IF(Z423 &lt;&gt; "-", "/" &amp; Z423 &amp; "BT", ""), IF(Z423 &lt;&gt; "-", Y423 &amp; "BT/" &amp; Z423 &amp; "BT", Y423 &amp; "BT"))))</f>
        <v/>
      </c>
    </row>
    <row r="424">
      <c r="A424" t="n">
        <v>0</v>
      </c>
      <c r="B424" t="inlineStr">
        <is>
          <t>SR 1001</t>
        </is>
      </c>
      <c r="C424" t="n">
        <v>0.15</v>
      </c>
      <c r="D424" t="inlineStr">
        <is>
          <t>W</t>
        </is>
      </c>
      <c r="E424" t="inlineStr">
        <is>
          <t>SR 1753</t>
        </is>
      </c>
      <c r="F424" t="inlineStr">
        <is>
          <t>SR 1754</t>
        </is>
      </c>
      <c r="G424" t="inlineStr">
        <is>
          <t>SR 1001</t>
        </is>
      </c>
      <c r="H424" t="n">
        <v>999.999</v>
      </c>
      <c r="I424" t="inlineStr">
        <is>
          <t>NIS</t>
        </is>
      </c>
      <c r="L424" t="n">
        <v>105518601</v>
      </c>
      <c r="M424" s="6" t="n">
        <v>43267</v>
      </c>
      <c r="N424" t="n">
        <v>19</v>
      </c>
      <c r="O424" t="n">
        <v>1</v>
      </c>
      <c r="P424" t="n">
        <v>0</v>
      </c>
      <c r="Q424" t="n">
        <v>1</v>
      </c>
      <c r="R424" t="inlineStr">
        <is>
          <t>O</t>
        </is>
      </c>
      <c r="S424">
        <f>IFERROR(VLOOKUP(N424,Index!$A$1:$B$26,2,FALSE),"")</f>
        <v/>
      </c>
      <c r="T424">
        <f>AA424</f>
        <v/>
      </c>
      <c r="V424">
        <f>IFERROR(INDEX(DetailedFiche!Q:Q,MATCH(L424,DetailedFiche!J:J,0)),"")</f>
        <v/>
      </c>
      <c r="W424">
        <f>IFERROR(INDEX(DetailedFiche!R:R,MATCH(L424,DetailedFiche!J:J,0)),"")</f>
        <v/>
      </c>
      <c r="Y424">
        <f>IFERROR(IF(AND(INDEX('Initial Study'!K:K, MATCH(L424, 'Initial Study'!B:B, 0)+1)&lt;&gt;0,INDEX('Initial Study'!K:K, MATCH(L424, 'Initial Study'!B:B, 0)+1)&lt;&gt;""),INDEX('Initial Study'!K:K, MATCH(L424, 'Initial Study'!B:B, 0)+1),""),"")</f>
        <v/>
      </c>
      <c r="Z424">
        <f>IFERROR(IF(AND(INDEX('Initial Study'!K:K, MATCH(L424, 'Initial Study'!B:B, 0)+2)&lt;&gt;0,INDEX('Initial Study'!K:K, MATCH(L424, 'Initial Study'!B:B, 0)+2)&lt;&gt;"",NOT(ISNUMBER(INDEX('Initial Study'!K:K, MATCH(L424, 'Initial Study'!B:B, 0)+2)))),INDEX('Initial Study'!K:K, MATCH(L424, 'Initial Study'!B:B, 0)+2),"-"),"-")</f>
        <v/>
      </c>
      <c r="AA424">
        <f>IF(S424="RE", Y424 &amp; "BT/" &amp; IF(Z424 &lt;&gt; "-", Z424 &amp; "BT", ""), IF(OR(S424="LTDR", S424="LTSR"), Y424 &amp; "BL" &amp; IF(Z424 &lt;&gt; "-", "/" &amp; Z424 &amp; "BT", ""), IF(OR(S424="RTDR", S424="RTSR"), Y424 &amp; "BR" &amp; IF(Z424 &lt;&gt; "-", "/" &amp; Z424 &amp; "BT", ""), IF(Z424 &lt;&gt; "-", Y424 &amp; "BT/" &amp; Z424 &amp; "BT", Y424 &amp; "BT"))))</f>
        <v/>
      </c>
    </row>
    <row r="425">
      <c r="A425" t="n">
        <v>0</v>
      </c>
      <c r="B425" t="inlineStr">
        <is>
          <t>SR 1001</t>
        </is>
      </c>
      <c r="C425" t="n">
        <v>0.1</v>
      </c>
      <c r="D425" t="inlineStr">
        <is>
          <t>E</t>
        </is>
      </c>
      <c r="E425" t="inlineStr">
        <is>
          <t>ZEPHYR</t>
        </is>
      </c>
      <c r="F425" t="inlineStr">
        <is>
          <t>SR 1794</t>
        </is>
      </c>
      <c r="G425" t="inlineStr">
        <is>
          <t>SR 1001</t>
        </is>
      </c>
      <c r="H425" t="n">
        <v>999.999</v>
      </c>
      <c r="I425" t="inlineStr">
        <is>
          <t>NIS</t>
        </is>
      </c>
      <c r="L425" t="n">
        <v>106364269</v>
      </c>
      <c r="M425" s="6" t="n">
        <v>44112</v>
      </c>
      <c r="N425" t="n">
        <v>29</v>
      </c>
      <c r="O425" t="n">
        <v>1</v>
      </c>
      <c r="P425" t="n">
        <v>0</v>
      </c>
      <c r="Q425" t="n">
        <v>1</v>
      </c>
      <c r="R425" t="inlineStr">
        <is>
          <t>O</t>
        </is>
      </c>
      <c r="S425">
        <f>IFERROR(VLOOKUP(N425,Index!$A$1:$B$26,2,FALSE),"")</f>
        <v/>
      </c>
      <c r="T425">
        <f>AA425</f>
        <v/>
      </c>
      <c r="V425">
        <f>IFERROR(INDEX(DetailedFiche!Q:Q,MATCH(L425,DetailedFiche!J:J,0)),"")</f>
        <v/>
      </c>
      <c r="W425">
        <f>IFERROR(INDEX(DetailedFiche!R:R,MATCH(L425,DetailedFiche!J:J,0)),"")</f>
        <v/>
      </c>
      <c r="Y425">
        <f>IFERROR(IF(AND(INDEX('Initial Study'!K:K, MATCH(L425, 'Initial Study'!B:B, 0)+1)&lt;&gt;0,INDEX('Initial Study'!K:K, MATCH(L425, 'Initial Study'!B:B, 0)+1)&lt;&gt;""),INDEX('Initial Study'!K:K, MATCH(L425, 'Initial Study'!B:B, 0)+1),""),"")</f>
        <v/>
      </c>
      <c r="Z425">
        <f>IFERROR(IF(AND(INDEX('Initial Study'!K:K, MATCH(L425, 'Initial Study'!B:B, 0)+2)&lt;&gt;0,INDEX('Initial Study'!K:K, MATCH(L425, 'Initial Study'!B:B, 0)+2)&lt;&gt;"",NOT(ISNUMBER(INDEX('Initial Study'!K:K, MATCH(L425, 'Initial Study'!B:B, 0)+2)))),INDEX('Initial Study'!K:K, MATCH(L425, 'Initial Study'!B:B, 0)+2),"-"),"-")</f>
        <v/>
      </c>
      <c r="AA425">
        <f>IF(S425="RE", Y425 &amp; "BT/" &amp; IF(Z425 &lt;&gt; "-", Z425 &amp; "BT", ""), IF(OR(S425="LTDR", S425="LTSR"), Y425 &amp; "BL" &amp; IF(Z425 &lt;&gt; "-", "/" &amp; Z425 &amp; "BT", ""), IF(OR(S425="RTDR", S425="RTSR"), Y425 &amp; "BR" &amp; IF(Z425 &lt;&gt; "-", "/" &amp; Z425 &amp; "BT", ""), IF(Z425 &lt;&gt; "-", Y425 &amp; "BT/" &amp; Z425 &amp; "BT", Y425 &amp; "BT"))))</f>
        <v/>
      </c>
    </row>
    <row r="426">
      <c r="A426" t="n">
        <v>0</v>
      </c>
      <c r="B426" t="inlineStr">
        <is>
          <t>SR 1006</t>
        </is>
      </c>
      <c r="C426" t="n">
        <v>0</v>
      </c>
      <c r="E426" t="inlineStr">
        <is>
          <t>SR 1606</t>
        </is>
      </c>
      <c r="F426" t="inlineStr">
        <is>
          <t>SR 2188</t>
        </is>
      </c>
      <c r="G426" t="inlineStr">
        <is>
          <t>SR 1006</t>
        </is>
      </c>
      <c r="H426" t="n">
        <v>999.999</v>
      </c>
      <c r="I426" t="inlineStr">
        <is>
          <t>NIS</t>
        </is>
      </c>
      <c r="L426" t="n">
        <v>107569594</v>
      </c>
      <c r="M426" s="6" t="n">
        <v>45278</v>
      </c>
      <c r="N426" t="n">
        <v>24</v>
      </c>
      <c r="O426" t="n">
        <v>1</v>
      </c>
      <c r="P426" t="n">
        <v>8</v>
      </c>
      <c r="Q426" t="n">
        <v>1</v>
      </c>
      <c r="R426" t="inlineStr">
        <is>
          <t>B</t>
        </is>
      </c>
      <c r="S426">
        <f>IFERROR(VLOOKUP(N426,Index!$A$1:$B$26,2,FALSE),"")</f>
        <v/>
      </c>
      <c r="T426">
        <f>AA426</f>
        <v/>
      </c>
      <c r="V426">
        <f>IFERROR(INDEX(DetailedFiche!Q:Q,MATCH(L426,DetailedFiche!J:J,0)),"")</f>
        <v/>
      </c>
      <c r="W426">
        <f>IFERROR(INDEX(DetailedFiche!R:R,MATCH(L426,DetailedFiche!J:J,0)),"")</f>
        <v/>
      </c>
      <c r="Y426">
        <f>IFERROR(IF(AND(INDEX('Initial Study'!K:K, MATCH(L426, 'Initial Study'!B:B, 0)+1)&lt;&gt;0,INDEX('Initial Study'!K:K, MATCH(L426, 'Initial Study'!B:B, 0)+1)&lt;&gt;""),INDEX('Initial Study'!K:K, MATCH(L426, 'Initial Study'!B:B, 0)+1),""),"")</f>
        <v/>
      </c>
      <c r="Z426">
        <f>IFERROR(IF(AND(INDEX('Initial Study'!K:K, MATCH(L426, 'Initial Study'!B:B, 0)+2)&lt;&gt;0,INDEX('Initial Study'!K:K, MATCH(L426, 'Initial Study'!B:B, 0)+2)&lt;&gt;"",NOT(ISNUMBER(INDEX('Initial Study'!K:K, MATCH(L426, 'Initial Study'!B:B, 0)+2)))),INDEX('Initial Study'!K:K, MATCH(L426, 'Initial Study'!B:B, 0)+2),"-"),"-")</f>
        <v/>
      </c>
      <c r="AA426">
        <f>IF(S426="RE", Y426 &amp; "BT/" &amp; IF(Z426 &lt;&gt; "-", Z426 &amp; "BT", ""), IF(OR(S426="LTDR", S426="LTSR"), Y426 &amp; "BL" &amp; IF(Z426 &lt;&gt; "-", "/" &amp; Z426 &amp; "BT", ""), IF(OR(S426="RTDR", S426="RTSR"), Y426 &amp; "BR" &amp; IF(Z426 &lt;&gt; "-", "/" &amp; Z426 &amp; "BT", ""), IF(Z426 &lt;&gt; "-", Y426 &amp; "BT/" &amp; Z426 &amp; "BT", Y426 &amp; "BT"))))</f>
        <v/>
      </c>
    </row>
    <row r="427">
      <c r="A427" t="n">
        <v>0</v>
      </c>
      <c r="B427" t="inlineStr">
        <is>
          <t>SR 1547</t>
        </is>
      </c>
      <c r="C427" t="n">
        <v>0</v>
      </c>
      <c r="E427" t="inlineStr">
        <is>
          <t>SR 1606</t>
        </is>
      </c>
      <c r="F427" t="inlineStr">
        <is>
          <t>US 601</t>
        </is>
      </c>
      <c r="G427" t="inlineStr">
        <is>
          <t>SR 1547</t>
        </is>
      </c>
      <c r="H427" t="n">
        <v>2.101</v>
      </c>
      <c r="I427" t="inlineStr">
        <is>
          <t>NIS</t>
        </is>
      </c>
      <c r="L427" t="n">
        <v>107547852</v>
      </c>
      <c r="M427" s="6" t="n">
        <v>45258</v>
      </c>
      <c r="N427" t="n">
        <v>30</v>
      </c>
      <c r="O427" t="n">
        <v>1</v>
      </c>
      <c r="P427" t="n">
        <v>7</v>
      </c>
      <c r="Q427" t="n">
        <v>1</v>
      </c>
      <c r="R427" t="inlineStr">
        <is>
          <t>B</t>
        </is>
      </c>
      <c r="S427">
        <f>IFERROR(VLOOKUP(N427,Index!$A$1:$B$26,2,FALSE),"")</f>
        <v/>
      </c>
      <c r="T427">
        <f>AA427</f>
        <v/>
      </c>
      <c r="V427">
        <f>IFERROR(INDEX(DetailedFiche!Q:Q,MATCH(L427,DetailedFiche!J:J,0)),"")</f>
        <v/>
      </c>
      <c r="W427">
        <f>IFERROR(INDEX(DetailedFiche!R:R,MATCH(L427,DetailedFiche!J:J,0)),"")</f>
        <v/>
      </c>
      <c r="Y427">
        <f>IFERROR(IF(AND(INDEX('Initial Study'!K:K, MATCH(L427, 'Initial Study'!B:B, 0)+1)&lt;&gt;0,INDEX('Initial Study'!K:K, MATCH(L427, 'Initial Study'!B:B, 0)+1)&lt;&gt;""),INDEX('Initial Study'!K:K, MATCH(L427, 'Initial Study'!B:B, 0)+1),""),"")</f>
        <v/>
      </c>
      <c r="Z427">
        <f>IFERROR(IF(AND(INDEX('Initial Study'!K:K, MATCH(L427, 'Initial Study'!B:B, 0)+2)&lt;&gt;0,INDEX('Initial Study'!K:K, MATCH(L427, 'Initial Study'!B:B, 0)+2)&lt;&gt;"",NOT(ISNUMBER(INDEX('Initial Study'!K:K, MATCH(L427, 'Initial Study'!B:B, 0)+2)))),INDEX('Initial Study'!K:K, MATCH(L427, 'Initial Study'!B:B, 0)+2),"-"),"-")</f>
        <v/>
      </c>
      <c r="AA427">
        <f>IF(S427="RE", Y427 &amp; "BT/" &amp; IF(Z427 &lt;&gt; "-", Z427 &amp; "BT", ""), IF(OR(S427="LTDR", S427="LTSR"), Y427 &amp; "BL" &amp; IF(Z427 &lt;&gt; "-", "/" &amp; Z427 &amp; "BT", ""), IF(OR(S427="RTDR", S427="RTSR"), Y427 &amp; "BR" &amp; IF(Z427 &lt;&gt; "-", "/" &amp; Z427 &amp; "BT", ""), IF(Z427 &lt;&gt; "-", Y427 &amp; "BT/" &amp; Z427 &amp; "BT", Y427 &amp; "BT"))))</f>
        <v/>
      </c>
    </row>
    <row r="428">
      <c r="A428" t="n">
        <v>0</v>
      </c>
      <c r="B428" t="inlineStr">
        <is>
          <t>SR 1547</t>
        </is>
      </c>
      <c r="C428" t="n">
        <v>0</v>
      </c>
      <c r="E428" t="inlineStr">
        <is>
          <t>SR 1606</t>
        </is>
      </c>
      <c r="F428" t="inlineStr">
        <is>
          <t>SR 1607</t>
        </is>
      </c>
      <c r="G428" t="inlineStr">
        <is>
          <t>SR 1547</t>
        </is>
      </c>
      <c r="H428" t="n">
        <v>2.101</v>
      </c>
      <c r="I428" t="inlineStr">
        <is>
          <t>NIS</t>
        </is>
      </c>
      <c r="L428" t="n">
        <v>106800779</v>
      </c>
      <c r="M428" s="6" t="n">
        <v>44541</v>
      </c>
      <c r="N428" t="n">
        <v>30</v>
      </c>
      <c r="O428" t="n">
        <v>1</v>
      </c>
      <c r="P428" t="n">
        <v>7</v>
      </c>
      <c r="Q428" t="n">
        <v>1</v>
      </c>
      <c r="R428" t="inlineStr">
        <is>
          <t>C</t>
        </is>
      </c>
      <c r="S428">
        <f>IFERROR(VLOOKUP(N428,Index!$A$1:$B$26,2,FALSE),"")</f>
        <v/>
      </c>
      <c r="T428">
        <f>AA428</f>
        <v/>
      </c>
      <c r="V428">
        <f>IFERROR(INDEX(DetailedFiche!Q:Q,MATCH(L428,DetailedFiche!J:J,0)),"")</f>
        <v/>
      </c>
      <c r="W428">
        <f>IFERROR(INDEX(DetailedFiche!R:R,MATCH(L428,DetailedFiche!J:J,0)),"")</f>
        <v/>
      </c>
      <c r="Y428">
        <f>IFERROR(IF(AND(INDEX('Initial Study'!K:K, MATCH(L428, 'Initial Study'!B:B, 0)+1)&lt;&gt;0,INDEX('Initial Study'!K:K, MATCH(L428, 'Initial Study'!B:B, 0)+1)&lt;&gt;""),INDEX('Initial Study'!K:K, MATCH(L428, 'Initial Study'!B:B, 0)+1),""),"")</f>
        <v/>
      </c>
      <c r="Z428">
        <f>IFERROR(IF(AND(INDEX('Initial Study'!K:K, MATCH(L428, 'Initial Study'!B:B, 0)+2)&lt;&gt;0,INDEX('Initial Study'!K:K, MATCH(L428, 'Initial Study'!B:B, 0)+2)&lt;&gt;"",NOT(ISNUMBER(INDEX('Initial Study'!K:K, MATCH(L428, 'Initial Study'!B:B, 0)+2)))),INDEX('Initial Study'!K:K, MATCH(L428, 'Initial Study'!B:B, 0)+2),"-"),"-")</f>
        <v/>
      </c>
      <c r="AA428">
        <f>IF(S428="RE", Y428 &amp; "BT/" &amp; IF(Z428 &lt;&gt; "-", Z428 &amp; "BT", ""), IF(OR(S428="LTDR", S428="LTSR"), Y428 &amp; "BL" &amp; IF(Z428 &lt;&gt; "-", "/" &amp; Z428 &amp; "BT", ""), IF(OR(S428="RTDR", S428="RTSR"), Y428 &amp; "BR" &amp; IF(Z428 &lt;&gt; "-", "/" &amp; Z428 &amp; "BT", ""), IF(Z428 &lt;&gt; "-", Y428 &amp; "BT/" &amp; Z428 &amp; "BT", Y428 &amp; "BT"))))</f>
        <v/>
      </c>
    </row>
    <row r="429">
      <c r="A429" t="n">
        <v>637</v>
      </c>
      <c r="B429" t="inlineStr">
        <is>
          <t>SR 1547</t>
        </is>
      </c>
      <c r="C429" t="n">
        <v>0</v>
      </c>
      <c r="E429" t="inlineStr">
        <is>
          <t>SR 1606</t>
        </is>
      </c>
      <c r="F429" t="inlineStr">
        <is>
          <t>SR 1607</t>
        </is>
      </c>
      <c r="G429" t="inlineStr">
        <is>
          <t>SR 1547</t>
        </is>
      </c>
      <c r="H429" t="n">
        <v>2.101</v>
      </c>
      <c r="I429" t="inlineStr">
        <is>
          <t>NIS</t>
        </is>
      </c>
      <c r="L429" t="n">
        <v>105954257</v>
      </c>
      <c r="M429" s="6" t="n">
        <v>43685</v>
      </c>
      <c r="N429" t="n">
        <v>30</v>
      </c>
      <c r="O429" t="n">
        <v>1</v>
      </c>
      <c r="P429" t="n">
        <v>7</v>
      </c>
      <c r="Q429" t="n">
        <v>1</v>
      </c>
      <c r="R429" t="inlineStr">
        <is>
          <t>B</t>
        </is>
      </c>
      <c r="S429">
        <f>IFERROR(VLOOKUP(N429,Index!$A$1:$B$26,2,FALSE),"")</f>
        <v/>
      </c>
      <c r="T429">
        <f>AA429</f>
        <v/>
      </c>
      <c r="V429">
        <f>IFERROR(INDEX(DetailedFiche!Q:Q,MATCH(L429,DetailedFiche!J:J,0)),"")</f>
        <v/>
      </c>
      <c r="W429">
        <f>IFERROR(INDEX(DetailedFiche!R:R,MATCH(L429,DetailedFiche!J:J,0)),"")</f>
        <v/>
      </c>
      <c r="Y429">
        <f>IFERROR(IF(AND(INDEX('Initial Study'!K:K, MATCH(L429, 'Initial Study'!B:B, 0)+1)&lt;&gt;0,INDEX('Initial Study'!K:K, MATCH(L429, 'Initial Study'!B:B, 0)+1)&lt;&gt;""),INDEX('Initial Study'!K:K, MATCH(L429, 'Initial Study'!B:B, 0)+1),""),"")</f>
        <v/>
      </c>
      <c r="Z429">
        <f>IFERROR(IF(AND(INDEX('Initial Study'!K:K, MATCH(L429, 'Initial Study'!B:B, 0)+2)&lt;&gt;0,INDEX('Initial Study'!K:K, MATCH(L429, 'Initial Study'!B:B, 0)+2)&lt;&gt;"",NOT(ISNUMBER(INDEX('Initial Study'!K:K, MATCH(L429, 'Initial Study'!B:B, 0)+2)))),INDEX('Initial Study'!K:K, MATCH(L429, 'Initial Study'!B:B, 0)+2),"-"),"-")</f>
        <v/>
      </c>
      <c r="AA429">
        <f>IF(S429="RE", Y429 &amp; "BT/" &amp; IF(Z429 &lt;&gt; "-", Z429 &amp; "BT", ""), IF(OR(S429="LTDR", S429="LTSR"), Y429 &amp; "BL" &amp; IF(Z429 &lt;&gt; "-", "/" &amp; Z429 &amp; "BT", ""), IF(OR(S429="RTDR", S429="RTSR"), Y429 &amp; "BR" &amp; IF(Z429 &lt;&gt; "-", "/" &amp; Z429 &amp; "BT", ""), IF(Z429 &lt;&gt; "-", Y429 &amp; "BT/" &amp; Z429 &amp; "BT", Y429 &amp; "BT"))))</f>
        <v/>
      </c>
    </row>
    <row r="430">
      <c r="A430" t="n">
        <v>637</v>
      </c>
      <c r="B430" t="inlineStr">
        <is>
          <t>SR 1604</t>
        </is>
      </c>
      <c r="C430" t="n">
        <v>0</v>
      </c>
      <c r="E430" t="inlineStr">
        <is>
          <t>SR 1606</t>
        </is>
      </c>
      <c r="F430" t="inlineStr">
        <is>
          <t>CL-STANLY</t>
        </is>
      </c>
      <c r="G430" t="inlineStr">
        <is>
          <t>SR 1604</t>
        </is>
      </c>
      <c r="H430" t="n">
        <v>0</v>
      </c>
      <c r="I430" t="inlineStr">
        <is>
          <t>NIS</t>
        </is>
      </c>
      <c r="L430" t="n">
        <v>107178464</v>
      </c>
      <c r="M430" s="6" t="n">
        <v>44895</v>
      </c>
      <c r="N430" t="n">
        <v>24</v>
      </c>
      <c r="O430" t="n">
        <v>2</v>
      </c>
      <c r="P430" t="n">
        <v>8</v>
      </c>
      <c r="Q430" t="n">
        <v>5</v>
      </c>
      <c r="R430" t="inlineStr">
        <is>
          <t>C</t>
        </is>
      </c>
      <c r="S430">
        <f>IFERROR(VLOOKUP(N430,Index!$A$1:$B$26,2,FALSE),"")</f>
        <v/>
      </c>
      <c r="T430">
        <f>AA430</f>
        <v/>
      </c>
      <c r="V430">
        <f>IFERROR(INDEX(DetailedFiche!Q:Q,MATCH(L430,DetailedFiche!J:J,0)),"")</f>
        <v/>
      </c>
      <c r="W430">
        <f>IFERROR(INDEX(DetailedFiche!R:R,MATCH(L430,DetailedFiche!J:J,0)),"")</f>
        <v/>
      </c>
      <c r="Y430">
        <f>IFERROR(IF(AND(INDEX('Initial Study'!K:K, MATCH(L430, 'Initial Study'!B:B, 0)+1)&lt;&gt;0,INDEX('Initial Study'!K:K, MATCH(L430, 'Initial Study'!B:B, 0)+1)&lt;&gt;""),INDEX('Initial Study'!K:K, MATCH(L430, 'Initial Study'!B:B, 0)+1),""),"")</f>
        <v/>
      </c>
      <c r="Z430">
        <f>IFERROR(IF(AND(INDEX('Initial Study'!K:K, MATCH(L430, 'Initial Study'!B:B, 0)+2)&lt;&gt;0,INDEX('Initial Study'!K:K, MATCH(L430, 'Initial Study'!B:B, 0)+2)&lt;&gt;"",NOT(ISNUMBER(INDEX('Initial Study'!K:K, MATCH(L430, 'Initial Study'!B:B, 0)+2)))),INDEX('Initial Study'!K:K, MATCH(L430, 'Initial Study'!B:B, 0)+2),"-"),"-")</f>
        <v/>
      </c>
      <c r="AA430">
        <f>IF(S430="RE", Y430 &amp; "BT/" &amp; IF(Z430 &lt;&gt; "-", Z430 &amp; "BT", ""), IF(OR(S430="LTDR", S430="LTSR"), Y430 &amp; "BL" &amp; IF(Z430 &lt;&gt; "-", "/" &amp; Z430 &amp; "BT", ""), IF(OR(S430="RTDR", S430="RTSR"), Y430 &amp; "BR" &amp; IF(Z430 &lt;&gt; "-", "/" &amp; Z430 &amp; "BT", ""), IF(Z430 &lt;&gt; "-", Y430 &amp; "BT/" &amp; Z430 &amp; "BT", Y430 &amp; "BT"))))</f>
        <v/>
      </c>
    </row>
    <row r="431">
      <c r="A431" t="n">
        <v>558</v>
      </c>
      <c r="B431" t="inlineStr">
        <is>
          <t>SR 1604</t>
        </is>
      </c>
      <c r="C431" t="n">
        <v>0</v>
      </c>
      <c r="E431" t="inlineStr">
        <is>
          <t>SR 1606</t>
        </is>
      </c>
      <c r="F431" t="inlineStr">
        <is>
          <t>SR 1666</t>
        </is>
      </c>
      <c r="G431" t="inlineStr">
        <is>
          <t>SR 1604</t>
        </is>
      </c>
      <c r="H431" t="n">
        <v>0</v>
      </c>
      <c r="I431" t="inlineStr">
        <is>
          <t>NIS</t>
        </is>
      </c>
      <c r="L431" t="n">
        <v>105337660</v>
      </c>
      <c r="M431" s="6" t="n">
        <v>43089</v>
      </c>
      <c r="N431" t="n">
        <v>3</v>
      </c>
      <c r="O431" t="n">
        <v>2</v>
      </c>
      <c r="P431" t="n">
        <v>8</v>
      </c>
      <c r="Q431" t="n">
        <v>5</v>
      </c>
      <c r="R431" t="inlineStr">
        <is>
          <t>O</t>
        </is>
      </c>
      <c r="S431">
        <f>IFERROR(VLOOKUP(N431,Index!$A$1:$B$26,2,FALSE),"")</f>
        <v/>
      </c>
      <c r="T431">
        <f>AA431</f>
        <v/>
      </c>
      <c r="V431">
        <f>IFERROR(INDEX(DetailedFiche!Q:Q,MATCH(L431,DetailedFiche!J:J,0)),"")</f>
        <v/>
      </c>
      <c r="W431">
        <f>IFERROR(INDEX(DetailedFiche!R:R,MATCH(L431,DetailedFiche!J:J,0)),"")</f>
        <v/>
      </c>
      <c r="Y431">
        <f>IFERROR(IF(AND(INDEX('Initial Study'!K:K, MATCH(L431, 'Initial Study'!B:B, 0)+1)&lt;&gt;0,INDEX('Initial Study'!K:K, MATCH(L431, 'Initial Study'!B:B, 0)+1)&lt;&gt;""),INDEX('Initial Study'!K:K, MATCH(L431, 'Initial Study'!B:B, 0)+1),""),"")</f>
        <v/>
      </c>
      <c r="Z431">
        <f>IFERROR(IF(AND(INDEX('Initial Study'!K:K, MATCH(L431, 'Initial Study'!B:B, 0)+2)&lt;&gt;0,INDEX('Initial Study'!K:K, MATCH(L431, 'Initial Study'!B:B, 0)+2)&lt;&gt;"",NOT(ISNUMBER(INDEX('Initial Study'!K:K, MATCH(L431, 'Initial Study'!B:B, 0)+2)))),INDEX('Initial Study'!K:K, MATCH(L431, 'Initial Study'!B:B, 0)+2),"-"),"-")</f>
        <v/>
      </c>
      <c r="AA431">
        <f>IF(S431="RE", Y431 &amp; "BT/" &amp; IF(Z431 &lt;&gt; "-", Z431 &amp; "BT", ""), IF(OR(S431="LTDR", S431="LTSR"), Y431 &amp; "BL" &amp; IF(Z431 &lt;&gt; "-", "/" &amp; Z431 &amp; "BT", ""), IF(OR(S431="RTDR", S431="RTSR"), Y431 &amp; "BR" &amp; IF(Z431 &lt;&gt; "-", "/" &amp; Z431 &amp; "BT", ""), IF(Z431 &lt;&gt; "-", Y431 &amp; "BT/" &amp; Z431 &amp; "BT", Y431 &amp; "BT"))))</f>
        <v/>
      </c>
    </row>
    <row r="432">
      <c r="A432" t="n">
        <v>637</v>
      </c>
      <c r="B432" t="inlineStr">
        <is>
          <t>SR 1606</t>
        </is>
      </c>
      <c r="C432" t="n">
        <v>1.5</v>
      </c>
      <c r="D432" t="inlineStr">
        <is>
          <t>N</t>
        </is>
      </c>
      <c r="E432" t="inlineStr">
        <is>
          <t>SR 1547</t>
        </is>
      </c>
      <c r="F432" t="inlineStr">
        <is>
          <t>SR 1607</t>
        </is>
      </c>
      <c r="G432" t="inlineStr">
        <is>
          <t>SR 1606</t>
        </is>
      </c>
      <c r="H432" t="n">
        <v>0.08699999999999999</v>
      </c>
      <c r="I432" t="inlineStr">
        <is>
          <t>NIS</t>
        </is>
      </c>
      <c r="L432" t="n">
        <v>105318190</v>
      </c>
      <c r="M432" s="6" t="n">
        <v>43078</v>
      </c>
      <c r="N432" t="n">
        <v>18</v>
      </c>
      <c r="O432" t="n">
        <v>2</v>
      </c>
      <c r="P432" t="n">
        <v>0</v>
      </c>
      <c r="Q432" t="n">
        <v>1</v>
      </c>
      <c r="R432" t="inlineStr">
        <is>
          <t>O</t>
        </is>
      </c>
      <c r="S432">
        <f>IFERROR(VLOOKUP(N432,Index!$A$1:$B$26,2,FALSE),"")</f>
        <v/>
      </c>
      <c r="T432">
        <f>AA432</f>
        <v/>
      </c>
      <c r="V432">
        <f>IFERROR(INDEX(DetailedFiche!Q:Q,MATCH(L432,DetailedFiche!J:J,0)),"")</f>
        <v/>
      </c>
      <c r="W432">
        <f>IFERROR(INDEX(DetailedFiche!R:R,MATCH(L432,DetailedFiche!J:J,0)),"")</f>
        <v/>
      </c>
      <c r="Y432">
        <f>IFERROR(IF(AND(INDEX('Initial Study'!K:K, MATCH(L432, 'Initial Study'!B:B, 0)+1)&lt;&gt;0,INDEX('Initial Study'!K:K, MATCH(L432, 'Initial Study'!B:B, 0)+1)&lt;&gt;""),INDEX('Initial Study'!K:K, MATCH(L432, 'Initial Study'!B:B, 0)+1),""),"")</f>
        <v/>
      </c>
      <c r="Z432">
        <f>IFERROR(IF(AND(INDEX('Initial Study'!K:K, MATCH(L432, 'Initial Study'!B:B, 0)+2)&lt;&gt;0,INDEX('Initial Study'!K:K, MATCH(L432, 'Initial Study'!B:B, 0)+2)&lt;&gt;"",NOT(ISNUMBER(INDEX('Initial Study'!K:K, MATCH(L432, 'Initial Study'!B:B, 0)+2)))),INDEX('Initial Study'!K:K, MATCH(L432, 'Initial Study'!B:B, 0)+2),"-"),"-")</f>
        <v/>
      </c>
      <c r="AA432">
        <f>IF(S432="RE", Y432 &amp; "BT/" &amp; IF(Z432 &lt;&gt; "-", Z432 &amp; "BT", ""), IF(OR(S432="LTDR", S432="LTSR"), Y432 &amp; "BL" &amp; IF(Z432 &lt;&gt; "-", "/" &amp; Z432 &amp; "BT", ""), IF(OR(S432="RTDR", S432="RTSR"), Y432 &amp; "BR" &amp; IF(Z432 &lt;&gt; "-", "/" &amp; Z432 &amp; "BT", ""), IF(Z432 &lt;&gt; "-", Y432 &amp; "BT/" &amp; Z432 &amp; "BT", Y432 &amp; "BT"))))</f>
        <v/>
      </c>
    </row>
    <row r="433">
      <c r="A433" t="n">
        <v>0</v>
      </c>
      <c r="B433" t="inlineStr">
        <is>
          <t>SR 1606</t>
        </is>
      </c>
      <c r="C433" t="n">
        <v>0.1</v>
      </c>
      <c r="D433" t="inlineStr">
        <is>
          <t>N</t>
        </is>
      </c>
      <c r="E433" t="inlineStr">
        <is>
          <t>SR 1604</t>
        </is>
      </c>
      <c r="F433" t="inlineStr">
        <is>
          <t>CL-STANLY</t>
        </is>
      </c>
      <c r="G433" t="inlineStr">
        <is>
          <t>SR 1606</t>
        </is>
      </c>
      <c r="H433" t="n">
        <v>0.105</v>
      </c>
      <c r="I433" t="inlineStr">
        <is>
          <t>NIS</t>
        </is>
      </c>
      <c r="L433" t="n">
        <v>107999824</v>
      </c>
      <c r="M433" s="6" t="n">
        <v>45678</v>
      </c>
      <c r="N433" t="n">
        <v>19</v>
      </c>
      <c r="O433" t="n">
        <v>5</v>
      </c>
      <c r="P433" t="n">
        <v>0</v>
      </c>
      <c r="Q433" t="n">
        <v>5</v>
      </c>
      <c r="R433" t="inlineStr">
        <is>
          <t>O</t>
        </is>
      </c>
      <c r="S433">
        <f>IFERROR(VLOOKUP(N433,Index!$A$1:$B$26,2,FALSE),"")</f>
        <v/>
      </c>
      <c r="T433">
        <f>AA433</f>
        <v/>
      </c>
      <c r="V433">
        <f>IFERROR(INDEX(DetailedFiche!Q:Q,MATCH(L433,DetailedFiche!J:J,0)),"")</f>
        <v/>
      </c>
      <c r="W433">
        <f>IFERROR(INDEX(DetailedFiche!R:R,MATCH(L433,DetailedFiche!J:J,0)),"")</f>
        <v/>
      </c>
      <c r="Y433">
        <f>IFERROR(IF(AND(INDEX('Initial Study'!K:K, MATCH(L433, 'Initial Study'!B:B, 0)+1)&lt;&gt;0,INDEX('Initial Study'!K:K, MATCH(L433, 'Initial Study'!B:B, 0)+1)&lt;&gt;""),INDEX('Initial Study'!K:K, MATCH(L433, 'Initial Study'!B:B, 0)+1),""),"")</f>
        <v/>
      </c>
      <c r="Z433">
        <f>IFERROR(IF(AND(INDEX('Initial Study'!K:K, MATCH(L433, 'Initial Study'!B:B, 0)+2)&lt;&gt;0,INDEX('Initial Study'!K:K, MATCH(L433, 'Initial Study'!B:B, 0)+2)&lt;&gt;"",NOT(ISNUMBER(INDEX('Initial Study'!K:K, MATCH(L433, 'Initial Study'!B:B, 0)+2)))),INDEX('Initial Study'!K:K, MATCH(L433, 'Initial Study'!B:B, 0)+2),"-"),"-")</f>
        <v/>
      </c>
      <c r="AA433">
        <f>IF(S433="RE", Y433 &amp; "BT/" &amp; IF(Z433 &lt;&gt; "-", Z433 &amp; "BT", ""), IF(OR(S433="LTDR", S433="LTSR"), Y433 &amp; "BL" &amp; IF(Z433 &lt;&gt; "-", "/" &amp; Z433 &amp; "BT", ""), IF(OR(S433="RTDR", S433="RTSR"), Y433 &amp; "BR" &amp; IF(Z433 &lt;&gt; "-", "/" &amp; Z433 &amp; "BT", ""), IF(Z433 &lt;&gt; "-", Y433 &amp; "BT/" &amp; Z433 &amp; "BT", Y433 &amp; "BT"))))</f>
        <v/>
      </c>
    </row>
    <row r="434">
      <c r="A434" t="n">
        <v>637</v>
      </c>
      <c r="B434" t="inlineStr">
        <is>
          <t>SR 1606</t>
        </is>
      </c>
      <c r="C434" t="n">
        <v>0.1</v>
      </c>
      <c r="D434" t="inlineStr">
        <is>
          <t>S</t>
        </is>
      </c>
      <c r="E434" t="inlineStr">
        <is>
          <t>SR 1604</t>
        </is>
      </c>
      <c r="F434" t="inlineStr">
        <is>
          <t>CL-STANLY</t>
        </is>
      </c>
      <c r="G434" t="inlineStr">
        <is>
          <t>SR 1606</t>
        </is>
      </c>
      <c r="H434" t="n">
        <v>0.305</v>
      </c>
      <c r="I434" t="inlineStr">
        <is>
          <t>NIS</t>
        </is>
      </c>
      <c r="L434" t="n">
        <v>106248459</v>
      </c>
      <c r="M434" s="6" t="n">
        <v>43993</v>
      </c>
      <c r="N434" t="n">
        <v>17</v>
      </c>
      <c r="O434" t="n">
        <v>1</v>
      </c>
      <c r="P434" t="n">
        <v>0</v>
      </c>
      <c r="Q434" t="n">
        <v>5</v>
      </c>
      <c r="R434" t="inlineStr">
        <is>
          <t>O</t>
        </is>
      </c>
      <c r="S434">
        <f>IFERROR(VLOOKUP(N434,Index!$A$1:$B$26,2,FALSE),"")</f>
        <v/>
      </c>
      <c r="T434">
        <f>AA434</f>
        <v/>
      </c>
      <c r="V434">
        <f>IFERROR(INDEX(DetailedFiche!Q:Q,MATCH(L434,DetailedFiche!J:J,0)),"")</f>
        <v/>
      </c>
      <c r="W434">
        <f>IFERROR(INDEX(DetailedFiche!R:R,MATCH(L434,DetailedFiche!J:J,0)),"")</f>
        <v/>
      </c>
      <c r="Y434">
        <f>IFERROR(IF(AND(INDEX('Initial Study'!K:K, MATCH(L434, 'Initial Study'!B:B, 0)+1)&lt;&gt;0,INDEX('Initial Study'!K:K, MATCH(L434, 'Initial Study'!B:B, 0)+1)&lt;&gt;""),INDEX('Initial Study'!K:K, MATCH(L434, 'Initial Study'!B:B, 0)+1),""),"")</f>
        <v/>
      </c>
      <c r="Z434">
        <f>IFERROR(IF(AND(INDEX('Initial Study'!K:K, MATCH(L434, 'Initial Study'!B:B, 0)+2)&lt;&gt;0,INDEX('Initial Study'!K:K, MATCH(L434, 'Initial Study'!B:B, 0)+2)&lt;&gt;"",NOT(ISNUMBER(INDEX('Initial Study'!K:K, MATCH(L434, 'Initial Study'!B:B, 0)+2)))),INDEX('Initial Study'!K:K, MATCH(L434, 'Initial Study'!B:B, 0)+2),"-"),"-")</f>
        <v/>
      </c>
      <c r="AA434">
        <f>IF(S434="RE", Y434 &amp; "BT/" &amp; IF(Z434 &lt;&gt; "-", Z434 &amp; "BT", ""), IF(OR(S434="LTDR", S434="LTSR"), Y434 &amp; "BL" &amp; IF(Z434 &lt;&gt; "-", "/" &amp; Z434 &amp; "BT", ""), IF(OR(S434="RTDR", S434="RTSR"), Y434 &amp; "BR" &amp; IF(Z434 &lt;&gt; "-", "/" &amp; Z434 &amp; "BT", ""), IF(Z434 &lt;&gt; "-", Y434 &amp; "BT/" &amp; Z434 &amp; "BT", Y434 &amp; "BT"))))</f>
        <v/>
      </c>
    </row>
    <row r="435">
      <c r="A435" t="n">
        <v>637</v>
      </c>
      <c r="B435" t="inlineStr">
        <is>
          <t>SR 1606</t>
        </is>
      </c>
      <c r="C435" t="n">
        <v>0.76</v>
      </c>
      <c r="D435" t="inlineStr">
        <is>
          <t>N</t>
        </is>
      </c>
      <c r="E435" t="inlineStr">
        <is>
          <t>SR 1607</t>
        </is>
      </c>
      <c r="F435" t="inlineStr">
        <is>
          <t>SR 1604</t>
        </is>
      </c>
      <c r="G435" t="inlineStr">
        <is>
          <t>SR 1606</t>
        </is>
      </c>
      <c r="H435" t="n">
        <v>0.324</v>
      </c>
      <c r="I435" t="inlineStr">
        <is>
          <t>NIS</t>
        </is>
      </c>
      <c r="L435" t="n">
        <v>107977960</v>
      </c>
      <c r="M435" s="6" t="n">
        <v>45658</v>
      </c>
      <c r="N435" t="n">
        <v>17</v>
      </c>
      <c r="O435" t="n">
        <v>1</v>
      </c>
      <c r="P435" t="n">
        <v>0</v>
      </c>
      <c r="Q435" t="n">
        <v>5</v>
      </c>
      <c r="R435" t="inlineStr">
        <is>
          <t>O</t>
        </is>
      </c>
      <c r="S435">
        <f>IFERROR(VLOOKUP(N435,Index!$A$1:$B$26,2,FALSE),"")</f>
        <v/>
      </c>
      <c r="T435">
        <f>AA435</f>
        <v/>
      </c>
      <c r="V435">
        <f>IFERROR(INDEX(DetailedFiche!Q:Q,MATCH(L435,DetailedFiche!J:J,0)),"")</f>
        <v/>
      </c>
      <c r="W435">
        <f>IFERROR(INDEX(DetailedFiche!R:R,MATCH(L435,DetailedFiche!J:J,0)),"")</f>
        <v/>
      </c>
      <c r="Y435">
        <f>IFERROR(IF(AND(INDEX('Initial Study'!K:K, MATCH(L435, 'Initial Study'!B:B, 0)+1)&lt;&gt;0,INDEX('Initial Study'!K:K, MATCH(L435, 'Initial Study'!B:B, 0)+1)&lt;&gt;""),INDEX('Initial Study'!K:K, MATCH(L435, 'Initial Study'!B:B, 0)+1),""),"")</f>
        <v/>
      </c>
      <c r="Z435">
        <f>IFERROR(IF(AND(INDEX('Initial Study'!K:K, MATCH(L435, 'Initial Study'!B:B, 0)+2)&lt;&gt;0,INDEX('Initial Study'!K:K, MATCH(L435, 'Initial Study'!B:B, 0)+2)&lt;&gt;"",NOT(ISNUMBER(INDEX('Initial Study'!K:K, MATCH(L435, 'Initial Study'!B:B, 0)+2)))),INDEX('Initial Study'!K:K, MATCH(L435, 'Initial Study'!B:B, 0)+2),"-"),"-")</f>
        <v/>
      </c>
      <c r="AA435">
        <f>IF(S435="RE", Y435 &amp; "BT/" &amp; IF(Z435 &lt;&gt; "-", Z435 &amp; "BT", ""), IF(OR(S435="LTDR", S435="LTSR"), Y435 &amp; "BL" &amp; IF(Z435 &lt;&gt; "-", "/" &amp; Z435 &amp; "BT", ""), IF(OR(S435="RTDR", S435="RTSR"), Y435 &amp; "BR" &amp; IF(Z435 &lt;&gt; "-", "/" &amp; Z435 &amp; "BT", ""), IF(Z435 &lt;&gt; "-", Y435 &amp; "BT/" &amp; Z435 &amp; "BT", Y435 &amp; "BT"))))</f>
        <v/>
      </c>
    </row>
    <row r="436">
      <c r="A436" t="n">
        <v>0</v>
      </c>
      <c r="B436" t="inlineStr">
        <is>
          <t>SR 1606</t>
        </is>
      </c>
      <c r="C436" t="n">
        <v>0.3</v>
      </c>
      <c r="D436" t="inlineStr">
        <is>
          <t>N</t>
        </is>
      </c>
      <c r="E436" t="inlineStr">
        <is>
          <t>SR 1607</t>
        </is>
      </c>
      <c r="F436" t="inlineStr">
        <is>
          <t>SR 1604</t>
        </is>
      </c>
      <c r="G436" t="inlineStr">
        <is>
          <t>SR 1606</t>
        </is>
      </c>
      <c r="H436" t="n">
        <v>0.784</v>
      </c>
      <c r="I436" t="inlineStr">
        <is>
          <t>NIS</t>
        </is>
      </c>
      <c r="L436" t="n">
        <v>108416489</v>
      </c>
      <c r="M436" s="6" t="n">
        <v>46080</v>
      </c>
      <c r="N436" t="n">
        <v>19</v>
      </c>
      <c r="O436" t="n">
        <v>1</v>
      </c>
      <c r="P436" t="n">
        <v>0</v>
      </c>
      <c r="Q436" t="n">
        <v>5</v>
      </c>
      <c r="R436" t="inlineStr">
        <is>
          <t>O</t>
        </is>
      </c>
      <c r="S436">
        <f>IFERROR(VLOOKUP(N436,Index!$A$1:$B$26,2,FALSE),"")</f>
        <v/>
      </c>
      <c r="T436">
        <f>AA436</f>
        <v/>
      </c>
      <c r="V436">
        <f>IFERROR(INDEX(DetailedFiche!Q:Q,MATCH(L436,DetailedFiche!J:J,0)),"")</f>
        <v/>
      </c>
      <c r="W436">
        <f>IFERROR(INDEX(DetailedFiche!R:R,MATCH(L436,DetailedFiche!J:J,0)),"")</f>
        <v/>
      </c>
      <c r="Y436">
        <f>IFERROR(IF(AND(INDEX('Initial Study'!K:K, MATCH(L436, 'Initial Study'!B:B, 0)+1)&lt;&gt;0,INDEX('Initial Study'!K:K, MATCH(L436, 'Initial Study'!B:B, 0)+1)&lt;&gt;""),INDEX('Initial Study'!K:K, MATCH(L436, 'Initial Study'!B:B, 0)+1),""),"")</f>
        <v/>
      </c>
      <c r="Z436">
        <f>IFERROR(IF(AND(INDEX('Initial Study'!K:K, MATCH(L436, 'Initial Study'!B:B, 0)+2)&lt;&gt;0,INDEX('Initial Study'!K:K, MATCH(L436, 'Initial Study'!B:B, 0)+2)&lt;&gt;"",NOT(ISNUMBER(INDEX('Initial Study'!K:K, MATCH(L436, 'Initial Study'!B:B, 0)+2)))),INDEX('Initial Study'!K:K, MATCH(L436, 'Initial Study'!B:B, 0)+2),"-"),"-")</f>
        <v/>
      </c>
      <c r="AA436">
        <f>IF(S436="RE", Y436 &amp; "BT/" &amp; IF(Z436 &lt;&gt; "-", Z436 &amp; "BT", ""), IF(OR(S436="LTDR", S436="LTSR"), Y436 &amp; "BL" &amp; IF(Z436 &lt;&gt; "-", "/" &amp; Z436 &amp; "BT", ""), IF(OR(S436="RTDR", S436="RTSR"), Y436 &amp; "BR" &amp; IF(Z436 &lt;&gt; "-", "/" &amp; Z436 &amp; "BT", ""), IF(Z436 &lt;&gt; "-", Y436 &amp; "BT/" &amp; Z436 &amp; "BT", Y436 &amp; "BT"))))</f>
        <v/>
      </c>
    </row>
    <row r="437">
      <c r="A437" t="n">
        <v>0</v>
      </c>
      <c r="B437" t="inlineStr">
        <is>
          <t>SR 1606</t>
        </is>
      </c>
      <c r="C437" t="n">
        <v>5</v>
      </c>
      <c r="D437" t="inlineStr">
        <is>
          <t>N</t>
        </is>
      </c>
      <c r="E437" t="inlineStr">
        <is>
          <t>SR 1678</t>
        </is>
      </c>
      <c r="F437" t="inlineStr">
        <is>
          <t>SR 1613</t>
        </is>
      </c>
      <c r="G437" t="inlineStr">
        <is>
          <t>SR 1606</t>
        </is>
      </c>
      <c r="H437" t="n">
        <v>0.796</v>
      </c>
      <c r="I437" t="inlineStr">
        <is>
          <t>NIS</t>
        </is>
      </c>
      <c r="L437" t="n">
        <v>105613443</v>
      </c>
      <c r="M437" s="6" t="n">
        <v>43367</v>
      </c>
      <c r="N437" t="n">
        <v>22</v>
      </c>
      <c r="O437" t="n">
        <v>1</v>
      </c>
      <c r="P437" t="n">
        <v>5</v>
      </c>
      <c r="Q437" t="n">
        <v>5</v>
      </c>
      <c r="R437" t="inlineStr">
        <is>
          <t>C</t>
        </is>
      </c>
      <c r="S437">
        <f>IFERROR(VLOOKUP(N437,Index!$A$1:$B$26,2,FALSE),"")</f>
        <v/>
      </c>
      <c r="T437">
        <f>AA437</f>
        <v/>
      </c>
      <c r="V437">
        <f>IFERROR(INDEX(DetailedFiche!Q:Q,MATCH(L437,DetailedFiche!J:J,0)),"")</f>
        <v/>
      </c>
      <c r="W437">
        <f>IFERROR(INDEX(DetailedFiche!R:R,MATCH(L437,DetailedFiche!J:J,0)),"")</f>
        <v/>
      </c>
      <c r="Y437">
        <f>IFERROR(IF(AND(INDEX('Initial Study'!K:K, MATCH(L437, 'Initial Study'!B:B, 0)+1)&lt;&gt;0,INDEX('Initial Study'!K:K, MATCH(L437, 'Initial Study'!B:B, 0)+1)&lt;&gt;""),INDEX('Initial Study'!K:K, MATCH(L437, 'Initial Study'!B:B, 0)+1),""),"")</f>
        <v/>
      </c>
      <c r="Z437">
        <f>IFERROR(IF(AND(INDEX('Initial Study'!K:K, MATCH(L437, 'Initial Study'!B:B, 0)+2)&lt;&gt;0,INDEX('Initial Study'!K:K, MATCH(L437, 'Initial Study'!B:B, 0)+2)&lt;&gt;"",NOT(ISNUMBER(INDEX('Initial Study'!K:K, MATCH(L437, 'Initial Study'!B:B, 0)+2)))),INDEX('Initial Study'!K:K, MATCH(L437, 'Initial Study'!B:B, 0)+2),"-"),"-")</f>
        <v/>
      </c>
      <c r="AA437">
        <f>IF(S437="RE", Y437 &amp; "BT/" &amp; IF(Z437 &lt;&gt; "-", Z437 &amp; "BT", ""), IF(OR(S437="LTDR", S437="LTSR"), Y437 &amp; "BL" &amp; IF(Z437 &lt;&gt; "-", "/" &amp; Z437 &amp; "BT", ""), IF(OR(S437="RTDR", S437="RTSR"), Y437 &amp; "BR" &amp; IF(Z437 &lt;&gt; "-", "/" &amp; Z437 &amp; "BT", ""), IF(Z437 &lt;&gt; "-", Y437 &amp; "BT/" &amp; Z437 &amp; "BT", Y437 &amp; "BT"))))</f>
        <v/>
      </c>
    </row>
    <row r="438">
      <c r="A438" t="n">
        <v>637</v>
      </c>
      <c r="B438" t="inlineStr">
        <is>
          <t>SR 1606</t>
        </is>
      </c>
      <c r="C438" t="n">
        <v>0.095</v>
      </c>
      <c r="D438" t="inlineStr">
        <is>
          <t>N</t>
        </is>
      </c>
      <c r="E438" t="inlineStr">
        <is>
          <t>SR 1607</t>
        </is>
      </c>
      <c r="F438" t="inlineStr">
        <is>
          <t>SR 1604</t>
        </is>
      </c>
      <c r="G438" t="inlineStr">
        <is>
          <t>SR 1606</t>
        </is>
      </c>
      <c r="H438" t="n">
        <v>0.989</v>
      </c>
      <c r="I438" t="inlineStr">
        <is>
          <t>NIS</t>
        </is>
      </c>
      <c r="L438" t="n">
        <v>107325118</v>
      </c>
      <c r="M438" s="6" t="n">
        <v>45050</v>
      </c>
      <c r="N438" t="n">
        <v>17</v>
      </c>
      <c r="O438" t="n">
        <v>1</v>
      </c>
      <c r="P438" t="n">
        <v>0</v>
      </c>
      <c r="Q438" t="n">
        <v>5</v>
      </c>
      <c r="R438" t="inlineStr">
        <is>
          <t>O</t>
        </is>
      </c>
      <c r="S438">
        <f>IFERROR(VLOOKUP(N438,Index!$A$1:$B$26,2,FALSE),"")</f>
        <v/>
      </c>
      <c r="T438">
        <f>AA438</f>
        <v/>
      </c>
      <c r="V438">
        <f>IFERROR(INDEX(DetailedFiche!Q:Q,MATCH(L438,DetailedFiche!J:J,0)),"")</f>
        <v/>
      </c>
      <c r="W438">
        <f>IFERROR(INDEX(DetailedFiche!R:R,MATCH(L438,DetailedFiche!J:J,0)),"")</f>
        <v/>
      </c>
      <c r="Y438">
        <f>IFERROR(IF(AND(INDEX('Initial Study'!K:K, MATCH(L438, 'Initial Study'!B:B, 0)+1)&lt;&gt;0,INDEX('Initial Study'!K:K, MATCH(L438, 'Initial Study'!B:B, 0)+1)&lt;&gt;""),INDEX('Initial Study'!K:K, MATCH(L438, 'Initial Study'!B:B, 0)+1),""),"")</f>
        <v/>
      </c>
      <c r="Z438">
        <f>IFERROR(IF(AND(INDEX('Initial Study'!K:K, MATCH(L438, 'Initial Study'!B:B, 0)+2)&lt;&gt;0,INDEX('Initial Study'!K:K, MATCH(L438, 'Initial Study'!B:B, 0)+2)&lt;&gt;"",NOT(ISNUMBER(INDEX('Initial Study'!K:K, MATCH(L438, 'Initial Study'!B:B, 0)+2)))),INDEX('Initial Study'!K:K, MATCH(L438, 'Initial Study'!B:B, 0)+2),"-"),"-")</f>
        <v/>
      </c>
      <c r="AA438">
        <f>IF(S438="RE", Y438 &amp; "BT/" &amp; IF(Z438 &lt;&gt; "-", Z438 &amp; "BT", ""), IF(OR(S438="LTDR", S438="LTSR"), Y438 &amp; "BL" &amp; IF(Z438 &lt;&gt; "-", "/" &amp; Z438 &amp; "BT", ""), IF(OR(S438="RTDR", S438="RTSR"), Y438 &amp; "BR" &amp; IF(Z438 &lt;&gt; "-", "/" &amp; Z438 &amp; "BT", ""), IF(Z438 &lt;&gt; "-", Y438 &amp; "BT/" &amp; Z438 &amp; "BT", Y438 &amp; "BT"))))</f>
        <v/>
      </c>
    </row>
    <row r="439">
      <c r="A439" t="n">
        <v>0</v>
      </c>
      <c r="B439" t="inlineStr">
        <is>
          <t>SR 1606</t>
        </is>
      </c>
      <c r="C439" t="n">
        <v>0</v>
      </c>
      <c r="E439" t="inlineStr">
        <is>
          <t>SR 1607</t>
        </is>
      </c>
      <c r="F439" t="inlineStr">
        <is>
          <t>SR 1547</t>
        </is>
      </c>
      <c r="G439" t="inlineStr">
        <is>
          <t>SR 1606</t>
        </is>
      </c>
      <c r="H439" t="n">
        <v>1.084</v>
      </c>
      <c r="I439" t="inlineStr">
        <is>
          <t>NIS</t>
        </is>
      </c>
      <c r="L439" t="n">
        <v>107591326</v>
      </c>
      <c r="M439" s="6" t="n">
        <v>45301</v>
      </c>
      <c r="N439" t="n">
        <v>24</v>
      </c>
      <c r="O439" t="n">
        <v>1</v>
      </c>
      <c r="P439" t="n">
        <v>7</v>
      </c>
      <c r="Q439" t="n">
        <v>1</v>
      </c>
      <c r="R439" t="inlineStr">
        <is>
          <t>C</t>
        </is>
      </c>
      <c r="S439">
        <f>IFERROR(VLOOKUP(N439,Index!$A$1:$B$26,2,FALSE),"")</f>
        <v/>
      </c>
      <c r="T439">
        <f>AA439</f>
        <v/>
      </c>
      <c r="V439">
        <f>IFERROR(INDEX(DetailedFiche!Q:Q,MATCH(L439,DetailedFiche!J:J,0)),"")</f>
        <v/>
      </c>
      <c r="W439">
        <f>IFERROR(INDEX(DetailedFiche!R:R,MATCH(L439,DetailedFiche!J:J,0)),"")</f>
        <v/>
      </c>
      <c r="Y439">
        <f>IFERROR(IF(AND(INDEX('Initial Study'!K:K, MATCH(L439, 'Initial Study'!B:B, 0)+1)&lt;&gt;0,INDEX('Initial Study'!K:K, MATCH(L439, 'Initial Study'!B:B, 0)+1)&lt;&gt;""),INDEX('Initial Study'!K:K, MATCH(L439, 'Initial Study'!B:B, 0)+1),""),"")</f>
        <v/>
      </c>
      <c r="Z439">
        <f>IFERROR(IF(AND(INDEX('Initial Study'!K:K, MATCH(L439, 'Initial Study'!B:B, 0)+2)&lt;&gt;0,INDEX('Initial Study'!K:K, MATCH(L439, 'Initial Study'!B:B, 0)+2)&lt;&gt;"",NOT(ISNUMBER(INDEX('Initial Study'!K:K, MATCH(L439, 'Initial Study'!B:B, 0)+2)))),INDEX('Initial Study'!K:K, MATCH(L439, 'Initial Study'!B:B, 0)+2),"-"),"-")</f>
        <v/>
      </c>
      <c r="AA439">
        <f>IF(S439="RE", Y439 &amp; "BT/" &amp; IF(Z439 &lt;&gt; "-", Z439 &amp; "BT", ""), IF(OR(S439="LTDR", S439="LTSR"), Y439 &amp; "BL" &amp; IF(Z439 &lt;&gt; "-", "/" &amp; Z439 &amp; "BT", ""), IF(OR(S439="RTDR", S439="RTSR"), Y439 &amp; "BR" &amp; IF(Z439 &lt;&gt; "-", "/" &amp; Z439 &amp; "BT", ""), IF(Z439 &lt;&gt; "-", Y439 &amp; "BT/" &amp; Z439 &amp; "BT", Y439 &amp; "BT"))))</f>
        <v/>
      </c>
    </row>
    <row r="440">
      <c r="A440" t="n">
        <v>0</v>
      </c>
      <c r="B440" t="inlineStr">
        <is>
          <t>SR 1606</t>
        </is>
      </c>
      <c r="C440" t="n">
        <v>0</v>
      </c>
      <c r="E440" t="inlineStr">
        <is>
          <t>SR 1607</t>
        </is>
      </c>
      <c r="F440" t="inlineStr">
        <is>
          <t>CL-STANLY</t>
        </is>
      </c>
      <c r="G440" t="inlineStr">
        <is>
          <t>SR 1606</t>
        </is>
      </c>
      <c r="H440" t="n">
        <v>1.084</v>
      </c>
      <c r="I440" t="inlineStr">
        <is>
          <t>NIS</t>
        </is>
      </c>
      <c r="L440" t="n">
        <v>105199689</v>
      </c>
      <c r="M440" s="6" t="n">
        <v>42968</v>
      </c>
      <c r="N440" t="n">
        <v>26</v>
      </c>
      <c r="O440" t="n">
        <v>1</v>
      </c>
      <c r="P440" t="n">
        <v>7</v>
      </c>
      <c r="Q440" t="n">
        <v>1</v>
      </c>
      <c r="R440" t="inlineStr">
        <is>
          <t>O</t>
        </is>
      </c>
      <c r="S440">
        <f>IFERROR(VLOOKUP(N440,Index!$A$1:$B$26,2,FALSE),"")</f>
        <v/>
      </c>
      <c r="T440">
        <f>AA440</f>
        <v/>
      </c>
      <c r="V440">
        <f>IFERROR(INDEX(DetailedFiche!Q:Q,MATCH(L440,DetailedFiche!J:J,0)),"")</f>
        <v/>
      </c>
      <c r="W440">
        <f>IFERROR(INDEX(DetailedFiche!R:R,MATCH(L440,DetailedFiche!J:J,0)),"")</f>
        <v/>
      </c>
      <c r="Y440">
        <f>IFERROR(IF(AND(INDEX('Initial Study'!K:K, MATCH(L440, 'Initial Study'!B:B, 0)+1)&lt;&gt;0,INDEX('Initial Study'!K:K, MATCH(L440, 'Initial Study'!B:B, 0)+1)&lt;&gt;""),INDEX('Initial Study'!K:K, MATCH(L440, 'Initial Study'!B:B, 0)+1),""),"")</f>
        <v/>
      </c>
      <c r="Z440">
        <f>IFERROR(IF(AND(INDEX('Initial Study'!K:K, MATCH(L440, 'Initial Study'!B:B, 0)+2)&lt;&gt;0,INDEX('Initial Study'!K:K, MATCH(L440, 'Initial Study'!B:B, 0)+2)&lt;&gt;"",NOT(ISNUMBER(INDEX('Initial Study'!K:K, MATCH(L440, 'Initial Study'!B:B, 0)+2)))),INDEX('Initial Study'!K:K, MATCH(L440, 'Initial Study'!B:B, 0)+2),"-"),"-")</f>
        <v/>
      </c>
      <c r="AA440">
        <f>IF(S440="RE", Y440 &amp; "BT/" &amp; IF(Z440 &lt;&gt; "-", Z440 &amp; "BT", ""), IF(OR(S440="LTDR", S440="LTSR"), Y440 &amp; "BL" &amp; IF(Z440 &lt;&gt; "-", "/" &amp; Z440 &amp; "BT", ""), IF(OR(S440="RTDR", S440="RTSR"), Y440 &amp; "BR" &amp; IF(Z440 &lt;&gt; "-", "/" &amp; Z440 &amp; "BT", ""), IF(Z440 &lt;&gt; "-", Y440 &amp; "BT/" &amp; Z440 &amp; "BT", Y440 &amp; "BT"))))</f>
        <v/>
      </c>
    </row>
    <row r="441">
      <c r="A441" t="n">
        <v>0</v>
      </c>
      <c r="B441" t="inlineStr">
        <is>
          <t>SR 1606</t>
        </is>
      </c>
      <c r="C441" t="n">
        <v>0.1</v>
      </c>
      <c r="D441" t="inlineStr">
        <is>
          <t>S</t>
        </is>
      </c>
      <c r="E441" t="inlineStr">
        <is>
          <t>SR 1607</t>
        </is>
      </c>
      <c r="F441" t="inlineStr">
        <is>
          <t>SR 1605</t>
        </is>
      </c>
      <c r="G441" t="inlineStr">
        <is>
          <t>SR 1606</t>
        </is>
      </c>
      <c r="H441" t="n">
        <v>1.184</v>
      </c>
      <c r="I441" t="inlineStr">
        <is>
          <t>NIS</t>
        </is>
      </c>
      <c r="L441" t="n">
        <v>107119047</v>
      </c>
      <c r="M441" s="6" t="n">
        <v>44856</v>
      </c>
      <c r="N441" t="n">
        <v>17</v>
      </c>
      <c r="O441" t="n">
        <v>1</v>
      </c>
      <c r="P441" t="n">
        <v>0</v>
      </c>
      <c r="Q441" t="n">
        <v>5</v>
      </c>
      <c r="R441" t="inlineStr">
        <is>
          <t>O</t>
        </is>
      </c>
      <c r="S441">
        <f>IFERROR(VLOOKUP(N441,Index!$A$1:$B$26,2,FALSE),"")</f>
        <v/>
      </c>
      <c r="T441">
        <f>AA441</f>
        <v/>
      </c>
      <c r="V441">
        <f>IFERROR(INDEX(DetailedFiche!Q:Q,MATCH(L441,DetailedFiche!J:J,0)),"")</f>
        <v/>
      </c>
      <c r="W441">
        <f>IFERROR(INDEX(DetailedFiche!R:R,MATCH(L441,DetailedFiche!J:J,0)),"")</f>
        <v/>
      </c>
      <c r="Y441">
        <f>IFERROR(IF(AND(INDEX('Initial Study'!K:K, MATCH(L441, 'Initial Study'!B:B, 0)+1)&lt;&gt;0,INDEX('Initial Study'!K:K, MATCH(L441, 'Initial Study'!B:B, 0)+1)&lt;&gt;""),INDEX('Initial Study'!K:K, MATCH(L441, 'Initial Study'!B:B, 0)+1),""),"")</f>
        <v/>
      </c>
      <c r="Z441">
        <f>IFERROR(IF(AND(INDEX('Initial Study'!K:K, MATCH(L441, 'Initial Study'!B:B, 0)+2)&lt;&gt;0,INDEX('Initial Study'!K:K, MATCH(L441, 'Initial Study'!B:B, 0)+2)&lt;&gt;"",NOT(ISNUMBER(INDEX('Initial Study'!K:K, MATCH(L441, 'Initial Study'!B:B, 0)+2)))),INDEX('Initial Study'!K:K, MATCH(L441, 'Initial Study'!B:B, 0)+2),"-"),"-")</f>
        <v/>
      </c>
      <c r="AA441">
        <f>IF(S441="RE", Y441 &amp; "BT/" &amp; IF(Z441 &lt;&gt; "-", Z441 &amp; "BT", ""), IF(OR(S441="LTDR", S441="LTSR"), Y441 &amp; "BL" &amp; IF(Z441 &lt;&gt; "-", "/" &amp; Z441 &amp; "BT", ""), IF(OR(S441="RTDR", S441="RTSR"), Y441 &amp; "BR" &amp; IF(Z441 &lt;&gt; "-", "/" &amp; Z441 &amp; "BT", ""), IF(Z441 &lt;&gt; "-", Y441 &amp; "BT/" &amp; Z441 &amp; "BT", Y441 &amp; "BT"))))</f>
        <v/>
      </c>
    </row>
    <row r="442">
      <c r="A442" t="n">
        <v>637</v>
      </c>
      <c r="B442" t="inlineStr">
        <is>
          <t>SR 1606</t>
        </is>
      </c>
      <c r="C442" t="n">
        <v>0.1</v>
      </c>
      <c r="D442" t="inlineStr">
        <is>
          <t>S</t>
        </is>
      </c>
      <c r="E442" t="inlineStr">
        <is>
          <t>SR 1607</t>
        </is>
      </c>
      <c r="F442" t="inlineStr">
        <is>
          <t>SR 1547</t>
        </is>
      </c>
      <c r="G442" t="inlineStr">
        <is>
          <t>SR 1606</t>
        </is>
      </c>
      <c r="H442" t="n">
        <v>1.184</v>
      </c>
      <c r="I442" t="inlineStr">
        <is>
          <t>NIS</t>
        </is>
      </c>
      <c r="L442" t="n">
        <v>106121140</v>
      </c>
      <c r="M442" s="6" t="n">
        <v>43840</v>
      </c>
      <c r="N442" t="n">
        <v>19</v>
      </c>
      <c r="O442" t="n">
        <v>1</v>
      </c>
      <c r="P442" t="n">
        <v>0</v>
      </c>
      <c r="Q442" t="n">
        <v>1</v>
      </c>
      <c r="S442">
        <f>IFERROR(VLOOKUP(N442,Index!$A$1:$B$26,2,FALSE),"")</f>
        <v/>
      </c>
      <c r="T442">
        <f>AA442</f>
        <v/>
      </c>
      <c r="V442">
        <f>IFERROR(INDEX(DetailedFiche!Q:Q,MATCH(L442,DetailedFiche!J:J,0)),"")</f>
        <v/>
      </c>
      <c r="W442">
        <f>IFERROR(INDEX(DetailedFiche!R:R,MATCH(L442,DetailedFiche!J:J,0)),"")</f>
        <v/>
      </c>
      <c r="Y442">
        <f>IFERROR(IF(AND(INDEX('Initial Study'!K:K, MATCH(L442, 'Initial Study'!B:B, 0)+1)&lt;&gt;0,INDEX('Initial Study'!K:K, MATCH(L442, 'Initial Study'!B:B, 0)+1)&lt;&gt;""),INDEX('Initial Study'!K:K, MATCH(L442, 'Initial Study'!B:B, 0)+1),""),"")</f>
        <v/>
      </c>
      <c r="Z442">
        <f>IFERROR(IF(AND(INDEX('Initial Study'!K:K, MATCH(L442, 'Initial Study'!B:B, 0)+2)&lt;&gt;0,INDEX('Initial Study'!K:K, MATCH(L442, 'Initial Study'!B:B, 0)+2)&lt;&gt;"",NOT(ISNUMBER(INDEX('Initial Study'!K:K, MATCH(L442, 'Initial Study'!B:B, 0)+2)))),INDEX('Initial Study'!K:K, MATCH(L442, 'Initial Study'!B:B, 0)+2),"-"),"-")</f>
        <v/>
      </c>
      <c r="AA442">
        <f>IF(S442="RE", Y442 &amp; "BT/" &amp; IF(Z442 &lt;&gt; "-", Z442 &amp; "BT", ""), IF(OR(S442="LTDR", S442="LTSR"), Y442 &amp; "BL" &amp; IF(Z442 &lt;&gt; "-", "/" &amp; Z442 &amp; "BT", ""), IF(OR(S442="RTDR", S442="RTSR"), Y442 &amp; "BR" &amp; IF(Z442 &lt;&gt; "-", "/" &amp; Z442 &amp; "BT", ""), IF(Z442 &lt;&gt; "-", Y442 &amp; "BT/" &amp; Z442 &amp; "BT", Y442 &amp; "BT"))))</f>
        <v/>
      </c>
    </row>
    <row r="443">
      <c r="A443" t="n">
        <v>637</v>
      </c>
      <c r="B443" t="inlineStr">
        <is>
          <t>SR 1606</t>
        </is>
      </c>
      <c r="C443" t="n">
        <v>0.2</v>
      </c>
      <c r="D443" t="inlineStr">
        <is>
          <t>N</t>
        </is>
      </c>
      <c r="E443" t="inlineStr">
        <is>
          <t>SR 1547</t>
        </is>
      </c>
      <c r="F443" t="inlineStr">
        <is>
          <t>SR 1607</t>
        </is>
      </c>
      <c r="G443" t="inlineStr">
        <is>
          <t>SR 1606</t>
        </is>
      </c>
      <c r="H443" t="n">
        <v>1.387</v>
      </c>
      <c r="I443" t="inlineStr">
        <is>
          <t>NIS</t>
        </is>
      </c>
      <c r="L443" t="n">
        <v>107731025</v>
      </c>
      <c r="M443" s="6" t="n">
        <v>45437</v>
      </c>
      <c r="N443" t="n">
        <v>29</v>
      </c>
      <c r="O443" t="n">
        <v>1</v>
      </c>
      <c r="P443" t="n">
        <v>0</v>
      </c>
      <c r="Q443" t="n">
        <v>5</v>
      </c>
      <c r="R443" t="inlineStr">
        <is>
          <t>O</t>
        </is>
      </c>
      <c r="S443">
        <f>IFERROR(VLOOKUP(N443,Index!$A$1:$B$26,2,FALSE),"")</f>
        <v/>
      </c>
      <c r="T443">
        <f>AA443</f>
        <v/>
      </c>
      <c r="V443">
        <f>IFERROR(INDEX(DetailedFiche!Q:Q,MATCH(L443,DetailedFiche!J:J,0)),"")</f>
        <v/>
      </c>
      <c r="W443">
        <f>IFERROR(INDEX(DetailedFiche!R:R,MATCH(L443,DetailedFiche!J:J,0)),"")</f>
        <v/>
      </c>
      <c r="Y443">
        <f>IFERROR(IF(AND(INDEX('Initial Study'!K:K, MATCH(L443, 'Initial Study'!B:B, 0)+1)&lt;&gt;0,INDEX('Initial Study'!K:K, MATCH(L443, 'Initial Study'!B:B, 0)+1)&lt;&gt;""),INDEX('Initial Study'!K:K, MATCH(L443, 'Initial Study'!B:B, 0)+1),""),"")</f>
        <v/>
      </c>
      <c r="Z443">
        <f>IFERROR(IF(AND(INDEX('Initial Study'!K:K, MATCH(L443, 'Initial Study'!B:B, 0)+2)&lt;&gt;0,INDEX('Initial Study'!K:K, MATCH(L443, 'Initial Study'!B:B, 0)+2)&lt;&gt;"",NOT(ISNUMBER(INDEX('Initial Study'!K:K, MATCH(L443, 'Initial Study'!B:B, 0)+2)))),INDEX('Initial Study'!K:K, MATCH(L443, 'Initial Study'!B:B, 0)+2),"-"),"-")</f>
        <v/>
      </c>
      <c r="AA443">
        <f>IF(S443="RE", Y443 &amp; "BT/" &amp; IF(Z443 &lt;&gt; "-", Z443 &amp; "BT", ""), IF(OR(S443="LTDR", S443="LTSR"), Y443 &amp; "BL" &amp; IF(Z443 &lt;&gt; "-", "/" &amp; Z443 &amp; "BT", ""), IF(OR(S443="RTDR", S443="RTSR"), Y443 &amp; "BR" &amp; IF(Z443 &lt;&gt; "-", "/" &amp; Z443 &amp; "BT", ""), IF(Z443 &lt;&gt; "-", Y443 &amp; "BT/" &amp; Z443 &amp; "BT", Y443 &amp; "BT"))))</f>
        <v/>
      </c>
    </row>
    <row r="444">
      <c r="A444" t="n">
        <v>637</v>
      </c>
      <c r="B444" t="inlineStr">
        <is>
          <t>SR 1606</t>
        </is>
      </c>
      <c r="C444" t="n">
        <v>0.18</v>
      </c>
      <c r="D444" t="inlineStr">
        <is>
          <t>N</t>
        </is>
      </c>
      <c r="E444" t="inlineStr">
        <is>
          <t>SR 1547</t>
        </is>
      </c>
      <c r="F444" t="inlineStr">
        <is>
          <t>SR 1607</t>
        </is>
      </c>
      <c r="G444" t="inlineStr">
        <is>
          <t>SR 1606</t>
        </is>
      </c>
      <c r="H444" t="n">
        <v>1.407</v>
      </c>
      <c r="I444" t="inlineStr">
        <is>
          <t>NIS</t>
        </is>
      </c>
      <c r="L444" t="n">
        <v>108377689</v>
      </c>
      <c r="M444" s="6" t="n">
        <v>46031</v>
      </c>
      <c r="N444" t="n">
        <v>19</v>
      </c>
      <c r="O444" t="n">
        <v>1</v>
      </c>
      <c r="P444" t="n">
        <v>5</v>
      </c>
      <c r="Q444" t="n">
        <v>5</v>
      </c>
      <c r="R444" t="inlineStr">
        <is>
          <t>K</t>
        </is>
      </c>
      <c r="S444">
        <f>IFERROR(VLOOKUP(N444,Index!$A$1:$B$26,2,FALSE),"")</f>
        <v/>
      </c>
      <c r="T444">
        <f>AA444</f>
        <v/>
      </c>
      <c r="V444">
        <f>IFERROR(INDEX(DetailedFiche!Q:Q,MATCH(L444,DetailedFiche!J:J,0)),"")</f>
        <v/>
      </c>
      <c r="W444">
        <f>IFERROR(INDEX(DetailedFiche!R:R,MATCH(L444,DetailedFiche!J:J,0)),"")</f>
        <v/>
      </c>
      <c r="Y444">
        <f>IFERROR(IF(AND(INDEX('Initial Study'!K:K, MATCH(L444, 'Initial Study'!B:B, 0)+1)&lt;&gt;0,INDEX('Initial Study'!K:K, MATCH(L444, 'Initial Study'!B:B, 0)+1)&lt;&gt;""),INDEX('Initial Study'!K:K, MATCH(L444, 'Initial Study'!B:B, 0)+1),""),"")</f>
        <v/>
      </c>
      <c r="Z444">
        <f>IFERROR(IF(AND(INDEX('Initial Study'!K:K, MATCH(L444, 'Initial Study'!B:B, 0)+2)&lt;&gt;0,INDEX('Initial Study'!K:K, MATCH(L444, 'Initial Study'!B:B, 0)+2)&lt;&gt;"",NOT(ISNUMBER(INDEX('Initial Study'!K:K, MATCH(L444, 'Initial Study'!B:B, 0)+2)))),INDEX('Initial Study'!K:K, MATCH(L444, 'Initial Study'!B:B, 0)+2),"-"),"-")</f>
        <v/>
      </c>
      <c r="AA444">
        <f>IF(S444="RE", Y444 &amp; "BT/" &amp; IF(Z444 &lt;&gt; "-", Z444 &amp; "BT", ""), IF(OR(S444="LTDR", S444="LTSR"), Y444 &amp; "BL" &amp; IF(Z444 &lt;&gt; "-", "/" &amp; Z444 &amp; "BT", ""), IF(OR(S444="RTDR", S444="RTSR"), Y444 &amp; "BR" &amp; IF(Z444 &lt;&gt; "-", "/" &amp; Z444 &amp; "BT", ""), IF(Z444 &lt;&gt; "-", Y444 &amp; "BT/" &amp; Z444 &amp; "BT", Y444 &amp; "BT"))))</f>
        <v/>
      </c>
    </row>
    <row r="445">
      <c r="A445" t="n">
        <v>0</v>
      </c>
      <c r="B445" t="inlineStr">
        <is>
          <t>SR 1606</t>
        </is>
      </c>
      <c r="C445" t="n">
        <v>0.1</v>
      </c>
      <c r="D445" t="inlineStr">
        <is>
          <t>N</t>
        </is>
      </c>
      <c r="E445" t="inlineStr">
        <is>
          <t>SR 1547</t>
        </is>
      </c>
      <c r="F445" t="inlineStr">
        <is>
          <t>SR 1607</t>
        </is>
      </c>
      <c r="G445" t="inlineStr">
        <is>
          <t>SR 1606</t>
        </is>
      </c>
      <c r="H445" t="n">
        <v>1.487</v>
      </c>
      <c r="I445" t="inlineStr">
        <is>
          <t>NIS</t>
        </is>
      </c>
      <c r="L445" t="n">
        <v>108244970</v>
      </c>
      <c r="M445" s="6" t="n">
        <v>45926</v>
      </c>
      <c r="N445" t="n">
        <v>21</v>
      </c>
      <c r="O445" t="n">
        <v>2</v>
      </c>
      <c r="P445" t="n">
        <v>5</v>
      </c>
      <c r="Q445" t="n">
        <v>1</v>
      </c>
      <c r="R445" t="inlineStr">
        <is>
          <t>O</t>
        </is>
      </c>
      <c r="S445">
        <f>IFERROR(VLOOKUP(N445,Index!$A$1:$B$26,2,FALSE),"")</f>
        <v/>
      </c>
      <c r="T445">
        <f>AA445</f>
        <v/>
      </c>
      <c r="V445">
        <f>IFERROR(INDEX(DetailedFiche!Q:Q,MATCH(L445,DetailedFiche!J:J,0)),"")</f>
        <v/>
      </c>
      <c r="W445">
        <f>IFERROR(INDEX(DetailedFiche!R:R,MATCH(L445,DetailedFiche!J:J,0)),"")</f>
        <v/>
      </c>
      <c r="Y445">
        <f>IFERROR(IF(AND(INDEX('Initial Study'!K:K, MATCH(L445, 'Initial Study'!B:B, 0)+1)&lt;&gt;0,INDEX('Initial Study'!K:K, MATCH(L445, 'Initial Study'!B:B, 0)+1)&lt;&gt;""),INDEX('Initial Study'!K:K, MATCH(L445, 'Initial Study'!B:B, 0)+1),""),"")</f>
        <v/>
      </c>
      <c r="Z445">
        <f>IFERROR(IF(AND(INDEX('Initial Study'!K:K, MATCH(L445, 'Initial Study'!B:B, 0)+2)&lt;&gt;0,INDEX('Initial Study'!K:K, MATCH(L445, 'Initial Study'!B:B, 0)+2)&lt;&gt;"",NOT(ISNUMBER(INDEX('Initial Study'!K:K, MATCH(L445, 'Initial Study'!B:B, 0)+2)))),INDEX('Initial Study'!K:K, MATCH(L445, 'Initial Study'!B:B, 0)+2),"-"),"-")</f>
        <v/>
      </c>
      <c r="AA445">
        <f>IF(S445="RE", Y445 &amp; "BT/" &amp; IF(Z445 &lt;&gt; "-", Z445 &amp; "BT", ""), IF(OR(S445="LTDR", S445="LTSR"), Y445 &amp; "BL" &amp; IF(Z445 &lt;&gt; "-", "/" &amp; Z445 &amp; "BT", ""), IF(OR(S445="RTDR", S445="RTSR"), Y445 &amp; "BR" &amp; IF(Z445 &lt;&gt; "-", "/" &amp; Z445 &amp; "BT", ""), IF(Z445 &lt;&gt; "-", Y445 &amp; "BT/" &amp; Z445 &amp; "BT", Y445 &amp; "BT"))))</f>
        <v/>
      </c>
    </row>
    <row r="446">
      <c r="A446" t="n">
        <v>637</v>
      </c>
      <c r="B446" t="inlineStr">
        <is>
          <t>SR 1606</t>
        </is>
      </c>
      <c r="C446" t="n">
        <v>0.1</v>
      </c>
      <c r="D446" t="inlineStr">
        <is>
          <t>N</t>
        </is>
      </c>
      <c r="E446" t="inlineStr">
        <is>
          <t>SR 1547</t>
        </is>
      </c>
      <c r="F446" t="inlineStr">
        <is>
          <t>NC 218</t>
        </is>
      </c>
      <c r="G446" t="inlineStr">
        <is>
          <t>SR 1606</t>
        </is>
      </c>
      <c r="H446" t="n">
        <v>1.487</v>
      </c>
      <c r="I446" t="inlineStr">
        <is>
          <t>NIS</t>
        </is>
      </c>
      <c r="L446" t="n">
        <v>108318481</v>
      </c>
      <c r="M446" s="6" t="n">
        <v>45966</v>
      </c>
      <c r="N446" t="n">
        <v>18</v>
      </c>
      <c r="O446" t="n">
        <v>1</v>
      </c>
      <c r="P446" t="n">
        <v>0</v>
      </c>
      <c r="Q446" t="n">
        <v>1</v>
      </c>
      <c r="R446" t="inlineStr">
        <is>
          <t>O</t>
        </is>
      </c>
      <c r="S446">
        <f>IFERROR(VLOOKUP(N446,Index!$A$1:$B$26,2,FALSE),"")</f>
        <v/>
      </c>
      <c r="T446">
        <f>AA446</f>
        <v/>
      </c>
      <c r="V446">
        <f>IFERROR(INDEX(DetailedFiche!Q:Q,MATCH(L446,DetailedFiche!J:J,0)),"")</f>
        <v/>
      </c>
      <c r="W446">
        <f>IFERROR(INDEX(DetailedFiche!R:R,MATCH(L446,DetailedFiche!J:J,0)),"")</f>
        <v/>
      </c>
      <c r="Y446">
        <f>IFERROR(IF(AND(INDEX('Initial Study'!K:K, MATCH(L446, 'Initial Study'!B:B, 0)+1)&lt;&gt;0,INDEX('Initial Study'!K:K, MATCH(L446, 'Initial Study'!B:B, 0)+1)&lt;&gt;""),INDEX('Initial Study'!K:K, MATCH(L446, 'Initial Study'!B:B, 0)+1),""),"")</f>
        <v/>
      </c>
      <c r="Z446">
        <f>IFERROR(IF(AND(INDEX('Initial Study'!K:K, MATCH(L446, 'Initial Study'!B:B, 0)+2)&lt;&gt;0,INDEX('Initial Study'!K:K, MATCH(L446, 'Initial Study'!B:B, 0)+2)&lt;&gt;"",NOT(ISNUMBER(INDEX('Initial Study'!K:K, MATCH(L446, 'Initial Study'!B:B, 0)+2)))),INDEX('Initial Study'!K:K, MATCH(L446, 'Initial Study'!B:B, 0)+2),"-"),"-")</f>
        <v/>
      </c>
      <c r="AA446">
        <f>IF(S446="RE", Y446 &amp; "BT/" &amp; IF(Z446 &lt;&gt; "-", Z446 &amp; "BT", ""), IF(OR(S446="LTDR", S446="LTSR"), Y446 &amp; "BL" &amp; IF(Z446 &lt;&gt; "-", "/" &amp; Z446 &amp; "BT", ""), IF(OR(S446="RTDR", S446="RTSR"), Y446 &amp; "BR" &amp; IF(Z446 &lt;&gt; "-", "/" &amp; Z446 &amp; "BT", ""), IF(Z446 &lt;&gt; "-", Y446 &amp; "BT/" &amp; Z446 &amp; "BT", Y446 &amp; "BT"))))</f>
        <v/>
      </c>
    </row>
    <row r="447">
      <c r="A447" t="n">
        <v>0</v>
      </c>
      <c r="B447" t="inlineStr">
        <is>
          <t>SR 1606</t>
        </is>
      </c>
      <c r="C447" t="n">
        <v>1.3</v>
      </c>
      <c r="D447" t="inlineStr">
        <is>
          <t>S</t>
        </is>
      </c>
      <c r="E447" t="inlineStr">
        <is>
          <t>SR 1604</t>
        </is>
      </c>
      <c r="F447" t="inlineStr">
        <is>
          <t>SR 1605</t>
        </is>
      </c>
      <c r="G447" t="inlineStr">
        <is>
          <t>SR 1606</t>
        </is>
      </c>
      <c r="H447" t="n">
        <v>1.505</v>
      </c>
      <c r="I447" t="inlineStr">
        <is>
          <t>NIS</t>
        </is>
      </c>
      <c r="L447" t="n">
        <v>106134680</v>
      </c>
      <c r="M447" s="6" t="n">
        <v>43852</v>
      </c>
      <c r="N447" t="n">
        <v>29</v>
      </c>
      <c r="O447" t="n">
        <v>1</v>
      </c>
      <c r="P447" t="n">
        <v>0</v>
      </c>
      <c r="Q447" t="n">
        <v>1</v>
      </c>
      <c r="R447" t="inlineStr">
        <is>
          <t>O</t>
        </is>
      </c>
      <c r="S447">
        <f>IFERROR(VLOOKUP(N447,Index!$A$1:$B$26,2,FALSE),"")</f>
        <v/>
      </c>
      <c r="T447">
        <f>AA447</f>
        <v/>
      </c>
      <c r="V447">
        <f>IFERROR(INDEX(DetailedFiche!Q:Q,MATCH(L447,DetailedFiche!J:J,0)),"")</f>
        <v/>
      </c>
      <c r="W447">
        <f>IFERROR(INDEX(DetailedFiche!R:R,MATCH(L447,DetailedFiche!J:J,0)),"")</f>
        <v/>
      </c>
      <c r="Y447">
        <f>IFERROR(IF(AND(INDEX('Initial Study'!K:K, MATCH(L447, 'Initial Study'!B:B, 0)+1)&lt;&gt;0,INDEX('Initial Study'!K:K, MATCH(L447, 'Initial Study'!B:B, 0)+1)&lt;&gt;""),INDEX('Initial Study'!K:K, MATCH(L447, 'Initial Study'!B:B, 0)+1),""),"")</f>
        <v/>
      </c>
      <c r="Z447">
        <f>IFERROR(IF(AND(INDEX('Initial Study'!K:K, MATCH(L447, 'Initial Study'!B:B, 0)+2)&lt;&gt;0,INDEX('Initial Study'!K:K, MATCH(L447, 'Initial Study'!B:B, 0)+2)&lt;&gt;"",NOT(ISNUMBER(INDEX('Initial Study'!K:K, MATCH(L447, 'Initial Study'!B:B, 0)+2)))),INDEX('Initial Study'!K:K, MATCH(L447, 'Initial Study'!B:B, 0)+2),"-"),"-")</f>
        <v/>
      </c>
      <c r="AA447">
        <f>IF(S447="RE", Y447 &amp; "BT/" &amp; IF(Z447 &lt;&gt; "-", Z447 &amp; "BT", ""), IF(OR(S447="LTDR", S447="LTSR"), Y447 &amp; "BL" &amp; IF(Z447 &lt;&gt; "-", "/" &amp; Z447 &amp; "BT", ""), IF(OR(S447="RTDR", S447="RTSR"), Y447 &amp; "BR" &amp; IF(Z447 &lt;&gt; "-", "/" &amp; Z447 &amp; "BT", ""), IF(Z447 &lt;&gt; "-", Y447 &amp; "BT/" &amp; Z447 &amp; "BT", Y447 &amp; "BT"))))</f>
        <v/>
      </c>
    </row>
    <row r="448">
      <c r="A448" t="n">
        <v>0</v>
      </c>
      <c r="B448" t="inlineStr">
        <is>
          <t>SR 1606</t>
        </is>
      </c>
      <c r="C448" t="n">
        <v>0</v>
      </c>
      <c r="E448" t="inlineStr">
        <is>
          <t>SR 1547</t>
        </is>
      </c>
      <c r="F448" t="inlineStr">
        <is>
          <t>NC 218</t>
        </is>
      </c>
      <c r="G448" t="inlineStr">
        <is>
          <t>SR 1606</t>
        </is>
      </c>
      <c r="H448" t="n">
        <v>1.587</v>
      </c>
      <c r="I448" t="inlineStr">
        <is>
          <t>NIS</t>
        </is>
      </c>
      <c r="L448" t="n">
        <v>107707929</v>
      </c>
      <c r="M448" s="6" t="n">
        <v>45415</v>
      </c>
      <c r="N448" t="n">
        <v>30</v>
      </c>
      <c r="O448" t="n">
        <v>1</v>
      </c>
      <c r="P448" t="n">
        <v>7</v>
      </c>
      <c r="Q448" t="n">
        <v>1</v>
      </c>
      <c r="R448" t="inlineStr">
        <is>
          <t>C</t>
        </is>
      </c>
      <c r="S448">
        <f>IFERROR(VLOOKUP(N448,Index!$A$1:$B$26,2,FALSE),"")</f>
        <v/>
      </c>
      <c r="T448">
        <f>AA448</f>
        <v/>
      </c>
      <c r="V448">
        <f>IFERROR(INDEX(DetailedFiche!Q:Q,MATCH(L448,DetailedFiche!J:J,0)),"")</f>
        <v/>
      </c>
      <c r="W448">
        <f>IFERROR(INDEX(DetailedFiche!R:R,MATCH(L448,DetailedFiche!J:J,0)),"")</f>
        <v/>
      </c>
      <c r="Y448">
        <f>IFERROR(IF(AND(INDEX('Initial Study'!K:K, MATCH(L448, 'Initial Study'!B:B, 0)+1)&lt;&gt;0,INDEX('Initial Study'!K:K, MATCH(L448, 'Initial Study'!B:B, 0)+1)&lt;&gt;""),INDEX('Initial Study'!K:K, MATCH(L448, 'Initial Study'!B:B, 0)+1),""),"")</f>
        <v/>
      </c>
      <c r="Z448">
        <f>IFERROR(IF(AND(INDEX('Initial Study'!K:K, MATCH(L448, 'Initial Study'!B:B, 0)+2)&lt;&gt;0,INDEX('Initial Study'!K:K, MATCH(L448, 'Initial Study'!B:B, 0)+2)&lt;&gt;"",NOT(ISNUMBER(INDEX('Initial Study'!K:K, MATCH(L448, 'Initial Study'!B:B, 0)+2)))),INDEX('Initial Study'!K:K, MATCH(L448, 'Initial Study'!B:B, 0)+2),"-"),"-")</f>
        <v/>
      </c>
      <c r="AA448">
        <f>IF(S448="RE", Y448 &amp; "BT/" &amp; IF(Z448 &lt;&gt; "-", Z448 &amp; "BT", ""), IF(OR(S448="LTDR", S448="LTSR"), Y448 &amp; "BL" &amp; IF(Z448 &lt;&gt; "-", "/" &amp; Z448 &amp; "BT", ""), IF(OR(S448="RTDR", S448="RTSR"), Y448 &amp; "BR" &amp; IF(Z448 &lt;&gt; "-", "/" &amp; Z448 &amp; "BT", ""), IF(Z448 &lt;&gt; "-", Y448 &amp; "BT/" &amp; Z448 &amp; "BT", Y448 &amp; "BT"))))</f>
        <v/>
      </c>
    </row>
    <row r="449">
      <c r="A449" t="n">
        <v>637</v>
      </c>
      <c r="B449" t="inlineStr">
        <is>
          <t>SR 1606</t>
        </is>
      </c>
      <c r="C449" t="n">
        <v>0</v>
      </c>
      <c r="E449" t="inlineStr">
        <is>
          <t>SR 1547</t>
        </is>
      </c>
      <c r="F449" t="inlineStr">
        <is>
          <t>SR 1607</t>
        </is>
      </c>
      <c r="G449" t="inlineStr">
        <is>
          <t>SR 1606</t>
        </is>
      </c>
      <c r="H449" t="n">
        <v>1.587</v>
      </c>
      <c r="I449" t="inlineStr">
        <is>
          <t>NIS</t>
        </is>
      </c>
      <c r="L449" t="n">
        <v>107892491</v>
      </c>
      <c r="M449" s="6" t="n">
        <v>45584</v>
      </c>
      <c r="N449" t="n">
        <v>30</v>
      </c>
      <c r="O449" t="n">
        <v>1</v>
      </c>
      <c r="P449" t="n">
        <v>7</v>
      </c>
      <c r="Q449" t="n">
        <v>1</v>
      </c>
      <c r="R449" t="inlineStr">
        <is>
          <t>O</t>
        </is>
      </c>
      <c r="S449">
        <f>IFERROR(VLOOKUP(N449,Index!$A$1:$B$26,2,FALSE),"")</f>
        <v/>
      </c>
      <c r="T449">
        <f>AA449</f>
        <v/>
      </c>
      <c r="V449">
        <f>IFERROR(INDEX(DetailedFiche!Q:Q,MATCH(L449,DetailedFiche!J:J,0)),"")</f>
        <v/>
      </c>
      <c r="W449">
        <f>IFERROR(INDEX(DetailedFiche!R:R,MATCH(L449,DetailedFiche!J:J,0)),"")</f>
        <v/>
      </c>
      <c r="Y449">
        <f>IFERROR(IF(AND(INDEX('Initial Study'!K:K, MATCH(L449, 'Initial Study'!B:B, 0)+1)&lt;&gt;0,INDEX('Initial Study'!K:K, MATCH(L449, 'Initial Study'!B:B, 0)+1)&lt;&gt;""),INDEX('Initial Study'!K:K, MATCH(L449, 'Initial Study'!B:B, 0)+1),""),"")</f>
        <v/>
      </c>
      <c r="Z449">
        <f>IFERROR(IF(AND(INDEX('Initial Study'!K:K, MATCH(L449, 'Initial Study'!B:B, 0)+2)&lt;&gt;0,INDEX('Initial Study'!K:K, MATCH(L449, 'Initial Study'!B:B, 0)+2)&lt;&gt;"",NOT(ISNUMBER(INDEX('Initial Study'!K:K, MATCH(L449, 'Initial Study'!B:B, 0)+2)))),INDEX('Initial Study'!K:K, MATCH(L449, 'Initial Study'!B:B, 0)+2),"-"),"-")</f>
        <v/>
      </c>
      <c r="AA449">
        <f>IF(S449="RE", Y449 &amp; "BT/" &amp; IF(Z449 &lt;&gt; "-", Z449 &amp; "BT", ""), IF(OR(S449="LTDR", S449="LTSR"), Y449 &amp; "BL" &amp; IF(Z449 &lt;&gt; "-", "/" &amp; Z449 &amp; "BT", ""), IF(OR(S449="RTDR", S449="RTSR"), Y449 &amp; "BR" &amp; IF(Z449 &lt;&gt; "-", "/" &amp; Z449 &amp; "BT", ""), IF(Z449 &lt;&gt; "-", Y449 &amp; "BT/" &amp; Z449 &amp; "BT", Y449 &amp; "BT"))))</f>
        <v/>
      </c>
    </row>
    <row r="450">
      <c r="A450" t="n">
        <v>637</v>
      </c>
      <c r="B450" t="inlineStr">
        <is>
          <t>SR 1606</t>
        </is>
      </c>
      <c r="C450" t="n">
        <v>0</v>
      </c>
      <c r="E450" t="inlineStr">
        <is>
          <t>SR 1547</t>
        </is>
      </c>
      <c r="F450" t="inlineStr">
        <is>
          <t>SR 1607</t>
        </is>
      </c>
      <c r="G450" t="inlineStr">
        <is>
          <t>SR 1606</t>
        </is>
      </c>
      <c r="H450" t="n">
        <v>1.587</v>
      </c>
      <c r="I450" t="inlineStr">
        <is>
          <t>NIS</t>
        </is>
      </c>
      <c r="L450" t="n">
        <v>107737177</v>
      </c>
      <c r="M450" s="6" t="n">
        <v>45441</v>
      </c>
      <c r="N450" t="n">
        <v>30</v>
      </c>
      <c r="O450" t="n">
        <v>1</v>
      </c>
      <c r="P450" t="n">
        <v>7</v>
      </c>
      <c r="Q450" t="n">
        <v>5</v>
      </c>
      <c r="R450" t="inlineStr">
        <is>
          <t>O</t>
        </is>
      </c>
      <c r="S450">
        <f>IFERROR(VLOOKUP(N450,Index!$A$1:$B$26,2,FALSE),"")</f>
        <v/>
      </c>
      <c r="T450">
        <f>AA450</f>
        <v/>
      </c>
      <c r="V450">
        <f>IFERROR(INDEX(DetailedFiche!Q:Q,MATCH(L450,DetailedFiche!J:J,0)),"")</f>
        <v/>
      </c>
      <c r="W450">
        <f>IFERROR(INDEX(DetailedFiche!R:R,MATCH(L450,DetailedFiche!J:J,0)),"")</f>
        <v/>
      </c>
      <c r="Y450">
        <f>IFERROR(IF(AND(INDEX('Initial Study'!K:K, MATCH(L450, 'Initial Study'!B:B, 0)+1)&lt;&gt;0,INDEX('Initial Study'!K:K, MATCH(L450, 'Initial Study'!B:B, 0)+1)&lt;&gt;""),INDEX('Initial Study'!K:K, MATCH(L450, 'Initial Study'!B:B, 0)+1),""),"")</f>
        <v/>
      </c>
      <c r="Z450">
        <f>IFERROR(IF(AND(INDEX('Initial Study'!K:K, MATCH(L450, 'Initial Study'!B:B, 0)+2)&lt;&gt;0,INDEX('Initial Study'!K:K, MATCH(L450, 'Initial Study'!B:B, 0)+2)&lt;&gt;"",NOT(ISNUMBER(INDEX('Initial Study'!K:K, MATCH(L450, 'Initial Study'!B:B, 0)+2)))),INDEX('Initial Study'!K:K, MATCH(L450, 'Initial Study'!B:B, 0)+2),"-"),"-")</f>
        <v/>
      </c>
      <c r="AA450">
        <f>IF(S450="RE", Y450 &amp; "BT/" &amp; IF(Z450 &lt;&gt; "-", Z450 &amp; "BT", ""), IF(OR(S450="LTDR", S450="LTSR"), Y450 &amp; "BL" &amp; IF(Z450 &lt;&gt; "-", "/" &amp; Z450 &amp; "BT", ""), IF(OR(S450="RTDR", S450="RTSR"), Y450 &amp; "BR" &amp; IF(Z450 &lt;&gt; "-", "/" &amp; Z450 &amp; "BT", ""), IF(Z450 &lt;&gt; "-", Y450 &amp; "BT/" &amp; Z450 &amp; "BT", Y450 &amp; "BT"))))</f>
        <v/>
      </c>
    </row>
    <row r="451">
      <c r="A451" t="n">
        <v>0</v>
      </c>
      <c r="B451" t="inlineStr">
        <is>
          <t>SR 1606</t>
        </is>
      </c>
      <c r="C451" t="n">
        <v>0</v>
      </c>
      <c r="E451" t="inlineStr">
        <is>
          <t>SR 1547</t>
        </is>
      </c>
      <c r="F451" t="inlineStr">
        <is>
          <t>SR 1607</t>
        </is>
      </c>
      <c r="G451" t="inlineStr">
        <is>
          <t>SR 1606</t>
        </is>
      </c>
      <c r="H451" t="n">
        <v>1.587</v>
      </c>
      <c r="I451" t="inlineStr">
        <is>
          <t>NIS</t>
        </is>
      </c>
      <c r="L451" t="n">
        <v>107659363</v>
      </c>
      <c r="M451" s="6" t="n">
        <v>45369</v>
      </c>
      <c r="N451" t="n">
        <v>30</v>
      </c>
      <c r="O451" t="n">
        <v>1</v>
      </c>
      <c r="P451" t="n">
        <v>7</v>
      </c>
      <c r="Q451" t="n">
        <v>1</v>
      </c>
      <c r="R451" t="inlineStr">
        <is>
          <t>O</t>
        </is>
      </c>
      <c r="S451">
        <f>IFERROR(VLOOKUP(N451,Index!$A$1:$B$26,2,FALSE),"")</f>
        <v/>
      </c>
      <c r="T451">
        <f>AA451</f>
        <v/>
      </c>
      <c r="V451">
        <f>IFERROR(INDEX(DetailedFiche!Q:Q,MATCH(L451,DetailedFiche!J:J,0)),"")</f>
        <v/>
      </c>
      <c r="W451">
        <f>IFERROR(INDEX(DetailedFiche!R:R,MATCH(L451,DetailedFiche!J:J,0)),"")</f>
        <v/>
      </c>
      <c r="Y451">
        <f>IFERROR(IF(AND(INDEX('Initial Study'!K:K, MATCH(L451, 'Initial Study'!B:B, 0)+1)&lt;&gt;0,INDEX('Initial Study'!K:K, MATCH(L451, 'Initial Study'!B:B, 0)+1)&lt;&gt;""),INDEX('Initial Study'!K:K, MATCH(L451, 'Initial Study'!B:B, 0)+1),""),"")</f>
        <v/>
      </c>
      <c r="Z451">
        <f>IFERROR(IF(AND(INDEX('Initial Study'!K:K, MATCH(L451, 'Initial Study'!B:B, 0)+2)&lt;&gt;0,INDEX('Initial Study'!K:K, MATCH(L451, 'Initial Study'!B:B, 0)+2)&lt;&gt;"",NOT(ISNUMBER(INDEX('Initial Study'!K:K, MATCH(L451, 'Initial Study'!B:B, 0)+2)))),INDEX('Initial Study'!K:K, MATCH(L451, 'Initial Study'!B:B, 0)+2),"-"),"-")</f>
        <v/>
      </c>
      <c r="AA451">
        <f>IF(S451="RE", Y451 &amp; "BT/" &amp; IF(Z451 &lt;&gt; "-", Z451 &amp; "BT", ""), IF(OR(S451="LTDR", S451="LTSR"), Y451 &amp; "BL" &amp; IF(Z451 &lt;&gt; "-", "/" &amp; Z451 &amp; "BT", ""), IF(OR(S451="RTDR", S451="RTSR"), Y451 &amp; "BR" &amp; IF(Z451 &lt;&gt; "-", "/" &amp; Z451 &amp; "BT", ""), IF(Z451 &lt;&gt; "-", Y451 &amp; "BT/" &amp; Z451 &amp; "BT", Y451 &amp; "BT"))))</f>
        <v/>
      </c>
    </row>
    <row r="452">
      <c r="A452" t="n">
        <v>637</v>
      </c>
      <c r="B452" t="inlineStr">
        <is>
          <t>SR 1606</t>
        </is>
      </c>
      <c r="C452" t="n">
        <v>0</v>
      </c>
      <c r="E452" t="inlineStr">
        <is>
          <t>SR 1547</t>
        </is>
      </c>
      <c r="F452" t="inlineStr">
        <is>
          <t>SR 1607</t>
        </is>
      </c>
      <c r="G452" t="inlineStr">
        <is>
          <t>SR 1606</t>
        </is>
      </c>
      <c r="H452" t="n">
        <v>1.587</v>
      </c>
      <c r="I452" t="inlineStr">
        <is>
          <t>NIS</t>
        </is>
      </c>
      <c r="L452" t="n">
        <v>107313774</v>
      </c>
      <c r="M452" s="6" t="n">
        <v>45027</v>
      </c>
      <c r="N452" t="n">
        <v>30</v>
      </c>
      <c r="O452" t="n">
        <v>1</v>
      </c>
      <c r="P452" t="n">
        <v>7</v>
      </c>
      <c r="Q452" t="n">
        <v>1</v>
      </c>
      <c r="R452" t="inlineStr">
        <is>
          <t>O</t>
        </is>
      </c>
      <c r="S452">
        <f>IFERROR(VLOOKUP(N452,Index!$A$1:$B$26,2,FALSE),"")</f>
        <v/>
      </c>
      <c r="T452">
        <f>AA452</f>
        <v/>
      </c>
      <c r="V452">
        <f>IFERROR(INDEX(DetailedFiche!Q:Q,MATCH(L452,DetailedFiche!J:J,0)),"")</f>
        <v/>
      </c>
      <c r="W452">
        <f>IFERROR(INDEX(DetailedFiche!R:R,MATCH(L452,DetailedFiche!J:J,0)),"")</f>
        <v/>
      </c>
      <c r="Y452">
        <f>IFERROR(IF(AND(INDEX('Initial Study'!K:K, MATCH(L452, 'Initial Study'!B:B, 0)+1)&lt;&gt;0,INDEX('Initial Study'!K:K, MATCH(L452, 'Initial Study'!B:B, 0)+1)&lt;&gt;""),INDEX('Initial Study'!K:K, MATCH(L452, 'Initial Study'!B:B, 0)+1),""),"")</f>
        <v/>
      </c>
      <c r="Z452">
        <f>IFERROR(IF(AND(INDEX('Initial Study'!K:K, MATCH(L452, 'Initial Study'!B:B, 0)+2)&lt;&gt;0,INDEX('Initial Study'!K:K, MATCH(L452, 'Initial Study'!B:B, 0)+2)&lt;&gt;"",NOT(ISNUMBER(INDEX('Initial Study'!K:K, MATCH(L452, 'Initial Study'!B:B, 0)+2)))),INDEX('Initial Study'!K:K, MATCH(L452, 'Initial Study'!B:B, 0)+2),"-"),"-")</f>
        <v/>
      </c>
      <c r="AA452">
        <f>IF(S452="RE", Y452 &amp; "BT/" &amp; IF(Z452 &lt;&gt; "-", Z452 &amp; "BT", ""), IF(OR(S452="LTDR", S452="LTSR"), Y452 &amp; "BL" &amp; IF(Z452 &lt;&gt; "-", "/" &amp; Z452 &amp; "BT", ""), IF(OR(S452="RTDR", S452="RTSR"), Y452 &amp; "BR" &amp; IF(Z452 &lt;&gt; "-", "/" &amp; Z452 &amp; "BT", ""), IF(Z452 &lt;&gt; "-", Y452 &amp; "BT/" &amp; Z452 &amp; "BT", Y452 &amp; "BT"))))</f>
        <v/>
      </c>
    </row>
    <row r="453">
      <c r="A453" t="n">
        <v>0</v>
      </c>
      <c r="B453" t="inlineStr">
        <is>
          <t>SR 1606</t>
        </is>
      </c>
      <c r="C453" t="n">
        <v>0</v>
      </c>
      <c r="E453" t="inlineStr">
        <is>
          <t>SR 1547</t>
        </is>
      </c>
      <c r="F453" t="inlineStr">
        <is>
          <t>SR 1607</t>
        </is>
      </c>
      <c r="G453" t="inlineStr">
        <is>
          <t>SR 1606</t>
        </is>
      </c>
      <c r="H453" t="n">
        <v>1.587</v>
      </c>
      <c r="I453" t="inlineStr">
        <is>
          <t>NIS</t>
        </is>
      </c>
      <c r="L453" t="n">
        <v>107089024</v>
      </c>
      <c r="M453" s="6" t="n">
        <v>44826</v>
      </c>
      <c r="N453" t="n">
        <v>30</v>
      </c>
      <c r="O453" t="n">
        <v>1</v>
      </c>
      <c r="P453" t="n">
        <v>7</v>
      </c>
      <c r="Q453" t="n">
        <v>1</v>
      </c>
      <c r="R453" t="inlineStr">
        <is>
          <t>B</t>
        </is>
      </c>
      <c r="S453">
        <f>IFERROR(VLOOKUP(N453,Index!$A$1:$B$26,2,FALSE),"")</f>
        <v/>
      </c>
      <c r="T453">
        <f>AA453</f>
        <v/>
      </c>
      <c r="V453">
        <f>IFERROR(INDEX(DetailedFiche!Q:Q,MATCH(L453,DetailedFiche!J:J,0)),"")</f>
        <v/>
      </c>
      <c r="W453">
        <f>IFERROR(INDEX(DetailedFiche!R:R,MATCH(L453,DetailedFiche!J:J,0)),"")</f>
        <v/>
      </c>
      <c r="Y453">
        <f>IFERROR(IF(AND(INDEX('Initial Study'!K:K, MATCH(L453, 'Initial Study'!B:B, 0)+1)&lt;&gt;0,INDEX('Initial Study'!K:K, MATCH(L453, 'Initial Study'!B:B, 0)+1)&lt;&gt;""),INDEX('Initial Study'!K:K, MATCH(L453, 'Initial Study'!B:B, 0)+1),""),"")</f>
        <v/>
      </c>
      <c r="Z453">
        <f>IFERROR(IF(AND(INDEX('Initial Study'!K:K, MATCH(L453, 'Initial Study'!B:B, 0)+2)&lt;&gt;0,INDEX('Initial Study'!K:K, MATCH(L453, 'Initial Study'!B:B, 0)+2)&lt;&gt;"",NOT(ISNUMBER(INDEX('Initial Study'!K:K, MATCH(L453, 'Initial Study'!B:B, 0)+2)))),INDEX('Initial Study'!K:K, MATCH(L453, 'Initial Study'!B:B, 0)+2),"-"),"-")</f>
        <v/>
      </c>
      <c r="AA453">
        <f>IF(S453="RE", Y453 &amp; "BT/" &amp; IF(Z453 &lt;&gt; "-", Z453 &amp; "BT", ""), IF(OR(S453="LTDR", S453="LTSR"), Y453 &amp; "BL" &amp; IF(Z453 &lt;&gt; "-", "/" &amp; Z453 &amp; "BT", ""), IF(OR(S453="RTDR", S453="RTSR"), Y453 &amp; "BR" &amp; IF(Z453 &lt;&gt; "-", "/" &amp; Z453 &amp; "BT", ""), IF(Z453 &lt;&gt; "-", Y453 &amp; "BT/" &amp; Z453 &amp; "BT", Y453 &amp; "BT"))))</f>
        <v/>
      </c>
    </row>
    <row r="454">
      <c r="A454" t="n">
        <v>637</v>
      </c>
      <c r="B454" t="inlineStr">
        <is>
          <t>SR 1606</t>
        </is>
      </c>
      <c r="C454" t="n">
        <v>0</v>
      </c>
      <c r="E454" t="inlineStr">
        <is>
          <t>SR 1547</t>
        </is>
      </c>
      <c r="F454" t="inlineStr">
        <is>
          <t>NC 218</t>
        </is>
      </c>
      <c r="G454" t="inlineStr">
        <is>
          <t>SR 1606</t>
        </is>
      </c>
      <c r="H454" t="n">
        <v>1.587</v>
      </c>
      <c r="I454" t="inlineStr">
        <is>
          <t>NIS</t>
        </is>
      </c>
      <c r="L454" t="n">
        <v>106990488</v>
      </c>
      <c r="M454" s="6" t="n">
        <v>44728</v>
      </c>
      <c r="N454" t="n">
        <v>30</v>
      </c>
      <c r="O454" t="n">
        <v>1</v>
      </c>
      <c r="P454" t="n">
        <v>7</v>
      </c>
      <c r="Q454" t="n">
        <v>1</v>
      </c>
      <c r="R454" t="inlineStr">
        <is>
          <t>O</t>
        </is>
      </c>
      <c r="S454">
        <f>IFERROR(VLOOKUP(N454,Index!$A$1:$B$26,2,FALSE),"")</f>
        <v/>
      </c>
      <c r="T454">
        <f>AA454</f>
        <v/>
      </c>
      <c r="V454">
        <f>IFERROR(INDEX(DetailedFiche!Q:Q,MATCH(L454,DetailedFiche!J:J,0)),"")</f>
        <v/>
      </c>
      <c r="W454">
        <f>IFERROR(INDEX(DetailedFiche!R:R,MATCH(L454,DetailedFiche!J:J,0)),"")</f>
        <v/>
      </c>
      <c r="Y454">
        <f>IFERROR(IF(AND(INDEX('Initial Study'!K:K, MATCH(L454, 'Initial Study'!B:B, 0)+1)&lt;&gt;0,INDEX('Initial Study'!K:K, MATCH(L454, 'Initial Study'!B:B, 0)+1)&lt;&gt;""),INDEX('Initial Study'!K:K, MATCH(L454, 'Initial Study'!B:B, 0)+1),""),"")</f>
        <v/>
      </c>
      <c r="Z454">
        <f>IFERROR(IF(AND(INDEX('Initial Study'!K:K, MATCH(L454, 'Initial Study'!B:B, 0)+2)&lt;&gt;0,INDEX('Initial Study'!K:K, MATCH(L454, 'Initial Study'!B:B, 0)+2)&lt;&gt;"",NOT(ISNUMBER(INDEX('Initial Study'!K:K, MATCH(L454, 'Initial Study'!B:B, 0)+2)))),INDEX('Initial Study'!K:K, MATCH(L454, 'Initial Study'!B:B, 0)+2),"-"),"-")</f>
        <v/>
      </c>
      <c r="AA454">
        <f>IF(S454="RE", Y454 &amp; "BT/" &amp; IF(Z454 &lt;&gt; "-", Z454 &amp; "BT", ""), IF(OR(S454="LTDR", S454="LTSR"), Y454 &amp; "BL" &amp; IF(Z454 &lt;&gt; "-", "/" &amp; Z454 &amp; "BT", ""), IF(OR(S454="RTDR", S454="RTSR"), Y454 &amp; "BR" &amp; IF(Z454 &lt;&gt; "-", "/" &amp; Z454 &amp; "BT", ""), IF(Z454 &lt;&gt; "-", Y454 &amp; "BT/" &amp; Z454 &amp; "BT", Y454 &amp; "BT"))))</f>
        <v/>
      </c>
    </row>
    <row r="455">
      <c r="A455" t="n">
        <v>637</v>
      </c>
      <c r="B455" t="inlineStr">
        <is>
          <t>SR 1606</t>
        </is>
      </c>
      <c r="C455" t="n">
        <v>0</v>
      </c>
      <c r="E455" t="inlineStr">
        <is>
          <t>SR 1547</t>
        </is>
      </c>
      <c r="F455" t="inlineStr">
        <is>
          <t>SR 1607</t>
        </is>
      </c>
      <c r="G455" t="inlineStr">
        <is>
          <t>SR 1606</t>
        </is>
      </c>
      <c r="H455" t="n">
        <v>1.587</v>
      </c>
      <c r="I455" t="inlineStr">
        <is>
          <t>NIS</t>
        </is>
      </c>
      <c r="L455" t="n">
        <v>107059898</v>
      </c>
      <c r="M455" s="6" t="n">
        <v>44802</v>
      </c>
      <c r="N455" t="n">
        <v>30</v>
      </c>
      <c r="O455" t="n">
        <v>1</v>
      </c>
      <c r="P455" t="n">
        <v>7</v>
      </c>
      <c r="Q455" t="n">
        <v>3</v>
      </c>
      <c r="R455" t="inlineStr">
        <is>
          <t>O</t>
        </is>
      </c>
      <c r="S455">
        <f>IFERROR(VLOOKUP(N455,Index!$A$1:$B$26,2,FALSE),"")</f>
        <v/>
      </c>
      <c r="T455">
        <f>AA455</f>
        <v/>
      </c>
      <c r="V455">
        <f>IFERROR(INDEX(DetailedFiche!Q:Q,MATCH(L455,DetailedFiche!J:J,0)),"")</f>
        <v/>
      </c>
      <c r="W455">
        <f>IFERROR(INDEX(DetailedFiche!R:R,MATCH(L455,DetailedFiche!J:J,0)),"")</f>
        <v/>
      </c>
      <c r="Y455">
        <f>IFERROR(IF(AND(INDEX('Initial Study'!K:K, MATCH(L455, 'Initial Study'!B:B, 0)+1)&lt;&gt;0,INDEX('Initial Study'!K:K, MATCH(L455, 'Initial Study'!B:B, 0)+1)&lt;&gt;""),INDEX('Initial Study'!K:K, MATCH(L455, 'Initial Study'!B:B, 0)+1),""),"")</f>
        <v/>
      </c>
      <c r="Z455">
        <f>IFERROR(IF(AND(INDEX('Initial Study'!K:K, MATCH(L455, 'Initial Study'!B:B, 0)+2)&lt;&gt;0,INDEX('Initial Study'!K:K, MATCH(L455, 'Initial Study'!B:B, 0)+2)&lt;&gt;"",NOT(ISNUMBER(INDEX('Initial Study'!K:K, MATCH(L455, 'Initial Study'!B:B, 0)+2)))),INDEX('Initial Study'!K:K, MATCH(L455, 'Initial Study'!B:B, 0)+2),"-"),"-")</f>
        <v/>
      </c>
      <c r="AA455">
        <f>IF(S455="RE", Y455 &amp; "BT/" &amp; IF(Z455 &lt;&gt; "-", Z455 &amp; "BT", ""), IF(OR(S455="LTDR", S455="LTSR"), Y455 &amp; "BL" &amp; IF(Z455 &lt;&gt; "-", "/" &amp; Z455 &amp; "BT", ""), IF(OR(S455="RTDR", S455="RTSR"), Y455 &amp; "BR" &amp; IF(Z455 &lt;&gt; "-", "/" &amp; Z455 &amp; "BT", ""), IF(Z455 &lt;&gt; "-", Y455 &amp; "BT/" &amp; Z455 &amp; "BT", Y455 &amp; "BT"))))</f>
        <v/>
      </c>
    </row>
    <row r="456">
      <c r="A456" t="n">
        <v>0</v>
      </c>
      <c r="B456" t="inlineStr">
        <is>
          <t>SR 1606</t>
        </is>
      </c>
      <c r="C456" t="n">
        <v>0</v>
      </c>
      <c r="E456" t="inlineStr">
        <is>
          <t>SR 1547</t>
        </is>
      </c>
      <c r="F456" t="inlineStr">
        <is>
          <t>SR 1607</t>
        </is>
      </c>
      <c r="G456" t="inlineStr">
        <is>
          <t>SR 1606</t>
        </is>
      </c>
      <c r="H456" t="n">
        <v>1.587</v>
      </c>
      <c r="I456" t="inlineStr">
        <is>
          <t>NIS</t>
        </is>
      </c>
      <c r="L456" t="n">
        <v>106277793</v>
      </c>
      <c r="M456" s="6" t="n">
        <v>44026</v>
      </c>
      <c r="N456" t="n">
        <v>30</v>
      </c>
      <c r="O456" t="n">
        <v>1</v>
      </c>
      <c r="P456" t="n">
        <v>7</v>
      </c>
      <c r="Q456" t="n">
        <v>1</v>
      </c>
      <c r="R456" t="inlineStr">
        <is>
          <t>C</t>
        </is>
      </c>
      <c r="S456">
        <f>IFERROR(VLOOKUP(N456,Index!$A$1:$B$26,2,FALSE),"")</f>
        <v/>
      </c>
      <c r="T456">
        <f>AA456</f>
        <v/>
      </c>
      <c r="V456">
        <f>IFERROR(INDEX(DetailedFiche!Q:Q,MATCH(L456,DetailedFiche!J:J,0)),"")</f>
        <v/>
      </c>
      <c r="W456">
        <f>IFERROR(INDEX(DetailedFiche!R:R,MATCH(L456,DetailedFiche!J:J,0)),"")</f>
        <v/>
      </c>
      <c r="Y456">
        <f>IFERROR(IF(AND(INDEX('Initial Study'!K:K, MATCH(L456, 'Initial Study'!B:B, 0)+1)&lt;&gt;0,INDEX('Initial Study'!K:K, MATCH(L456, 'Initial Study'!B:B, 0)+1)&lt;&gt;""),INDEX('Initial Study'!K:K, MATCH(L456, 'Initial Study'!B:B, 0)+1),""),"")</f>
        <v/>
      </c>
      <c r="Z456">
        <f>IFERROR(IF(AND(INDEX('Initial Study'!K:K, MATCH(L456, 'Initial Study'!B:B, 0)+2)&lt;&gt;0,INDEX('Initial Study'!K:K, MATCH(L456, 'Initial Study'!B:B, 0)+2)&lt;&gt;"",NOT(ISNUMBER(INDEX('Initial Study'!K:K, MATCH(L456, 'Initial Study'!B:B, 0)+2)))),INDEX('Initial Study'!K:K, MATCH(L456, 'Initial Study'!B:B, 0)+2),"-"),"-")</f>
        <v/>
      </c>
      <c r="AA456">
        <f>IF(S456="RE", Y456 &amp; "BT/" &amp; IF(Z456 &lt;&gt; "-", Z456 &amp; "BT", ""), IF(OR(S456="LTDR", S456="LTSR"), Y456 &amp; "BL" &amp; IF(Z456 &lt;&gt; "-", "/" &amp; Z456 &amp; "BT", ""), IF(OR(S456="RTDR", S456="RTSR"), Y456 &amp; "BR" &amp; IF(Z456 &lt;&gt; "-", "/" &amp; Z456 &amp; "BT", ""), IF(Z456 &lt;&gt; "-", Y456 &amp; "BT/" &amp; Z456 &amp; "BT", Y456 &amp; "BT"))))</f>
        <v/>
      </c>
    </row>
    <row r="457">
      <c r="A457" t="n">
        <v>0</v>
      </c>
      <c r="B457" t="inlineStr">
        <is>
          <t>SR 1606</t>
        </is>
      </c>
      <c r="C457" t="n">
        <v>0</v>
      </c>
      <c r="E457" t="inlineStr">
        <is>
          <t>SR 1547</t>
        </is>
      </c>
      <c r="F457" t="inlineStr">
        <is>
          <t>NC 218</t>
        </is>
      </c>
      <c r="G457" t="inlineStr">
        <is>
          <t>SR 1606</t>
        </is>
      </c>
      <c r="H457" t="n">
        <v>1.587</v>
      </c>
      <c r="I457" t="inlineStr">
        <is>
          <t>NIS</t>
        </is>
      </c>
      <c r="L457" t="n">
        <v>105873568</v>
      </c>
      <c r="M457" s="6" t="n">
        <v>43603</v>
      </c>
      <c r="N457" t="n">
        <v>30</v>
      </c>
      <c r="O457" t="n">
        <v>1</v>
      </c>
      <c r="P457" t="n">
        <v>7</v>
      </c>
      <c r="Q457" t="n">
        <v>1</v>
      </c>
      <c r="R457" t="inlineStr">
        <is>
          <t>O</t>
        </is>
      </c>
      <c r="S457">
        <f>IFERROR(VLOOKUP(N457,Index!$A$1:$B$26,2,FALSE),"")</f>
        <v/>
      </c>
      <c r="T457">
        <f>AA457</f>
        <v/>
      </c>
      <c r="V457">
        <f>IFERROR(INDEX(DetailedFiche!Q:Q,MATCH(L457,DetailedFiche!J:J,0)),"")</f>
        <v/>
      </c>
      <c r="W457">
        <f>IFERROR(INDEX(DetailedFiche!R:R,MATCH(L457,DetailedFiche!J:J,0)),"")</f>
        <v/>
      </c>
      <c r="Y457">
        <f>IFERROR(IF(AND(INDEX('Initial Study'!K:K, MATCH(L457, 'Initial Study'!B:B, 0)+1)&lt;&gt;0,INDEX('Initial Study'!K:K, MATCH(L457, 'Initial Study'!B:B, 0)+1)&lt;&gt;""),INDEX('Initial Study'!K:K, MATCH(L457, 'Initial Study'!B:B, 0)+1),""),"")</f>
        <v/>
      </c>
      <c r="Z457">
        <f>IFERROR(IF(AND(INDEX('Initial Study'!K:K, MATCH(L457, 'Initial Study'!B:B, 0)+2)&lt;&gt;0,INDEX('Initial Study'!K:K, MATCH(L457, 'Initial Study'!B:B, 0)+2)&lt;&gt;"",NOT(ISNUMBER(INDEX('Initial Study'!K:K, MATCH(L457, 'Initial Study'!B:B, 0)+2)))),INDEX('Initial Study'!K:K, MATCH(L457, 'Initial Study'!B:B, 0)+2),"-"),"-")</f>
        <v/>
      </c>
      <c r="AA457">
        <f>IF(S457="RE", Y457 &amp; "BT/" &amp; IF(Z457 &lt;&gt; "-", Z457 &amp; "BT", ""), IF(OR(S457="LTDR", S457="LTSR"), Y457 &amp; "BL" &amp; IF(Z457 &lt;&gt; "-", "/" &amp; Z457 &amp; "BT", ""), IF(OR(S457="RTDR", S457="RTSR"), Y457 &amp; "BR" &amp; IF(Z457 &lt;&gt; "-", "/" &amp; Z457 &amp; "BT", ""), IF(Z457 &lt;&gt; "-", Y457 &amp; "BT/" &amp; Z457 &amp; "BT", Y457 &amp; "BT"))))</f>
        <v/>
      </c>
    </row>
    <row r="458">
      <c r="A458" t="n">
        <v>637</v>
      </c>
      <c r="B458" t="inlineStr">
        <is>
          <t>SR 1606</t>
        </is>
      </c>
      <c r="C458" t="n">
        <v>0</v>
      </c>
      <c r="E458" t="inlineStr">
        <is>
          <t>SR 1547</t>
        </is>
      </c>
      <c r="F458" t="inlineStr">
        <is>
          <t>NC 218</t>
        </is>
      </c>
      <c r="G458" t="inlineStr">
        <is>
          <t>SR 1606</t>
        </is>
      </c>
      <c r="H458" t="n">
        <v>1.587</v>
      </c>
      <c r="I458" t="inlineStr">
        <is>
          <t>NIS</t>
        </is>
      </c>
      <c r="L458" t="n">
        <v>105289308</v>
      </c>
      <c r="M458" s="6" t="n">
        <v>43050</v>
      </c>
      <c r="N458" t="n">
        <v>30</v>
      </c>
      <c r="O458" t="n">
        <v>1</v>
      </c>
      <c r="P458" t="n">
        <v>7</v>
      </c>
      <c r="Q458" t="n">
        <v>1</v>
      </c>
      <c r="R458" t="inlineStr">
        <is>
          <t>B</t>
        </is>
      </c>
      <c r="S458">
        <f>IFERROR(VLOOKUP(N458,Index!$A$1:$B$26,2,FALSE),"")</f>
        <v/>
      </c>
      <c r="T458">
        <f>AA458</f>
        <v/>
      </c>
      <c r="V458">
        <f>IFERROR(INDEX(DetailedFiche!Q:Q,MATCH(L458,DetailedFiche!J:J,0)),"")</f>
        <v/>
      </c>
      <c r="W458">
        <f>IFERROR(INDEX(DetailedFiche!R:R,MATCH(L458,DetailedFiche!J:J,0)),"")</f>
        <v/>
      </c>
      <c r="Y458">
        <f>IFERROR(IF(AND(INDEX('Initial Study'!K:K, MATCH(L458, 'Initial Study'!B:B, 0)+1)&lt;&gt;0,INDEX('Initial Study'!K:K, MATCH(L458, 'Initial Study'!B:B, 0)+1)&lt;&gt;""),INDEX('Initial Study'!K:K, MATCH(L458, 'Initial Study'!B:B, 0)+1),""),"")</f>
        <v/>
      </c>
      <c r="Z458">
        <f>IFERROR(IF(AND(INDEX('Initial Study'!K:K, MATCH(L458, 'Initial Study'!B:B, 0)+2)&lt;&gt;0,INDEX('Initial Study'!K:K, MATCH(L458, 'Initial Study'!B:B, 0)+2)&lt;&gt;"",NOT(ISNUMBER(INDEX('Initial Study'!K:K, MATCH(L458, 'Initial Study'!B:B, 0)+2)))),INDEX('Initial Study'!K:K, MATCH(L458, 'Initial Study'!B:B, 0)+2),"-"),"-")</f>
        <v/>
      </c>
      <c r="AA458">
        <f>IF(S458="RE", Y458 &amp; "BT/" &amp; IF(Z458 &lt;&gt; "-", Z458 &amp; "BT", ""), IF(OR(S458="LTDR", S458="LTSR"), Y458 &amp; "BL" &amp; IF(Z458 &lt;&gt; "-", "/" &amp; Z458 &amp; "BT", ""), IF(OR(S458="RTDR", S458="RTSR"), Y458 &amp; "BR" &amp; IF(Z458 &lt;&gt; "-", "/" &amp; Z458 &amp; "BT", ""), IF(Z458 &lt;&gt; "-", Y458 &amp; "BT/" &amp; Z458 &amp; "BT", Y458 &amp; "BT"))))</f>
        <v/>
      </c>
    </row>
    <row r="459">
      <c r="A459" t="n">
        <v>0</v>
      </c>
      <c r="B459" t="inlineStr">
        <is>
          <t>SR 1606</t>
        </is>
      </c>
      <c r="C459" t="n">
        <v>0</v>
      </c>
      <c r="E459" t="inlineStr">
        <is>
          <t>SR 1547</t>
        </is>
      </c>
      <c r="F459" t="inlineStr">
        <is>
          <t>SR 1607</t>
        </is>
      </c>
      <c r="G459" t="inlineStr">
        <is>
          <t>SR 1606</t>
        </is>
      </c>
      <c r="H459" t="n">
        <v>1.587</v>
      </c>
      <c r="I459" t="inlineStr">
        <is>
          <t>NIS</t>
        </is>
      </c>
      <c r="L459" t="n">
        <v>107960659</v>
      </c>
      <c r="M459" s="6" t="n">
        <v>45641</v>
      </c>
      <c r="N459" t="n">
        <v>30</v>
      </c>
      <c r="O459" t="n">
        <v>1</v>
      </c>
      <c r="P459" t="n">
        <v>7</v>
      </c>
      <c r="Q459" t="n">
        <v>5</v>
      </c>
      <c r="R459" t="inlineStr">
        <is>
          <t>C</t>
        </is>
      </c>
      <c r="S459">
        <f>IFERROR(VLOOKUP(N459,Index!$A$1:$B$26,2,FALSE),"")</f>
        <v/>
      </c>
      <c r="T459">
        <f>AA459</f>
        <v/>
      </c>
      <c r="V459">
        <f>IFERROR(INDEX(DetailedFiche!Q:Q,MATCH(L459,DetailedFiche!J:J,0)),"")</f>
        <v/>
      </c>
      <c r="W459">
        <f>IFERROR(INDEX(DetailedFiche!R:R,MATCH(L459,DetailedFiche!J:J,0)),"")</f>
        <v/>
      </c>
      <c r="Y459">
        <f>IFERROR(IF(AND(INDEX('Initial Study'!K:K, MATCH(L459, 'Initial Study'!B:B, 0)+1)&lt;&gt;0,INDEX('Initial Study'!K:K, MATCH(L459, 'Initial Study'!B:B, 0)+1)&lt;&gt;""),INDEX('Initial Study'!K:K, MATCH(L459, 'Initial Study'!B:B, 0)+1),""),"")</f>
        <v/>
      </c>
      <c r="Z459">
        <f>IFERROR(IF(AND(INDEX('Initial Study'!K:K, MATCH(L459, 'Initial Study'!B:B, 0)+2)&lt;&gt;0,INDEX('Initial Study'!K:K, MATCH(L459, 'Initial Study'!B:B, 0)+2)&lt;&gt;"",NOT(ISNUMBER(INDEX('Initial Study'!K:K, MATCH(L459, 'Initial Study'!B:B, 0)+2)))),INDEX('Initial Study'!K:K, MATCH(L459, 'Initial Study'!B:B, 0)+2),"-"),"-")</f>
        <v/>
      </c>
      <c r="AA459">
        <f>IF(S459="RE", Y459 &amp; "BT/" &amp; IF(Z459 &lt;&gt; "-", Z459 &amp; "BT", ""), IF(OR(S459="LTDR", S459="LTSR"), Y459 &amp; "BL" &amp; IF(Z459 &lt;&gt; "-", "/" &amp; Z459 &amp; "BT", ""), IF(OR(S459="RTDR", S459="RTSR"), Y459 &amp; "BR" &amp; IF(Z459 &lt;&gt; "-", "/" &amp; Z459 &amp; "BT", ""), IF(Z459 &lt;&gt; "-", Y459 &amp; "BT/" &amp; Z459 &amp; "BT", Y459 &amp; "BT"))))</f>
        <v/>
      </c>
    </row>
    <row r="460">
      <c r="A460" t="n">
        <v>637</v>
      </c>
      <c r="B460" t="inlineStr">
        <is>
          <t>SR 1606</t>
        </is>
      </c>
      <c r="C460" t="n">
        <v>0</v>
      </c>
      <c r="E460" t="inlineStr">
        <is>
          <t>SR 1547</t>
        </is>
      </c>
      <c r="F460" t="inlineStr">
        <is>
          <t>NC 218</t>
        </is>
      </c>
      <c r="G460" t="inlineStr">
        <is>
          <t>SR 1606</t>
        </is>
      </c>
      <c r="H460" t="n">
        <v>1.587</v>
      </c>
      <c r="I460" t="inlineStr">
        <is>
          <t>NIS</t>
        </is>
      </c>
      <c r="L460" t="n">
        <v>107701512</v>
      </c>
      <c r="M460" s="6" t="n">
        <v>45409</v>
      </c>
      <c r="N460" t="n">
        <v>30</v>
      </c>
      <c r="O460" t="n">
        <v>1</v>
      </c>
      <c r="P460" t="n">
        <v>8</v>
      </c>
      <c r="Q460" t="n">
        <v>1</v>
      </c>
      <c r="R460" t="inlineStr">
        <is>
          <t>O</t>
        </is>
      </c>
      <c r="S460">
        <f>IFERROR(VLOOKUP(N460,Index!$A$1:$B$26,2,FALSE),"")</f>
        <v/>
      </c>
      <c r="T460">
        <f>AA460</f>
        <v/>
      </c>
      <c r="V460">
        <f>IFERROR(INDEX(DetailedFiche!Q:Q,MATCH(L460,DetailedFiche!J:J,0)),"")</f>
        <v/>
      </c>
      <c r="W460">
        <f>IFERROR(INDEX(DetailedFiche!R:R,MATCH(L460,DetailedFiche!J:J,0)),"")</f>
        <v/>
      </c>
      <c r="Y460">
        <f>IFERROR(IF(AND(INDEX('Initial Study'!K:K, MATCH(L460, 'Initial Study'!B:B, 0)+1)&lt;&gt;0,INDEX('Initial Study'!K:K, MATCH(L460, 'Initial Study'!B:B, 0)+1)&lt;&gt;""),INDEX('Initial Study'!K:K, MATCH(L460, 'Initial Study'!B:B, 0)+1),""),"")</f>
        <v/>
      </c>
      <c r="Z460">
        <f>IFERROR(IF(AND(INDEX('Initial Study'!K:K, MATCH(L460, 'Initial Study'!B:B, 0)+2)&lt;&gt;0,INDEX('Initial Study'!K:K, MATCH(L460, 'Initial Study'!B:B, 0)+2)&lt;&gt;"",NOT(ISNUMBER(INDEX('Initial Study'!K:K, MATCH(L460, 'Initial Study'!B:B, 0)+2)))),INDEX('Initial Study'!K:K, MATCH(L460, 'Initial Study'!B:B, 0)+2),"-"),"-")</f>
        <v/>
      </c>
      <c r="AA460">
        <f>IF(S460="RE", Y460 &amp; "BT/" &amp; IF(Z460 &lt;&gt; "-", Z460 &amp; "BT", ""), IF(OR(S460="LTDR", S460="LTSR"), Y460 &amp; "BL" &amp; IF(Z460 &lt;&gt; "-", "/" &amp; Z460 &amp; "BT", ""), IF(OR(S460="RTDR", S460="RTSR"), Y460 &amp; "BR" &amp; IF(Z460 &lt;&gt; "-", "/" &amp; Z460 &amp; "BT", ""), IF(Z460 &lt;&gt; "-", Y460 &amp; "BT/" &amp; Z460 &amp; "BT", Y460 &amp; "BT"))))</f>
        <v/>
      </c>
    </row>
    <row r="461">
      <c r="A461" t="n">
        <v>637</v>
      </c>
      <c r="B461" t="inlineStr">
        <is>
          <t>SR 1606</t>
        </is>
      </c>
      <c r="C461" t="n">
        <v>0.1</v>
      </c>
      <c r="D461" t="inlineStr">
        <is>
          <t>S</t>
        </is>
      </c>
      <c r="E461" t="inlineStr">
        <is>
          <t>SR 1547</t>
        </is>
      </c>
      <c r="F461" t="inlineStr">
        <is>
          <t>NC 218</t>
        </is>
      </c>
      <c r="G461" t="inlineStr">
        <is>
          <t>SR 1606</t>
        </is>
      </c>
      <c r="H461" t="n">
        <v>1.687</v>
      </c>
      <c r="I461" t="inlineStr">
        <is>
          <t>NIS</t>
        </is>
      </c>
      <c r="L461" t="n">
        <v>106095719</v>
      </c>
      <c r="M461" s="6" t="n">
        <v>43808</v>
      </c>
      <c r="N461" t="n">
        <v>17</v>
      </c>
      <c r="O461" t="n">
        <v>1</v>
      </c>
      <c r="P461" t="n">
        <v>0</v>
      </c>
      <c r="Q461" t="n">
        <v>3</v>
      </c>
      <c r="R461" t="inlineStr">
        <is>
          <t>O</t>
        </is>
      </c>
      <c r="S461">
        <f>IFERROR(VLOOKUP(N461,Index!$A$1:$B$26,2,FALSE),"")</f>
        <v/>
      </c>
      <c r="T461">
        <f>AA461</f>
        <v/>
      </c>
      <c r="V461">
        <f>IFERROR(INDEX(DetailedFiche!Q:Q,MATCH(L461,DetailedFiche!J:J,0)),"")</f>
        <v/>
      </c>
      <c r="W461">
        <f>IFERROR(INDEX(DetailedFiche!R:R,MATCH(L461,DetailedFiche!J:J,0)),"")</f>
        <v/>
      </c>
      <c r="Y461">
        <f>IFERROR(IF(AND(INDEX('Initial Study'!K:K, MATCH(L461, 'Initial Study'!B:B, 0)+1)&lt;&gt;0,INDEX('Initial Study'!K:K, MATCH(L461, 'Initial Study'!B:B, 0)+1)&lt;&gt;""),INDEX('Initial Study'!K:K, MATCH(L461, 'Initial Study'!B:B, 0)+1),""),"")</f>
        <v/>
      </c>
      <c r="Z461">
        <f>IFERROR(IF(AND(INDEX('Initial Study'!K:K, MATCH(L461, 'Initial Study'!B:B, 0)+2)&lt;&gt;0,INDEX('Initial Study'!K:K, MATCH(L461, 'Initial Study'!B:B, 0)+2)&lt;&gt;"",NOT(ISNUMBER(INDEX('Initial Study'!K:K, MATCH(L461, 'Initial Study'!B:B, 0)+2)))),INDEX('Initial Study'!K:K, MATCH(L461, 'Initial Study'!B:B, 0)+2),"-"),"-")</f>
        <v/>
      </c>
      <c r="AA461">
        <f>IF(S461="RE", Y461 &amp; "BT/" &amp; IF(Z461 &lt;&gt; "-", Z461 &amp; "BT", ""), IF(OR(S461="LTDR", S461="LTSR"), Y461 &amp; "BL" &amp; IF(Z461 &lt;&gt; "-", "/" &amp; Z461 &amp; "BT", ""), IF(OR(S461="RTDR", S461="RTSR"), Y461 &amp; "BR" &amp; IF(Z461 &lt;&gt; "-", "/" &amp; Z461 &amp; "BT", ""), IF(Z461 &lt;&gt; "-", Y461 &amp; "BT/" &amp; Z461 &amp; "BT", Y461 &amp; "BT"))))</f>
        <v/>
      </c>
    </row>
    <row r="462">
      <c r="A462" t="n">
        <v>637</v>
      </c>
      <c r="B462" t="inlineStr">
        <is>
          <t>SR 1606</t>
        </is>
      </c>
      <c r="C462" t="n">
        <v>0.2</v>
      </c>
      <c r="D462" t="inlineStr">
        <is>
          <t>S</t>
        </is>
      </c>
      <c r="E462" t="inlineStr">
        <is>
          <t>SR 1547</t>
        </is>
      </c>
      <c r="F462" t="inlineStr">
        <is>
          <t>NC 218</t>
        </is>
      </c>
      <c r="G462" t="inlineStr">
        <is>
          <t>SR 1606</t>
        </is>
      </c>
      <c r="H462" t="n">
        <v>1.787</v>
      </c>
      <c r="I462" t="inlineStr">
        <is>
          <t>NIS</t>
        </is>
      </c>
      <c r="L462" t="n">
        <v>105043332</v>
      </c>
      <c r="M462" s="6" t="n">
        <v>42810</v>
      </c>
      <c r="N462" t="n">
        <v>29</v>
      </c>
      <c r="O462" t="n">
        <v>1</v>
      </c>
      <c r="P462" t="n">
        <v>0</v>
      </c>
      <c r="Q462" t="n">
        <v>1</v>
      </c>
      <c r="R462" t="inlineStr">
        <is>
          <t>O</t>
        </is>
      </c>
      <c r="S462">
        <f>IFERROR(VLOOKUP(N462,Index!$A$1:$B$26,2,FALSE),"")</f>
        <v/>
      </c>
      <c r="T462">
        <f>AA462</f>
        <v/>
      </c>
      <c r="V462">
        <f>IFERROR(INDEX(DetailedFiche!Q:Q,MATCH(L462,DetailedFiche!J:J,0)),"")</f>
        <v/>
      </c>
      <c r="W462">
        <f>IFERROR(INDEX(DetailedFiche!R:R,MATCH(L462,DetailedFiche!J:J,0)),"")</f>
        <v/>
      </c>
      <c r="Y462">
        <f>IFERROR(IF(AND(INDEX('Initial Study'!K:K, MATCH(L462, 'Initial Study'!B:B, 0)+1)&lt;&gt;0,INDEX('Initial Study'!K:K, MATCH(L462, 'Initial Study'!B:B, 0)+1)&lt;&gt;""),INDEX('Initial Study'!K:K, MATCH(L462, 'Initial Study'!B:B, 0)+1),""),"")</f>
        <v/>
      </c>
      <c r="Z462">
        <f>IFERROR(IF(AND(INDEX('Initial Study'!K:K, MATCH(L462, 'Initial Study'!B:B, 0)+2)&lt;&gt;0,INDEX('Initial Study'!K:K, MATCH(L462, 'Initial Study'!B:B, 0)+2)&lt;&gt;"",NOT(ISNUMBER(INDEX('Initial Study'!K:K, MATCH(L462, 'Initial Study'!B:B, 0)+2)))),INDEX('Initial Study'!K:K, MATCH(L462, 'Initial Study'!B:B, 0)+2),"-"),"-")</f>
        <v/>
      </c>
      <c r="AA462">
        <f>IF(S462="RE", Y462 &amp; "BT/" &amp; IF(Z462 &lt;&gt; "-", Z462 &amp; "BT", ""), IF(OR(S462="LTDR", S462="LTSR"), Y462 &amp; "BL" &amp; IF(Z462 &lt;&gt; "-", "/" &amp; Z462 &amp; "BT", ""), IF(OR(S462="RTDR", S462="RTSR"), Y462 &amp; "BR" &amp; IF(Z462 &lt;&gt; "-", "/" &amp; Z462 &amp; "BT", ""), IF(Z462 &lt;&gt; "-", Y462 &amp; "BT/" &amp; Z462 &amp; "BT", Y462 &amp; "BT"))))</f>
        <v/>
      </c>
    </row>
    <row r="463">
      <c r="A463" t="n">
        <v>0</v>
      </c>
      <c r="B463" t="inlineStr">
        <is>
          <t>SR 1606</t>
        </is>
      </c>
      <c r="C463" t="n">
        <v>0.2</v>
      </c>
      <c r="D463" t="inlineStr">
        <is>
          <t>S</t>
        </is>
      </c>
      <c r="E463" t="inlineStr">
        <is>
          <t>SR 1547</t>
        </is>
      </c>
      <c r="F463" t="inlineStr">
        <is>
          <t>SR 1607</t>
        </is>
      </c>
      <c r="G463" t="inlineStr">
        <is>
          <t>SR 1606</t>
        </is>
      </c>
      <c r="H463" t="n">
        <v>1.787</v>
      </c>
      <c r="I463" t="inlineStr">
        <is>
          <t>NIS</t>
        </is>
      </c>
      <c r="L463" t="n">
        <v>104980363</v>
      </c>
      <c r="M463" s="6" t="n">
        <v>42753</v>
      </c>
      <c r="N463" t="n">
        <v>29</v>
      </c>
      <c r="O463" t="n">
        <v>1</v>
      </c>
      <c r="P463" t="n">
        <v>0</v>
      </c>
      <c r="Q463" t="n">
        <v>1</v>
      </c>
      <c r="R463" t="inlineStr">
        <is>
          <t>A</t>
        </is>
      </c>
      <c r="S463">
        <f>IFERROR(VLOOKUP(N463,Index!$A$1:$B$26,2,FALSE),"")</f>
        <v/>
      </c>
      <c r="T463">
        <f>AA463</f>
        <v/>
      </c>
      <c r="V463">
        <f>IFERROR(INDEX(DetailedFiche!Q:Q,MATCH(L463,DetailedFiche!J:J,0)),"")</f>
        <v/>
      </c>
      <c r="W463">
        <f>IFERROR(INDEX(DetailedFiche!R:R,MATCH(L463,DetailedFiche!J:J,0)),"")</f>
        <v/>
      </c>
      <c r="Y463">
        <f>IFERROR(IF(AND(INDEX('Initial Study'!K:K, MATCH(L463, 'Initial Study'!B:B, 0)+1)&lt;&gt;0,INDEX('Initial Study'!K:K, MATCH(L463, 'Initial Study'!B:B, 0)+1)&lt;&gt;""),INDEX('Initial Study'!K:K, MATCH(L463, 'Initial Study'!B:B, 0)+1),""),"")</f>
        <v/>
      </c>
      <c r="Z463">
        <f>IFERROR(IF(AND(INDEX('Initial Study'!K:K, MATCH(L463, 'Initial Study'!B:B, 0)+2)&lt;&gt;0,INDEX('Initial Study'!K:K, MATCH(L463, 'Initial Study'!B:B, 0)+2)&lt;&gt;"",NOT(ISNUMBER(INDEX('Initial Study'!K:K, MATCH(L463, 'Initial Study'!B:B, 0)+2)))),INDEX('Initial Study'!K:K, MATCH(L463, 'Initial Study'!B:B, 0)+2),"-"),"-")</f>
        <v/>
      </c>
      <c r="AA463">
        <f>IF(S463="RE", Y463 &amp; "BT/" &amp; IF(Z463 &lt;&gt; "-", Z463 &amp; "BT", ""), IF(OR(S463="LTDR", S463="LTSR"), Y463 &amp; "BL" &amp; IF(Z463 &lt;&gt; "-", "/" &amp; Z463 &amp; "BT", ""), IF(OR(S463="RTDR", S463="RTSR"), Y463 &amp; "BR" &amp; IF(Z463 &lt;&gt; "-", "/" &amp; Z463 &amp; "BT", ""), IF(Z463 &lt;&gt; "-", Y463 &amp; "BT/" &amp; Z463 &amp; "BT", Y463 &amp; "BT"))))</f>
        <v/>
      </c>
    </row>
    <row r="464">
      <c r="A464" t="n">
        <v>650</v>
      </c>
      <c r="B464" t="inlineStr">
        <is>
          <t>SR 1606</t>
        </is>
      </c>
      <c r="C464" t="n">
        <v>1</v>
      </c>
      <c r="D464" t="inlineStr">
        <is>
          <t>N</t>
        </is>
      </c>
      <c r="E464" t="inlineStr">
        <is>
          <t>NC 218</t>
        </is>
      </c>
      <c r="F464" t="inlineStr">
        <is>
          <t>SR 1547</t>
        </is>
      </c>
      <c r="G464" t="inlineStr">
        <is>
          <t>SR 1606</t>
        </is>
      </c>
      <c r="H464" t="n">
        <v>1.941</v>
      </c>
      <c r="I464" t="inlineStr">
        <is>
          <t>NIS</t>
        </is>
      </c>
      <c r="L464" t="n">
        <v>106491238</v>
      </c>
      <c r="M464" s="6" t="n">
        <v>44243</v>
      </c>
      <c r="N464" t="n">
        <v>17</v>
      </c>
      <c r="O464" t="n">
        <v>2</v>
      </c>
      <c r="P464" t="n">
        <v>0</v>
      </c>
      <c r="Q464" t="n">
        <v>1</v>
      </c>
      <c r="R464" t="inlineStr">
        <is>
          <t>O</t>
        </is>
      </c>
      <c r="S464">
        <f>IFERROR(VLOOKUP(N464,Index!$A$1:$B$26,2,FALSE),"")</f>
        <v/>
      </c>
      <c r="T464">
        <f>AA464</f>
        <v/>
      </c>
      <c r="V464">
        <f>IFERROR(INDEX(DetailedFiche!Q:Q,MATCH(L464,DetailedFiche!J:J,0)),"")</f>
        <v/>
      </c>
      <c r="W464">
        <f>IFERROR(INDEX(DetailedFiche!R:R,MATCH(L464,DetailedFiche!J:J,0)),"")</f>
        <v/>
      </c>
      <c r="Y464">
        <f>IFERROR(IF(AND(INDEX('Initial Study'!K:K, MATCH(L464, 'Initial Study'!B:B, 0)+1)&lt;&gt;0,INDEX('Initial Study'!K:K, MATCH(L464, 'Initial Study'!B:B, 0)+1)&lt;&gt;""),INDEX('Initial Study'!K:K, MATCH(L464, 'Initial Study'!B:B, 0)+1),""),"")</f>
        <v/>
      </c>
      <c r="Z464">
        <f>IFERROR(IF(AND(INDEX('Initial Study'!K:K, MATCH(L464, 'Initial Study'!B:B, 0)+2)&lt;&gt;0,INDEX('Initial Study'!K:K, MATCH(L464, 'Initial Study'!B:B, 0)+2)&lt;&gt;"",NOT(ISNUMBER(INDEX('Initial Study'!K:K, MATCH(L464, 'Initial Study'!B:B, 0)+2)))),INDEX('Initial Study'!K:K, MATCH(L464, 'Initial Study'!B:B, 0)+2),"-"),"-")</f>
        <v/>
      </c>
      <c r="AA464">
        <f>IF(S464="RE", Y464 &amp; "BT/" &amp; IF(Z464 &lt;&gt; "-", Z464 &amp; "BT", ""), IF(OR(S464="LTDR", S464="LTSR"), Y464 &amp; "BL" &amp; IF(Z464 &lt;&gt; "-", "/" &amp; Z464 &amp; "BT", ""), IF(OR(S464="RTDR", S464="RTSR"), Y464 &amp; "BR" &amp; IF(Z464 &lt;&gt; "-", "/" &amp; Z464 &amp; "BT", ""), IF(Z464 &lt;&gt; "-", Y464 &amp; "BT/" &amp; Z464 &amp; "BT", Y464 &amp; "BT"))))</f>
        <v/>
      </c>
    </row>
    <row r="465">
      <c r="A465" t="n">
        <v>637</v>
      </c>
      <c r="B465" t="inlineStr">
        <is>
          <t>SR 1606</t>
        </is>
      </c>
      <c r="C465" t="n">
        <v>0.8</v>
      </c>
      <c r="D465" t="inlineStr">
        <is>
          <t>N</t>
        </is>
      </c>
      <c r="E465" t="inlineStr">
        <is>
          <t>NC 218</t>
        </is>
      </c>
      <c r="F465" t="inlineStr">
        <is>
          <t>SR 1547</t>
        </is>
      </c>
      <c r="G465" t="inlineStr">
        <is>
          <t>SR 1606</t>
        </is>
      </c>
      <c r="H465" t="n">
        <v>2.141</v>
      </c>
      <c r="I465" t="inlineStr">
        <is>
          <t>NIS</t>
        </is>
      </c>
      <c r="L465" t="n">
        <v>107927512</v>
      </c>
      <c r="M465" s="6" t="n">
        <v>45614</v>
      </c>
      <c r="N465" t="n">
        <v>17</v>
      </c>
      <c r="O465" t="n">
        <v>1</v>
      </c>
      <c r="P465" t="n">
        <v>0</v>
      </c>
      <c r="Q465" t="n">
        <v>5</v>
      </c>
      <c r="R465" t="inlineStr">
        <is>
          <t>O</t>
        </is>
      </c>
      <c r="S465">
        <f>IFERROR(VLOOKUP(N465,Index!$A$1:$B$26,2,FALSE),"")</f>
        <v/>
      </c>
      <c r="T465">
        <f>AA465</f>
        <v/>
      </c>
      <c r="V465">
        <f>IFERROR(INDEX(DetailedFiche!Q:Q,MATCH(L465,DetailedFiche!J:J,0)),"")</f>
        <v/>
      </c>
      <c r="W465">
        <f>IFERROR(INDEX(DetailedFiche!R:R,MATCH(L465,DetailedFiche!J:J,0)),"")</f>
        <v/>
      </c>
      <c r="Y465">
        <f>IFERROR(IF(AND(INDEX('Initial Study'!K:K, MATCH(L465, 'Initial Study'!B:B, 0)+1)&lt;&gt;0,INDEX('Initial Study'!K:K, MATCH(L465, 'Initial Study'!B:B, 0)+1)&lt;&gt;""),INDEX('Initial Study'!K:K, MATCH(L465, 'Initial Study'!B:B, 0)+1),""),"")</f>
        <v/>
      </c>
      <c r="Z465">
        <f>IFERROR(IF(AND(INDEX('Initial Study'!K:K, MATCH(L465, 'Initial Study'!B:B, 0)+2)&lt;&gt;0,INDEX('Initial Study'!K:K, MATCH(L465, 'Initial Study'!B:B, 0)+2)&lt;&gt;"",NOT(ISNUMBER(INDEX('Initial Study'!K:K, MATCH(L465, 'Initial Study'!B:B, 0)+2)))),INDEX('Initial Study'!K:K, MATCH(L465, 'Initial Study'!B:B, 0)+2),"-"),"-")</f>
        <v/>
      </c>
      <c r="AA465">
        <f>IF(S465="RE", Y465 &amp; "BT/" &amp; IF(Z465 &lt;&gt; "-", Z465 &amp; "BT", ""), IF(OR(S465="LTDR", S465="LTSR"), Y465 &amp; "BL" &amp; IF(Z465 &lt;&gt; "-", "/" &amp; Z465 &amp; "BT", ""), IF(OR(S465="RTDR", S465="RTSR"), Y465 &amp; "BR" &amp; IF(Z465 &lt;&gt; "-", "/" &amp; Z465 &amp; "BT", ""), IF(Z465 &lt;&gt; "-", Y465 &amp; "BT/" &amp; Z465 &amp; "BT", Y465 &amp; "BT"))))</f>
        <v/>
      </c>
    </row>
    <row r="466">
      <c r="A466" t="n">
        <v>0</v>
      </c>
      <c r="B466" t="inlineStr">
        <is>
          <t>SR 1606</t>
        </is>
      </c>
      <c r="C466" t="n">
        <v>0.8</v>
      </c>
      <c r="D466" t="inlineStr">
        <is>
          <t>N</t>
        </is>
      </c>
      <c r="E466" t="inlineStr">
        <is>
          <t>NC 218</t>
        </is>
      </c>
      <c r="F466" t="inlineStr">
        <is>
          <t>SR 1547</t>
        </is>
      </c>
      <c r="G466" t="inlineStr">
        <is>
          <t>SR 1606</t>
        </is>
      </c>
      <c r="H466" t="n">
        <v>2.141</v>
      </c>
      <c r="I466" t="inlineStr">
        <is>
          <t>NIS</t>
        </is>
      </c>
      <c r="L466" t="n">
        <v>105380811</v>
      </c>
      <c r="M466" s="6" t="n">
        <v>43132</v>
      </c>
      <c r="N466" t="n">
        <v>28</v>
      </c>
      <c r="O466" t="n">
        <v>1</v>
      </c>
      <c r="P466" t="n">
        <v>0</v>
      </c>
      <c r="Q466" t="n">
        <v>5</v>
      </c>
      <c r="R466" t="inlineStr">
        <is>
          <t>O</t>
        </is>
      </c>
      <c r="S466">
        <f>IFERROR(VLOOKUP(N466,Index!$A$1:$B$26,2,FALSE),"")</f>
        <v/>
      </c>
      <c r="T466">
        <f>AA466</f>
        <v/>
      </c>
      <c r="V466">
        <f>IFERROR(INDEX(DetailedFiche!Q:Q,MATCH(L466,DetailedFiche!J:J,0)),"")</f>
        <v/>
      </c>
      <c r="W466">
        <f>IFERROR(INDEX(DetailedFiche!R:R,MATCH(L466,DetailedFiche!J:J,0)),"")</f>
        <v/>
      </c>
      <c r="Y466">
        <f>IFERROR(IF(AND(INDEX('Initial Study'!K:K, MATCH(L466, 'Initial Study'!B:B, 0)+1)&lt;&gt;0,INDEX('Initial Study'!K:K, MATCH(L466, 'Initial Study'!B:B, 0)+1)&lt;&gt;""),INDEX('Initial Study'!K:K, MATCH(L466, 'Initial Study'!B:B, 0)+1),""),"")</f>
        <v/>
      </c>
      <c r="Z466">
        <f>IFERROR(IF(AND(INDEX('Initial Study'!K:K, MATCH(L466, 'Initial Study'!B:B, 0)+2)&lt;&gt;0,INDEX('Initial Study'!K:K, MATCH(L466, 'Initial Study'!B:B, 0)+2)&lt;&gt;"",NOT(ISNUMBER(INDEX('Initial Study'!K:K, MATCH(L466, 'Initial Study'!B:B, 0)+2)))),INDEX('Initial Study'!K:K, MATCH(L466, 'Initial Study'!B:B, 0)+2),"-"),"-")</f>
        <v/>
      </c>
      <c r="AA466">
        <f>IF(S466="RE", Y466 &amp; "BT/" &amp; IF(Z466 &lt;&gt; "-", Z466 &amp; "BT", ""), IF(OR(S466="LTDR", S466="LTSR"), Y466 &amp; "BL" &amp; IF(Z466 &lt;&gt; "-", "/" &amp; Z466 &amp; "BT", ""), IF(OR(S466="RTDR", S466="RTSR"), Y466 &amp; "BR" &amp; IF(Z466 &lt;&gt; "-", "/" &amp; Z466 &amp; "BT", ""), IF(Z466 &lt;&gt; "-", Y466 &amp; "BT/" &amp; Z466 &amp; "BT", Y466 &amp; "BT"))))</f>
        <v/>
      </c>
    </row>
    <row r="467">
      <c r="A467" t="n">
        <v>0</v>
      </c>
      <c r="B467" t="inlineStr">
        <is>
          <t>SR 1606</t>
        </is>
      </c>
      <c r="C467" t="n">
        <v>0.6</v>
      </c>
      <c r="D467" t="inlineStr">
        <is>
          <t>S</t>
        </is>
      </c>
      <c r="E467" t="inlineStr">
        <is>
          <t>SR 1547</t>
        </is>
      </c>
      <c r="F467" t="inlineStr">
        <is>
          <t>NC 218</t>
        </is>
      </c>
      <c r="G467" t="inlineStr">
        <is>
          <t>SR 1606</t>
        </is>
      </c>
      <c r="H467" t="n">
        <v>2.187</v>
      </c>
      <c r="I467" t="inlineStr">
        <is>
          <t>NIS</t>
        </is>
      </c>
      <c r="L467" t="n">
        <v>107283618</v>
      </c>
      <c r="M467" s="6" t="n">
        <v>45010</v>
      </c>
      <c r="N467" t="n">
        <v>19</v>
      </c>
      <c r="O467" t="n">
        <v>2</v>
      </c>
      <c r="P467" t="n">
        <v>0</v>
      </c>
      <c r="Q467" t="n">
        <v>1</v>
      </c>
      <c r="R467" t="inlineStr">
        <is>
          <t>O</t>
        </is>
      </c>
      <c r="S467">
        <f>IFERROR(VLOOKUP(N467,Index!$A$1:$B$26,2,FALSE),"")</f>
        <v/>
      </c>
      <c r="T467">
        <f>AA467</f>
        <v/>
      </c>
      <c r="V467">
        <f>IFERROR(INDEX(DetailedFiche!Q:Q,MATCH(L467,DetailedFiche!J:J,0)),"")</f>
        <v/>
      </c>
      <c r="W467">
        <f>IFERROR(INDEX(DetailedFiche!R:R,MATCH(L467,DetailedFiche!J:J,0)),"")</f>
        <v/>
      </c>
      <c r="Y467">
        <f>IFERROR(IF(AND(INDEX('Initial Study'!K:K, MATCH(L467, 'Initial Study'!B:B, 0)+1)&lt;&gt;0,INDEX('Initial Study'!K:K, MATCH(L467, 'Initial Study'!B:B, 0)+1)&lt;&gt;""),INDEX('Initial Study'!K:K, MATCH(L467, 'Initial Study'!B:B, 0)+1),""),"")</f>
        <v/>
      </c>
      <c r="Z467">
        <f>IFERROR(IF(AND(INDEX('Initial Study'!K:K, MATCH(L467, 'Initial Study'!B:B, 0)+2)&lt;&gt;0,INDEX('Initial Study'!K:K, MATCH(L467, 'Initial Study'!B:B, 0)+2)&lt;&gt;"",NOT(ISNUMBER(INDEX('Initial Study'!K:K, MATCH(L467, 'Initial Study'!B:B, 0)+2)))),INDEX('Initial Study'!K:K, MATCH(L467, 'Initial Study'!B:B, 0)+2),"-"),"-")</f>
        <v/>
      </c>
      <c r="AA467">
        <f>IF(S467="RE", Y467 &amp; "BT/" &amp; IF(Z467 &lt;&gt; "-", Z467 &amp; "BT", ""), IF(OR(S467="LTDR", S467="LTSR"), Y467 &amp; "BL" &amp; IF(Z467 &lt;&gt; "-", "/" &amp; Z467 &amp; "BT", ""), IF(OR(S467="RTDR", S467="RTSR"), Y467 &amp; "BR" &amp; IF(Z467 &lt;&gt; "-", "/" &amp; Z467 &amp; "BT", ""), IF(Z467 &lt;&gt; "-", Y467 &amp; "BT/" &amp; Z467 &amp; "BT", Y467 &amp; "BT"))))</f>
        <v/>
      </c>
    </row>
    <row r="468">
      <c r="A468" t="n">
        <v>637</v>
      </c>
      <c r="B468" t="inlineStr">
        <is>
          <t>SR 1606</t>
        </is>
      </c>
      <c r="C468" t="n">
        <v>1</v>
      </c>
      <c r="D468" t="inlineStr">
        <is>
          <t>S</t>
        </is>
      </c>
      <c r="E468" t="inlineStr">
        <is>
          <t>SR 1547</t>
        </is>
      </c>
      <c r="F468" t="inlineStr">
        <is>
          <t>NC 218</t>
        </is>
      </c>
      <c r="G468" t="inlineStr">
        <is>
          <t>SR 1606</t>
        </is>
      </c>
      <c r="H468" t="n">
        <v>2.587</v>
      </c>
      <c r="I468" t="inlineStr">
        <is>
          <t>NIS</t>
        </is>
      </c>
      <c r="L468" t="n">
        <v>105685863</v>
      </c>
      <c r="M468" s="6" t="n">
        <v>43425</v>
      </c>
      <c r="N468" t="n">
        <v>17</v>
      </c>
      <c r="O468" t="n">
        <v>1</v>
      </c>
      <c r="P468" t="n">
        <v>0</v>
      </c>
      <c r="Q468" t="n">
        <v>1</v>
      </c>
      <c r="R468" t="inlineStr">
        <is>
          <t>O</t>
        </is>
      </c>
      <c r="S468">
        <f>IFERROR(VLOOKUP(N468,Index!$A$1:$B$26,2,FALSE),"")</f>
        <v/>
      </c>
      <c r="T468">
        <f>AA468</f>
        <v/>
      </c>
      <c r="V468">
        <f>IFERROR(INDEX(DetailedFiche!Q:Q,MATCH(L468,DetailedFiche!J:J,0)),"")</f>
        <v/>
      </c>
      <c r="W468">
        <f>IFERROR(INDEX(DetailedFiche!R:R,MATCH(L468,DetailedFiche!J:J,0)),"")</f>
        <v/>
      </c>
      <c r="Y468">
        <f>IFERROR(IF(AND(INDEX('Initial Study'!K:K, MATCH(L468, 'Initial Study'!B:B, 0)+1)&lt;&gt;0,INDEX('Initial Study'!K:K, MATCH(L468, 'Initial Study'!B:B, 0)+1)&lt;&gt;""),INDEX('Initial Study'!K:K, MATCH(L468, 'Initial Study'!B:B, 0)+1),""),"")</f>
        <v/>
      </c>
      <c r="Z468">
        <f>IFERROR(IF(AND(INDEX('Initial Study'!K:K, MATCH(L468, 'Initial Study'!B:B, 0)+2)&lt;&gt;0,INDEX('Initial Study'!K:K, MATCH(L468, 'Initial Study'!B:B, 0)+2)&lt;&gt;"",NOT(ISNUMBER(INDEX('Initial Study'!K:K, MATCH(L468, 'Initial Study'!B:B, 0)+2)))),INDEX('Initial Study'!K:K, MATCH(L468, 'Initial Study'!B:B, 0)+2),"-"),"-")</f>
        <v/>
      </c>
      <c r="AA468">
        <f>IF(S468="RE", Y468 &amp; "BT/" &amp; IF(Z468 &lt;&gt; "-", Z468 &amp; "BT", ""), IF(OR(S468="LTDR", S468="LTSR"), Y468 &amp; "BL" &amp; IF(Z468 &lt;&gt; "-", "/" &amp; Z468 &amp; "BT", ""), IF(OR(S468="RTDR", S468="RTSR"), Y468 &amp; "BR" &amp; IF(Z468 &lt;&gt; "-", "/" &amp; Z468 &amp; "BT", ""), IF(Z468 &lt;&gt; "-", Y468 &amp; "BT/" &amp; Z468 &amp; "BT", Y468 &amp; "BT"))))</f>
        <v/>
      </c>
    </row>
    <row r="469">
      <c r="A469" t="n">
        <v>0</v>
      </c>
      <c r="B469" t="inlineStr">
        <is>
          <t>SR 1606</t>
        </is>
      </c>
      <c r="C469" t="n">
        <v>0.1</v>
      </c>
      <c r="D469" t="inlineStr">
        <is>
          <t>N</t>
        </is>
      </c>
      <c r="E469" t="inlineStr">
        <is>
          <t>NC 218</t>
        </is>
      </c>
      <c r="F469" t="inlineStr">
        <is>
          <t>SR 1547</t>
        </is>
      </c>
      <c r="G469" t="inlineStr">
        <is>
          <t>SR 1606</t>
        </is>
      </c>
      <c r="H469" t="n">
        <v>2.841</v>
      </c>
      <c r="I469" t="inlineStr">
        <is>
          <t>NIS</t>
        </is>
      </c>
      <c r="L469" t="n">
        <v>105201844</v>
      </c>
      <c r="M469" s="6" t="n">
        <v>42969</v>
      </c>
      <c r="N469" t="n">
        <v>29</v>
      </c>
      <c r="O469" t="n">
        <v>1</v>
      </c>
      <c r="P469" t="n">
        <v>0</v>
      </c>
      <c r="Q469" t="n">
        <v>1</v>
      </c>
      <c r="R469" t="inlineStr">
        <is>
          <t>O</t>
        </is>
      </c>
      <c r="S469">
        <f>IFERROR(VLOOKUP(N469,Index!$A$1:$B$26,2,FALSE),"")</f>
        <v/>
      </c>
      <c r="T469">
        <f>AA469</f>
        <v/>
      </c>
      <c r="V469">
        <f>IFERROR(INDEX(DetailedFiche!Q:Q,MATCH(L469,DetailedFiche!J:J,0)),"")</f>
        <v/>
      </c>
      <c r="W469">
        <f>IFERROR(INDEX(DetailedFiche!R:R,MATCH(L469,DetailedFiche!J:J,0)),"")</f>
        <v/>
      </c>
      <c r="Y469">
        <f>IFERROR(IF(AND(INDEX('Initial Study'!K:K, MATCH(L469, 'Initial Study'!B:B, 0)+1)&lt;&gt;0,INDEX('Initial Study'!K:K, MATCH(L469, 'Initial Study'!B:B, 0)+1)&lt;&gt;""),INDEX('Initial Study'!K:K, MATCH(L469, 'Initial Study'!B:B, 0)+1),""),"")</f>
        <v/>
      </c>
      <c r="Z469">
        <f>IFERROR(IF(AND(INDEX('Initial Study'!K:K, MATCH(L469, 'Initial Study'!B:B, 0)+2)&lt;&gt;0,INDEX('Initial Study'!K:K, MATCH(L469, 'Initial Study'!B:B, 0)+2)&lt;&gt;"",NOT(ISNUMBER(INDEX('Initial Study'!K:K, MATCH(L469, 'Initial Study'!B:B, 0)+2)))),INDEX('Initial Study'!K:K, MATCH(L469, 'Initial Study'!B:B, 0)+2),"-"),"-")</f>
        <v/>
      </c>
      <c r="AA469">
        <f>IF(S469="RE", Y469 &amp; "BT/" &amp; IF(Z469 &lt;&gt; "-", Z469 &amp; "BT", ""), IF(OR(S469="LTDR", S469="LTSR"), Y469 &amp; "BL" &amp; IF(Z469 &lt;&gt; "-", "/" &amp; Z469 &amp; "BT", ""), IF(OR(S469="RTDR", S469="RTSR"), Y469 &amp; "BR" &amp; IF(Z469 &lt;&gt; "-", "/" &amp; Z469 &amp; "BT", ""), IF(Z469 &lt;&gt; "-", Y469 &amp; "BT/" &amp; Z469 &amp; "BT", Y469 &amp; "BT"))))</f>
        <v/>
      </c>
    </row>
    <row r="470">
      <c r="A470" t="n">
        <v>637</v>
      </c>
      <c r="B470" t="inlineStr">
        <is>
          <t>SR 1606</t>
        </is>
      </c>
      <c r="C470" t="n">
        <v>0.004</v>
      </c>
      <c r="D470" t="inlineStr">
        <is>
          <t>N</t>
        </is>
      </c>
      <c r="E470" t="inlineStr">
        <is>
          <t>NC 218</t>
        </is>
      </c>
      <c r="F470" t="inlineStr">
        <is>
          <t>SR 1547</t>
        </is>
      </c>
      <c r="G470" t="inlineStr">
        <is>
          <t>SR 1606</t>
        </is>
      </c>
      <c r="H470" t="n">
        <v>2.937</v>
      </c>
      <c r="I470" t="inlineStr">
        <is>
          <t>NIS</t>
        </is>
      </c>
      <c r="L470" t="n">
        <v>104726358</v>
      </c>
      <c r="M470" s="6" t="n">
        <v>42497</v>
      </c>
      <c r="N470" t="n">
        <v>19</v>
      </c>
      <c r="O470" t="n">
        <v>1</v>
      </c>
      <c r="P470" t="n">
        <v>0</v>
      </c>
      <c r="Q470" t="n">
        <v>5</v>
      </c>
      <c r="R470" t="inlineStr">
        <is>
          <t>C</t>
        </is>
      </c>
      <c r="S470">
        <f>IFERROR(VLOOKUP(N470,Index!$A$1:$B$26,2,FALSE),"")</f>
        <v/>
      </c>
      <c r="T470">
        <f>AA470</f>
        <v/>
      </c>
      <c r="V470">
        <f>IFERROR(INDEX(DetailedFiche!Q:Q,MATCH(L470,DetailedFiche!J:J,0)),"")</f>
        <v/>
      </c>
      <c r="W470">
        <f>IFERROR(INDEX(DetailedFiche!R:R,MATCH(L470,DetailedFiche!J:J,0)),"")</f>
        <v/>
      </c>
      <c r="Y470">
        <f>IFERROR(IF(AND(INDEX('Initial Study'!K:K, MATCH(L470, 'Initial Study'!B:B, 0)+1)&lt;&gt;0,INDEX('Initial Study'!K:K, MATCH(L470, 'Initial Study'!B:B, 0)+1)&lt;&gt;""),INDEX('Initial Study'!K:K, MATCH(L470, 'Initial Study'!B:B, 0)+1),""),"")</f>
        <v/>
      </c>
      <c r="Z470">
        <f>IFERROR(IF(AND(INDEX('Initial Study'!K:K, MATCH(L470, 'Initial Study'!B:B, 0)+2)&lt;&gt;0,INDEX('Initial Study'!K:K, MATCH(L470, 'Initial Study'!B:B, 0)+2)&lt;&gt;"",NOT(ISNUMBER(INDEX('Initial Study'!K:K, MATCH(L470, 'Initial Study'!B:B, 0)+2)))),INDEX('Initial Study'!K:K, MATCH(L470, 'Initial Study'!B:B, 0)+2),"-"),"-")</f>
        <v/>
      </c>
      <c r="AA470">
        <f>IF(S470="RE", Y470 &amp; "BT/" &amp; IF(Z470 &lt;&gt; "-", Z470 &amp; "BT", ""), IF(OR(S470="LTDR", S470="LTSR"), Y470 &amp; "BL" &amp; IF(Z470 &lt;&gt; "-", "/" &amp; Z470 &amp; "BT", ""), IF(OR(S470="RTDR", S470="RTSR"), Y470 &amp; "BR" &amp; IF(Z470 &lt;&gt; "-", "/" &amp; Z470 &amp; "BT", ""), IF(Z470 &lt;&gt; "-", Y470 &amp; "BT/" &amp; Z470 &amp; "BT", Y470 &amp; "BT"))))</f>
        <v/>
      </c>
    </row>
    <row r="471">
      <c r="A471" t="n">
        <v>637</v>
      </c>
      <c r="B471" t="inlineStr">
        <is>
          <t>SR 1606</t>
        </is>
      </c>
      <c r="C471" t="n">
        <v>0</v>
      </c>
      <c r="E471" t="inlineStr">
        <is>
          <t>NC 218</t>
        </is>
      </c>
      <c r="F471" t="inlineStr">
        <is>
          <t>*LCL OLD FISH RD</t>
        </is>
      </c>
      <c r="G471" t="inlineStr">
        <is>
          <t>SR 1606</t>
        </is>
      </c>
      <c r="H471" t="n">
        <v>2.941</v>
      </c>
      <c r="I471" t="inlineStr">
        <is>
          <t>NIS</t>
        </is>
      </c>
      <c r="L471" t="n">
        <v>108248400</v>
      </c>
      <c r="M471" s="6" t="n">
        <v>45924</v>
      </c>
      <c r="N471" t="n">
        <v>28</v>
      </c>
      <c r="O471" t="n">
        <v>1</v>
      </c>
      <c r="P471" t="n">
        <v>10</v>
      </c>
      <c r="Q471" t="n">
        <v>1</v>
      </c>
      <c r="R471" t="inlineStr">
        <is>
          <t>O</t>
        </is>
      </c>
      <c r="S471">
        <f>IFERROR(VLOOKUP(N471,Index!$A$1:$B$26,2,FALSE),"")</f>
        <v/>
      </c>
      <c r="T471">
        <f>AA471</f>
        <v/>
      </c>
      <c r="V471">
        <f>IFERROR(INDEX(DetailedFiche!Q:Q,MATCH(L471,DetailedFiche!J:J,0)),"")</f>
        <v/>
      </c>
      <c r="W471">
        <f>IFERROR(INDEX(DetailedFiche!R:R,MATCH(L471,DetailedFiche!J:J,0)),"")</f>
        <v/>
      </c>
      <c r="Y471">
        <f>IFERROR(IF(AND(INDEX('Initial Study'!K:K, MATCH(L471, 'Initial Study'!B:B, 0)+1)&lt;&gt;0,INDEX('Initial Study'!K:K, MATCH(L471, 'Initial Study'!B:B, 0)+1)&lt;&gt;""),INDEX('Initial Study'!K:K, MATCH(L471, 'Initial Study'!B:B, 0)+1),""),"")</f>
        <v/>
      </c>
      <c r="Z471">
        <f>IFERROR(IF(AND(INDEX('Initial Study'!K:K, MATCH(L471, 'Initial Study'!B:B, 0)+2)&lt;&gt;0,INDEX('Initial Study'!K:K, MATCH(L471, 'Initial Study'!B:B, 0)+2)&lt;&gt;"",NOT(ISNUMBER(INDEX('Initial Study'!K:K, MATCH(L471, 'Initial Study'!B:B, 0)+2)))),INDEX('Initial Study'!K:K, MATCH(L471, 'Initial Study'!B:B, 0)+2),"-"),"-")</f>
        <v/>
      </c>
      <c r="AA471">
        <f>IF(S471="RE", Y471 &amp; "BT/" &amp; IF(Z471 &lt;&gt; "-", Z471 &amp; "BT", ""), IF(OR(S471="LTDR", S471="LTSR"), Y471 &amp; "BL" &amp; IF(Z471 &lt;&gt; "-", "/" &amp; Z471 &amp; "BT", ""), IF(OR(S471="RTDR", S471="RTSR"), Y471 &amp; "BR" &amp; IF(Z471 &lt;&gt; "-", "/" &amp; Z471 &amp; "BT", ""), IF(Z471 &lt;&gt; "-", Y471 &amp; "BT/" &amp; Z471 &amp; "BT", Y471 &amp; "BT"))))</f>
        <v/>
      </c>
    </row>
    <row r="472">
      <c r="A472" t="n">
        <v>0</v>
      </c>
      <c r="B472" t="inlineStr">
        <is>
          <t>SR 1606</t>
        </is>
      </c>
      <c r="C472" t="n">
        <v>0</v>
      </c>
      <c r="E472" t="inlineStr">
        <is>
          <t>NC 218</t>
        </is>
      </c>
      <c r="F472" t="inlineStr">
        <is>
          <t>SR 1610</t>
        </is>
      </c>
      <c r="G472" t="inlineStr">
        <is>
          <t>SR 1606</t>
        </is>
      </c>
      <c r="H472" t="n">
        <v>2.941</v>
      </c>
      <c r="I472" t="inlineStr">
        <is>
          <t>NIS</t>
        </is>
      </c>
      <c r="L472" t="n">
        <v>106157650</v>
      </c>
      <c r="M472" s="6" t="n">
        <v>43874</v>
      </c>
      <c r="N472" t="n">
        <v>21</v>
      </c>
      <c r="O472" t="n">
        <v>1</v>
      </c>
      <c r="P472" t="n">
        <v>8</v>
      </c>
      <c r="Q472" t="n">
        <v>5</v>
      </c>
      <c r="R472" t="inlineStr">
        <is>
          <t>C</t>
        </is>
      </c>
      <c r="S472">
        <f>IFERROR(VLOOKUP(N472,Index!$A$1:$B$26,2,FALSE),"")</f>
        <v/>
      </c>
      <c r="T472">
        <f>AA472</f>
        <v/>
      </c>
      <c r="V472">
        <f>IFERROR(INDEX(DetailedFiche!Q:Q,MATCH(L472,DetailedFiche!J:J,0)),"")</f>
        <v/>
      </c>
      <c r="W472">
        <f>IFERROR(INDEX(DetailedFiche!R:R,MATCH(L472,DetailedFiche!J:J,0)),"")</f>
        <v/>
      </c>
      <c r="Y472">
        <f>IFERROR(IF(AND(INDEX('Initial Study'!K:K, MATCH(L472, 'Initial Study'!B:B, 0)+1)&lt;&gt;0,INDEX('Initial Study'!K:K, MATCH(L472, 'Initial Study'!B:B, 0)+1)&lt;&gt;""),INDEX('Initial Study'!K:K, MATCH(L472, 'Initial Study'!B:B, 0)+1),""),"")</f>
        <v/>
      </c>
      <c r="Z472">
        <f>IFERROR(IF(AND(INDEX('Initial Study'!K:K, MATCH(L472, 'Initial Study'!B:B, 0)+2)&lt;&gt;0,INDEX('Initial Study'!K:K, MATCH(L472, 'Initial Study'!B:B, 0)+2)&lt;&gt;"",NOT(ISNUMBER(INDEX('Initial Study'!K:K, MATCH(L472, 'Initial Study'!B:B, 0)+2)))),INDEX('Initial Study'!K:K, MATCH(L472, 'Initial Study'!B:B, 0)+2),"-"),"-")</f>
        <v/>
      </c>
      <c r="AA472">
        <f>IF(S472="RE", Y472 &amp; "BT/" &amp; IF(Z472 &lt;&gt; "-", Z472 &amp; "BT", ""), IF(OR(S472="LTDR", S472="LTSR"), Y472 &amp; "BL" &amp; IF(Z472 &lt;&gt; "-", "/" &amp; Z472 &amp; "BT", ""), IF(OR(S472="RTDR", S472="RTSR"), Y472 &amp; "BR" &amp; IF(Z472 &lt;&gt; "-", "/" &amp; Z472 &amp; "BT", ""), IF(Z472 &lt;&gt; "-", Y472 &amp; "BT/" &amp; Z472 &amp; "BT", Y472 &amp; "BT"))))</f>
        <v/>
      </c>
    </row>
    <row r="473">
      <c r="A473" t="n">
        <v>637</v>
      </c>
      <c r="B473" t="inlineStr">
        <is>
          <t>SR 1606</t>
        </is>
      </c>
      <c r="C473" t="n">
        <v>0</v>
      </c>
      <c r="E473" t="inlineStr">
        <is>
          <t>NC 218</t>
        </is>
      </c>
      <c r="F473" t="inlineStr">
        <is>
          <t>SR 1609</t>
        </is>
      </c>
      <c r="G473" t="inlineStr">
        <is>
          <t>SR 1606</t>
        </is>
      </c>
      <c r="H473" t="n">
        <v>2.941</v>
      </c>
      <c r="I473" t="inlineStr">
        <is>
          <t>NIS</t>
        </is>
      </c>
      <c r="L473" t="n">
        <v>105168368</v>
      </c>
      <c r="M473" s="6" t="n">
        <v>42937</v>
      </c>
      <c r="N473" t="n">
        <v>30</v>
      </c>
      <c r="O473" t="n">
        <v>1</v>
      </c>
      <c r="P473" t="n">
        <v>7</v>
      </c>
      <c r="Q473" t="n">
        <v>1</v>
      </c>
      <c r="R473" t="inlineStr">
        <is>
          <t>O</t>
        </is>
      </c>
      <c r="S473">
        <f>IFERROR(VLOOKUP(N473,Index!$A$1:$B$26,2,FALSE),"")</f>
        <v/>
      </c>
      <c r="T473">
        <f>AA473</f>
        <v/>
      </c>
      <c r="V473">
        <f>IFERROR(INDEX(DetailedFiche!Q:Q,MATCH(L473,DetailedFiche!J:J,0)),"")</f>
        <v/>
      </c>
      <c r="W473">
        <f>IFERROR(INDEX(DetailedFiche!R:R,MATCH(L473,DetailedFiche!J:J,0)),"")</f>
        <v/>
      </c>
      <c r="Y473">
        <f>IFERROR(IF(AND(INDEX('Initial Study'!K:K, MATCH(L473, 'Initial Study'!B:B, 0)+1)&lt;&gt;0,INDEX('Initial Study'!K:K, MATCH(L473, 'Initial Study'!B:B, 0)+1)&lt;&gt;""),INDEX('Initial Study'!K:K, MATCH(L473, 'Initial Study'!B:B, 0)+1),""),"")</f>
        <v/>
      </c>
      <c r="Z473">
        <f>IFERROR(IF(AND(INDEX('Initial Study'!K:K, MATCH(L473, 'Initial Study'!B:B, 0)+2)&lt;&gt;0,INDEX('Initial Study'!K:K, MATCH(L473, 'Initial Study'!B:B, 0)+2)&lt;&gt;"",NOT(ISNUMBER(INDEX('Initial Study'!K:K, MATCH(L473, 'Initial Study'!B:B, 0)+2)))),INDEX('Initial Study'!K:K, MATCH(L473, 'Initial Study'!B:B, 0)+2),"-"),"-")</f>
        <v/>
      </c>
      <c r="AA473">
        <f>IF(S473="RE", Y473 &amp; "BT/" &amp; IF(Z473 &lt;&gt; "-", Z473 &amp; "BT", ""), IF(OR(S473="LTDR", S473="LTSR"), Y473 &amp; "BL" &amp; IF(Z473 &lt;&gt; "-", "/" &amp; Z473 &amp; "BT", ""), IF(OR(S473="RTDR", S473="RTSR"), Y473 &amp; "BR" &amp; IF(Z473 &lt;&gt; "-", "/" &amp; Z473 &amp; "BT", ""), IF(Z473 &lt;&gt; "-", Y473 &amp; "BT/" &amp; Z473 &amp; "BT", Y473 &amp; "BT"))))</f>
        <v/>
      </c>
    </row>
    <row r="474">
      <c r="A474" t="n">
        <v>637</v>
      </c>
      <c r="B474" t="inlineStr">
        <is>
          <t>SR 1606</t>
        </is>
      </c>
      <c r="C474" t="n">
        <v>0.006</v>
      </c>
      <c r="D474" t="inlineStr">
        <is>
          <t>S</t>
        </is>
      </c>
      <c r="E474" t="inlineStr">
        <is>
          <t>NC 218</t>
        </is>
      </c>
      <c r="F474" t="inlineStr">
        <is>
          <t>SR 1610</t>
        </is>
      </c>
      <c r="G474" t="inlineStr">
        <is>
          <t>SR 1606</t>
        </is>
      </c>
      <c r="H474" t="n">
        <v>2.947</v>
      </c>
      <c r="I474" t="inlineStr">
        <is>
          <t>NIS</t>
        </is>
      </c>
      <c r="L474" t="n">
        <v>107743765</v>
      </c>
      <c r="M474" s="6" t="n">
        <v>45448</v>
      </c>
      <c r="N474" t="n">
        <v>29</v>
      </c>
      <c r="O474" t="n">
        <v>2</v>
      </c>
      <c r="P474" t="n">
        <v>7</v>
      </c>
      <c r="Q474" t="n">
        <v>1</v>
      </c>
      <c r="R474" t="inlineStr">
        <is>
          <t>O</t>
        </is>
      </c>
      <c r="S474">
        <f>IFERROR(VLOOKUP(N474,Index!$A$1:$B$26,2,FALSE),"")</f>
        <v/>
      </c>
      <c r="T474">
        <f>AA474</f>
        <v/>
      </c>
      <c r="V474">
        <f>IFERROR(INDEX(DetailedFiche!Q:Q,MATCH(L474,DetailedFiche!J:J,0)),"")</f>
        <v/>
      </c>
      <c r="W474">
        <f>IFERROR(INDEX(DetailedFiche!R:R,MATCH(L474,DetailedFiche!J:J,0)),"")</f>
        <v/>
      </c>
      <c r="Y474">
        <f>IFERROR(IF(AND(INDEX('Initial Study'!K:K, MATCH(L474, 'Initial Study'!B:B, 0)+1)&lt;&gt;0,INDEX('Initial Study'!K:K, MATCH(L474, 'Initial Study'!B:B, 0)+1)&lt;&gt;""),INDEX('Initial Study'!K:K, MATCH(L474, 'Initial Study'!B:B, 0)+1),""),"")</f>
        <v/>
      </c>
      <c r="Z474">
        <f>IFERROR(IF(AND(INDEX('Initial Study'!K:K, MATCH(L474, 'Initial Study'!B:B, 0)+2)&lt;&gt;0,INDEX('Initial Study'!K:K, MATCH(L474, 'Initial Study'!B:B, 0)+2)&lt;&gt;"",NOT(ISNUMBER(INDEX('Initial Study'!K:K, MATCH(L474, 'Initial Study'!B:B, 0)+2)))),INDEX('Initial Study'!K:K, MATCH(L474, 'Initial Study'!B:B, 0)+2),"-"),"-")</f>
        <v/>
      </c>
      <c r="AA474">
        <f>IF(S474="RE", Y474 &amp; "BT/" &amp; IF(Z474 &lt;&gt; "-", Z474 &amp; "BT", ""), IF(OR(S474="LTDR", S474="LTSR"), Y474 &amp; "BL" &amp; IF(Z474 &lt;&gt; "-", "/" &amp; Z474 &amp; "BT", ""), IF(OR(S474="RTDR", S474="RTSR"), Y474 &amp; "BR" &amp; IF(Z474 &lt;&gt; "-", "/" &amp; Z474 &amp; "BT", ""), IF(Z474 &lt;&gt; "-", Y474 &amp; "BT/" &amp; Z474 &amp; "BT", Y474 &amp; "BT"))))</f>
        <v/>
      </c>
    </row>
    <row r="475">
      <c r="A475" t="n">
        <v>637</v>
      </c>
      <c r="B475" t="inlineStr">
        <is>
          <t>SR 1606</t>
        </is>
      </c>
      <c r="C475" t="n">
        <v>0</v>
      </c>
      <c r="E475" t="inlineStr">
        <is>
          <t>SR 1610</t>
        </is>
      </c>
      <c r="F475" t="inlineStr">
        <is>
          <t>NC 218</t>
        </is>
      </c>
      <c r="G475" t="inlineStr">
        <is>
          <t>SR 1606</t>
        </is>
      </c>
      <c r="H475" t="n">
        <v>3.158</v>
      </c>
      <c r="I475" t="inlineStr">
        <is>
          <t>NIS</t>
        </is>
      </c>
      <c r="L475" t="n">
        <v>108370708</v>
      </c>
      <c r="M475" s="6" t="n">
        <v>46035</v>
      </c>
      <c r="N475" t="n">
        <v>25</v>
      </c>
      <c r="O475" t="n">
        <v>1</v>
      </c>
      <c r="P475" t="n">
        <v>0</v>
      </c>
      <c r="Q475" t="n">
        <v>1</v>
      </c>
      <c r="R475" t="inlineStr">
        <is>
          <t>O</t>
        </is>
      </c>
      <c r="S475">
        <f>IFERROR(VLOOKUP(N475,Index!$A$1:$B$26,2,FALSE),"")</f>
        <v/>
      </c>
      <c r="T475">
        <f>AA475</f>
        <v/>
      </c>
      <c r="V475">
        <f>IFERROR(INDEX(DetailedFiche!Q:Q,MATCH(L475,DetailedFiche!J:J,0)),"")</f>
        <v/>
      </c>
      <c r="W475">
        <f>IFERROR(INDEX(DetailedFiche!R:R,MATCH(L475,DetailedFiche!J:J,0)),"")</f>
        <v/>
      </c>
      <c r="Y475">
        <f>IFERROR(IF(AND(INDEX('Initial Study'!K:K, MATCH(L475, 'Initial Study'!B:B, 0)+1)&lt;&gt;0,INDEX('Initial Study'!K:K, MATCH(L475, 'Initial Study'!B:B, 0)+1)&lt;&gt;""),INDEX('Initial Study'!K:K, MATCH(L475, 'Initial Study'!B:B, 0)+1),""),"")</f>
        <v/>
      </c>
      <c r="Z475">
        <f>IFERROR(IF(AND(INDEX('Initial Study'!K:K, MATCH(L475, 'Initial Study'!B:B, 0)+2)&lt;&gt;0,INDEX('Initial Study'!K:K, MATCH(L475, 'Initial Study'!B:B, 0)+2)&lt;&gt;"",NOT(ISNUMBER(INDEX('Initial Study'!K:K, MATCH(L475, 'Initial Study'!B:B, 0)+2)))),INDEX('Initial Study'!K:K, MATCH(L475, 'Initial Study'!B:B, 0)+2),"-"),"-")</f>
        <v/>
      </c>
      <c r="AA475">
        <f>IF(S475="RE", Y475 &amp; "BT/" &amp; IF(Z475 &lt;&gt; "-", Z475 &amp; "BT", ""), IF(OR(S475="LTDR", S475="LTSR"), Y475 &amp; "BL" &amp; IF(Z475 &lt;&gt; "-", "/" &amp; Z475 &amp; "BT", ""), IF(OR(S475="RTDR", S475="RTSR"), Y475 &amp; "BR" &amp; IF(Z475 &lt;&gt; "-", "/" &amp; Z475 &amp; "BT", ""), IF(Z475 &lt;&gt; "-", Y475 &amp; "BT/" &amp; Z475 &amp; "BT", Y475 &amp; "BT"))))</f>
        <v/>
      </c>
    </row>
    <row r="476">
      <c r="A476" t="n">
        <v>0</v>
      </c>
      <c r="B476" t="inlineStr">
        <is>
          <t>SR 1606</t>
        </is>
      </c>
      <c r="C476" t="n">
        <v>0.04</v>
      </c>
      <c r="D476" t="inlineStr">
        <is>
          <t>N</t>
        </is>
      </c>
      <c r="E476" t="inlineStr">
        <is>
          <t>SR 1654</t>
        </is>
      </c>
      <c r="F476" t="inlineStr">
        <is>
          <t>SR 1610</t>
        </is>
      </c>
      <c r="G476" t="inlineStr">
        <is>
          <t>SR 1606</t>
        </is>
      </c>
      <c r="H476" t="n">
        <v>3.539</v>
      </c>
      <c r="I476" t="inlineStr">
        <is>
          <t>NIS</t>
        </is>
      </c>
      <c r="L476" t="n">
        <v>107733744</v>
      </c>
      <c r="M476" s="6" t="n">
        <v>45439</v>
      </c>
      <c r="N476" t="n">
        <v>19</v>
      </c>
      <c r="O476" t="n">
        <v>1</v>
      </c>
      <c r="P476" t="n">
        <v>0</v>
      </c>
      <c r="Q476" t="n">
        <v>1</v>
      </c>
      <c r="R476" t="inlineStr">
        <is>
          <t>O</t>
        </is>
      </c>
      <c r="S476">
        <f>IFERROR(VLOOKUP(N476,Index!$A$1:$B$26,2,FALSE),"")</f>
        <v/>
      </c>
      <c r="T476">
        <f>AA476</f>
        <v/>
      </c>
      <c r="V476">
        <f>IFERROR(INDEX(DetailedFiche!Q:Q,MATCH(L476,DetailedFiche!J:J,0)),"")</f>
        <v/>
      </c>
      <c r="W476">
        <f>IFERROR(INDEX(DetailedFiche!R:R,MATCH(L476,DetailedFiche!J:J,0)),"")</f>
        <v/>
      </c>
      <c r="Y476">
        <f>IFERROR(IF(AND(INDEX('Initial Study'!K:K, MATCH(L476, 'Initial Study'!B:B, 0)+1)&lt;&gt;0,INDEX('Initial Study'!K:K, MATCH(L476, 'Initial Study'!B:B, 0)+1)&lt;&gt;""),INDEX('Initial Study'!K:K, MATCH(L476, 'Initial Study'!B:B, 0)+1),""),"")</f>
        <v/>
      </c>
      <c r="Z476">
        <f>IFERROR(IF(AND(INDEX('Initial Study'!K:K, MATCH(L476, 'Initial Study'!B:B, 0)+2)&lt;&gt;0,INDEX('Initial Study'!K:K, MATCH(L476, 'Initial Study'!B:B, 0)+2)&lt;&gt;"",NOT(ISNUMBER(INDEX('Initial Study'!K:K, MATCH(L476, 'Initial Study'!B:B, 0)+2)))),INDEX('Initial Study'!K:K, MATCH(L476, 'Initial Study'!B:B, 0)+2),"-"),"-")</f>
        <v/>
      </c>
      <c r="AA476">
        <f>IF(S476="RE", Y476 &amp; "BT/" &amp; IF(Z476 &lt;&gt; "-", Z476 &amp; "BT", ""), IF(OR(S476="LTDR", S476="LTSR"), Y476 &amp; "BL" &amp; IF(Z476 &lt;&gt; "-", "/" &amp; Z476 &amp; "BT", ""), IF(OR(S476="RTDR", S476="RTSR"), Y476 &amp; "BR" &amp; IF(Z476 &lt;&gt; "-", "/" &amp; Z476 &amp; "BT", ""), IF(Z476 &lt;&gt; "-", Y476 &amp; "BT/" &amp; Z476 &amp; "BT", Y476 &amp; "BT"))))</f>
        <v/>
      </c>
    </row>
    <row r="477">
      <c r="A477" t="n">
        <v>558</v>
      </c>
      <c r="B477" t="inlineStr">
        <is>
          <t>SR 1606</t>
        </is>
      </c>
      <c r="C477" t="n">
        <v>0.1</v>
      </c>
      <c r="D477" t="inlineStr">
        <is>
          <t>S</t>
        </is>
      </c>
      <c r="E477" t="inlineStr">
        <is>
          <t>SR 1654</t>
        </is>
      </c>
      <c r="F477" t="inlineStr">
        <is>
          <t>SR 1675</t>
        </is>
      </c>
      <c r="G477" t="inlineStr">
        <is>
          <t>SR 1606</t>
        </is>
      </c>
      <c r="H477" t="n">
        <v>3.679</v>
      </c>
      <c r="I477" t="inlineStr">
        <is>
          <t>NIS</t>
        </is>
      </c>
      <c r="L477" t="n">
        <v>105220541</v>
      </c>
      <c r="M477" s="6" t="n">
        <v>42989</v>
      </c>
      <c r="N477" t="n">
        <v>19</v>
      </c>
      <c r="O477" t="n">
        <v>2</v>
      </c>
      <c r="P477" t="n">
        <v>0</v>
      </c>
      <c r="Q477" t="n">
        <v>5</v>
      </c>
      <c r="R477" t="inlineStr">
        <is>
          <t>O</t>
        </is>
      </c>
      <c r="S477">
        <f>IFERROR(VLOOKUP(N477,Index!$A$1:$B$26,2,FALSE),"")</f>
        <v/>
      </c>
      <c r="T477">
        <f>AA477</f>
        <v/>
      </c>
      <c r="V477">
        <f>IFERROR(INDEX(DetailedFiche!Q:Q,MATCH(L477,DetailedFiche!J:J,0)),"")</f>
        <v/>
      </c>
      <c r="W477">
        <f>IFERROR(INDEX(DetailedFiche!R:R,MATCH(L477,DetailedFiche!J:J,0)),"")</f>
        <v/>
      </c>
      <c r="Y477">
        <f>IFERROR(IF(AND(INDEX('Initial Study'!K:K, MATCH(L477, 'Initial Study'!B:B, 0)+1)&lt;&gt;0,INDEX('Initial Study'!K:K, MATCH(L477, 'Initial Study'!B:B, 0)+1)&lt;&gt;""),INDEX('Initial Study'!K:K, MATCH(L477, 'Initial Study'!B:B, 0)+1),""),"")</f>
        <v/>
      </c>
      <c r="Z477">
        <f>IFERROR(IF(AND(INDEX('Initial Study'!K:K, MATCH(L477, 'Initial Study'!B:B, 0)+2)&lt;&gt;0,INDEX('Initial Study'!K:K, MATCH(L477, 'Initial Study'!B:B, 0)+2)&lt;&gt;"",NOT(ISNUMBER(INDEX('Initial Study'!K:K, MATCH(L477, 'Initial Study'!B:B, 0)+2)))),INDEX('Initial Study'!K:K, MATCH(L477, 'Initial Study'!B:B, 0)+2),"-"),"-")</f>
        <v/>
      </c>
      <c r="AA477">
        <f>IF(S477="RE", Y477 &amp; "BT/" &amp; IF(Z477 &lt;&gt; "-", Z477 &amp; "BT", ""), IF(OR(S477="LTDR", S477="LTSR"), Y477 &amp; "BL" &amp; IF(Z477 &lt;&gt; "-", "/" &amp; Z477 &amp; "BT", ""), IF(OR(S477="RTDR", S477="RTSR"), Y477 &amp; "BR" &amp; IF(Z477 &lt;&gt; "-", "/" &amp; Z477 &amp; "BT", ""), IF(Z477 &lt;&gt; "-", Y477 &amp; "BT/" &amp; Z477 &amp; "BT", Y477 &amp; "BT"))))</f>
        <v/>
      </c>
    </row>
    <row r="478">
      <c r="A478" t="n">
        <v>0</v>
      </c>
      <c r="B478" t="inlineStr">
        <is>
          <t>SR 1606</t>
        </is>
      </c>
      <c r="C478" t="n">
        <v>0</v>
      </c>
      <c r="E478" t="inlineStr">
        <is>
          <t>SR 1675</t>
        </is>
      </c>
      <c r="F478" t="inlineStr">
        <is>
          <t>SR 1611</t>
        </is>
      </c>
      <c r="G478" t="inlineStr">
        <is>
          <t>SR 1606</t>
        </is>
      </c>
      <c r="H478" t="n">
        <v>3.821</v>
      </c>
      <c r="I478" t="inlineStr">
        <is>
          <t>NIS</t>
        </is>
      </c>
      <c r="L478" t="n">
        <v>106117532</v>
      </c>
      <c r="M478" s="6" t="n">
        <v>43835</v>
      </c>
      <c r="N478" t="n">
        <v>24</v>
      </c>
      <c r="O478" t="n">
        <v>1</v>
      </c>
      <c r="P478" t="n">
        <v>8</v>
      </c>
      <c r="Q478" t="n">
        <v>1</v>
      </c>
      <c r="R478" t="inlineStr">
        <is>
          <t>C</t>
        </is>
      </c>
      <c r="S478">
        <f>IFERROR(VLOOKUP(N478,Index!$A$1:$B$26,2,FALSE),"")</f>
        <v/>
      </c>
      <c r="T478">
        <f>AA478</f>
        <v/>
      </c>
      <c r="V478">
        <f>IFERROR(INDEX(DetailedFiche!Q:Q,MATCH(L478,DetailedFiche!J:J,0)),"")</f>
        <v/>
      </c>
      <c r="W478">
        <f>IFERROR(INDEX(DetailedFiche!R:R,MATCH(L478,DetailedFiche!J:J,0)),"")</f>
        <v/>
      </c>
      <c r="Y478">
        <f>IFERROR(IF(AND(INDEX('Initial Study'!K:K, MATCH(L478, 'Initial Study'!B:B, 0)+1)&lt;&gt;0,INDEX('Initial Study'!K:K, MATCH(L478, 'Initial Study'!B:B, 0)+1)&lt;&gt;""),INDEX('Initial Study'!K:K, MATCH(L478, 'Initial Study'!B:B, 0)+1),""),"")</f>
        <v/>
      </c>
      <c r="Z478">
        <f>IFERROR(IF(AND(INDEX('Initial Study'!K:K, MATCH(L478, 'Initial Study'!B:B, 0)+2)&lt;&gt;0,INDEX('Initial Study'!K:K, MATCH(L478, 'Initial Study'!B:B, 0)+2)&lt;&gt;"",NOT(ISNUMBER(INDEX('Initial Study'!K:K, MATCH(L478, 'Initial Study'!B:B, 0)+2)))),INDEX('Initial Study'!K:K, MATCH(L478, 'Initial Study'!B:B, 0)+2),"-"),"-")</f>
        <v/>
      </c>
      <c r="AA478">
        <f>IF(S478="RE", Y478 &amp; "BT/" &amp; IF(Z478 &lt;&gt; "-", Z478 &amp; "BT", ""), IF(OR(S478="LTDR", S478="LTSR"), Y478 &amp; "BL" &amp; IF(Z478 &lt;&gt; "-", "/" &amp; Z478 &amp; "BT", ""), IF(OR(S478="RTDR", S478="RTSR"), Y478 &amp; "BR" &amp; IF(Z478 &lt;&gt; "-", "/" &amp; Z478 &amp; "BT", ""), IF(Z478 &lt;&gt; "-", Y478 &amp; "BT/" &amp; Z478 &amp; "BT", Y478 &amp; "BT"))))</f>
        <v/>
      </c>
    </row>
    <row r="479">
      <c r="A479" t="n">
        <v>558</v>
      </c>
      <c r="B479" t="inlineStr">
        <is>
          <t>SR 1606</t>
        </is>
      </c>
      <c r="C479" t="n">
        <v>0.002</v>
      </c>
      <c r="D479" t="inlineStr">
        <is>
          <t>S</t>
        </is>
      </c>
      <c r="E479" t="inlineStr">
        <is>
          <t>SR 1611</t>
        </is>
      </c>
      <c r="F479" t="inlineStr">
        <is>
          <t>SR 1615</t>
        </is>
      </c>
      <c r="G479" t="inlineStr">
        <is>
          <t>SR 1606</t>
        </is>
      </c>
      <c r="H479" t="n">
        <v>4.011</v>
      </c>
      <c r="I479" t="inlineStr">
        <is>
          <t>NIS</t>
        </is>
      </c>
      <c r="L479" t="n">
        <v>104963318</v>
      </c>
      <c r="M479" s="6" t="n">
        <v>42731</v>
      </c>
      <c r="N479" t="n">
        <v>21</v>
      </c>
      <c r="O479" t="n">
        <v>1</v>
      </c>
      <c r="P479" t="n">
        <v>8</v>
      </c>
      <c r="Q479" t="n">
        <v>1</v>
      </c>
      <c r="R479" t="inlineStr">
        <is>
          <t>A</t>
        </is>
      </c>
      <c r="S479">
        <f>IFERROR(VLOOKUP(N479,Index!$A$1:$B$26,2,FALSE),"")</f>
        <v/>
      </c>
      <c r="T479">
        <f>AA479</f>
        <v/>
      </c>
      <c r="V479">
        <f>IFERROR(INDEX(DetailedFiche!Q:Q,MATCH(L479,DetailedFiche!J:J,0)),"")</f>
        <v/>
      </c>
      <c r="W479">
        <f>IFERROR(INDEX(DetailedFiche!R:R,MATCH(L479,DetailedFiche!J:J,0)),"")</f>
        <v/>
      </c>
      <c r="Y479">
        <f>IFERROR(IF(AND(INDEX('Initial Study'!K:K, MATCH(L479, 'Initial Study'!B:B, 0)+1)&lt;&gt;0,INDEX('Initial Study'!K:K, MATCH(L479, 'Initial Study'!B:B, 0)+1)&lt;&gt;""),INDEX('Initial Study'!K:K, MATCH(L479, 'Initial Study'!B:B, 0)+1),""),"")</f>
        <v/>
      </c>
      <c r="Z479">
        <f>IFERROR(IF(AND(INDEX('Initial Study'!K:K, MATCH(L479, 'Initial Study'!B:B, 0)+2)&lt;&gt;0,INDEX('Initial Study'!K:K, MATCH(L479, 'Initial Study'!B:B, 0)+2)&lt;&gt;"",NOT(ISNUMBER(INDEX('Initial Study'!K:K, MATCH(L479, 'Initial Study'!B:B, 0)+2)))),INDEX('Initial Study'!K:K, MATCH(L479, 'Initial Study'!B:B, 0)+2),"-"),"-")</f>
        <v/>
      </c>
      <c r="AA479">
        <f>IF(S479="RE", Y479 &amp; "BT/" &amp; IF(Z479 &lt;&gt; "-", Z479 &amp; "BT", ""), IF(OR(S479="LTDR", S479="LTSR"), Y479 &amp; "BL" &amp; IF(Z479 &lt;&gt; "-", "/" &amp; Z479 &amp; "BT", ""), IF(OR(S479="RTDR", S479="RTSR"), Y479 &amp; "BR" &amp; IF(Z479 &lt;&gt; "-", "/" &amp; Z479 &amp; "BT", ""), IF(Z479 &lt;&gt; "-", Y479 &amp; "BT/" &amp; Z479 &amp; "BT", Y479 &amp; "BT"))))</f>
        <v/>
      </c>
    </row>
    <row r="480">
      <c r="A480" t="n">
        <v>558</v>
      </c>
      <c r="B480" t="inlineStr">
        <is>
          <t>SR 1606</t>
        </is>
      </c>
      <c r="C480" t="n">
        <v>0.2</v>
      </c>
      <c r="D480" t="inlineStr">
        <is>
          <t>SW</t>
        </is>
      </c>
      <c r="E480" t="inlineStr">
        <is>
          <t>SR 1611</t>
        </is>
      </c>
      <c r="F480" t="inlineStr">
        <is>
          <t>SR 1615</t>
        </is>
      </c>
      <c r="G480" t="inlineStr">
        <is>
          <t>SR 1606</t>
        </is>
      </c>
      <c r="H480" t="n">
        <v>4.209</v>
      </c>
      <c r="I480" t="inlineStr">
        <is>
          <t>NIS</t>
        </is>
      </c>
      <c r="L480" t="n">
        <v>106998073</v>
      </c>
      <c r="M480" s="6" t="n">
        <v>44737</v>
      </c>
      <c r="N480" t="n">
        <v>19</v>
      </c>
      <c r="O480" t="n">
        <v>1</v>
      </c>
      <c r="P480" t="n">
        <v>0</v>
      </c>
      <c r="Q480" t="n">
        <v>1</v>
      </c>
      <c r="R480" t="inlineStr">
        <is>
          <t>B</t>
        </is>
      </c>
      <c r="S480">
        <f>IFERROR(VLOOKUP(N480,Index!$A$1:$B$26,2,FALSE),"")</f>
        <v/>
      </c>
      <c r="T480">
        <f>AA480</f>
        <v/>
      </c>
      <c r="V480">
        <f>IFERROR(INDEX(DetailedFiche!Q:Q,MATCH(L480,DetailedFiche!J:J,0)),"")</f>
        <v/>
      </c>
      <c r="W480">
        <f>IFERROR(INDEX(DetailedFiche!R:R,MATCH(L480,DetailedFiche!J:J,0)),"")</f>
        <v/>
      </c>
      <c r="Y480">
        <f>IFERROR(IF(AND(INDEX('Initial Study'!K:K, MATCH(L480, 'Initial Study'!B:B, 0)+1)&lt;&gt;0,INDEX('Initial Study'!K:K, MATCH(L480, 'Initial Study'!B:B, 0)+1)&lt;&gt;""),INDEX('Initial Study'!K:K, MATCH(L480, 'Initial Study'!B:B, 0)+1),""),"")</f>
        <v/>
      </c>
      <c r="Z480">
        <f>IFERROR(IF(AND(INDEX('Initial Study'!K:K, MATCH(L480, 'Initial Study'!B:B, 0)+2)&lt;&gt;0,INDEX('Initial Study'!K:K, MATCH(L480, 'Initial Study'!B:B, 0)+2)&lt;&gt;"",NOT(ISNUMBER(INDEX('Initial Study'!K:K, MATCH(L480, 'Initial Study'!B:B, 0)+2)))),INDEX('Initial Study'!K:K, MATCH(L480, 'Initial Study'!B:B, 0)+2),"-"),"-")</f>
        <v/>
      </c>
      <c r="AA480">
        <f>IF(S480="RE", Y480 &amp; "BT/" &amp; IF(Z480 &lt;&gt; "-", Z480 &amp; "BT", ""), IF(OR(S480="LTDR", S480="LTSR"), Y480 &amp; "BL" &amp; IF(Z480 &lt;&gt; "-", "/" &amp; Z480 &amp; "BT", ""), IF(OR(S480="RTDR", S480="RTSR"), Y480 &amp; "BR" &amp; IF(Z480 &lt;&gt; "-", "/" &amp; Z480 &amp; "BT", ""), IF(Z480 &lt;&gt; "-", Y480 &amp; "BT/" &amp; Z480 &amp; "BT", Y480 &amp; "BT"))))</f>
        <v/>
      </c>
    </row>
    <row r="481">
      <c r="A481" t="n">
        <v>558</v>
      </c>
      <c r="B481" t="inlineStr">
        <is>
          <t>SR 1606</t>
        </is>
      </c>
      <c r="C481" t="n">
        <v>0.21</v>
      </c>
      <c r="D481" t="inlineStr">
        <is>
          <t>S</t>
        </is>
      </c>
      <c r="E481" t="inlineStr">
        <is>
          <t>SR 1611</t>
        </is>
      </c>
      <c r="F481" t="inlineStr">
        <is>
          <t>SR 1615</t>
        </is>
      </c>
      <c r="G481" t="inlineStr">
        <is>
          <t>SR 1606</t>
        </is>
      </c>
      <c r="H481" t="n">
        <v>4.219</v>
      </c>
      <c r="I481" t="inlineStr">
        <is>
          <t>NIS</t>
        </is>
      </c>
      <c r="L481" t="n">
        <v>107562167</v>
      </c>
      <c r="M481" s="6" t="n">
        <v>45273</v>
      </c>
      <c r="N481" t="n">
        <v>29</v>
      </c>
      <c r="O481" t="n">
        <v>1</v>
      </c>
      <c r="P481" t="n">
        <v>0</v>
      </c>
      <c r="Q481" t="n">
        <v>5</v>
      </c>
      <c r="R481" t="inlineStr">
        <is>
          <t>O</t>
        </is>
      </c>
      <c r="S481">
        <f>IFERROR(VLOOKUP(N481,Index!$A$1:$B$26,2,FALSE),"")</f>
        <v/>
      </c>
      <c r="T481">
        <f>AA481</f>
        <v/>
      </c>
      <c r="V481">
        <f>IFERROR(INDEX(DetailedFiche!Q:Q,MATCH(L481,DetailedFiche!J:J,0)),"")</f>
        <v/>
      </c>
      <c r="W481">
        <f>IFERROR(INDEX(DetailedFiche!R:R,MATCH(L481,DetailedFiche!J:J,0)),"")</f>
        <v/>
      </c>
      <c r="Y481">
        <f>IFERROR(IF(AND(INDEX('Initial Study'!K:K, MATCH(L481, 'Initial Study'!B:B, 0)+1)&lt;&gt;0,INDEX('Initial Study'!K:K, MATCH(L481, 'Initial Study'!B:B, 0)+1)&lt;&gt;""),INDEX('Initial Study'!K:K, MATCH(L481, 'Initial Study'!B:B, 0)+1),""),"")</f>
        <v/>
      </c>
      <c r="Z481">
        <f>IFERROR(IF(AND(INDEX('Initial Study'!K:K, MATCH(L481, 'Initial Study'!B:B, 0)+2)&lt;&gt;0,INDEX('Initial Study'!K:K, MATCH(L481, 'Initial Study'!B:B, 0)+2)&lt;&gt;"",NOT(ISNUMBER(INDEX('Initial Study'!K:K, MATCH(L481, 'Initial Study'!B:B, 0)+2)))),INDEX('Initial Study'!K:K, MATCH(L481, 'Initial Study'!B:B, 0)+2),"-"),"-")</f>
        <v/>
      </c>
      <c r="AA481">
        <f>IF(S481="RE", Y481 &amp; "BT/" &amp; IF(Z481 &lt;&gt; "-", Z481 &amp; "BT", ""), IF(OR(S481="LTDR", S481="LTSR"), Y481 &amp; "BL" &amp; IF(Z481 &lt;&gt; "-", "/" &amp; Z481 &amp; "BT", ""), IF(OR(S481="RTDR", S481="RTSR"), Y481 &amp; "BR" &amp; IF(Z481 &lt;&gt; "-", "/" &amp; Z481 &amp; "BT", ""), IF(Z481 &lt;&gt; "-", Y481 &amp; "BT/" &amp; Z481 &amp; "BT", Y481 &amp; "BT"))))</f>
        <v/>
      </c>
    </row>
    <row r="482">
      <c r="A482" t="n">
        <v>558</v>
      </c>
      <c r="B482" t="inlineStr">
        <is>
          <t>SR 1606</t>
        </is>
      </c>
      <c r="C482" t="n">
        <v>0.25</v>
      </c>
      <c r="D482" t="inlineStr">
        <is>
          <t>S</t>
        </is>
      </c>
      <c r="E482" t="inlineStr">
        <is>
          <t>SR 1611</t>
        </is>
      </c>
      <c r="F482" t="inlineStr">
        <is>
          <t>SR 1615</t>
        </is>
      </c>
      <c r="G482" t="inlineStr">
        <is>
          <t>SR 1606</t>
        </is>
      </c>
      <c r="H482" t="n">
        <v>4.259</v>
      </c>
      <c r="I482" t="inlineStr">
        <is>
          <t>NIS</t>
        </is>
      </c>
      <c r="L482" t="n">
        <v>108527675</v>
      </c>
      <c r="M482" s="6" t="n">
        <v>46184</v>
      </c>
      <c r="N482" t="n">
        <v>21</v>
      </c>
      <c r="O482" t="n">
        <v>1</v>
      </c>
      <c r="P482" t="n">
        <v>0</v>
      </c>
      <c r="Q482" t="n">
        <v>1</v>
      </c>
      <c r="R482" t="inlineStr">
        <is>
          <t>C</t>
        </is>
      </c>
      <c r="S482">
        <f>IFERROR(VLOOKUP(N482,Index!$A$1:$B$26,2,FALSE),"")</f>
        <v/>
      </c>
      <c r="T482">
        <f>AA482</f>
        <v/>
      </c>
      <c r="V482">
        <f>IFERROR(INDEX(DetailedFiche!Q:Q,MATCH(L482,DetailedFiche!J:J,0)),"")</f>
        <v/>
      </c>
      <c r="W482">
        <f>IFERROR(INDEX(DetailedFiche!R:R,MATCH(L482,DetailedFiche!J:J,0)),"")</f>
        <v/>
      </c>
      <c r="Y482">
        <f>IFERROR(IF(AND(INDEX('Initial Study'!K:K, MATCH(L482, 'Initial Study'!B:B, 0)+1)&lt;&gt;0,INDEX('Initial Study'!K:K, MATCH(L482, 'Initial Study'!B:B, 0)+1)&lt;&gt;""),INDEX('Initial Study'!K:K, MATCH(L482, 'Initial Study'!B:B, 0)+1),""),"")</f>
        <v/>
      </c>
      <c r="Z482">
        <f>IFERROR(IF(AND(INDEX('Initial Study'!K:K, MATCH(L482, 'Initial Study'!B:B, 0)+2)&lt;&gt;0,INDEX('Initial Study'!K:K, MATCH(L482, 'Initial Study'!B:B, 0)+2)&lt;&gt;"",NOT(ISNUMBER(INDEX('Initial Study'!K:K, MATCH(L482, 'Initial Study'!B:B, 0)+2)))),INDEX('Initial Study'!K:K, MATCH(L482, 'Initial Study'!B:B, 0)+2),"-"),"-")</f>
        <v/>
      </c>
      <c r="AA482">
        <f>IF(S482="RE", Y482 &amp; "BT/" &amp; IF(Z482 &lt;&gt; "-", Z482 &amp; "BT", ""), IF(OR(S482="LTDR", S482="LTSR"), Y482 &amp; "BL" &amp; IF(Z482 &lt;&gt; "-", "/" &amp; Z482 &amp; "BT", ""), IF(OR(S482="RTDR", S482="RTSR"), Y482 &amp; "BR" &amp; IF(Z482 &lt;&gt; "-", "/" &amp; Z482 &amp; "BT", ""), IF(Z482 &lt;&gt; "-", Y482 &amp; "BT/" &amp; Z482 &amp; "BT", Y482 &amp; "BT"))))</f>
        <v/>
      </c>
    </row>
    <row r="483">
      <c r="A483" t="n">
        <v>0</v>
      </c>
      <c r="B483" t="inlineStr">
        <is>
          <t>SR 1606</t>
        </is>
      </c>
      <c r="C483" t="n">
        <v>2.7</v>
      </c>
      <c r="D483" t="inlineStr">
        <is>
          <t>S</t>
        </is>
      </c>
      <c r="E483" t="inlineStr">
        <is>
          <t>SR 1547</t>
        </is>
      </c>
      <c r="F483" t="inlineStr">
        <is>
          <t>NC 218</t>
        </is>
      </c>
      <c r="G483" t="inlineStr">
        <is>
          <t>SR 1606</t>
        </is>
      </c>
      <c r="H483" t="n">
        <v>4.287</v>
      </c>
      <c r="I483" t="inlineStr">
        <is>
          <t>NIS</t>
        </is>
      </c>
      <c r="L483" t="n">
        <v>106169959</v>
      </c>
      <c r="M483" s="6" t="n">
        <v>43886</v>
      </c>
      <c r="N483" t="n">
        <v>17</v>
      </c>
      <c r="O483" t="n">
        <v>1</v>
      </c>
      <c r="P483" t="n">
        <v>0</v>
      </c>
      <c r="Q483" t="n">
        <v>5</v>
      </c>
      <c r="R483" t="inlineStr">
        <is>
          <t>O</t>
        </is>
      </c>
      <c r="S483">
        <f>IFERROR(VLOOKUP(N483,Index!$A$1:$B$26,2,FALSE),"")</f>
        <v/>
      </c>
      <c r="T483">
        <f>AA483</f>
        <v/>
      </c>
      <c r="V483">
        <f>IFERROR(INDEX(DetailedFiche!Q:Q,MATCH(L483,DetailedFiche!J:J,0)),"")</f>
        <v/>
      </c>
      <c r="W483">
        <f>IFERROR(INDEX(DetailedFiche!R:R,MATCH(L483,DetailedFiche!J:J,0)),"")</f>
        <v/>
      </c>
      <c r="Y483">
        <f>IFERROR(IF(AND(INDEX('Initial Study'!K:K, MATCH(L483, 'Initial Study'!B:B, 0)+1)&lt;&gt;0,INDEX('Initial Study'!K:K, MATCH(L483, 'Initial Study'!B:B, 0)+1)&lt;&gt;""),INDEX('Initial Study'!K:K, MATCH(L483, 'Initial Study'!B:B, 0)+1),""),"")</f>
        <v/>
      </c>
      <c r="Z483">
        <f>IFERROR(IF(AND(INDEX('Initial Study'!K:K, MATCH(L483, 'Initial Study'!B:B, 0)+2)&lt;&gt;0,INDEX('Initial Study'!K:K, MATCH(L483, 'Initial Study'!B:B, 0)+2)&lt;&gt;"",NOT(ISNUMBER(INDEX('Initial Study'!K:K, MATCH(L483, 'Initial Study'!B:B, 0)+2)))),INDEX('Initial Study'!K:K, MATCH(L483, 'Initial Study'!B:B, 0)+2),"-"),"-")</f>
        <v/>
      </c>
      <c r="AA483">
        <f>IF(S483="RE", Y483 &amp; "BT/" &amp; IF(Z483 &lt;&gt; "-", Z483 &amp; "BT", ""), IF(OR(S483="LTDR", S483="LTSR"), Y483 &amp; "BL" &amp; IF(Z483 &lt;&gt; "-", "/" &amp; Z483 &amp; "BT", ""), IF(OR(S483="RTDR", S483="RTSR"), Y483 &amp; "BR" &amp; IF(Z483 &lt;&gt; "-", "/" &amp; Z483 &amp; "BT", ""), IF(Z483 &lt;&gt; "-", Y483 &amp; "BT/" &amp; Z483 &amp; "BT", Y483 &amp; "BT"))))</f>
        <v/>
      </c>
    </row>
    <row r="484">
      <c r="A484" t="n">
        <v>558</v>
      </c>
      <c r="B484" t="inlineStr">
        <is>
          <t>SR 1606</t>
        </is>
      </c>
      <c r="C484" t="n">
        <v>0.008999999999999999</v>
      </c>
      <c r="D484" t="inlineStr">
        <is>
          <t>N</t>
        </is>
      </c>
      <c r="E484" t="inlineStr">
        <is>
          <t>SR 1615</t>
        </is>
      </c>
      <c r="F484" t="inlineStr">
        <is>
          <t>SR 1611</t>
        </is>
      </c>
      <c r="G484" t="inlineStr">
        <is>
          <t>SR 1606</t>
        </is>
      </c>
      <c r="H484" t="n">
        <v>4.582</v>
      </c>
      <c r="I484" t="inlineStr">
        <is>
          <t>NIS</t>
        </is>
      </c>
      <c r="L484" t="n">
        <v>105132992</v>
      </c>
      <c r="M484" s="6" t="n">
        <v>42897</v>
      </c>
      <c r="N484" t="n">
        <v>17</v>
      </c>
      <c r="O484" t="n">
        <v>1</v>
      </c>
      <c r="P484" t="n">
        <v>0</v>
      </c>
      <c r="Q484" t="n">
        <v>5</v>
      </c>
      <c r="R484" t="inlineStr">
        <is>
          <t>O</t>
        </is>
      </c>
      <c r="S484">
        <f>IFERROR(VLOOKUP(N484,Index!$A$1:$B$26,2,FALSE),"")</f>
        <v/>
      </c>
      <c r="T484">
        <f>AA484</f>
        <v/>
      </c>
      <c r="V484">
        <f>IFERROR(INDEX(DetailedFiche!Q:Q,MATCH(L484,DetailedFiche!J:J,0)),"")</f>
        <v/>
      </c>
      <c r="W484">
        <f>IFERROR(INDEX(DetailedFiche!R:R,MATCH(L484,DetailedFiche!J:J,0)),"")</f>
        <v/>
      </c>
      <c r="Y484">
        <f>IFERROR(IF(AND(INDEX('Initial Study'!K:K, MATCH(L484, 'Initial Study'!B:B, 0)+1)&lt;&gt;0,INDEX('Initial Study'!K:K, MATCH(L484, 'Initial Study'!B:B, 0)+1)&lt;&gt;""),INDEX('Initial Study'!K:K, MATCH(L484, 'Initial Study'!B:B, 0)+1),""),"")</f>
        <v/>
      </c>
      <c r="Z484">
        <f>IFERROR(IF(AND(INDEX('Initial Study'!K:K, MATCH(L484, 'Initial Study'!B:B, 0)+2)&lt;&gt;0,INDEX('Initial Study'!K:K, MATCH(L484, 'Initial Study'!B:B, 0)+2)&lt;&gt;"",NOT(ISNUMBER(INDEX('Initial Study'!K:K, MATCH(L484, 'Initial Study'!B:B, 0)+2)))),INDEX('Initial Study'!K:K, MATCH(L484, 'Initial Study'!B:B, 0)+2),"-"),"-")</f>
        <v/>
      </c>
      <c r="AA484">
        <f>IF(S484="RE", Y484 &amp; "BT/" &amp; IF(Z484 &lt;&gt; "-", Z484 &amp; "BT", ""), IF(OR(S484="LTDR", S484="LTSR"), Y484 &amp; "BL" &amp; IF(Z484 &lt;&gt; "-", "/" &amp; Z484 &amp; "BT", ""), IF(OR(S484="RTDR", S484="RTSR"), Y484 &amp; "BR" &amp; IF(Z484 &lt;&gt; "-", "/" &amp; Z484 &amp; "BT", ""), IF(Z484 &lt;&gt; "-", Y484 &amp; "BT/" &amp; Z484 &amp; "BT", Y484 &amp; "BT"))))</f>
        <v/>
      </c>
    </row>
    <row r="485">
      <c r="A485" t="n">
        <v>558</v>
      </c>
      <c r="B485" t="inlineStr">
        <is>
          <t>SR 1606</t>
        </is>
      </c>
      <c r="C485" t="n">
        <v>0.25</v>
      </c>
      <c r="D485" t="inlineStr">
        <is>
          <t>N</t>
        </is>
      </c>
      <c r="E485" t="inlineStr">
        <is>
          <t>SR 1638</t>
        </is>
      </c>
      <c r="F485" t="inlineStr">
        <is>
          <t>SR 1615</t>
        </is>
      </c>
      <c r="G485" t="inlineStr">
        <is>
          <t>SR 1606</t>
        </is>
      </c>
      <c r="H485" t="n">
        <v>4.766</v>
      </c>
      <c r="I485" t="inlineStr">
        <is>
          <t>NIS</t>
        </is>
      </c>
      <c r="L485" t="n">
        <v>106462109</v>
      </c>
      <c r="M485" s="6" t="n">
        <v>44208</v>
      </c>
      <c r="N485" t="n">
        <v>19</v>
      </c>
      <c r="O485" t="n">
        <v>1</v>
      </c>
      <c r="P485" t="n">
        <v>0</v>
      </c>
      <c r="Q485" t="n">
        <v>1</v>
      </c>
      <c r="R485" t="inlineStr">
        <is>
          <t>O</t>
        </is>
      </c>
      <c r="S485">
        <f>IFERROR(VLOOKUP(N485,Index!$A$1:$B$26,2,FALSE),"")</f>
        <v/>
      </c>
      <c r="T485">
        <f>AA485</f>
        <v/>
      </c>
      <c r="V485">
        <f>IFERROR(INDEX(DetailedFiche!Q:Q,MATCH(L485,DetailedFiche!J:J,0)),"")</f>
        <v/>
      </c>
      <c r="W485">
        <f>IFERROR(INDEX(DetailedFiche!R:R,MATCH(L485,DetailedFiche!J:J,0)),"")</f>
        <v/>
      </c>
      <c r="Y485">
        <f>IFERROR(IF(AND(INDEX('Initial Study'!K:K, MATCH(L485, 'Initial Study'!B:B, 0)+1)&lt;&gt;0,INDEX('Initial Study'!K:K, MATCH(L485, 'Initial Study'!B:B, 0)+1)&lt;&gt;""),INDEX('Initial Study'!K:K, MATCH(L485, 'Initial Study'!B:B, 0)+1),""),"")</f>
        <v/>
      </c>
      <c r="Z485">
        <f>IFERROR(IF(AND(INDEX('Initial Study'!K:K, MATCH(L485, 'Initial Study'!B:B, 0)+2)&lt;&gt;0,INDEX('Initial Study'!K:K, MATCH(L485, 'Initial Study'!B:B, 0)+2)&lt;&gt;"",NOT(ISNUMBER(INDEX('Initial Study'!K:K, MATCH(L485, 'Initial Study'!B:B, 0)+2)))),INDEX('Initial Study'!K:K, MATCH(L485, 'Initial Study'!B:B, 0)+2),"-"),"-")</f>
        <v/>
      </c>
      <c r="AA485">
        <f>IF(S485="RE", Y485 &amp; "BT/" &amp; IF(Z485 &lt;&gt; "-", Z485 &amp; "BT", ""), IF(OR(S485="LTDR", S485="LTSR"), Y485 &amp; "BL" &amp; IF(Z485 &lt;&gt; "-", "/" &amp; Z485 &amp; "BT", ""), IF(OR(S485="RTDR", S485="RTSR"), Y485 &amp; "BR" &amp; IF(Z485 &lt;&gt; "-", "/" &amp; Z485 &amp; "BT", ""), IF(Z485 &lt;&gt; "-", Y485 &amp; "BT/" &amp; Z485 &amp; "BT", Y485 &amp; "BT"))))</f>
        <v/>
      </c>
    </row>
    <row r="486">
      <c r="A486" t="n">
        <v>558</v>
      </c>
      <c r="B486" t="inlineStr">
        <is>
          <t>SR 1606</t>
        </is>
      </c>
      <c r="C486" t="n">
        <v>0.4</v>
      </c>
      <c r="D486" t="inlineStr">
        <is>
          <t>S</t>
        </is>
      </c>
      <c r="E486" t="inlineStr">
        <is>
          <t>SR 1615</t>
        </is>
      </c>
      <c r="F486" t="inlineStr">
        <is>
          <t>SR 1678</t>
        </is>
      </c>
      <c r="G486" t="inlineStr">
        <is>
          <t>SR 1606</t>
        </is>
      </c>
      <c r="H486" t="n">
        <v>4.991</v>
      </c>
      <c r="I486" t="inlineStr">
        <is>
          <t>NIS</t>
        </is>
      </c>
      <c r="L486" t="n">
        <v>106958785</v>
      </c>
      <c r="M486" s="6" t="n">
        <v>44697</v>
      </c>
      <c r="N486" t="n">
        <v>21</v>
      </c>
      <c r="O486" t="n">
        <v>1</v>
      </c>
      <c r="P486" t="n">
        <v>8</v>
      </c>
      <c r="Q486" t="n">
        <v>1</v>
      </c>
      <c r="R486" t="inlineStr">
        <is>
          <t>C</t>
        </is>
      </c>
      <c r="S486">
        <f>IFERROR(VLOOKUP(N486,Index!$A$1:$B$26,2,FALSE),"")</f>
        <v/>
      </c>
      <c r="T486">
        <f>AA486</f>
        <v/>
      </c>
      <c r="V486">
        <f>IFERROR(INDEX(DetailedFiche!Q:Q,MATCH(L486,DetailedFiche!J:J,0)),"")</f>
        <v/>
      </c>
      <c r="W486">
        <f>IFERROR(INDEX(DetailedFiche!R:R,MATCH(L486,DetailedFiche!J:J,0)),"")</f>
        <v/>
      </c>
      <c r="Y486">
        <f>IFERROR(IF(AND(INDEX('Initial Study'!K:K, MATCH(L486, 'Initial Study'!B:B, 0)+1)&lt;&gt;0,INDEX('Initial Study'!K:K, MATCH(L486, 'Initial Study'!B:B, 0)+1)&lt;&gt;""),INDEX('Initial Study'!K:K, MATCH(L486, 'Initial Study'!B:B, 0)+1),""),"")</f>
        <v/>
      </c>
      <c r="Z486">
        <f>IFERROR(IF(AND(INDEX('Initial Study'!K:K, MATCH(L486, 'Initial Study'!B:B, 0)+2)&lt;&gt;0,INDEX('Initial Study'!K:K, MATCH(L486, 'Initial Study'!B:B, 0)+2)&lt;&gt;"",NOT(ISNUMBER(INDEX('Initial Study'!K:K, MATCH(L486, 'Initial Study'!B:B, 0)+2)))),INDEX('Initial Study'!K:K, MATCH(L486, 'Initial Study'!B:B, 0)+2),"-"),"-")</f>
        <v/>
      </c>
      <c r="AA486">
        <f>IF(S486="RE", Y486 &amp; "BT/" &amp; IF(Z486 &lt;&gt; "-", Z486 &amp; "BT", ""), IF(OR(S486="LTDR", S486="LTSR"), Y486 &amp; "BL" &amp; IF(Z486 &lt;&gt; "-", "/" &amp; Z486 &amp; "BT", ""), IF(OR(S486="RTDR", S486="RTSR"), Y486 &amp; "BR" &amp; IF(Z486 &lt;&gt; "-", "/" &amp; Z486 &amp; "BT", ""), IF(Z486 &lt;&gt; "-", Y486 &amp; "BT/" &amp; Z486 &amp; "BT", Y486 &amp; "BT"))))</f>
        <v/>
      </c>
    </row>
    <row r="487">
      <c r="A487" t="n">
        <v>0</v>
      </c>
      <c r="B487" t="inlineStr">
        <is>
          <t>SR 1606</t>
        </is>
      </c>
      <c r="C487" t="n">
        <v>0.8</v>
      </c>
      <c r="D487" t="inlineStr">
        <is>
          <t>N</t>
        </is>
      </c>
      <c r="E487" t="inlineStr">
        <is>
          <t>SR 1678</t>
        </is>
      </c>
      <c r="F487" t="inlineStr">
        <is>
          <t>SR 1615</t>
        </is>
      </c>
      <c r="G487" t="inlineStr">
        <is>
          <t>SR 1606</t>
        </is>
      </c>
      <c r="H487" t="n">
        <v>4.996</v>
      </c>
      <c r="I487" t="inlineStr">
        <is>
          <t>NIS</t>
        </is>
      </c>
      <c r="L487" t="n">
        <v>107584544</v>
      </c>
      <c r="M487" s="6" t="n">
        <v>45294</v>
      </c>
      <c r="N487" t="n">
        <v>17</v>
      </c>
      <c r="O487" t="n">
        <v>2</v>
      </c>
      <c r="P487" t="n">
        <v>0</v>
      </c>
      <c r="Q487" t="n">
        <v>5</v>
      </c>
      <c r="R487" t="inlineStr">
        <is>
          <t>O</t>
        </is>
      </c>
      <c r="S487">
        <f>IFERROR(VLOOKUP(N487,Index!$A$1:$B$26,2,FALSE),"")</f>
        <v/>
      </c>
      <c r="T487">
        <f>AA487</f>
        <v/>
      </c>
      <c r="V487">
        <f>IFERROR(INDEX(DetailedFiche!Q:Q,MATCH(L487,DetailedFiche!J:J,0)),"")</f>
        <v/>
      </c>
      <c r="W487">
        <f>IFERROR(INDEX(DetailedFiche!R:R,MATCH(L487,DetailedFiche!J:J,0)),"")</f>
        <v/>
      </c>
      <c r="Y487">
        <f>IFERROR(IF(AND(INDEX('Initial Study'!K:K, MATCH(L487, 'Initial Study'!B:B, 0)+1)&lt;&gt;0,INDEX('Initial Study'!K:K, MATCH(L487, 'Initial Study'!B:B, 0)+1)&lt;&gt;""),INDEX('Initial Study'!K:K, MATCH(L487, 'Initial Study'!B:B, 0)+1),""),"")</f>
        <v/>
      </c>
      <c r="Z487">
        <f>IFERROR(IF(AND(INDEX('Initial Study'!K:K, MATCH(L487, 'Initial Study'!B:B, 0)+2)&lt;&gt;0,INDEX('Initial Study'!K:K, MATCH(L487, 'Initial Study'!B:B, 0)+2)&lt;&gt;"",NOT(ISNUMBER(INDEX('Initial Study'!K:K, MATCH(L487, 'Initial Study'!B:B, 0)+2)))),INDEX('Initial Study'!K:K, MATCH(L487, 'Initial Study'!B:B, 0)+2),"-"),"-")</f>
        <v/>
      </c>
      <c r="AA487">
        <f>IF(S487="RE", Y487 &amp; "BT/" &amp; IF(Z487 &lt;&gt; "-", Z487 &amp; "BT", ""), IF(OR(S487="LTDR", S487="LTSR"), Y487 &amp; "BL" &amp; IF(Z487 &lt;&gt; "-", "/" &amp; Z487 &amp; "BT", ""), IF(OR(S487="RTDR", S487="RTSR"), Y487 &amp; "BR" &amp; IF(Z487 &lt;&gt; "-", "/" &amp; Z487 &amp; "BT", ""), IF(Z487 &lt;&gt; "-", Y487 &amp; "BT/" &amp; Z487 &amp; "BT", Y487 &amp; "BT"))))</f>
        <v/>
      </c>
    </row>
    <row r="488">
      <c r="A488" t="n">
        <v>558</v>
      </c>
      <c r="B488" t="inlineStr">
        <is>
          <t>SR 1606</t>
        </is>
      </c>
      <c r="C488" t="n">
        <v>0</v>
      </c>
      <c r="E488" t="inlineStr">
        <is>
          <t>SR 1638</t>
        </is>
      </c>
      <c r="F488" t="inlineStr">
        <is>
          <t>SR 1678</t>
        </is>
      </c>
      <c r="G488" t="inlineStr">
        <is>
          <t>SR 1606</t>
        </is>
      </c>
      <c r="H488" t="n">
        <v>5.016</v>
      </c>
      <c r="I488" t="inlineStr">
        <is>
          <t>NIS</t>
        </is>
      </c>
      <c r="L488" t="n">
        <v>105600736</v>
      </c>
      <c r="M488" s="6" t="n">
        <v>43353</v>
      </c>
      <c r="N488" t="n">
        <v>19</v>
      </c>
      <c r="O488" t="n">
        <v>2</v>
      </c>
      <c r="P488" t="n">
        <v>8</v>
      </c>
      <c r="Q488" t="n">
        <v>1</v>
      </c>
      <c r="R488" t="inlineStr">
        <is>
          <t>C</t>
        </is>
      </c>
      <c r="S488">
        <f>IFERROR(VLOOKUP(N488,Index!$A$1:$B$26,2,FALSE),"")</f>
        <v/>
      </c>
      <c r="T488">
        <f>AA488</f>
        <v/>
      </c>
      <c r="V488">
        <f>IFERROR(INDEX(DetailedFiche!Q:Q,MATCH(L488,DetailedFiche!J:J,0)),"")</f>
        <v/>
      </c>
      <c r="W488">
        <f>IFERROR(INDEX(DetailedFiche!R:R,MATCH(L488,DetailedFiche!J:J,0)),"")</f>
        <v/>
      </c>
      <c r="Y488">
        <f>IFERROR(IF(AND(INDEX('Initial Study'!K:K, MATCH(L488, 'Initial Study'!B:B, 0)+1)&lt;&gt;0,INDEX('Initial Study'!K:K, MATCH(L488, 'Initial Study'!B:B, 0)+1)&lt;&gt;""),INDEX('Initial Study'!K:K, MATCH(L488, 'Initial Study'!B:B, 0)+1),""),"")</f>
        <v/>
      </c>
      <c r="Z488">
        <f>IFERROR(IF(AND(INDEX('Initial Study'!K:K, MATCH(L488, 'Initial Study'!B:B, 0)+2)&lt;&gt;0,INDEX('Initial Study'!K:K, MATCH(L488, 'Initial Study'!B:B, 0)+2)&lt;&gt;"",NOT(ISNUMBER(INDEX('Initial Study'!K:K, MATCH(L488, 'Initial Study'!B:B, 0)+2)))),INDEX('Initial Study'!K:K, MATCH(L488, 'Initial Study'!B:B, 0)+2),"-"),"-")</f>
        <v/>
      </c>
      <c r="AA488">
        <f>IF(S488="RE", Y488 &amp; "BT/" &amp; IF(Z488 &lt;&gt; "-", Z488 &amp; "BT", ""), IF(OR(S488="LTDR", S488="LTSR"), Y488 &amp; "BL" &amp; IF(Z488 &lt;&gt; "-", "/" &amp; Z488 &amp; "BT", ""), IF(OR(S488="RTDR", S488="RTSR"), Y488 &amp; "BR" &amp; IF(Z488 &lt;&gt; "-", "/" &amp; Z488 &amp; "BT", ""), IF(Z488 &lt;&gt; "-", Y488 &amp; "BT/" &amp; Z488 &amp; "BT", Y488 &amp; "BT"))))</f>
        <v/>
      </c>
    </row>
    <row r="489">
      <c r="A489" t="n">
        <v>558</v>
      </c>
      <c r="B489" t="inlineStr">
        <is>
          <t>SR 1606</t>
        </is>
      </c>
      <c r="C489" t="n">
        <v>0</v>
      </c>
      <c r="D489" t="inlineStr">
        <is>
          <t>S</t>
        </is>
      </c>
      <c r="E489" t="inlineStr">
        <is>
          <t>SR 1638</t>
        </is>
      </c>
      <c r="F489" t="inlineStr">
        <is>
          <t>SR 1678</t>
        </is>
      </c>
      <c r="G489" t="inlineStr">
        <is>
          <t>SR 1606</t>
        </is>
      </c>
      <c r="H489" t="n">
        <v>5.016</v>
      </c>
      <c r="I489" t="inlineStr">
        <is>
          <t>NIS</t>
        </is>
      </c>
      <c r="L489" t="n">
        <v>105805384</v>
      </c>
      <c r="M489" s="6" t="n">
        <v>43529</v>
      </c>
      <c r="N489" t="n">
        <v>23</v>
      </c>
      <c r="O489" t="n">
        <v>1</v>
      </c>
      <c r="P489" t="n">
        <v>0</v>
      </c>
      <c r="Q489" t="n">
        <v>1</v>
      </c>
      <c r="R489" t="inlineStr">
        <is>
          <t>O</t>
        </is>
      </c>
      <c r="S489">
        <f>IFERROR(VLOOKUP(N489,Index!$A$1:$B$26,2,FALSE),"")</f>
        <v/>
      </c>
      <c r="T489">
        <f>AA489</f>
        <v/>
      </c>
      <c r="V489">
        <f>IFERROR(INDEX(DetailedFiche!Q:Q,MATCH(L489,DetailedFiche!J:J,0)),"")</f>
        <v/>
      </c>
      <c r="W489">
        <f>IFERROR(INDEX(DetailedFiche!R:R,MATCH(L489,DetailedFiche!J:J,0)),"")</f>
        <v/>
      </c>
      <c r="Y489">
        <f>IFERROR(IF(AND(INDEX('Initial Study'!K:K, MATCH(L489, 'Initial Study'!B:B, 0)+1)&lt;&gt;0,INDEX('Initial Study'!K:K, MATCH(L489, 'Initial Study'!B:B, 0)+1)&lt;&gt;""),INDEX('Initial Study'!K:K, MATCH(L489, 'Initial Study'!B:B, 0)+1),""),"")</f>
        <v/>
      </c>
      <c r="Z489">
        <f>IFERROR(IF(AND(INDEX('Initial Study'!K:K, MATCH(L489, 'Initial Study'!B:B, 0)+2)&lt;&gt;0,INDEX('Initial Study'!K:K, MATCH(L489, 'Initial Study'!B:B, 0)+2)&lt;&gt;"",NOT(ISNUMBER(INDEX('Initial Study'!K:K, MATCH(L489, 'Initial Study'!B:B, 0)+2)))),INDEX('Initial Study'!K:K, MATCH(L489, 'Initial Study'!B:B, 0)+2),"-"),"-")</f>
        <v/>
      </c>
      <c r="AA489">
        <f>IF(S489="RE", Y489 &amp; "BT/" &amp; IF(Z489 &lt;&gt; "-", Z489 &amp; "BT", ""), IF(OR(S489="LTDR", S489="LTSR"), Y489 &amp; "BL" &amp; IF(Z489 &lt;&gt; "-", "/" &amp; Z489 &amp; "BT", ""), IF(OR(S489="RTDR", S489="RTSR"), Y489 &amp; "BR" &amp; IF(Z489 &lt;&gt; "-", "/" &amp; Z489 &amp; "BT", ""), IF(Z489 &lt;&gt; "-", Y489 &amp; "BT/" &amp; Z489 &amp; "BT", Y489 &amp; "BT"))))</f>
        <v/>
      </c>
    </row>
    <row r="490">
      <c r="A490" t="n">
        <v>558</v>
      </c>
      <c r="B490" t="inlineStr">
        <is>
          <t>SR 1606</t>
        </is>
      </c>
      <c r="C490" t="n">
        <v>0.079</v>
      </c>
      <c r="D490" t="inlineStr">
        <is>
          <t>S</t>
        </is>
      </c>
      <c r="E490" t="inlineStr">
        <is>
          <t>SR 1638</t>
        </is>
      </c>
      <c r="F490" t="inlineStr">
        <is>
          <t>SR 1678</t>
        </is>
      </c>
      <c r="G490" t="inlineStr">
        <is>
          <t>SR 1606</t>
        </is>
      </c>
      <c r="H490" t="n">
        <v>5.095</v>
      </c>
      <c r="I490" t="inlineStr">
        <is>
          <t>NIS</t>
        </is>
      </c>
      <c r="L490" t="n">
        <v>107321031</v>
      </c>
      <c r="M490" s="6" t="n">
        <v>45036</v>
      </c>
      <c r="N490" t="n">
        <v>22</v>
      </c>
      <c r="O490" t="n">
        <v>1</v>
      </c>
      <c r="P490" t="n">
        <v>0</v>
      </c>
      <c r="Q490" t="n">
        <v>1</v>
      </c>
      <c r="R490" t="inlineStr">
        <is>
          <t>K</t>
        </is>
      </c>
      <c r="S490">
        <f>IFERROR(VLOOKUP(N490,Index!$A$1:$B$26,2,FALSE),"")</f>
        <v/>
      </c>
      <c r="T490">
        <f>AA490</f>
        <v/>
      </c>
      <c r="V490">
        <f>IFERROR(INDEX(DetailedFiche!Q:Q,MATCH(L490,DetailedFiche!J:J,0)),"")</f>
        <v/>
      </c>
      <c r="W490">
        <f>IFERROR(INDEX(DetailedFiche!R:R,MATCH(L490,DetailedFiche!J:J,0)),"")</f>
        <v/>
      </c>
      <c r="Y490">
        <f>IFERROR(IF(AND(INDEX('Initial Study'!K:K, MATCH(L490, 'Initial Study'!B:B, 0)+1)&lt;&gt;0,INDEX('Initial Study'!K:K, MATCH(L490, 'Initial Study'!B:B, 0)+1)&lt;&gt;""),INDEX('Initial Study'!K:K, MATCH(L490, 'Initial Study'!B:B, 0)+1),""),"")</f>
        <v/>
      </c>
      <c r="Z490">
        <f>IFERROR(IF(AND(INDEX('Initial Study'!K:K, MATCH(L490, 'Initial Study'!B:B, 0)+2)&lt;&gt;0,INDEX('Initial Study'!K:K, MATCH(L490, 'Initial Study'!B:B, 0)+2)&lt;&gt;"",NOT(ISNUMBER(INDEX('Initial Study'!K:K, MATCH(L490, 'Initial Study'!B:B, 0)+2)))),INDEX('Initial Study'!K:K, MATCH(L490, 'Initial Study'!B:B, 0)+2),"-"),"-")</f>
        <v/>
      </c>
      <c r="AA490">
        <f>IF(S490="RE", Y490 &amp; "BT/" &amp; IF(Z490 &lt;&gt; "-", Z490 &amp; "BT", ""), IF(OR(S490="LTDR", S490="LTSR"), Y490 &amp; "BL" &amp; IF(Z490 &lt;&gt; "-", "/" &amp; Z490 &amp; "BT", ""), IF(OR(S490="RTDR", S490="RTSR"), Y490 &amp; "BR" &amp; IF(Z490 &lt;&gt; "-", "/" &amp; Z490 &amp; "BT", ""), IF(Z490 &lt;&gt; "-", Y490 &amp; "BT/" &amp; Z490 &amp; "BT", Y490 &amp; "BT"))))</f>
        <v/>
      </c>
    </row>
    <row r="491">
      <c r="A491" t="n">
        <v>0</v>
      </c>
      <c r="B491" t="inlineStr">
        <is>
          <t>SR 1606</t>
        </is>
      </c>
      <c r="C491" t="n">
        <v>0.6</v>
      </c>
      <c r="D491" t="inlineStr">
        <is>
          <t>N</t>
        </is>
      </c>
      <c r="E491" t="inlineStr">
        <is>
          <t>SR 1678</t>
        </is>
      </c>
      <c r="F491" t="inlineStr">
        <is>
          <t>SR 1638</t>
        </is>
      </c>
      <c r="G491" t="inlineStr">
        <is>
          <t>SR 1606</t>
        </is>
      </c>
      <c r="H491" t="n">
        <v>5.196</v>
      </c>
      <c r="I491" t="inlineStr">
        <is>
          <t>NIS</t>
        </is>
      </c>
      <c r="L491" t="n">
        <v>106432490</v>
      </c>
      <c r="M491" s="6" t="n">
        <v>44174</v>
      </c>
      <c r="N491" t="n">
        <v>17</v>
      </c>
      <c r="O491" t="n">
        <v>1</v>
      </c>
      <c r="P491" t="n">
        <v>0</v>
      </c>
      <c r="Q491" t="n">
        <v>5</v>
      </c>
      <c r="R491" t="inlineStr">
        <is>
          <t>O</t>
        </is>
      </c>
      <c r="S491">
        <f>IFERROR(VLOOKUP(N491,Index!$A$1:$B$26,2,FALSE),"")</f>
        <v/>
      </c>
      <c r="T491">
        <f>AA491</f>
        <v/>
      </c>
      <c r="V491">
        <f>IFERROR(INDEX(DetailedFiche!Q:Q,MATCH(L491,DetailedFiche!J:J,0)),"")</f>
        <v/>
      </c>
      <c r="W491">
        <f>IFERROR(INDEX(DetailedFiche!R:R,MATCH(L491,DetailedFiche!J:J,0)),"")</f>
        <v/>
      </c>
      <c r="Y491">
        <f>IFERROR(IF(AND(INDEX('Initial Study'!K:K, MATCH(L491, 'Initial Study'!B:B, 0)+1)&lt;&gt;0,INDEX('Initial Study'!K:K, MATCH(L491, 'Initial Study'!B:B, 0)+1)&lt;&gt;""),INDEX('Initial Study'!K:K, MATCH(L491, 'Initial Study'!B:B, 0)+1),""),"")</f>
        <v/>
      </c>
      <c r="Z491">
        <f>IFERROR(IF(AND(INDEX('Initial Study'!K:K, MATCH(L491, 'Initial Study'!B:B, 0)+2)&lt;&gt;0,INDEX('Initial Study'!K:K, MATCH(L491, 'Initial Study'!B:B, 0)+2)&lt;&gt;"",NOT(ISNUMBER(INDEX('Initial Study'!K:K, MATCH(L491, 'Initial Study'!B:B, 0)+2)))),INDEX('Initial Study'!K:K, MATCH(L491, 'Initial Study'!B:B, 0)+2),"-"),"-")</f>
        <v/>
      </c>
      <c r="AA491">
        <f>IF(S491="RE", Y491 &amp; "BT/" &amp; IF(Z491 &lt;&gt; "-", Z491 &amp; "BT", ""), IF(OR(S491="LTDR", S491="LTSR"), Y491 &amp; "BL" &amp; IF(Z491 &lt;&gt; "-", "/" &amp; Z491 &amp; "BT", ""), IF(OR(S491="RTDR", S491="RTSR"), Y491 &amp; "BR" &amp; IF(Z491 &lt;&gt; "-", "/" &amp; Z491 &amp; "BT", ""), IF(Z491 &lt;&gt; "-", Y491 &amp; "BT/" &amp; Z491 &amp; "BT", Y491 &amp; "BT"))))</f>
        <v/>
      </c>
    </row>
    <row r="492">
      <c r="A492" t="n">
        <v>558</v>
      </c>
      <c r="B492" t="inlineStr">
        <is>
          <t>SR 1606</t>
        </is>
      </c>
      <c r="C492" t="n">
        <v>0.2</v>
      </c>
      <c r="D492" t="inlineStr">
        <is>
          <t>S</t>
        </is>
      </c>
      <c r="E492" t="inlineStr">
        <is>
          <t>SR 1638</t>
        </is>
      </c>
      <c r="F492" t="inlineStr">
        <is>
          <t>SR 1618</t>
        </is>
      </c>
      <c r="G492" t="inlineStr">
        <is>
          <t>SR 1606</t>
        </is>
      </c>
      <c r="H492" t="n">
        <v>5.216</v>
      </c>
      <c r="I492" t="inlineStr">
        <is>
          <t>NIS</t>
        </is>
      </c>
      <c r="L492" t="n">
        <v>107149014</v>
      </c>
      <c r="M492" s="6" t="n">
        <v>44877</v>
      </c>
      <c r="N492" t="n">
        <v>17</v>
      </c>
      <c r="O492" t="n">
        <v>1</v>
      </c>
      <c r="P492" t="n">
        <v>0</v>
      </c>
      <c r="Q492" t="n">
        <v>1</v>
      </c>
      <c r="R492" t="inlineStr">
        <is>
          <t>O</t>
        </is>
      </c>
      <c r="S492">
        <f>IFERROR(VLOOKUP(N492,Index!$A$1:$B$26,2,FALSE),"")</f>
        <v/>
      </c>
      <c r="T492">
        <f>AA492</f>
        <v/>
      </c>
      <c r="V492">
        <f>IFERROR(INDEX(DetailedFiche!Q:Q,MATCH(L492,DetailedFiche!J:J,0)),"")</f>
        <v/>
      </c>
      <c r="W492">
        <f>IFERROR(INDEX(DetailedFiche!R:R,MATCH(L492,DetailedFiche!J:J,0)),"")</f>
        <v/>
      </c>
      <c r="Y492">
        <f>IFERROR(IF(AND(INDEX('Initial Study'!K:K, MATCH(L492, 'Initial Study'!B:B, 0)+1)&lt;&gt;0,INDEX('Initial Study'!K:K, MATCH(L492, 'Initial Study'!B:B, 0)+1)&lt;&gt;""),INDEX('Initial Study'!K:K, MATCH(L492, 'Initial Study'!B:B, 0)+1),""),"")</f>
        <v/>
      </c>
      <c r="Z492">
        <f>IFERROR(IF(AND(INDEX('Initial Study'!K:K, MATCH(L492, 'Initial Study'!B:B, 0)+2)&lt;&gt;0,INDEX('Initial Study'!K:K, MATCH(L492, 'Initial Study'!B:B, 0)+2)&lt;&gt;"",NOT(ISNUMBER(INDEX('Initial Study'!K:K, MATCH(L492, 'Initial Study'!B:B, 0)+2)))),INDEX('Initial Study'!K:K, MATCH(L492, 'Initial Study'!B:B, 0)+2),"-"),"-")</f>
        <v/>
      </c>
      <c r="AA492">
        <f>IF(S492="RE", Y492 &amp; "BT/" &amp; IF(Z492 &lt;&gt; "-", Z492 &amp; "BT", ""), IF(OR(S492="LTDR", S492="LTSR"), Y492 &amp; "BL" &amp; IF(Z492 &lt;&gt; "-", "/" &amp; Z492 &amp; "BT", ""), IF(OR(S492="RTDR", S492="RTSR"), Y492 &amp; "BR" &amp; IF(Z492 &lt;&gt; "-", "/" &amp; Z492 &amp; "BT", ""), IF(Z492 &lt;&gt; "-", Y492 &amp; "BT/" &amp; Z492 &amp; "BT", Y492 &amp; "BT"))))</f>
        <v/>
      </c>
    </row>
    <row r="493">
      <c r="A493" t="n">
        <v>558</v>
      </c>
      <c r="B493" t="inlineStr">
        <is>
          <t>SR 1606</t>
        </is>
      </c>
      <c r="C493" t="n">
        <v>0.3</v>
      </c>
      <c r="D493" t="inlineStr">
        <is>
          <t>S</t>
        </is>
      </c>
      <c r="E493" t="inlineStr">
        <is>
          <t>SR 1638</t>
        </is>
      </c>
      <c r="F493" t="inlineStr">
        <is>
          <t>SR 1001</t>
        </is>
      </c>
      <c r="G493" t="inlineStr">
        <is>
          <t>SR 1606</t>
        </is>
      </c>
      <c r="H493" t="n">
        <v>5.316</v>
      </c>
      <c r="I493" t="inlineStr">
        <is>
          <t>NIS</t>
        </is>
      </c>
      <c r="L493" t="n">
        <v>108460445</v>
      </c>
      <c r="M493" s="6" t="n">
        <v>46120</v>
      </c>
      <c r="N493" t="n">
        <v>23</v>
      </c>
      <c r="O493" t="n">
        <v>1</v>
      </c>
      <c r="P493" t="n">
        <v>5</v>
      </c>
      <c r="Q493" t="n">
        <v>1</v>
      </c>
      <c r="R493" t="inlineStr">
        <is>
          <t>O</t>
        </is>
      </c>
      <c r="S493">
        <f>IFERROR(VLOOKUP(N493,Index!$A$1:$B$26,2,FALSE),"")</f>
        <v/>
      </c>
      <c r="T493">
        <f>AA493</f>
        <v/>
      </c>
      <c r="V493">
        <f>IFERROR(INDEX(DetailedFiche!Q:Q,MATCH(L493,DetailedFiche!J:J,0)),"")</f>
        <v/>
      </c>
      <c r="W493">
        <f>IFERROR(INDEX(DetailedFiche!R:R,MATCH(L493,DetailedFiche!J:J,0)),"")</f>
        <v/>
      </c>
      <c r="Y493">
        <f>IFERROR(IF(AND(INDEX('Initial Study'!K:K, MATCH(L493, 'Initial Study'!B:B, 0)+1)&lt;&gt;0,INDEX('Initial Study'!K:K, MATCH(L493, 'Initial Study'!B:B, 0)+1)&lt;&gt;""),INDEX('Initial Study'!K:K, MATCH(L493, 'Initial Study'!B:B, 0)+1),""),"")</f>
        <v/>
      </c>
      <c r="Z493">
        <f>IFERROR(IF(AND(INDEX('Initial Study'!K:K, MATCH(L493, 'Initial Study'!B:B, 0)+2)&lt;&gt;0,INDEX('Initial Study'!K:K, MATCH(L493, 'Initial Study'!B:B, 0)+2)&lt;&gt;"",NOT(ISNUMBER(INDEX('Initial Study'!K:K, MATCH(L493, 'Initial Study'!B:B, 0)+2)))),INDEX('Initial Study'!K:K, MATCH(L493, 'Initial Study'!B:B, 0)+2),"-"),"-")</f>
        <v/>
      </c>
      <c r="AA493">
        <f>IF(S493="RE", Y493 &amp; "BT/" &amp; IF(Z493 &lt;&gt; "-", Z493 &amp; "BT", ""), IF(OR(S493="LTDR", S493="LTSR"), Y493 &amp; "BL" &amp; IF(Z493 &lt;&gt; "-", "/" &amp; Z493 &amp; "BT", ""), IF(OR(S493="RTDR", S493="RTSR"), Y493 &amp; "BR" &amp; IF(Z493 &lt;&gt; "-", "/" &amp; Z493 &amp; "BT", ""), IF(Z493 &lt;&gt; "-", Y493 &amp; "BT/" &amp; Z493 &amp; "BT", Y493 &amp; "BT"))))</f>
        <v/>
      </c>
    </row>
    <row r="494">
      <c r="A494" t="n">
        <v>558</v>
      </c>
      <c r="B494" t="inlineStr">
        <is>
          <t>SR 1606</t>
        </is>
      </c>
      <c r="C494" t="n">
        <v>0.4</v>
      </c>
      <c r="D494" t="inlineStr">
        <is>
          <t>S</t>
        </is>
      </c>
      <c r="E494" t="inlineStr">
        <is>
          <t>SR 1638</t>
        </is>
      </c>
      <c r="F494" t="inlineStr">
        <is>
          <t>SR 1001</t>
        </is>
      </c>
      <c r="G494" t="inlineStr">
        <is>
          <t>SR 1606</t>
        </is>
      </c>
      <c r="H494" t="n">
        <v>5.416</v>
      </c>
      <c r="I494" t="inlineStr">
        <is>
          <t>NIS</t>
        </is>
      </c>
      <c r="L494" t="n">
        <v>107082969</v>
      </c>
      <c r="M494" s="6" t="n">
        <v>44820</v>
      </c>
      <c r="N494" t="n">
        <v>27</v>
      </c>
      <c r="O494" t="n">
        <v>1</v>
      </c>
      <c r="P494" t="n">
        <v>0</v>
      </c>
      <c r="Q494" t="n">
        <v>1</v>
      </c>
      <c r="R494" t="inlineStr">
        <is>
          <t>A</t>
        </is>
      </c>
      <c r="S494">
        <f>IFERROR(VLOOKUP(N494,Index!$A$1:$B$26,2,FALSE),"")</f>
        <v/>
      </c>
      <c r="T494">
        <f>AA494</f>
        <v/>
      </c>
      <c r="V494">
        <f>IFERROR(INDEX(DetailedFiche!Q:Q,MATCH(L494,DetailedFiche!J:J,0)),"")</f>
        <v/>
      </c>
      <c r="W494">
        <f>IFERROR(INDEX(DetailedFiche!R:R,MATCH(L494,DetailedFiche!J:J,0)),"")</f>
        <v/>
      </c>
      <c r="Y494">
        <f>IFERROR(IF(AND(INDEX('Initial Study'!K:K, MATCH(L494, 'Initial Study'!B:B, 0)+1)&lt;&gt;0,INDEX('Initial Study'!K:K, MATCH(L494, 'Initial Study'!B:B, 0)+1)&lt;&gt;""),INDEX('Initial Study'!K:K, MATCH(L494, 'Initial Study'!B:B, 0)+1),""),"")</f>
        <v/>
      </c>
      <c r="Z494">
        <f>IFERROR(IF(AND(INDEX('Initial Study'!K:K, MATCH(L494, 'Initial Study'!B:B, 0)+2)&lt;&gt;0,INDEX('Initial Study'!K:K, MATCH(L494, 'Initial Study'!B:B, 0)+2)&lt;&gt;"",NOT(ISNUMBER(INDEX('Initial Study'!K:K, MATCH(L494, 'Initial Study'!B:B, 0)+2)))),INDEX('Initial Study'!K:K, MATCH(L494, 'Initial Study'!B:B, 0)+2),"-"),"-")</f>
        <v/>
      </c>
      <c r="AA494">
        <f>IF(S494="RE", Y494 &amp; "BT/" &amp; IF(Z494 &lt;&gt; "-", Z494 &amp; "BT", ""), IF(OR(S494="LTDR", S494="LTSR"), Y494 &amp; "BL" &amp; IF(Z494 &lt;&gt; "-", "/" &amp; Z494 &amp; "BT", ""), IF(OR(S494="RTDR", S494="RTSR"), Y494 &amp; "BR" &amp; IF(Z494 &lt;&gt; "-", "/" &amp; Z494 &amp; "BT", ""), IF(Z494 &lt;&gt; "-", Y494 &amp; "BT/" &amp; Z494 &amp; "BT", Y494 &amp; "BT"))))</f>
        <v/>
      </c>
    </row>
    <row r="495">
      <c r="A495" t="n">
        <v>0</v>
      </c>
      <c r="B495" t="inlineStr">
        <is>
          <t>SR 1606</t>
        </is>
      </c>
      <c r="C495" t="n">
        <v>0.2</v>
      </c>
      <c r="D495" t="inlineStr">
        <is>
          <t>N</t>
        </is>
      </c>
      <c r="E495" t="inlineStr">
        <is>
          <t>SR 1678</t>
        </is>
      </c>
      <c r="F495" t="inlineStr">
        <is>
          <t>SR 1638</t>
        </is>
      </c>
      <c r="G495" t="inlineStr">
        <is>
          <t>SR 1606</t>
        </is>
      </c>
      <c r="H495" t="n">
        <v>5.596</v>
      </c>
      <c r="I495" t="inlineStr">
        <is>
          <t>NIS</t>
        </is>
      </c>
      <c r="L495" t="n">
        <v>107360456</v>
      </c>
      <c r="M495" s="6" t="n">
        <v>45083</v>
      </c>
      <c r="N495" t="n">
        <v>29</v>
      </c>
      <c r="O495" t="n">
        <v>1</v>
      </c>
      <c r="P495" t="n">
        <v>0</v>
      </c>
      <c r="Q495" t="n">
        <v>1</v>
      </c>
      <c r="R495" t="inlineStr">
        <is>
          <t>O</t>
        </is>
      </c>
      <c r="S495">
        <f>IFERROR(VLOOKUP(N495,Index!$A$1:$B$26,2,FALSE),"")</f>
        <v/>
      </c>
      <c r="T495">
        <f>AA495</f>
        <v/>
      </c>
      <c r="V495">
        <f>IFERROR(INDEX(DetailedFiche!Q:Q,MATCH(L495,DetailedFiche!J:J,0)),"")</f>
        <v/>
      </c>
      <c r="W495">
        <f>IFERROR(INDEX(DetailedFiche!R:R,MATCH(L495,DetailedFiche!J:J,0)),"")</f>
        <v/>
      </c>
      <c r="Y495">
        <f>IFERROR(IF(AND(INDEX('Initial Study'!K:K, MATCH(L495, 'Initial Study'!B:B, 0)+1)&lt;&gt;0,INDEX('Initial Study'!K:K, MATCH(L495, 'Initial Study'!B:B, 0)+1)&lt;&gt;""),INDEX('Initial Study'!K:K, MATCH(L495, 'Initial Study'!B:B, 0)+1),""),"")</f>
        <v/>
      </c>
      <c r="Z495">
        <f>IFERROR(IF(AND(INDEX('Initial Study'!K:K, MATCH(L495, 'Initial Study'!B:B, 0)+2)&lt;&gt;0,INDEX('Initial Study'!K:K, MATCH(L495, 'Initial Study'!B:B, 0)+2)&lt;&gt;"",NOT(ISNUMBER(INDEX('Initial Study'!K:K, MATCH(L495, 'Initial Study'!B:B, 0)+2)))),INDEX('Initial Study'!K:K, MATCH(L495, 'Initial Study'!B:B, 0)+2),"-"),"-")</f>
        <v/>
      </c>
      <c r="AA495">
        <f>IF(S495="RE", Y495 &amp; "BT/" &amp; IF(Z495 &lt;&gt; "-", Z495 &amp; "BT", ""), IF(OR(S495="LTDR", S495="LTSR"), Y495 &amp; "BL" &amp; IF(Z495 &lt;&gt; "-", "/" &amp; Z495 &amp; "BT", ""), IF(OR(S495="RTDR", S495="RTSR"), Y495 &amp; "BR" &amp; IF(Z495 &lt;&gt; "-", "/" &amp; Z495 &amp; "BT", ""), IF(Z495 &lt;&gt; "-", Y495 &amp; "BT/" &amp; Z495 &amp; "BT", Y495 &amp; "BT"))))</f>
        <v/>
      </c>
    </row>
    <row r="496">
      <c r="A496" t="n">
        <v>558</v>
      </c>
      <c r="B496" t="inlineStr">
        <is>
          <t>SR 1606</t>
        </is>
      </c>
      <c r="C496" t="n">
        <v>0.076</v>
      </c>
      <c r="D496" t="inlineStr">
        <is>
          <t>N</t>
        </is>
      </c>
      <c r="E496" t="inlineStr">
        <is>
          <t>SR 1688</t>
        </is>
      </c>
      <c r="F496" t="inlineStr">
        <is>
          <t>SR 1638</t>
        </is>
      </c>
      <c r="G496" t="inlineStr">
        <is>
          <t>SR 1606</t>
        </is>
      </c>
      <c r="H496" t="n">
        <v>5.652</v>
      </c>
      <c r="I496" t="inlineStr">
        <is>
          <t>NIS</t>
        </is>
      </c>
      <c r="L496" t="n">
        <v>108134261</v>
      </c>
      <c r="M496" s="6" t="n">
        <v>45814</v>
      </c>
      <c r="N496" t="n">
        <v>19</v>
      </c>
      <c r="O496" t="n">
        <v>1</v>
      </c>
      <c r="P496" t="n">
        <v>0</v>
      </c>
      <c r="Q496" t="n">
        <v>5</v>
      </c>
      <c r="R496" t="inlineStr">
        <is>
          <t>B</t>
        </is>
      </c>
      <c r="S496">
        <f>IFERROR(VLOOKUP(N496,Index!$A$1:$B$26,2,FALSE),"")</f>
        <v/>
      </c>
      <c r="T496">
        <f>AA496</f>
        <v/>
      </c>
      <c r="V496">
        <f>IFERROR(INDEX(DetailedFiche!Q:Q,MATCH(L496,DetailedFiche!J:J,0)),"")</f>
        <v/>
      </c>
      <c r="W496">
        <f>IFERROR(INDEX(DetailedFiche!R:R,MATCH(L496,DetailedFiche!J:J,0)),"")</f>
        <v/>
      </c>
      <c r="Y496">
        <f>IFERROR(IF(AND(INDEX('Initial Study'!K:K, MATCH(L496, 'Initial Study'!B:B, 0)+1)&lt;&gt;0,INDEX('Initial Study'!K:K, MATCH(L496, 'Initial Study'!B:B, 0)+1)&lt;&gt;""),INDEX('Initial Study'!K:K, MATCH(L496, 'Initial Study'!B:B, 0)+1),""),"")</f>
        <v/>
      </c>
      <c r="Z496">
        <f>IFERROR(IF(AND(INDEX('Initial Study'!K:K, MATCH(L496, 'Initial Study'!B:B, 0)+2)&lt;&gt;0,INDEX('Initial Study'!K:K, MATCH(L496, 'Initial Study'!B:B, 0)+2)&lt;&gt;"",NOT(ISNUMBER(INDEX('Initial Study'!K:K, MATCH(L496, 'Initial Study'!B:B, 0)+2)))),INDEX('Initial Study'!K:K, MATCH(L496, 'Initial Study'!B:B, 0)+2),"-"),"-")</f>
        <v/>
      </c>
      <c r="AA496">
        <f>IF(S496="RE", Y496 &amp; "BT/" &amp; IF(Z496 &lt;&gt; "-", Z496 &amp; "BT", ""), IF(OR(S496="LTDR", S496="LTSR"), Y496 &amp; "BL" &amp; IF(Z496 &lt;&gt; "-", "/" &amp; Z496 &amp; "BT", ""), IF(OR(S496="RTDR", S496="RTSR"), Y496 &amp; "BR" &amp; IF(Z496 &lt;&gt; "-", "/" &amp; Z496 &amp; "BT", ""), IF(Z496 &lt;&gt; "-", Y496 &amp; "BT/" &amp; Z496 &amp; "BT", Y496 &amp; "BT"))))</f>
        <v/>
      </c>
    </row>
    <row r="497">
      <c r="A497" t="n">
        <v>558</v>
      </c>
      <c r="B497" t="inlineStr">
        <is>
          <t>SR 1606</t>
        </is>
      </c>
      <c r="C497" t="n">
        <v>0</v>
      </c>
      <c r="E497" t="inlineStr">
        <is>
          <t>SR 1688</t>
        </is>
      </c>
      <c r="F497" t="inlineStr">
        <is>
          <t>SR 1618</t>
        </is>
      </c>
      <c r="G497" t="inlineStr">
        <is>
          <t>SR 1606</t>
        </is>
      </c>
      <c r="H497" t="n">
        <v>5.728</v>
      </c>
      <c r="I497" t="inlineStr">
        <is>
          <t>NIS</t>
        </is>
      </c>
      <c r="L497" t="n">
        <v>107281872</v>
      </c>
      <c r="M497" s="6" t="n">
        <v>45008</v>
      </c>
      <c r="N497" t="n">
        <v>23</v>
      </c>
      <c r="O497" t="n">
        <v>1</v>
      </c>
      <c r="P497" t="n">
        <v>0</v>
      </c>
      <c r="Q497" t="n">
        <v>1</v>
      </c>
      <c r="R497" t="inlineStr">
        <is>
          <t>O</t>
        </is>
      </c>
      <c r="S497">
        <f>IFERROR(VLOOKUP(N497,Index!$A$1:$B$26,2,FALSE),"")</f>
        <v/>
      </c>
      <c r="T497">
        <f>AA497</f>
        <v/>
      </c>
      <c r="V497">
        <f>IFERROR(INDEX(DetailedFiche!Q:Q,MATCH(L497,DetailedFiche!J:J,0)),"")</f>
        <v/>
      </c>
      <c r="W497">
        <f>IFERROR(INDEX(DetailedFiche!R:R,MATCH(L497,DetailedFiche!J:J,0)),"")</f>
        <v/>
      </c>
      <c r="Y497">
        <f>IFERROR(IF(AND(INDEX('Initial Study'!K:K, MATCH(L497, 'Initial Study'!B:B, 0)+1)&lt;&gt;0,INDEX('Initial Study'!K:K, MATCH(L497, 'Initial Study'!B:B, 0)+1)&lt;&gt;""),INDEX('Initial Study'!K:K, MATCH(L497, 'Initial Study'!B:B, 0)+1),""),"")</f>
        <v/>
      </c>
      <c r="Z497">
        <f>IFERROR(IF(AND(INDEX('Initial Study'!K:K, MATCH(L497, 'Initial Study'!B:B, 0)+2)&lt;&gt;0,INDEX('Initial Study'!K:K, MATCH(L497, 'Initial Study'!B:B, 0)+2)&lt;&gt;"",NOT(ISNUMBER(INDEX('Initial Study'!K:K, MATCH(L497, 'Initial Study'!B:B, 0)+2)))),INDEX('Initial Study'!K:K, MATCH(L497, 'Initial Study'!B:B, 0)+2),"-"),"-")</f>
        <v/>
      </c>
      <c r="AA497">
        <f>IF(S497="RE", Y497 &amp; "BT/" &amp; IF(Z497 &lt;&gt; "-", Z497 &amp; "BT", ""), IF(OR(S497="LTDR", S497="LTSR"), Y497 &amp; "BL" &amp; IF(Z497 &lt;&gt; "-", "/" &amp; Z497 &amp; "BT", ""), IF(OR(S497="RTDR", S497="RTSR"), Y497 &amp; "BR" &amp; IF(Z497 &lt;&gt; "-", "/" &amp; Z497 &amp; "BT", ""), IF(Z497 &lt;&gt; "-", Y497 &amp; "BT/" &amp; Z497 &amp; "BT", Y497 &amp; "BT"))))</f>
        <v/>
      </c>
    </row>
    <row r="498">
      <c r="A498" t="n">
        <v>558</v>
      </c>
      <c r="B498" t="inlineStr">
        <is>
          <t>SR 1606</t>
        </is>
      </c>
      <c r="C498" t="n">
        <v>0.01</v>
      </c>
      <c r="D498" t="inlineStr">
        <is>
          <t>S</t>
        </is>
      </c>
      <c r="E498" t="inlineStr">
        <is>
          <t>SR 1688</t>
        </is>
      </c>
      <c r="F498" t="inlineStr">
        <is>
          <t>SR 1678</t>
        </is>
      </c>
      <c r="G498" t="inlineStr">
        <is>
          <t>SR 1606</t>
        </is>
      </c>
      <c r="H498" t="n">
        <v>5.738</v>
      </c>
      <c r="I498" t="inlineStr">
        <is>
          <t>NIS</t>
        </is>
      </c>
      <c r="L498" t="n">
        <v>107112659</v>
      </c>
      <c r="M498" s="6" t="n">
        <v>44840</v>
      </c>
      <c r="N498" t="n">
        <v>21</v>
      </c>
      <c r="O498" t="n">
        <v>1</v>
      </c>
      <c r="P498" t="n">
        <v>0</v>
      </c>
      <c r="Q498" t="n">
        <v>5</v>
      </c>
      <c r="R498" t="inlineStr">
        <is>
          <t>A</t>
        </is>
      </c>
      <c r="S498">
        <f>IFERROR(VLOOKUP(N498,Index!$A$1:$B$26,2,FALSE),"")</f>
        <v/>
      </c>
      <c r="T498">
        <f>AA498</f>
        <v/>
      </c>
      <c r="V498">
        <f>IFERROR(INDEX(DetailedFiche!Q:Q,MATCH(L498,DetailedFiche!J:J,0)),"")</f>
        <v/>
      </c>
      <c r="W498">
        <f>IFERROR(INDEX(DetailedFiche!R:R,MATCH(L498,DetailedFiche!J:J,0)),"")</f>
        <v/>
      </c>
      <c r="Y498">
        <f>IFERROR(IF(AND(INDEX('Initial Study'!K:K, MATCH(L498, 'Initial Study'!B:B, 0)+1)&lt;&gt;0,INDEX('Initial Study'!K:K, MATCH(L498, 'Initial Study'!B:B, 0)+1)&lt;&gt;""),INDEX('Initial Study'!K:K, MATCH(L498, 'Initial Study'!B:B, 0)+1),""),"")</f>
        <v/>
      </c>
      <c r="Z498">
        <f>IFERROR(IF(AND(INDEX('Initial Study'!K:K, MATCH(L498, 'Initial Study'!B:B, 0)+2)&lt;&gt;0,INDEX('Initial Study'!K:K, MATCH(L498, 'Initial Study'!B:B, 0)+2)&lt;&gt;"",NOT(ISNUMBER(INDEX('Initial Study'!K:K, MATCH(L498, 'Initial Study'!B:B, 0)+2)))),INDEX('Initial Study'!K:K, MATCH(L498, 'Initial Study'!B:B, 0)+2),"-"),"-")</f>
        <v/>
      </c>
      <c r="AA498">
        <f>IF(S498="RE", Y498 &amp; "BT/" &amp; IF(Z498 &lt;&gt; "-", Z498 &amp; "BT", ""), IF(OR(S498="LTDR", S498="LTSR"), Y498 &amp; "BL" &amp; IF(Z498 &lt;&gt; "-", "/" &amp; Z498 &amp; "BT", ""), IF(OR(S498="RTDR", S498="RTSR"), Y498 &amp; "BR" &amp; IF(Z498 &lt;&gt; "-", "/" &amp; Z498 &amp; "BT", ""), IF(Z498 &lt;&gt; "-", Y498 &amp; "BT/" &amp; Z498 &amp; "BT", Y498 &amp; "BT"))))</f>
        <v/>
      </c>
    </row>
    <row r="499">
      <c r="A499" t="n">
        <v>558</v>
      </c>
      <c r="B499" t="inlineStr">
        <is>
          <t>SR 1606</t>
        </is>
      </c>
      <c r="C499" t="n">
        <v>0.002</v>
      </c>
      <c r="D499" t="inlineStr">
        <is>
          <t>N</t>
        </is>
      </c>
      <c r="E499" t="inlineStr">
        <is>
          <t>SR 1678</t>
        </is>
      </c>
      <c r="F499" t="inlineStr">
        <is>
          <t>SR 1638</t>
        </is>
      </c>
      <c r="G499" t="inlineStr">
        <is>
          <t>SR 1606</t>
        </is>
      </c>
      <c r="H499" t="n">
        <v>5.794</v>
      </c>
      <c r="I499" t="inlineStr">
        <is>
          <t>NIS</t>
        </is>
      </c>
      <c r="L499" t="n">
        <v>106109136</v>
      </c>
      <c r="M499" s="6" t="n">
        <v>43817</v>
      </c>
      <c r="N499" t="n">
        <v>21</v>
      </c>
      <c r="O499" t="n">
        <v>1</v>
      </c>
      <c r="P499" t="n">
        <v>0</v>
      </c>
      <c r="Q499" t="n">
        <v>1</v>
      </c>
      <c r="R499" t="inlineStr">
        <is>
          <t>O</t>
        </is>
      </c>
      <c r="S499">
        <f>IFERROR(VLOOKUP(N499,Index!$A$1:$B$26,2,FALSE),"")</f>
        <v/>
      </c>
      <c r="T499">
        <f>AA499</f>
        <v/>
      </c>
      <c r="V499">
        <f>IFERROR(INDEX(DetailedFiche!Q:Q,MATCH(L499,DetailedFiche!J:J,0)),"")</f>
        <v/>
      </c>
      <c r="W499">
        <f>IFERROR(INDEX(DetailedFiche!R:R,MATCH(L499,DetailedFiche!J:J,0)),"")</f>
        <v/>
      </c>
      <c r="Y499">
        <f>IFERROR(IF(AND(INDEX('Initial Study'!K:K, MATCH(L499, 'Initial Study'!B:B, 0)+1)&lt;&gt;0,INDEX('Initial Study'!K:K, MATCH(L499, 'Initial Study'!B:B, 0)+1)&lt;&gt;""),INDEX('Initial Study'!K:K, MATCH(L499, 'Initial Study'!B:B, 0)+1),""),"")</f>
        <v/>
      </c>
      <c r="Z499">
        <f>IFERROR(IF(AND(INDEX('Initial Study'!K:K, MATCH(L499, 'Initial Study'!B:B, 0)+2)&lt;&gt;0,INDEX('Initial Study'!K:K, MATCH(L499, 'Initial Study'!B:B, 0)+2)&lt;&gt;"",NOT(ISNUMBER(INDEX('Initial Study'!K:K, MATCH(L499, 'Initial Study'!B:B, 0)+2)))),INDEX('Initial Study'!K:K, MATCH(L499, 'Initial Study'!B:B, 0)+2),"-"),"-")</f>
        <v/>
      </c>
      <c r="AA499">
        <f>IF(S499="RE", Y499 &amp; "BT/" &amp; IF(Z499 &lt;&gt; "-", Z499 &amp; "BT", ""), IF(OR(S499="LTDR", S499="LTSR"), Y499 &amp; "BL" &amp; IF(Z499 &lt;&gt; "-", "/" &amp; Z499 &amp; "BT", ""), IF(OR(S499="RTDR", S499="RTSR"), Y499 &amp; "BR" &amp; IF(Z499 &lt;&gt; "-", "/" &amp; Z499 &amp; "BT", ""), IF(Z499 &lt;&gt; "-", Y499 &amp; "BT/" &amp; Z499 &amp; "BT", Y499 &amp; "BT"))))</f>
        <v/>
      </c>
    </row>
    <row r="500">
      <c r="A500" t="n">
        <v>558</v>
      </c>
      <c r="B500" t="inlineStr">
        <is>
          <t>SR 1606</t>
        </is>
      </c>
      <c r="C500" t="n">
        <v>0.006</v>
      </c>
      <c r="D500" t="inlineStr">
        <is>
          <t>S</t>
        </is>
      </c>
      <c r="E500" t="inlineStr">
        <is>
          <t>SR 1678</t>
        </is>
      </c>
      <c r="F500" t="inlineStr">
        <is>
          <t>SR 1001</t>
        </is>
      </c>
      <c r="G500" t="inlineStr">
        <is>
          <t>SR 1606</t>
        </is>
      </c>
      <c r="H500" t="n">
        <v>5.802</v>
      </c>
      <c r="I500" t="inlineStr">
        <is>
          <t>NIS</t>
        </is>
      </c>
      <c r="L500" t="n">
        <v>107611797</v>
      </c>
      <c r="M500" s="6" t="n">
        <v>45322</v>
      </c>
      <c r="N500" t="n">
        <v>19</v>
      </c>
      <c r="O500" t="n">
        <v>1</v>
      </c>
      <c r="P500" t="n">
        <v>0</v>
      </c>
      <c r="Q500" t="n">
        <v>1</v>
      </c>
      <c r="R500" t="inlineStr">
        <is>
          <t>O</t>
        </is>
      </c>
      <c r="S500">
        <f>IFERROR(VLOOKUP(N500,Index!$A$1:$B$26,2,FALSE),"")</f>
        <v/>
      </c>
      <c r="T500">
        <f>AA500</f>
        <v/>
      </c>
      <c r="V500">
        <f>IFERROR(INDEX(DetailedFiche!Q:Q,MATCH(L500,DetailedFiche!J:J,0)),"")</f>
        <v/>
      </c>
      <c r="W500">
        <f>IFERROR(INDEX(DetailedFiche!R:R,MATCH(L500,DetailedFiche!J:J,0)),"")</f>
        <v/>
      </c>
      <c r="Y500">
        <f>IFERROR(IF(AND(INDEX('Initial Study'!K:K, MATCH(L500, 'Initial Study'!B:B, 0)+1)&lt;&gt;0,INDEX('Initial Study'!K:K, MATCH(L500, 'Initial Study'!B:B, 0)+1)&lt;&gt;""),INDEX('Initial Study'!K:K, MATCH(L500, 'Initial Study'!B:B, 0)+1),""),"")</f>
        <v/>
      </c>
      <c r="Z500">
        <f>IFERROR(IF(AND(INDEX('Initial Study'!K:K, MATCH(L500, 'Initial Study'!B:B, 0)+2)&lt;&gt;0,INDEX('Initial Study'!K:K, MATCH(L500, 'Initial Study'!B:B, 0)+2)&lt;&gt;"",NOT(ISNUMBER(INDEX('Initial Study'!K:K, MATCH(L500, 'Initial Study'!B:B, 0)+2)))),INDEX('Initial Study'!K:K, MATCH(L500, 'Initial Study'!B:B, 0)+2),"-"),"-")</f>
        <v/>
      </c>
      <c r="AA500">
        <f>IF(S500="RE", Y500 &amp; "BT/" &amp; IF(Z500 &lt;&gt; "-", Z500 &amp; "BT", ""), IF(OR(S500="LTDR", S500="LTSR"), Y500 &amp; "BL" &amp; IF(Z500 &lt;&gt; "-", "/" &amp; Z500 &amp; "BT", ""), IF(OR(S500="RTDR", S500="RTSR"), Y500 &amp; "BR" &amp; IF(Z500 &lt;&gt; "-", "/" &amp; Z500 &amp; "BT", ""), IF(Z500 &lt;&gt; "-", Y500 &amp; "BT/" &amp; Z500 &amp; "BT", Y500 &amp; "BT"))))</f>
        <v/>
      </c>
    </row>
    <row r="501">
      <c r="A501" t="n">
        <v>558</v>
      </c>
      <c r="B501" t="inlineStr">
        <is>
          <t>SR 1606</t>
        </is>
      </c>
      <c r="C501" t="n">
        <v>0.055</v>
      </c>
      <c r="D501" t="inlineStr">
        <is>
          <t>S</t>
        </is>
      </c>
      <c r="E501" t="inlineStr">
        <is>
          <t>SR 1678</t>
        </is>
      </c>
      <c r="F501" t="inlineStr">
        <is>
          <t>SR 1618</t>
        </is>
      </c>
      <c r="G501" t="inlineStr">
        <is>
          <t>SR 1606</t>
        </is>
      </c>
      <c r="H501" t="n">
        <v>5.851</v>
      </c>
      <c r="I501" t="inlineStr">
        <is>
          <t>NIS</t>
        </is>
      </c>
      <c r="L501" t="n">
        <v>108466476</v>
      </c>
      <c r="M501" s="6" t="n">
        <v>46121</v>
      </c>
      <c r="N501" t="n">
        <v>28</v>
      </c>
      <c r="O501" t="n">
        <v>1</v>
      </c>
      <c r="P501" t="n">
        <v>0</v>
      </c>
      <c r="Q501" t="n">
        <v>5</v>
      </c>
      <c r="R501" t="inlineStr">
        <is>
          <t>C</t>
        </is>
      </c>
      <c r="S501">
        <f>IFERROR(VLOOKUP(N501,Index!$A$1:$B$26,2,FALSE),"")</f>
        <v/>
      </c>
      <c r="T501">
        <f>AA501</f>
        <v/>
      </c>
      <c r="V501">
        <f>IFERROR(INDEX(DetailedFiche!Q:Q,MATCH(L501,DetailedFiche!J:J,0)),"")</f>
        <v/>
      </c>
      <c r="W501">
        <f>IFERROR(INDEX(DetailedFiche!R:R,MATCH(L501,DetailedFiche!J:J,0)),"")</f>
        <v/>
      </c>
      <c r="Y501">
        <f>IFERROR(IF(AND(INDEX('Initial Study'!K:K, MATCH(L501, 'Initial Study'!B:B, 0)+1)&lt;&gt;0,INDEX('Initial Study'!K:K, MATCH(L501, 'Initial Study'!B:B, 0)+1)&lt;&gt;""),INDEX('Initial Study'!K:K, MATCH(L501, 'Initial Study'!B:B, 0)+1),""),"")</f>
        <v/>
      </c>
      <c r="Z501">
        <f>IFERROR(IF(AND(INDEX('Initial Study'!K:K, MATCH(L501, 'Initial Study'!B:B, 0)+2)&lt;&gt;0,INDEX('Initial Study'!K:K, MATCH(L501, 'Initial Study'!B:B, 0)+2)&lt;&gt;"",NOT(ISNUMBER(INDEX('Initial Study'!K:K, MATCH(L501, 'Initial Study'!B:B, 0)+2)))),INDEX('Initial Study'!K:K, MATCH(L501, 'Initial Study'!B:B, 0)+2),"-"),"-")</f>
        <v/>
      </c>
      <c r="AA501">
        <f>IF(S501="RE", Y501 &amp; "BT/" &amp; IF(Z501 &lt;&gt; "-", Z501 &amp; "BT", ""), IF(OR(S501="LTDR", S501="LTSR"), Y501 &amp; "BL" &amp; IF(Z501 &lt;&gt; "-", "/" &amp; Z501 &amp; "BT", ""), IF(OR(S501="RTDR", S501="RTSR"), Y501 &amp; "BR" &amp; IF(Z501 &lt;&gt; "-", "/" &amp; Z501 &amp; "BT", ""), IF(Z501 &lt;&gt; "-", Y501 &amp; "BT/" &amp; Z501 &amp; "BT", Y501 &amp; "BT"))))</f>
        <v/>
      </c>
    </row>
    <row r="502">
      <c r="A502" t="n">
        <v>558</v>
      </c>
      <c r="B502" t="inlineStr">
        <is>
          <t>SR 1606</t>
        </is>
      </c>
      <c r="C502" t="n">
        <v>0.1</v>
      </c>
      <c r="D502" t="inlineStr">
        <is>
          <t>S</t>
        </is>
      </c>
      <c r="E502" t="inlineStr">
        <is>
          <t>SR 1678</t>
        </is>
      </c>
      <c r="F502" t="inlineStr">
        <is>
          <t>SR 1001</t>
        </is>
      </c>
      <c r="G502" t="inlineStr">
        <is>
          <t>SR 1606</t>
        </is>
      </c>
      <c r="H502" t="n">
        <v>5.896</v>
      </c>
      <c r="I502" t="inlineStr">
        <is>
          <t>NIS</t>
        </is>
      </c>
      <c r="L502" t="n">
        <v>105783157</v>
      </c>
      <c r="M502" s="6" t="n">
        <v>43516</v>
      </c>
      <c r="N502" t="n">
        <v>26</v>
      </c>
      <c r="O502" t="n">
        <v>2</v>
      </c>
      <c r="P502" t="n">
        <v>0</v>
      </c>
      <c r="Q502" t="n">
        <v>1</v>
      </c>
      <c r="R502" t="inlineStr">
        <is>
          <t>O</t>
        </is>
      </c>
      <c r="S502">
        <f>IFERROR(VLOOKUP(N502,Index!$A$1:$B$26,2,FALSE),"")</f>
        <v/>
      </c>
      <c r="T502">
        <f>AA502</f>
        <v/>
      </c>
      <c r="V502">
        <f>IFERROR(INDEX(DetailedFiche!Q:Q,MATCH(L502,DetailedFiche!J:J,0)),"")</f>
        <v/>
      </c>
      <c r="W502">
        <f>IFERROR(INDEX(DetailedFiche!R:R,MATCH(L502,DetailedFiche!J:J,0)),"")</f>
        <v/>
      </c>
      <c r="Y502">
        <f>IFERROR(IF(AND(INDEX('Initial Study'!K:K, MATCH(L502, 'Initial Study'!B:B, 0)+1)&lt;&gt;0,INDEX('Initial Study'!K:K, MATCH(L502, 'Initial Study'!B:B, 0)+1)&lt;&gt;""),INDEX('Initial Study'!K:K, MATCH(L502, 'Initial Study'!B:B, 0)+1),""),"")</f>
        <v/>
      </c>
      <c r="Z502">
        <f>IFERROR(IF(AND(INDEX('Initial Study'!K:K, MATCH(L502, 'Initial Study'!B:B, 0)+2)&lt;&gt;0,INDEX('Initial Study'!K:K, MATCH(L502, 'Initial Study'!B:B, 0)+2)&lt;&gt;"",NOT(ISNUMBER(INDEX('Initial Study'!K:K, MATCH(L502, 'Initial Study'!B:B, 0)+2)))),INDEX('Initial Study'!K:K, MATCH(L502, 'Initial Study'!B:B, 0)+2),"-"),"-")</f>
        <v/>
      </c>
      <c r="AA502">
        <f>IF(S502="RE", Y502 &amp; "BT/" &amp; IF(Z502 &lt;&gt; "-", Z502 &amp; "BT", ""), IF(OR(S502="LTDR", S502="LTSR"), Y502 &amp; "BL" &amp; IF(Z502 &lt;&gt; "-", "/" &amp; Z502 &amp; "BT", ""), IF(OR(S502="RTDR", S502="RTSR"), Y502 &amp; "BR" &amp; IF(Z502 &lt;&gt; "-", "/" &amp; Z502 &amp; "BT", ""), IF(Z502 &lt;&gt; "-", Y502 &amp; "BT/" &amp; Z502 &amp; "BT", Y502 &amp; "BT"))))</f>
        <v/>
      </c>
    </row>
    <row r="503">
      <c r="A503" t="n">
        <v>0</v>
      </c>
      <c r="B503" t="inlineStr">
        <is>
          <t>SR 1606</t>
        </is>
      </c>
      <c r="C503" t="n">
        <v>0.1</v>
      </c>
      <c r="D503" t="inlineStr">
        <is>
          <t>N</t>
        </is>
      </c>
      <c r="E503" t="inlineStr">
        <is>
          <t>SR 1001</t>
        </is>
      </c>
      <c r="F503" t="inlineStr">
        <is>
          <t>SR 1678</t>
        </is>
      </c>
      <c r="G503" t="inlineStr">
        <is>
          <t>SR 1606</t>
        </is>
      </c>
      <c r="H503" t="n">
        <v>5.966</v>
      </c>
      <c r="I503" t="inlineStr">
        <is>
          <t>NIS</t>
        </is>
      </c>
      <c r="L503" t="n">
        <v>106017162</v>
      </c>
      <c r="M503" s="6" t="n">
        <v>43740</v>
      </c>
      <c r="N503" t="n">
        <v>21</v>
      </c>
      <c r="O503" t="n">
        <v>1</v>
      </c>
      <c r="P503" t="n">
        <v>0</v>
      </c>
      <c r="Q503" t="n">
        <v>1</v>
      </c>
      <c r="R503" t="inlineStr">
        <is>
          <t>B</t>
        </is>
      </c>
      <c r="S503">
        <f>IFERROR(VLOOKUP(N503,Index!$A$1:$B$26,2,FALSE),"")</f>
        <v/>
      </c>
      <c r="T503">
        <f>AA503</f>
        <v/>
      </c>
      <c r="V503">
        <f>IFERROR(INDEX(DetailedFiche!Q:Q,MATCH(L503,DetailedFiche!J:J,0)),"")</f>
        <v/>
      </c>
      <c r="W503">
        <f>IFERROR(INDEX(DetailedFiche!R:R,MATCH(L503,DetailedFiche!J:J,0)),"")</f>
        <v/>
      </c>
      <c r="Y503">
        <f>IFERROR(IF(AND(INDEX('Initial Study'!K:K, MATCH(L503, 'Initial Study'!B:B, 0)+1)&lt;&gt;0,INDEX('Initial Study'!K:K, MATCH(L503, 'Initial Study'!B:B, 0)+1)&lt;&gt;""),INDEX('Initial Study'!K:K, MATCH(L503, 'Initial Study'!B:B, 0)+1),""),"")</f>
        <v/>
      </c>
      <c r="Z503">
        <f>IFERROR(IF(AND(INDEX('Initial Study'!K:K, MATCH(L503, 'Initial Study'!B:B, 0)+2)&lt;&gt;0,INDEX('Initial Study'!K:K, MATCH(L503, 'Initial Study'!B:B, 0)+2)&lt;&gt;"",NOT(ISNUMBER(INDEX('Initial Study'!K:K, MATCH(L503, 'Initial Study'!B:B, 0)+2)))),INDEX('Initial Study'!K:K, MATCH(L503, 'Initial Study'!B:B, 0)+2),"-"),"-")</f>
        <v/>
      </c>
      <c r="AA503">
        <f>IF(S503="RE", Y503 &amp; "BT/" &amp; IF(Z503 &lt;&gt; "-", Z503 &amp; "BT", ""), IF(OR(S503="LTDR", S503="LTSR"), Y503 &amp; "BL" &amp; IF(Z503 &lt;&gt; "-", "/" &amp; Z503 &amp; "BT", ""), IF(OR(S503="RTDR", S503="RTSR"), Y503 &amp; "BR" &amp; IF(Z503 &lt;&gt; "-", "/" &amp; Z503 &amp; "BT", ""), IF(Z503 &lt;&gt; "-", Y503 &amp; "BT/" &amp; Z503 &amp; "BT", Y503 &amp; "BT"))))</f>
        <v/>
      </c>
    </row>
    <row r="504">
      <c r="A504" t="n">
        <v>558</v>
      </c>
      <c r="B504" t="inlineStr">
        <is>
          <t>SR 1606</t>
        </is>
      </c>
      <c r="C504" t="n">
        <v>0.008999999999999999</v>
      </c>
      <c r="D504" t="inlineStr">
        <is>
          <t>E</t>
        </is>
      </c>
      <c r="E504" t="inlineStr">
        <is>
          <t>SR 1618</t>
        </is>
      </c>
      <c r="F504" t="inlineStr">
        <is>
          <t>SR 1001</t>
        </is>
      </c>
      <c r="G504" t="inlineStr">
        <is>
          <t>SR 1606</t>
        </is>
      </c>
      <c r="H504" t="n">
        <v>6.057</v>
      </c>
      <c r="I504" t="inlineStr">
        <is>
          <t>NIS</t>
        </is>
      </c>
      <c r="L504" t="n">
        <v>105225441</v>
      </c>
      <c r="M504" s="6" t="n">
        <v>42997</v>
      </c>
      <c r="N504" t="n">
        <v>30</v>
      </c>
      <c r="O504" t="n">
        <v>1</v>
      </c>
      <c r="P504" t="n">
        <v>10</v>
      </c>
      <c r="Q504" t="n">
        <v>1</v>
      </c>
      <c r="R504" t="inlineStr">
        <is>
          <t>O</t>
        </is>
      </c>
      <c r="S504">
        <f>IFERROR(VLOOKUP(N504,Index!$A$1:$B$26,2,FALSE),"")</f>
        <v/>
      </c>
      <c r="T504">
        <f>AA504</f>
        <v/>
      </c>
      <c r="V504">
        <f>IFERROR(INDEX(DetailedFiche!Q:Q,MATCH(L504,DetailedFiche!J:J,0)),"")</f>
        <v/>
      </c>
      <c r="W504">
        <f>IFERROR(INDEX(DetailedFiche!R:R,MATCH(L504,DetailedFiche!J:J,0)),"")</f>
        <v/>
      </c>
      <c r="Y504">
        <f>IFERROR(IF(AND(INDEX('Initial Study'!K:K, MATCH(L504, 'Initial Study'!B:B, 0)+1)&lt;&gt;0,INDEX('Initial Study'!K:K, MATCH(L504, 'Initial Study'!B:B, 0)+1)&lt;&gt;""),INDEX('Initial Study'!K:K, MATCH(L504, 'Initial Study'!B:B, 0)+1),""),"")</f>
        <v/>
      </c>
      <c r="Z504">
        <f>IFERROR(IF(AND(INDEX('Initial Study'!K:K, MATCH(L504, 'Initial Study'!B:B, 0)+2)&lt;&gt;0,INDEX('Initial Study'!K:K, MATCH(L504, 'Initial Study'!B:B, 0)+2)&lt;&gt;"",NOT(ISNUMBER(INDEX('Initial Study'!K:K, MATCH(L504, 'Initial Study'!B:B, 0)+2)))),INDEX('Initial Study'!K:K, MATCH(L504, 'Initial Study'!B:B, 0)+2),"-"),"-")</f>
        <v/>
      </c>
      <c r="AA504">
        <f>IF(S504="RE", Y504 &amp; "BT/" &amp; IF(Z504 &lt;&gt; "-", Z504 &amp; "BT", ""), IF(OR(S504="LTDR", S504="LTSR"), Y504 &amp; "BL" &amp; IF(Z504 &lt;&gt; "-", "/" &amp; Z504 &amp; "BT", ""), IF(OR(S504="RTDR", S504="RTSR"), Y504 &amp; "BR" &amp; IF(Z504 &lt;&gt; "-", "/" &amp; Z504 &amp; "BT", ""), IF(Z504 &lt;&gt; "-", Y504 &amp; "BT/" &amp; Z504 &amp; "BT", Y504 &amp; "BT"))))</f>
        <v/>
      </c>
    </row>
    <row r="505">
      <c r="A505" t="n">
        <v>558</v>
      </c>
      <c r="B505" t="inlineStr">
        <is>
          <t>SR 1606</t>
        </is>
      </c>
      <c r="C505" t="n">
        <v>0</v>
      </c>
      <c r="E505" t="inlineStr">
        <is>
          <t>SR 1001</t>
        </is>
      </c>
      <c r="F505" t="inlineStr">
        <is>
          <t>SR 1678</t>
        </is>
      </c>
      <c r="G505" t="inlineStr">
        <is>
          <t>SR 1606</t>
        </is>
      </c>
      <c r="H505" t="n">
        <v>6.066</v>
      </c>
      <c r="I505" t="inlineStr">
        <is>
          <t>NIS</t>
        </is>
      </c>
      <c r="L505" t="n">
        <v>105404553</v>
      </c>
      <c r="M505" s="6" t="n">
        <v>43165</v>
      </c>
      <c r="N505" t="n">
        <v>30</v>
      </c>
      <c r="O505" t="n">
        <v>2</v>
      </c>
      <c r="P505" t="n">
        <v>0</v>
      </c>
      <c r="Q505" t="n">
        <v>1</v>
      </c>
      <c r="R505" t="inlineStr">
        <is>
          <t>C</t>
        </is>
      </c>
      <c r="S505">
        <f>IFERROR(VLOOKUP(N505,Index!$A$1:$B$26,2,FALSE),"")</f>
        <v/>
      </c>
      <c r="T505">
        <f>AA505</f>
        <v/>
      </c>
      <c r="V505">
        <f>IFERROR(INDEX(DetailedFiche!Q:Q,MATCH(L505,DetailedFiche!J:J,0)),"")</f>
        <v/>
      </c>
      <c r="W505">
        <f>IFERROR(INDEX(DetailedFiche!R:R,MATCH(L505,DetailedFiche!J:J,0)),"")</f>
        <v/>
      </c>
      <c r="Y505">
        <f>IFERROR(IF(AND(INDEX('Initial Study'!K:K, MATCH(L505, 'Initial Study'!B:B, 0)+1)&lt;&gt;0,INDEX('Initial Study'!K:K, MATCH(L505, 'Initial Study'!B:B, 0)+1)&lt;&gt;""),INDEX('Initial Study'!K:K, MATCH(L505, 'Initial Study'!B:B, 0)+1),""),"")</f>
        <v/>
      </c>
      <c r="Z505">
        <f>IFERROR(IF(AND(INDEX('Initial Study'!K:K, MATCH(L505, 'Initial Study'!B:B, 0)+2)&lt;&gt;0,INDEX('Initial Study'!K:K, MATCH(L505, 'Initial Study'!B:B, 0)+2)&lt;&gt;"",NOT(ISNUMBER(INDEX('Initial Study'!K:K, MATCH(L505, 'Initial Study'!B:B, 0)+2)))),INDEX('Initial Study'!K:K, MATCH(L505, 'Initial Study'!B:B, 0)+2),"-"),"-")</f>
        <v/>
      </c>
      <c r="AA505">
        <f>IF(S505="RE", Y505 &amp; "BT/" &amp; IF(Z505 &lt;&gt; "-", Z505 &amp; "BT", ""), IF(OR(S505="LTDR", S505="LTSR"), Y505 &amp; "BL" &amp; IF(Z505 &lt;&gt; "-", "/" &amp; Z505 &amp; "BT", ""), IF(OR(S505="RTDR", S505="RTSR"), Y505 &amp; "BR" &amp; IF(Z505 &lt;&gt; "-", "/" &amp; Z505 &amp; "BT", ""), IF(Z505 &lt;&gt; "-", Y505 &amp; "BT/" &amp; Z505 &amp; "BT", Y505 &amp; "BT"))))</f>
        <v/>
      </c>
    </row>
    <row r="506">
      <c r="A506" t="n">
        <v>558</v>
      </c>
      <c r="B506" t="inlineStr">
        <is>
          <t>SR 1606</t>
        </is>
      </c>
      <c r="C506" t="n">
        <v>0</v>
      </c>
      <c r="E506" t="inlineStr">
        <is>
          <t>SR 1618</t>
        </is>
      </c>
      <c r="F506" t="inlineStr">
        <is>
          <t>SR 1678</t>
        </is>
      </c>
      <c r="G506" t="inlineStr">
        <is>
          <t>SR 1606</t>
        </is>
      </c>
      <c r="H506" t="n">
        <v>6.066</v>
      </c>
      <c r="I506" t="inlineStr">
        <is>
          <t>NIS</t>
        </is>
      </c>
      <c r="L506" t="n">
        <v>107997463</v>
      </c>
      <c r="M506" s="6" t="n">
        <v>45675</v>
      </c>
      <c r="N506" t="n">
        <v>30</v>
      </c>
      <c r="O506" t="n">
        <v>2</v>
      </c>
      <c r="P506" t="n">
        <v>10</v>
      </c>
      <c r="Q506" t="n">
        <v>5</v>
      </c>
      <c r="R506" t="inlineStr">
        <is>
          <t>O</t>
        </is>
      </c>
      <c r="S506">
        <f>IFERROR(VLOOKUP(N506,Index!$A$1:$B$26,2,FALSE),"")</f>
        <v/>
      </c>
      <c r="T506">
        <f>AA506</f>
        <v/>
      </c>
      <c r="V506">
        <f>IFERROR(INDEX(DetailedFiche!Q:Q,MATCH(L506,DetailedFiche!J:J,0)),"")</f>
        <v/>
      </c>
      <c r="W506">
        <f>IFERROR(INDEX(DetailedFiche!R:R,MATCH(L506,DetailedFiche!J:J,0)),"")</f>
        <v/>
      </c>
      <c r="Y506">
        <f>IFERROR(IF(AND(INDEX('Initial Study'!K:K, MATCH(L506, 'Initial Study'!B:B, 0)+1)&lt;&gt;0,INDEX('Initial Study'!K:K, MATCH(L506, 'Initial Study'!B:B, 0)+1)&lt;&gt;""),INDEX('Initial Study'!K:K, MATCH(L506, 'Initial Study'!B:B, 0)+1),""),"")</f>
        <v/>
      </c>
      <c r="Z506">
        <f>IFERROR(IF(AND(INDEX('Initial Study'!K:K, MATCH(L506, 'Initial Study'!B:B, 0)+2)&lt;&gt;0,INDEX('Initial Study'!K:K, MATCH(L506, 'Initial Study'!B:B, 0)+2)&lt;&gt;"",NOT(ISNUMBER(INDEX('Initial Study'!K:K, MATCH(L506, 'Initial Study'!B:B, 0)+2)))),INDEX('Initial Study'!K:K, MATCH(L506, 'Initial Study'!B:B, 0)+2),"-"),"-")</f>
        <v/>
      </c>
      <c r="AA506">
        <f>IF(S506="RE", Y506 &amp; "BT/" &amp; IF(Z506 &lt;&gt; "-", Z506 &amp; "BT", ""), IF(OR(S506="LTDR", S506="LTSR"), Y506 &amp; "BL" &amp; IF(Z506 &lt;&gt; "-", "/" &amp; Z506 &amp; "BT", ""), IF(OR(S506="RTDR", S506="RTSR"), Y506 &amp; "BR" &amp; IF(Z506 &lt;&gt; "-", "/" &amp; Z506 &amp; "BT", ""), IF(Z506 &lt;&gt; "-", Y506 &amp; "BT/" &amp; Z506 &amp; "BT", Y506 &amp; "BT"))))</f>
        <v/>
      </c>
    </row>
    <row r="507">
      <c r="A507" t="n">
        <v>558</v>
      </c>
      <c r="B507" t="inlineStr">
        <is>
          <t>SR 1606</t>
        </is>
      </c>
      <c r="C507" t="n">
        <v>0</v>
      </c>
      <c r="E507" t="inlineStr">
        <is>
          <t>SR 1618</t>
        </is>
      </c>
      <c r="F507" t="inlineStr">
        <is>
          <t>SR 1001</t>
        </is>
      </c>
      <c r="G507" t="inlineStr">
        <is>
          <t>SR 1606</t>
        </is>
      </c>
      <c r="H507" t="n">
        <v>6.066</v>
      </c>
      <c r="I507" t="inlineStr">
        <is>
          <t>NIS</t>
        </is>
      </c>
      <c r="L507" t="n">
        <v>106871624</v>
      </c>
      <c r="M507" s="6" t="n">
        <v>44609</v>
      </c>
      <c r="N507" t="n">
        <v>26</v>
      </c>
      <c r="O507" t="n">
        <v>1</v>
      </c>
      <c r="P507" t="n">
        <v>10</v>
      </c>
      <c r="Q507" t="n">
        <v>1</v>
      </c>
      <c r="R507" t="inlineStr">
        <is>
          <t>O</t>
        </is>
      </c>
      <c r="S507">
        <f>IFERROR(VLOOKUP(N507,Index!$A$1:$B$26,2,FALSE),"")</f>
        <v/>
      </c>
      <c r="T507">
        <f>AA507</f>
        <v/>
      </c>
      <c r="V507">
        <f>IFERROR(INDEX(DetailedFiche!Q:Q,MATCH(L507,DetailedFiche!J:J,0)),"")</f>
        <v/>
      </c>
      <c r="W507">
        <f>IFERROR(INDEX(DetailedFiche!R:R,MATCH(L507,DetailedFiche!J:J,0)),"")</f>
        <v/>
      </c>
      <c r="Y507">
        <f>IFERROR(IF(AND(INDEX('Initial Study'!K:K, MATCH(L507, 'Initial Study'!B:B, 0)+1)&lt;&gt;0,INDEX('Initial Study'!K:K, MATCH(L507, 'Initial Study'!B:B, 0)+1)&lt;&gt;""),INDEX('Initial Study'!K:K, MATCH(L507, 'Initial Study'!B:B, 0)+1),""),"")</f>
        <v/>
      </c>
      <c r="Z507">
        <f>IFERROR(IF(AND(INDEX('Initial Study'!K:K, MATCH(L507, 'Initial Study'!B:B, 0)+2)&lt;&gt;0,INDEX('Initial Study'!K:K, MATCH(L507, 'Initial Study'!B:B, 0)+2)&lt;&gt;"",NOT(ISNUMBER(INDEX('Initial Study'!K:K, MATCH(L507, 'Initial Study'!B:B, 0)+2)))),INDEX('Initial Study'!K:K, MATCH(L507, 'Initial Study'!B:B, 0)+2),"-"),"-")</f>
        <v/>
      </c>
      <c r="AA507">
        <f>IF(S507="RE", Y507 &amp; "BT/" &amp; IF(Z507 &lt;&gt; "-", Z507 &amp; "BT", ""), IF(OR(S507="LTDR", S507="LTSR"), Y507 &amp; "BL" &amp; IF(Z507 &lt;&gt; "-", "/" &amp; Z507 &amp; "BT", ""), IF(OR(S507="RTDR", S507="RTSR"), Y507 &amp; "BR" &amp; IF(Z507 &lt;&gt; "-", "/" &amp; Z507 &amp; "BT", ""), IF(Z507 &lt;&gt; "-", Y507 &amp; "BT/" &amp; Z507 &amp; "BT", Y507 &amp; "BT"))))</f>
        <v/>
      </c>
    </row>
    <row r="508">
      <c r="A508" t="n">
        <v>558</v>
      </c>
      <c r="B508" t="inlineStr">
        <is>
          <t>SR 1606</t>
        </is>
      </c>
      <c r="C508" t="n">
        <v>0</v>
      </c>
      <c r="E508" t="inlineStr">
        <is>
          <t>SR 1618</t>
        </is>
      </c>
      <c r="F508" t="inlineStr">
        <is>
          <t>SR 1619</t>
        </is>
      </c>
      <c r="G508" t="inlineStr">
        <is>
          <t>SR 1606</t>
        </is>
      </c>
      <c r="H508" t="n">
        <v>6.066</v>
      </c>
      <c r="I508" t="inlineStr">
        <is>
          <t>NIS</t>
        </is>
      </c>
      <c r="L508" t="n">
        <v>106509401</v>
      </c>
      <c r="M508" s="6" t="n">
        <v>44260</v>
      </c>
      <c r="N508" t="n">
        <v>26</v>
      </c>
      <c r="O508" t="n">
        <v>1</v>
      </c>
      <c r="P508" t="n">
        <v>10</v>
      </c>
      <c r="Q508" t="n">
        <v>5</v>
      </c>
      <c r="R508" t="inlineStr">
        <is>
          <t>O</t>
        </is>
      </c>
      <c r="S508">
        <f>IFERROR(VLOOKUP(N508,Index!$A$1:$B$26,2,FALSE),"")</f>
        <v/>
      </c>
      <c r="T508">
        <f>AA508</f>
        <v/>
      </c>
      <c r="V508">
        <f>IFERROR(INDEX(DetailedFiche!Q:Q,MATCH(L508,DetailedFiche!J:J,0)),"")</f>
        <v/>
      </c>
      <c r="W508">
        <f>IFERROR(INDEX(DetailedFiche!R:R,MATCH(L508,DetailedFiche!J:J,0)),"")</f>
        <v/>
      </c>
      <c r="Y508">
        <f>IFERROR(IF(AND(INDEX('Initial Study'!K:K, MATCH(L508, 'Initial Study'!B:B, 0)+1)&lt;&gt;0,INDEX('Initial Study'!K:K, MATCH(L508, 'Initial Study'!B:B, 0)+1)&lt;&gt;""),INDEX('Initial Study'!K:K, MATCH(L508, 'Initial Study'!B:B, 0)+1),""),"")</f>
        <v/>
      </c>
      <c r="Z508">
        <f>IFERROR(IF(AND(INDEX('Initial Study'!K:K, MATCH(L508, 'Initial Study'!B:B, 0)+2)&lt;&gt;0,INDEX('Initial Study'!K:K, MATCH(L508, 'Initial Study'!B:B, 0)+2)&lt;&gt;"",NOT(ISNUMBER(INDEX('Initial Study'!K:K, MATCH(L508, 'Initial Study'!B:B, 0)+2)))),INDEX('Initial Study'!K:K, MATCH(L508, 'Initial Study'!B:B, 0)+2),"-"),"-")</f>
        <v/>
      </c>
      <c r="AA508">
        <f>IF(S508="RE", Y508 &amp; "BT/" &amp; IF(Z508 &lt;&gt; "-", Z508 &amp; "BT", ""), IF(OR(S508="LTDR", S508="LTSR"), Y508 &amp; "BL" &amp; IF(Z508 &lt;&gt; "-", "/" &amp; Z508 &amp; "BT", ""), IF(OR(S508="RTDR", S508="RTSR"), Y508 &amp; "BR" &amp; IF(Z508 &lt;&gt; "-", "/" &amp; Z508 &amp; "BT", ""), IF(Z508 &lt;&gt; "-", Y508 &amp; "BT/" &amp; Z508 &amp; "BT", Y508 &amp; "BT"))))</f>
        <v/>
      </c>
    </row>
    <row r="509">
      <c r="A509" t="n">
        <v>558</v>
      </c>
      <c r="B509" t="inlineStr">
        <is>
          <t>SR 1606</t>
        </is>
      </c>
      <c r="C509" t="n">
        <v>0</v>
      </c>
      <c r="E509" t="inlineStr">
        <is>
          <t>SR 1618</t>
        </is>
      </c>
      <c r="F509" t="inlineStr">
        <is>
          <t>SR 1681</t>
        </is>
      </c>
      <c r="G509" t="inlineStr">
        <is>
          <t>SR 1606</t>
        </is>
      </c>
      <c r="H509" t="n">
        <v>6.066</v>
      </c>
      <c r="I509" t="inlineStr">
        <is>
          <t>NIS</t>
        </is>
      </c>
      <c r="L509" t="n">
        <v>106388383</v>
      </c>
      <c r="M509" s="6" t="n">
        <v>44134</v>
      </c>
      <c r="N509" t="n">
        <v>26</v>
      </c>
      <c r="O509" t="n">
        <v>1</v>
      </c>
      <c r="P509" t="n">
        <v>10</v>
      </c>
      <c r="Q509" t="n">
        <v>5</v>
      </c>
      <c r="R509" t="inlineStr">
        <is>
          <t>O</t>
        </is>
      </c>
      <c r="S509">
        <f>IFERROR(VLOOKUP(N509,Index!$A$1:$B$26,2,FALSE),"")</f>
        <v/>
      </c>
      <c r="T509">
        <f>AA509</f>
        <v/>
      </c>
      <c r="V509">
        <f>IFERROR(INDEX(DetailedFiche!Q:Q,MATCH(L509,DetailedFiche!J:J,0)),"")</f>
        <v/>
      </c>
      <c r="W509">
        <f>IFERROR(INDEX(DetailedFiche!R:R,MATCH(L509,DetailedFiche!J:J,0)),"")</f>
        <v/>
      </c>
      <c r="Y509">
        <f>IFERROR(IF(AND(INDEX('Initial Study'!K:K, MATCH(L509, 'Initial Study'!B:B, 0)+1)&lt;&gt;0,INDEX('Initial Study'!K:K, MATCH(L509, 'Initial Study'!B:B, 0)+1)&lt;&gt;""),INDEX('Initial Study'!K:K, MATCH(L509, 'Initial Study'!B:B, 0)+1),""),"")</f>
        <v/>
      </c>
      <c r="Z509">
        <f>IFERROR(IF(AND(INDEX('Initial Study'!K:K, MATCH(L509, 'Initial Study'!B:B, 0)+2)&lt;&gt;0,INDEX('Initial Study'!K:K, MATCH(L509, 'Initial Study'!B:B, 0)+2)&lt;&gt;"",NOT(ISNUMBER(INDEX('Initial Study'!K:K, MATCH(L509, 'Initial Study'!B:B, 0)+2)))),INDEX('Initial Study'!K:K, MATCH(L509, 'Initial Study'!B:B, 0)+2),"-"),"-")</f>
        <v/>
      </c>
      <c r="AA509">
        <f>IF(S509="RE", Y509 &amp; "BT/" &amp; IF(Z509 &lt;&gt; "-", Z509 &amp; "BT", ""), IF(OR(S509="LTDR", S509="LTSR"), Y509 &amp; "BL" &amp; IF(Z509 &lt;&gt; "-", "/" &amp; Z509 &amp; "BT", ""), IF(OR(S509="RTDR", S509="RTSR"), Y509 &amp; "BR" &amp; IF(Z509 &lt;&gt; "-", "/" &amp; Z509 &amp; "BT", ""), IF(Z509 &lt;&gt; "-", Y509 &amp; "BT/" &amp; Z509 &amp; "BT", Y509 &amp; "BT"))))</f>
        <v/>
      </c>
    </row>
    <row r="510">
      <c r="A510" t="n">
        <v>558</v>
      </c>
      <c r="B510" t="inlineStr">
        <is>
          <t>SR 1606</t>
        </is>
      </c>
      <c r="C510" t="n">
        <v>0</v>
      </c>
      <c r="E510" t="inlineStr">
        <is>
          <t>SR 1618</t>
        </is>
      </c>
      <c r="F510" t="inlineStr">
        <is>
          <t>SR 1606</t>
        </is>
      </c>
      <c r="G510" t="inlineStr">
        <is>
          <t>SR 1606</t>
        </is>
      </c>
      <c r="H510" t="n">
        <v>6.066</v>
      </c>
      <c r="I510" t="inlineStr">
        <is>
          <t>NIS</t>
        </is>
      </c>
      <c r="L510" t="n">
        <v>104942525</v>
      </c>
      <c r="M510" s="6" t="n">
        <v>42713</v>
      </c>
      <c r="N510" t="n">
        <v>26</v>
      </c>
      <c r="O510" t="n">
        <v>1</v>
      </c>
      <c r="P510" t="n">
        <v>10</v>
      </c>
      <c r="Q510" t="n">
        <v>1</v>
      </c>
      <c r="R510" t="inlineStr">
        <is>
          <t>C</t>
        </is>
      </c>
      <c r="S510">
        <f>IFERROR(VLOOKUP(N510,Index!$A$1:$B$26,2,FALSE),"")</f>
        <v/>
      </c>
      <c r="T510">
        <f>AA510</f>
        <v/>
      </c>
      <c r="V510">
        <f>IFERROR(INDEX(DetailedFiche!Q:Q,MATCH(L510,DetailedFiche!J:J,0)),"")</f>
        <v/>
      </c>
      <c r="W510">
        <f>IFERROR(INDEX(DetailedFiche!R:R,MATCH(L510,DetailedFiche!J:J,0)),"")</f>
        <v/>
      </c>
      <c r="Y510">
        <f>IFERROR(IF(AND(INDEX('Initial Study'!K:K, MATCH(L510, 'Initial Study'!B:B, 0)+1)&lt;&gt;0,INDEX('Initial Study'!K:K, MATCH(L510, 'Initial Study'!B:B, 0)+1)&lt;&gt;""),INDEX('Initial Study'!K:K, MATCH(L510, 'Initial Study'!B:B, 0)+1),""),"")</f>
        <v/>
      </c>
      <c r="Z510">
        <f>IFERROR(IF(AND(INDEX('Initial Study'!K:K, MATCH(L510, 'Initial Study'!B:B, 0)+2)&lt;&gt;0,INDEX('Initial Study'!K:K, MATCH(L510, 'Initial Study'!B:B, 0)+2)&lt;&gt;"",NOT(ISNUMBER(INDEX('Initial Study'!K:K, MATCH(L510, 'Initial Study'!B:B, 0)+2)))),INDEX('Initial Study'!K:K, MATCH(L510, 'Initial Study'!B:B, 0)+2),"-"),"-")</f>
        <v/>
      </c>
      <c r="AA510">
        <f>IF(S510="RE", Y510 &amp; "BT/" &amp; IF(Z510 &lt;&gt; "-", Z510 &amp; "BT", ""), IF(OR(S510="LTDR", S510="LTSR"), Y510 &amp; "BL" &amp; IF(Z510 &lt;&gt; "-", "/" &amp; Z510 &amp; "BT", ""), IF(OR(S510="RTDR", S510="RTSR"), Y510 &amp; "BR" &amp; IF(Z510 &lt;&gt; "-", "/" &amp; Z510 &amp; "BT", ""), IF(Z510 &lt;&gt; "-", Y510 &amp; "BT/" &amp; Z510 &amp; "BT", Y510 &amp; "BT"))))</f>
        <v/>
      </c>
    </row>
    <row r="511">
      <c r="A511" t="n">
        <v>0</v>
      </c>
      <c r="B511" t="inlineStr">
        <is>
          <t>SR 1606</t>
        </is>
      </c>
      <c r="C511" t="n">
        <v>0.19</v>
      </c>
      <c r="D511" t="inlineStr">
        <is>
          <t>S</t>
        </is>
      </c>
      <c r="E511" t="inlineStr">
        <is>
          <t>SR 1637</t>
        </is>
      </c>
      <c r="F511" t="inlineStr">
        <is>
          <t>SR 1619</t>
        </is>
      </c>
      <c r="G511" t="inlineStr">
        <is>
          <t>SR 1606</t>
        </is>
      </c>
      <c r="H511" t="n">
        <v>6.066</v>
      </c>
      <c r="I511" t="inlineStr">
        <is>
          <t>NIS</t>
        </is>
      </c>
      <c r="L511" t="n">
        <v>107028892</v>
      </c>
      <c r="M511" s="6" t="n">
        <v>44766</v>
      </c>
      <c r="N511" t="n">
        <v>14</v>
      </c>
      <c r="O511" t="n">
        <v>1</v>
      </c>
      <c r="P511" t="n">
        <v>0</v>
      </c>
      <c r="Q511" t="n">
        <v>1</v>
      </c>
      <c r="R511" t="inlineStr">
        <is>
          <t>A</t>
        </is>
      </c>
      <c r="S511">
        <f>IFERROR(VLOOKUP(N511,Index!$A$1:$B$26,2,FALSE),"")</f>
        <v/>
      </c>
      <c r="T511">
        <f>AA511</f>
        <v/>
      </c>
      <c r="V511">
        <f>IFERROR(INDEX(DetailedFiche!Q:Q,MATCH(L511,DetailedFiche!J:J,0)),"")</f>
        <v/>
      </c>
      <c r="W511">
        <f>IFERROR(INDEX(DetailedFiche!R:R,MATCH(L511,DetailedFiche!J:J,0)),"")</f>
        <v/>
      </c>
      <c r="Y511">
        <f>IFERROR(IF(AND(INDEX('Initial Study'!K:K, MATCH(L511, 'Initial Study'!B:B, 0)+1)&lt;&gt;0,INDEX('Initial Study'!K:K, MATCH(L511, 'Initial Study'!B:B, 0)+1)&lt;&gt;""),INDEX('Initial Study'!K:K, MATCH(L511, 'Initial Study'!B:B, 0)+1),""),"")</f>
        <v/>
      </c>
      <c r="Z511">
        <f>IFERROR(IF(AND(INDEX('Initial Study'!K:K, MATCH(L511, 'Initial Study'!B:B, 0)+2)&lt;&gt;0,INDEX('Initial Study'!K:K, MATCH(L511, 'Initial Study'!B:B, 0)+2)&lt;&gt;"",NOT(ISNUMBER(INDEX('Initial Study'!K:K, MATCH(L511, 'Initial Study'!B:B, 0)+2)))),INDEX('Initial Study'!K:K, MATCH(L511, 'Initial Study'!B:B, 0)+2),"-"),"-")</f>
        <v/>
      </c>
      <c r="AA511">
        <f>IF(S511="RE", Y511 &amp; "BT/" &amp; IF(Z511 &lt;&gt; "-", Z511 &amp; "BT", ""), IF(OR(S511="LTDR", S511="LTSR"), Y511 &amp; "BL" &amp; IF(Z511 &lt;&gt; "-", "/" &amp; Z511 &amp; "BT", ""), IF(OR(S511="RTDR", S511="RTSR"), Y511 &amp; "BR" &amp; IF(Z511 &lt;&gt; "-", "/" &amp; Z511 &amp; "BT", ""), IF(Z511 &lt;&gt; "-", Y511 &amp; "BT/" &amp; Z511 &amp; "BT", Y511 &amp; "BT"))))</f>
        <v/>
      </c>
    </row>
    <row r="512">
      <c r="A512" t="n">
        <v>558</v>
      </c>
      <c r="B512" t="inlineStr">
        <is>
          <t>SR 1606</t>
        </is>
      </c>
      <c r="C512" t="n">
        <v>0.3</v>
      </c>
      <c r="D512" t="inlineStr">
        <is>
          <t>S</t>
        </is>
      </c>
      <c r="E512" t="inlineStr">
        <is>
          <t>SR 1678</t>
        </is>
      </c>
      <c r="F512" t="inlineStr">
        <is>
          <t>SR 1618</t>
        </is>
      </c>
      <c r="G512" t="inlineStr">
        <is>
          <t>SR 1606</t>
        </is>
      </c>
      <c r="H512" t="n">
        <v>6.066</v>
      </c>
      <c r="I512" t="inlineStr">
        <is>
          <t>NIS</t>
        </is>
      </c>
      <c r="L512" t="n">
        <v>106581212</v>
      </c>
      <c r="M512" s="6" t="n">
        <v>44337</v>
      </c>
      <c r="N512" t="n">
        <v>21</v>
      </c>
      <c r="O512" t="n">
        <v>1</v>
      </c>
      <c r="P512" t="n">
        <v>0</v>
      </c>
      <c r="Q512" t="n">
        <v>1</v>
      </c>
      <c r="R512" t="inlineStr">
        <is>
          <t>C</t>
        </is>
      </c>
      <c r="S512">
        <f>IFERROR(VLOOKUP(N512,Index!$A$1:$B$26,2,FALSE),"")</f>
        <v/>
      </c>
      <c r="T512">
        <f>AA512</f>
        <v/>
      </c>
      <c r="V512">
        <f>IFERROR(INDEX(DetailedFiche!Q:Q,MATCH(L512,DetailedFiche!J:J,0)),"")</f>
        <v/>
      </c>
      <c r="W512">
        <f>IFERROR(INDEX(DetailedFiche!R:R,MATCH(L512,DetailedFiche!J:J,0)),"")</f>
        <v/>
      </c>
      <c r="Y512">
        <f>IFERROR(IF(AND(INDEX('Initial Study'!K:K, MATCH(L512, 'Initial Study'!B:B, 0)+1)&lt;&gt;0,INDEX('Initial Study'!K:K, MATCH(L512, 'Initial Study'!B:B, 0)+1)&lt;&gt;""),INDEX('Initial Study'!K:K, MATCH(L512, 'Initial Study'!B:B, 0)+1),""),"")</f>
        <v/>
      </c>
      <c r="Z512">
        <f>IFERROR(IF(AND(INDEX('Initial Study'!K:K, MATCH(L512, 'Initial Study'!B:B, 0)+2)&lt;&gt;0,INDEX('Initial Study'!K:K, MATCH(L512, 'Initial Study'!B:B, 0)+2)&lt;&gt;"",NOT(ISNUMBER(INDEX('Initial Study'!K:K, MATCH(L512, 'Initial Study'!B:B, 0)+2)))),INDEX('Initial Study'!K:K, MATCH(L512, 'Initial Study'!B:B, 0)+2),"-"),"-")</f>
        <v/>
      </c>
      <c r="AA512">
        <f>IF(S512="RE", Y512 &amp; "BT/" &amp; IF(Z512 &lt;&gt; "-", Z512 &amp; "BT", ""), IF(OR(S512="LTDR", S512="LTSR"), Y512 &amp; "BL" &amp; IF(Z512 &lt;&gt; "-", "/" &amp; Z512 &amp; "BT", ""), IF(OR(S512="RTDR", S512="RTSR"), Y512 &amp; "BR" &amp; IF(Z512 &lt;&gt; "-", "/" &amp; Z512 &amp; "BT", ""), IF(Z512 &lt;&gt; "-", Y512 &amp; "BT/" &amp; Z512 &amp; "BT", Y512 &amp; "BT"))))</f>
        <v/>
      </c>
    </row>
    <row r="513">
      <c r="A513" t="n">
        <v>558</v>
      </c>
      <c r="B513" t="inlineStr">
        <is>
          <t>SR 1606</t>
        </is>
      </c>
      <c r="C513" t="n">
        <v>0</v>
      </c>
      <c r="E513" t="inlineStr">
        <is>
          <t>NC 200</t>
        </is>
      </c>
      <c r="F513" t="inlineStr">
        <is>
          <t>SR 1627</t>
        </is>
      </c>
      <c r="G513" t="inlineStr">
        <is>
          <t>SR 1606</t>
        </is>
      </c>
      <c r="H513" t="n">
        <v>999.999</v>
      </c>
      <c r="I513" t="inlineStr">
        <is>
          <t>NIS</t>
        </is>
      </c>
      <c r="L513" t="n">
        <v>106732357</v>
      </c>
      <c r="M513" s="6" t="n">
        <v>44486</v>
      </c>
      <c r="N513" t="n">
        <v>30</v>
      </c>
      <c r="O513" t="n">
        <v>1</v>
      </c>
      <c r="P513" t="n">
        <v>7</v>
      </c>
      <c r="Q513" t="n">
        <v>1</v>
      </c>
      <c r="R513" t="inlineStr">
        <is>
          <t>C</t>
        </is>
      </c>
      <c r="S513">
        <f>IFERROR(VLOOKUP(N513,Index!$A$1:$B$26,2,FALSE),"")</f>
        <v/>
      </c>
      <c r="T513">
        <f>AA513</f>
        <v/>
      </c>
      <c r="V513">
        <f>IFERROR(INDEX(DetailedFiche!Q:Q,MATCH(L513,DetailedFiche!J:J,0)),"")</f>
        <v/>
      </c>
      <c r="W513">
        <f>IFERROR(INDEX(DetailedFiche!R:R,MATCH(L513,DetailedFiche!J:J,0)),"")</f>
        <v/>
      </c>
      <c r="Y513">
        <f>IFERROR(IF(AND(INDEX('Initial Study'!K:K, MATCH(L513, 'Initial Study'!B:B, 0)+1)&lt;&gt;0,INDEX('Initial Study'!K:K, MATCH(L513, 'Initial Study'!B:B, 0)+1)&lt;&gt;""),INDEX('Initial Study'!K:K, MATCH(L513, 'Initial Study'!B:B, 0)+1),""),"")</f>
        <v/>
      </c>
      <c r="Z513">
        <f>IFERROR(IF(AND(INDEX('Initial Study'!K:K, MATCH(L513, 'Initial Study'!B:B, 0)+2)&lt;&gt;0,INDEX('Initial Study'!K:K, MATCH(L513, 'Initial Study'!B:B, 0)+2)&lt;&gt;"",NOT(ISNUMBER(INDEX('Initial Study'!K:K, MATCH(L513, 'Initial Study'!B:B, 0)+2)))),INDEX('Initial Study'!K:K, MATCH(L513, 'Initial Study'!B:B, 0)+2),"-"),"-")</f>
        <v/>
      </c>
      <c r="AA513">
        <f>IF(S513="RE", Y513 &amp; "BT/" &amp; IF(Z513 &lt;&gt; "-", Z513 &amp; "BT", ""), IF(OR(S513="LTDR", S513="LTSR"), Y513 &amp; "BL" &amp; IF(Z513 &lt;&gt; "-", "/" &amp; Z513 &amp; "BT", ""), IF(OR(S513="RTDR", S513="RTSR"), Y513 &amp; "BR" &amp; IF(Z513 &lt;&gt; "-", "/" &amp; Z513 &amp; "BT", ""), IF(Z513 &lt;&gt; "-", Y513 &amp; "BT/" &amp; Z513 &amp; "BT", Y513 &amp; "BT"))))</f>
        <v/>
      </c>
    </row>
    <row r="514">
      <c r="A514" t="n">
        <v>558</v>
      </c>
      <c r="B514" t="inlineStr">
        <is>
          <t>SR 1606</t>
        </is>
      </c>
      <c r="C514" t="n">
        <v>0.002</v>
      </c>
      <c r="D514" t="inlineStr">
        <is>
          <t>E</t>
        </is>
      </c>
      <c r="E514" t="inlineStr">
        <is>
          <t>NC 200</t>
        </is>
      </c>
      <c r="F514" t="inlineStr">
        <is>
          <t>SR 1673</t>
        </is>
      </c>
      <c r="G514" t="inlineStr">
        <is>
          <t>SR 1606</t>
        </is>
      </c>
      <c r="H514" t="n">
        <v>999.999</v>
      </c>
      <c r="I514" t="inlineStr">
        <is>
          <t>NIS</t>
        </is>
      </c>
      <c r="L514" t="n">
        <v>105391943</v>
      </c>
      <c r="M514" s="6" t="n">
        <v>43154</v>
      </c>
      <c r="N514" t="n">
        <v>30</v>
      </c>
      <c r="O514" t="n">
        <v>1</v>
      </c>
      <c r="P514" t="n">
        <v>7</v>
      </c>
      <c r="Q514" t="n">
        <v>1</v>
      </c>
      <c r="R514" t="inlineStr">
        <is>
          <t>O</t>
        </is>
      </c>
      <c r="S514">
        <f>IFERROR(VLOOKUP(N514,Index!$A$1:$B$26,2,FALSE),"")</f>
        <v/>
      </c>
      <c r="T514">
        <f>AA514</f>
        <v/>
      </c>
      <c r="V514">
        <f>IFERROR(INDEX(DetailedFiche!Q:Q,MATCH(L514,DetailedFiche!J:J,0)),"")</f>
        <v/>
      </c>
      <c r="W514">
        <f>IFERROR(INDEX(DetailedFiche!R:R,MATCH(L514,DetailedFiche!J:J,0)),"")</f>
        <v/>
      </c>
      <c r="Y514">
        <f>IFERROR(IF(AND(INDEX('Initial Study'!K:K, MATCH(L514, 'Initial Study'!B:B, 0)+1)&lt;&gt;0,INDEX('Initial Study'!K:K, MATCH(L514, 'Initial Study'!B:B, 0)+1)&lt;&gt;""),INDEX('Initial Study'!K:K, MATCH(L514, 'Initial Study'!B:B, 0)+1),""),"")</f>
        <v/>
      </c>
      <c r="Z514">
        <f>IFERROR(IF(AND(INDEX('Initial Study'!K:K, MATCH(L514, 'Initial Study'!B:B, 0)+2)&lt;&gt;0,INDEX('Initial Study'!K:K, MATCH(L514, 'Initial Study'!B:B, 0)+2)&lt;&gt;"",NOT(ISNUMBER(INDEX('Initial Study'!K:K, MATCH(L514, 'Initial Study'!B:B, 0)+2)))),INDEX('Initial Study'!K:K, MATCH(L514, 'Initial Study'!B:B, 0)+2),"-"),"-")</f>
        <v/>
      </c>
      <c r="AA514">
        <f>IF(S514="RE", Y514 &amp; "BT/" &amp; IF(Z514 &lt;&gt; "-", Z514 &amp; "BT", ""), IF(OR(S514="LTDR", S514="LTSR"), Y514 &amp; "BL" &amp; IF(Z514 &lt;&gt; "-", "/" &amp; Z514 &amp; "BT", ""), IF(OR(S514="RTDR", S514="RTSR"), Y514 &amp; "BR" &amp; IF(Z514 &lt;&gt; "-", "/" &amp; Z514 &amp; "BT", ""), IF(Z514 &lt;&gt; "-", Y514 &amp; "BT/" &amp; Z514 &amp; "BT", Y514 &amp; "BT"))))</f>
        <v/>
      </c>
    </row>
    <row r="515">
      <c r="A515" t="n">
        <v>0</v>
      </c>
      <c r="B515" t="inlineStr">
        <is>
          <t>SR 1606</t>
        </is>
      </c>
      <c r="C515" t="n">
        <v>0.25</v>
      </c>
      <c r="D515" t="inlineStr">
        <is>
          <t>N</t>
        </is>
      </c>
      <c r="E515" t="inlineStr">
        <is>
          <t>NC 200</t>
        </is>
      </c>
      <c r="F515" t="inlineStr">
        <is>
          <t>PRESSON FARM</t>
        </is>
      </c>
      <c r="G515" t="inlineStr">
        <is>
          <t>SR 1606</t>
        </is>
      </c>
      <c r="H515" t="n">
        <v>999.999</v>
      </c>
      <c r="I515" t="inlineStr">
        <is>
          <t>NIS</t>
        </is>
      </c>
      <c r="L515" t="n">
        <v>106052165</v>
      </c>
      <c r="M515" s="6" t="n">
        <v>43774</v>
      </c>
      <c r="N515" t="n">
        <v>17</v>
      </c>
      <c r="O515" t="n">
        <v>1</v>
      </c>
      <c r="P515" t="n">
        <v>0</v>
      </c>
      <c r="Q515" t="n">
        <v>5</v>
      </c>
      <c r="R515" t="inlineStr">
        <is>
          <t>O</t>
        </is>
      </c>
      <c r="S515">
        <f>IFERROR(VLOOKUP(N515,Index!$A$1:$B$26,2,FALSE),"")</f>
        <v/>
      </c>
      <c r="T515">
        <f>AA515</f>
        <v/>
      </c>
      <c r="V515">
        <f>IFERROR(INDEX(DetailedFiche!Q:Q,MATCH(L515,DetailedFiche!J:J,0)),"")</f>
        <v/>
      </c>
      <c r="W515">
        <f>IFERROR(INDEX(DetailedFiche!R:R,MATCH(L515,DetailedFiche!J:J,0)),"")</f>
        <v/>
      </c>
      <c r="Y515">
        <f>IFERROR(IF(AND(INDEX('Initial Study'!K:K, MATCH(L515, 'Initial Study'!B:B, 0)+1)&lt;&gt;0,INDEX('Initial Study'!K:K, MATCH(L515, 'Initial Study'!B:B, 0)+1)&lt;&gt;""),INDEX('Initial Study'!K:K, MATCH(L515, 'Initial Study'!B:B, 0)+1),""),"")</f>
        <v/>
      </c>
      <c r="Z515">
        <f>IFERROR(IF(AND(INDEX('Initial Study'!K:K, MATCH(L515, 'Initial Study'!B:B, 0)+2)&lt;&gt;0,INDEX('Initial Study'!K:K, MATCH(L515, 'Initial Study'!B:B, 0)+2)&lt;&gt;"",NOT(ISNUMBER(INDEX('Initial Study'!K:K, MATCH(L515, 'Initial Study'!B:B, 0)+2)))),INDEX('Initial Study'!K:K, MATCH(L515, 'Initial Study'!B:B, 0)+2),"-"),"-")</f>
        <v/>
      </c>
      <c r="AA515">
        <f>IF(S515="RE", Y515 &amp; "BT/" &amp; IF(Z515 &lt;&gt; "-", Z515 &amp; "BT", ""), IF(OR(S515="LTDR", S515="LTSR"), Y515 &amp; "BL" &amp; IF(Z515 &lt;&gt; "-", "/" &amp; Z515 &amp; "BT", ""), IF(OR(S515="RTDR", S515="RTSR"), Y515 &amp; "BR" &amp; IF(Z515 &lt;&gt; "-", "/" &amp; Z515 &amp; "BT", ""), IF(Z515 &lt;&gt; "-", Y515 &amp; "BT/" &amp; Z515 &amp; "BT", Y515 &amp; "BT"))))</f>
        <v/>
      </c>
    </row>
    <row r="516">
      <c r="A516" t="n">
        <v>558</v>
      </c>
      <c r="B516" t="inlineStr">
        <is>
          <t>SR 1606</t>
        </is>
      </c>
      <c r="C516" t="n">
        <v>0.25</v>
      </c>
      <c r="D516" t="inlineStr">
        <is>
          <t>NW</t>
        </is>
      </c>
      <c r="E516" t="inlineStr">
        <is>
          <t>NC 200</t>
        </is>
      </c>
      <c r="F516" t="inlineStr">
        <is>
          <t>PRESSON FARM</t>
        </is>
      </c>
      <c r="G516" t="inlineStr">
        <is>
          <t>SR 1606</t>
        </is>
      </c>
      <c r="H516" t="n">
        <v>999.999</v>
      </c>
      <c r="I516" t="inlineStr">
        <is>
          <t>NIS</t>
        </is>
      </c>
      <c r="L516" t="n">
        <v>107613194</v>
      </c>
      <c r="M516" s="6" t="n">
        <v>45325</v>
      </c>
      <c r="N516" t="n">
        <v>23</v>
      </c>
      <c r="O516" t="n">
        <v>1</v>
      </c>
      <c r="P516" t="n">
        <v>0</v>
      </c>
      <c r="Q516" t="n">
        <v>1</v>
      </c>
      <c r="R516" t="inlineStr">
        <is>
          <t>O</t>
        </is>
      </c>
      <c r="S516">
        <f>IFERROR(VLOOKUP(N516,Index!$A$1:$B$26,2,FALSE),"")</f>
        <v/>
      </c>
      <c r="T516">
        <f>AA516</f>
        <v/>
      </c>
      <c r="V516">
        <f>IFERROR(INDEX(DetailedFiche!Q:Q,MATCH(L516,DetailedFiche!J:J,0)),"")</f>
        <v/>
      </c>
      <c r="W516">
        <f>IFERROR(INDEX(DetailedFiche!R:R,MATCH(L516,DetailedFiche!J:J,0)),"")</f>
        <v/>
      </c>
      <c r="Y516">
        <f>IFERROR(IF(AND(INDEX('Initial Study'!K:K, MATCH(L516, 'Initial Study'!B:B, 0)+1)&lt;&gt;0,INDEX('Initial Study'!K:K, MATCH(L516, 'Initial Study'!B:B, 0)+1)&lt;&gt;""),INDEX('Initial Study'!K:K, MATCH(L516, 'Initial Study'!B:B, 0)+1),""),"")</f>
        <v/>
      </c>
      <c r="Z516">
        <f>IFERROR(IF(AND(INDEX('Initial Study'!K:K, MATCH(L516, 'Initial Study'!B:B, 0)+2)&lt;&gt;0,INDEX('Initial Study'!K:K, MATCH(L516, 'Initial Study'!B:B, 0)+2)&lt;&gt;"",NOT(ISNUMBER(INDEX('Initial Study'!K:K, MATCH(L516, 'Initial Study'!B:B, 0)+2)))),INDEX('Initial Study'!K:K, MATCH(L516, 'Initial Study'!B:B, 0)+2),"-"),"-")</f>
        <v/>
      </c>
      <c r="AA516">
        <f>IF(S516="RE", Y516 &amp; "BT/" &amp; IF(Z516 &lt;&gt; "-", Z516 &amp; "BT", ""), IF(OR(S516="LTDR", S516="LTSR"), Y516 &amp; "BL" &amp; IF(Z516 &lt;&gt; "-", "/" &amp; Z516 &amp; "BT", ""), IF(OR(S516="RTDR", S516="RTSR"), Y516 &amp; "BR" &amp; IF(Z516 &lt;&gt; "-", "/" &amp; Z516 &amp; "BT", ""), IF(Z516 &lt;&gt; "-", Y516 &amp; "BT/" &amp; Z516 &amp; "BT", Y516 &amp; "BT"))))</f>
        <v/>
      </c>
    </row>
    <row r="517">
      <c r="A517" t="n">
        <v>558</v>
      </c>
      <c r="B517" t="inlineStr">
        <is>
          <t>SR 1606</t>
        </is>
      </c>
      <c r="C517" t="n">
        <v>0.6</v>
      </c>
      <c r="D517" t="inlineStr">
        <is>
          <t>W</t>
        </is>
      </c>
      <c r="E517" t="inlineStr">
        <is>
          <t>NC 200</t>
        </is>
      </c>
      <c r="F517" t="inlineStr">
        <is>
          <t>SR 1697</t>
        </is>
      </c>
      <c r="G517" t="inlineStr">
        <is>
          <t>SR 1606</t>
        </is>
      </c>
      <c r="H517" t="n">
        <v>999.999</v>
      </c>
      <c r="I517" t="inlineStr">
        <is>
          <t>NIS</t>
        </is>
      </c>
      <c r="L517" t="n">
        <v>108023442</v>
      </c>
      <c r="M517" s="6" t="n">
        <v>45704</v>
      </c>
      <c r="N517" t="n">
        <v>21</v>
      </c>
      <c r="O517" t="n">
        <v>1</v>
      </c>
      <c r="P517" t="n">
        <v>0</v>
      </c>
      <c r="Q517" t="n">
        <v>1</v>
      </c>
      <c r="R517" t="inlineStr">
        <is>
          <t>A</t>
        </is>
      </c>
      <c r="S517">
        <f>IFERROR(VLOOKUP(N517,Index!$A$1:$B$26,2,FALSE),"")</f>
        <v/>
      </c>
      <c r="T517">
        <f>AA517</f>
        <v/>
      </c>
      <c r="V517">
        <f>IFERROR(INDEX(DetailedFiche!Q:Q,MATCH(L517,DetailedFiche!J:J,0)),"")</f>
        <v/>
      </c>
      <c r="W517">
        <f>IFERROR(INDEX(DetailedFiche!R:R,MATCH(L517,DetailedFiche!J:J,0)),"")</f>
        <v/>
      </c>
      <c r="Y517">
        <f>IFERROR(IF(AND(INDEX('Initial Study'!K:K, MATCH(L517, 'Initial Study'!B:B, 0)+1)&lt;&gt;0,INDEX('Initial Study'!K:K, MATCH(L517, 'Initial Study'!B:B, 0)+1)&lt;&gt;""),INDEX('Initial Study'!K:K, MATCH(L517, 'Initial Study'!B:B, 0)+1),""),"")</f>
        <v/>
      </c>
      <c r="Z517">
        <f>IFERROR(IF(AND(INDEX('Initial Study'!K:K, MATCH(L517, 'Initial Study'!B:B, 0)+2)&lt;&gt;0,INDEX('Initial Study'!K:K, MATCH(L517, 'Initial Study'!B:B, 0)+2)&lt;&gt;"",NOT(ISNUMBER(INDEX('Initial Study'!K:K, MATCH(L517, 'Initial Study'!B:B, 0)+2)))),INDEX('Initial Study'!K:K, MATCH(L517, 'Initial Study'!B:B, 0)+2),"-"),"-")</f>
        <v/>
      </c>
      <c r="AA517">
        <f>IF(S517="RE", Y517 &amp; "BT/" &amp; IF(Z517 &lt;&gt; "-", Z517 &amp; "BT", ""), IF(OR(S517="LTDR", S517="LTSR"), Y517 &amp; "BL" &amp; IF(Z517 &lt;&gt; "-", "/" &amp; Z517 &amp; "BT", ""), IF(OR(S517="RTDR", S517="RTSR"), Y517 &amp; "BR" &amp; IF(Z517 &lt;&gt; "-", "/" &amp; Z517 &amp; "BT", ""), IF(Z517 &lt;&gt; "-", Y517 &amp; "BT/" &amp; Z517 &amp; "BT", Y517 &amp; "BT"))))</f>
        <v/>
      </c>
    </row>
    <row r="518">
      <c r="A518" t="n">
        <v>558</v>
      </c>
      <c r="B518" t="inlineStr">
        <is>
          <t>SR 1606</t>
        </is>
      </c>
      <c r="C518" t="n">
        <v>1.5</v>
      </c>
      <c r="D518" t="inlineStr">
        <is>
          <t>NW</t>
        </is>
      </c>
      <c r="E518" t="inlineStr">
        <is>
          <t>NC 200</t>
        </is>
      </c>
      <c r="F518" t="inlineStr">
        <is>
          <t>MILL CREEK CHUR</t>
        </is>
      </c>
      <c r="G518" t="inlineStr">
        <is>
          <t>SR 1606</t>
        </is>
      </c>
      <c r="H518" t="n">
        <v>999.999</v>
      </c>
      <c r="I518" t="inlineStr">
        <is>
          <t>NIS</t>
        </is>
      </c>
      <c r="L518" t="n">
        <v>107505990</v>
      </c>
      <c r="M518" s="6" t="n">
        <v>45226</v>
      </c>
      <c r="N518" t="n">
        <v>17</v>
      </c>
      <c r="O518" t="n">
        <v>1</v>
      </c>
      <c r="P518" t="n">
        <v>0</v>
      </c>
      <c r="Q518" t="n">
        <v>3</v>
      </c>
      <c r="R518" t="inlineStr">
        <is>
          <t>O</t>
        </is>
      </c>
      <c r="S518">
        <f>IFERROR(VLOOKUP(N518,Index!$A$1:$B$26,2,FALSE),"")</f>
        <v/>
      </c>
      <c r="T518">
        <f>AA518</f>
        <v/>
      </c>
      <c r="V518">
        <f>IFERROR(INDEX(DetailedFiche!Q:Q,MATCH(L518,DetailedFiche!J:J,0)),"")</f>
        <v/>
      </c>
      <c r="W518">
        <f>IFERROR(INDEX(DetailedFiche!R:R,MATCH(L518,DetailedFiche!J:J,0)),"")</f>
        <v/>
      </c>
      <c r="Y518">
        <f>IFERROR(IF(AND(INDEX('Initial Study'!K:K, MATCH(L518, 'Initial Study'!B:B, 0)+1)&lt;&gt;0,INDEX('Initial Study'!K:K, MATCH(L518, 'Initial Study'!B:B, 0)+1)&lt;&gt;""),INDEX('Initial Study'!K:K, MATCH(L518, 'Initial Study'!B:B, 0)+1),""),"")</f>
        <v/>
      </c>
      <c r="Z518">
        <f>IFERROR(IF(AND(INDEX('Initial Study'!K:K, MATCH(L518, 'Initial Study'!B:B, 0)+2)&lt;&gt;0,INDEX('Initial Study'!K:K, MATCH(L518, 'Initial Study'!B:B, 0)+2)&lt;&gt;"",NOT(ISNUMBER(INDEX('Initial Study'!K:K, MATCH(L518, 'Initial Study'!B:B, 0)+2)))),INDEX('Initial Study'!K:K, MATCH(L518, 'Initial Study'!B:B, 0)+2),"-"),"-")</f>
        <v/>
      </c>
      <c r="AA518">
        <f>IF(S518="RE", Y518 &amp; "BT/" &amp; IF(Z518 &lt;&gt; "-", Z518 &amp; "BT", ""), IF(OR(S518="LTDR", S518="LTSR"), Y518 &amp; "BL" &amp; IF(Z518 &lt;&gt; "-", "/" &amp; Z518 &amp; "BT", ""), IF(OR(S518="RTDR", S518="RTSR"), Y518 &amp; "BR" &amp; IF(Z518 &lt;&gt; "-", "/" &amp; Z518 &amp; "BT", ""), IF(Z518 &lt;&gt; "-", Y518 &amp; "BT/" &amp; Z518 &amp; "BT", Y518 &amp; "BT"))))</f>
        <v/>
      </c>
    </row>
    <row r="519">
      <c r="A519" t="n">
        <v>0</v>
      </c>
      <c r="B519" t="inlineStr">
        <is>
          <t>SR 1606</t>
        </is>
      </c>
      <c r="C519" t="n">
        <v>0</v>
      </c>
      <c r="D519" t="inlineStr">
        <is>
          <t>N</t>
        </is>
      </c>
      <c r="E519" t="inlineStr">
        <is>
          <t>NEW SALEM</t>
        </is>
      </c>
      <c r="F519" t="inlineStr">
        <is>
          <t>G B HILL</t>
        </is>
      </c>
      <c r="G519" t="inlineStr">
        <is>
          <t>SR 1606</t>
        </is>
      </c>
      <c r="H519" t="n">
        <v>999.999</v>
      </c>
      <c r="I519" t="inlineStr">
        <is>
          <t>NIS</t>
        </is>
      </c>
      <c r="L519" t="n">
        <v>105775814</v>
      </c>
      <c r="M519" s="6" t="n">
        <v>43509</v>
      </c>
      <c r="N519" t="n">
        <v>30</v>
      </c>
      <c r="O519" t="n">
        <v>1</v>
      </c>
      <c r="P519" t="n">
        <v>7</v>
      </c>
      <c r="Q519" t="n">
        <v>1</v>
      </c>
      <c r="R519" t="inlineStr">
        <is>
          <t>O</t>
        </is>
      </c>
      <c r="S519">
        <f>IFERROR(VLOOKUP(N519,Index!$A$1:$B$26,2,FALSE),"")</f>
        <v/>
      </c>
      <c r="T519">
        <f>AA519</f>
        <v/>
      </c>
      <c r="V519">
        <f>IFERROR(INDEX(DetailedFiche!Q:Q,MATCH(L519,DetailedFiche!J:J,0)),"")</f>
        <v/>
      </c>
      <c r="W519">
        <f>IFERROR(INDEX(DetailedFiche!R:R,MATCH(L519,DetailedFiche!J:J,0)),"")</f>
        <v/>
      </c>
      <c r="Y519">
        <f>IFERROR(IF(AND(INDEX('Initial Study'!K:K, MATCH(L519, 'Initial Study'!B:B, 0)+1)&lt;&gt;0,INDEX('Initial Study'!K:K, MATCH(L519, 'Initial Study'!B:B, 0)+1)&lt;&gt;""),INDEX('Initial Study'!K:K, MATCH(L519, 'Initial Study'!B:B, 0)+1),""),"")</f>
        <v/>
      </c>
      <c r="Z519">
        <f>IFERROR(IF(AND(INDEX('Initial Study'!K:K, MATCH(L519, 'Initial Study'!B:B, 0)+2)&lt;&gt;0,INDEX('Initial Study'!K:K, MATCH(L519, 'Initial Study'!B:B, 0)+2)&lt;&gt;"",NOT(ISNUMBER(INDEX('Initial Study'!K:K, MATCH(L519, 'Initial Study'!B:B, 0)+2)))),INDEX('Initial Study'!K:K, MATCH(L519, 'Initial Study'!B:B, 0)+2),"-"),"-")</f>
        <v/>
      </c>
      <c r="AA519">
        <f>IF(S519="RE", Y519 &amp; "BT/" &amp; IF(Z519 &lt;&gt; "-", Z519 &amp; "BT", ""), IF(OR(S519="LTDR", S519="LTSR"), Y519 &amp; "BL" &amp; IF(Z519 &lt;&gt; "-", "/" &amp; Z519 &amp; "BT", ""), IF(OR(S519="RTDR", S519="RTSR"), Y519 &amp; "BR" &amp; IF(Z519 &lt;&gt; "-", "/" &amp; Z519 &amp; "BT", ""), IF(Z519 &lt;&gt; "-", Y519 &amp; "BT/" &amp; Z519 &amp; "BT", Y519 &amp; "BT"))))</f>
        <v/>
      </c>
    </row>
    <row r="520">
      <c r="A520" t="n">
        <v>0</v>
      </c>
      <c r="B520" t="inlineStr">
        <is>
          <t>SR 1606</t>
        </is>
      </c>
      <c r="C520" t="n">
        <v>0.2</v>
      </c>
      <c r="D520" t="inlineStr">
        <is>
          <t>N</t>
        </is>
      </c>
      <c r="E520" t="inlineStr">
        <is>
          <t>SR 1006</t>
        </is>
      </c>
      <c r="F520" t="inlineStr">
        <is>
          <t>SR 1001</t>
        </is>
      </c>
      <c r="G520" t="inlineStr">
        <is>
          <t>SR 1606</t>
        </is>
      </c>
      <c r="H520" t="n">
        <v>999.999</v>
      </c>
      <c r="I520" t="inlineStr">
        <is>
          <t>NIS</t>
        </is>
      </c>
      <c r="L520" t="n">
        <v>105161843</v>
      </c>
      <c r="M520" s="6" t="n">
        <v>42929</v>
      </c>
      <c r="N520" t="n">
        <v>29</v>
      </c>
      <c r="O520" t="n">
        <v>1</v>
      </c>
      <c r="P520" t="n">
        <v>0</v>
      </c>
      <c r="Q520" t="n">
        <v>1</v>
      </c>
      <c r="R520" t="inlineStr">
        <is>
          <t>O</t>
        </is>
      </c>
      <c r="S520">
        <f>IFERROR(VLOOKUP(N520,Index!$A$1:$B$26,2,FALSE),"")</f>
        <v/>
      </c>
      <c r="T520">
        <f>AA520</f>
        <v/>
      </c>
      <c r="V520">
        <f>IFERROR(INDEX(DetailedFiche!Q:Q,MATCH(L520,DetailedFiche!J:J,0)),"")</f>
        <v/>
      </c>
      <c r="W520">
        <f>IFERROR(INDEX(DetailedFiche!R:R,MATCH(L520,DetailedFiche!J:J,0)),"")</f>
        <v/>
      </c>
      <c r="Y520">
        <f>IFERROR(IF(AND(INDEX('Initial Study'!K:K, MATCH(L520, 'Initial Study'!B:B, 0)+1)&lt;&gt;0,INDEX('Initial Study'!K:K, MATCH(L520, 'Initial Study'!B:B, 0)+1)&lt;&gt;""),INDEX('Initial Study'!K:K, MATCH(L520, 'Initial Study'!B:B, 0)+1),""),"")</f>
        <v/>
      </c>
      <c r="Z520">
        <f>IFERROR(IF(AND(INDEX('Initial Study'!K:K, MATCH(L520, 'Initial Study'!B:B, 0)+2)&lt;&gt;0,INDEX('Initial Study'!K:K, MATCH(L520, 'Initial Study'!B:B, 0)+2)&lt;&gt;"",NOT(ISNUMBER(INDEX('Initial Study'!K:K, MATCH(L520, 'Initial Study'!B:B, 0)+2)))),INDEX('Initial Study'!K:K, MATCH(L520, 'Initial Study'!B:B, 0)+2),"-"),"-")</f>
        <v/>
      </c>
      <c r="AA520">
        <f>IF(S520="RE", Y520 &amp; "BT/" &amp; IF(Z520 &lt;&gt; "-", Z520 &amp; "BT", ""), IF(OR(S520="LTDR", S520="LTSR"), Y520 &amp; "BL" &amp; IF(Z520 &lt;&gt; "-", "/" &amp; Z520 &amp; "BT", ""), IF(OR(S520="RTDR", S520="RTSR"), Y520 &amp; "BR" &amp; IF(Z520 &lt;&gt; "-", "/" &amp; Z520 &amp; "BT", ""), IF(Z520 &lt;&gt; "-", Y520 &amp; "BT/" &amp; Z520 &amp; "BT", Y520 &amp; "BT"))))</f>
        <v/>
      </c>
    </row>
    <row r="521">
      <c r="A521" t="n">
        <v>0</v>
      </c>
      <c r="B521" t="inlineStr">
        <is>
          <t>SR 1606</t>
        </is>
      </c>
      <c r="C521" t="n">
        <v>0.3</v>
      </c>
      <c r="D521" t="inlineStr">
        <is>
          <t>N</t>
        </is>
      </c>
      <c r="E521" t="inlineStr">
        <is>
          <t>SR 1006</t>
        </is>
      </c>
      <c r="F521" t="inlineStr">
        <is>
          <t>SR 1627</t>
        </is>
      </c>
      <c r="G521" t="inlineStr">
        <is>
          <t>SR 1606</t>
        </is>
      </c>
      <c r="H521" t="n">
        <v>999.999</v>
      </c>
      <c r="I521" t="inlineStr">
        <is>
          <t>NIS</t>
        </is>
      </c>
      <c r="L521" t="n">
        <v>108052545</v>
      </c>
      <c r="M521" s="6" t="n">
        <v>45734</v>
      </c>
      <c r="N521" t="n">
        <v>19</v>
      </c>
      <c r="O521" t="n">
        <v>1</v>
      </c>
      <c r="P521" t="n">
        <v>0</v>
      </c>
      <c r="Q521" t="n">
        <v>5</v>
      </c>
      <c r="R521" t="inlineStr">
        <is>
          <t>C</t>
        </is>
      </c>
      <c r="S521">
        <f>IFERROR(VLOOKUP(N521,Index!$A$1:$B$26,2,FALSE),"")</f>
        <v/>
      </c>
      <c r="T521">
        <f>AA521</f>
        <v/>
      </c>
      <c r="V521">
        <f>IFERROR(INDEX(DetailedFiche!Q:Q,MATCH(L521,DetailedFiche!J:J,0)),"")</f>
        <v/>
      </c>
      <c r="W521">
        <f>IFERROR(INDEX(DetailedFiche!R:R,MATCH(L521,DetailedFiche!J:J,0)),"")</f>
        <v/>
      </c>
      <c r="Y521">
        <f>IFERROR(IF(AND(INDEX('Initial Study'!K:K, MATCH(L521, 'Initial Study'!B:B, 0)+1)&lt;&gt;0,INDEX('Initial Study'!K:K, MATCH(L521, 'Initial Study'!B:B, 0)+1)&lt;&gt;""),INDEX('Initial Study'!K:K, MATCH(L521, 'Initial Study'!B:B, 0)+1),""),"")</f>
        <v/>
      </c>
      <c r="Z521">
        <f>IFERROR(IF(AND(INDEX('Initial Study'!K:K, MATCH(L521, 'Initial Study'!B:B, 0)+2)&lt;&gt;0,INDEX('Initial Study'!K:K, MATCH(L521, 'Initial Study'!B:B, 0)+2)&lt;&gt;"",NOT(ISNUMBER(INDEX('Initial Study'!K:K, MATCH(L521, 'Initial Study'!B:B, 0)+2)))),INDEX('Initial Study'!K:K, MATCH(L521, 'Initial Study'!B:B, 0)+2),"-"),"-")</f>
        <v/>
      </c>
      <c r="AA521">
        <f>IF(S521="RE", Y521 &amp; "BT/" &amp; IF(Z521 &lt;&gt; "-", Z521 &amp; "BT", ""), IF(OR(S521="LTDR", S521="LTSR"), Y521 &amp; "BL" &amp; IF(Z521 &lt;&gt; "-", "/" &amp; Z521 &amp; "BT", ""), IF(OR(S521="RTDR", S521="RTSR"), Y521 &amp; "BR" &amp; IF(Z521 &lt;&gt; "-", "/" &amp; Z521 &amp; "BT", ""), IF(Z521 &lt;&gt; "-", Y521 &amp; "BT/" &amp; Z521 &amp; "BT", Y521 &amp; "BT"))))</f>
        <v/>
      </c>
    </row>
    <row r="522">
      <c r="A522" t="n">
        <v>0</v>
      </c>
      <c r="B522" t="inlineStr">
        <is>
          <t>SR 1606</t>
        </is>
      </c>
      <c r="C522" t="n">
        <v>0.5</v>
      </c>
      <c r="D522" t="inlineStr">
        <is>
          <t>N</t>
        </is>
      </c>
      <c r="E522" t="inlineStr">
        <is>
          <t>SR 1006</t>
        </is>
      </c>
      <c r="F522" t="inlineStr">
        <is>
          <t>SR 1627</t>
        </is>
      </c>
      <c r="G522" t="inlineStr">
        <is>
          <t>SR 1606</t>
        </is>
      </c>
      <c r="H522" t="n">
        <v>999.999</v>
      </c>
      <c r="I522" t="inlineStr">
        <is>
          <t>NIS</t>
        </is>
      </c>
      <c r="L522" t="n">
        <v>104914987</v>
      </c>
      <c r="M522" s="6" t="n">
        <v>42686</v>
      </c>
      <c r="N522" t="n">
        <v>19</v>
      </c>
      <c r="O522" t="n">
        <v>1</v>
      </c>
      <c r="P522" t="n">
        <v>0</v>
      </c>
      <c r="Q522" t="n">
        <v>5</v>
      </c>
      <c r="R522" t="inlineStr">
        <is>
          <t>A</t>
        </is>
      </c>
      <c r="S522">
        <f>IFERROR(VLOOKUP(N522,Index!$A$1:$B$26,2,FALSE),"")</f>
        <v/>
      </c>
      <c r="T522">
        <f>AA522</f>
        <v/>
      </c>
      <c r="V522">
        <f>IFERROR(INDEX(DetailedFiche!Q:Q,MATCH(L522,DetailedFiche!J:J,0)),"")</f>
        <v/>
      </c>
      <c r="W522">
        <f>IFERROR(INDEX(DetailedFiche!R:R,MATCH(L522,DetailedFiche!J:J,0)),"")</f>
        <v/>
      </c>
      <c r="Y522">
        <f>IFERROR(IF(AND(INDEX('Initial Study'!K:K, MATCH(L522, 'Initial Study'!B:B, 0)+1)&lt;&gt;0,INDEX('Initial Study'!K:K, MATCH(L522, 'Initial Study'!B:B, 0)+1)&lt;&gt;""),INDEX('Initial Study'!K:K, MATCH(L522, 'Initial Study'!B:B, 0)+1),""),"")</f>
        <v/>
      </c>
      <c r="Z522">
        <f>IFERROR(IF(AND(INDEX('Initial Study'!K:K, MATCH(L522, 'Initial Study'!B:B, 0)+2)&lt;&gt;0,INDEX('Initial Study'!K:K, MATCH(L522, 'Initial Study'!B:B, 0)+2)&lt;&gt;"",NOT(ISNUMBER(INDEX('Initial Study'!K:K, MATCH(L522, 'Initial Study'!B:B, 0)+2)))),INDEX('Initial Study'!K:K, MATCH(L522, 'Initial Study'!B:B, 0)+2),"-"),"-")</f>
        <v/>
      </c>
      <c r="AA522">
        <f>IF(S522="RE", Y522 &amp; "BT/" &amp; IF(Z522 &lt;&gt; "-", Z522 &amp; "BT", ""), IF(OR(S522="LTDR", S522="LTSR"), Y522 &amp; "BL" &amp; IF(Z522 &lt;&gt; "-", "/" &amp; Z522 &amp; "BT", ""), IF(OR(S522="RTDR", S522="RTSR"), Y522 &amp; "BR" &amp; IF(Z522 &lt;&gt; "-", "/" &amp; Z522 &amp; "BT", ""), IF(Z522 &lt;&gt; "-", Y522 &amp; "BT/" &amp; Z522 &amp; "BT", Y522 &amp; "BT"))))</f>
        <v/>
      </c>
    </row>
    <row r="523">
      <c r="A523" t="n">
        <v>0</v>
      </c>
      <c r="B523" t="inlineStr">
        <is>
          <t>SR 1606</t>
        </is>
      </c>
      <c r="C523" t="n">
        <v>1.2</v>
      </c>
      <c r="D523" t="inlineStr">
        <is>
          <t>N</t>
        </is>
      </c>
      <c r="E523" t="inlineStr">
        <is>
          <t>SR 1006</t>
        </is>
      </c>
      <c r="F523" t="inlineStr">
        <is>
          <t>SR 1627</t>
        </is>
      </c>
      <c r="G523" t="inlineStr">
        <is>
          <t>SR 1606</t>
        </is>
      </c>
      <c r="H523" t="n">
        <v>999.999</v>
      </c>
      <c r="I523" t="inlineStr">
        <is>
          <t>NIS</t>
        </is>
      </c>
      <c r="L523" t="n">
        <v>106782341</v>
      </c>
      <c r="M523" s="6" t="n">
        <v>44526</v>
      </c>
      <c r="N523" t="n">
        <v>17</v>
      </c>
      <c r="O523" t="n">
        <v>1</v>
      </c>
      <c r="P523" t="n">
        <v>0</v>
      </c>
      <c r="Q523" t="n">
        <v>5</v>
      </c>
      <c r="R523" t="inlineStr">
        <is>
          <t>O</t>
        </is>
      </c>
      <c r="S523">
        <f>IFERROR(VLOOKUP(N523,Index!$A$1:$B$26,2,FALSE),"")</f>
        <v/>
      </c>
      <c r="T523">
        <f>AA523</f>
        <v/>
      </c>
      <c r="V523">
        <f>IFERROR(INDEX(DetailedFiche!Q:Q,MATCH(L523,DetailedFiche!J:J,0)),"")</f>
        <v/>
      </c>
      <c r="W523">
        <f>IFERROR(INDEX(DetailedFiche!R:R,MATCH(L523,DetailedFiche!J:J,0)),"")</f>
        <v/>
      </c>
      <c r="Y523">
        <f>IFERROR(IF(AND(INDEX('Initial Study'!K:K, MATCH(L523, 'Initial Study'!B:B, 0)+1)&lt;&gt;0,INDEX('Initial Study'!K:K, MATCH(L523, 'Initial Study'!B:B, 0)+1)&lt;&gt;""),INDEX('Initial Study'!K:K, MATCH(L523, 'Initial Study'!B:B, 0)+1),""),"")</f>
        <v/>
      </c>
      <c r="Z523">
        <f>IFERROR(IF(AND(INDEX('Initial Study'!K:K, MATCH(L523, 'Initial Study'!B:B, 0)+2)&lt;&gt;0,INDEX('Initial Study'!K:K, MATCH(L523, 'Initial Study'!B:B, 0)+2)&lt;&gt;"",NOT(ISNUMBER(INDEX('Initial Study'!K:K, MATCH(L523, 'Initial Study'!B:B, 0)+2)))),INDEX('Initial Study'!K:K, MATCH(L523, 'Initial Study'!B:B, 0)+2),"-"),"-")</f>
        <v/>
      </c>
      <c r="AA523">
        <f>IF(S523="RE", Y523 &amp; "BT/" &amp; IF(Z523 &lt;&gt; "-", Z523 &amp; "BT", ""), IF(OR(S523="LTDR", S523="LTSR"), Y523 &amp; "BL" &amp; IF(Z523 &lt;&gt; "-", "/" &amp; Z523 &amp; "BT", ""), IF(OR(S523="RTDR", S523="RTSR"), Y523 &amp; "BR" &amp; IF(Z523 &lt;&gt; "-", "/" &amp; Z523 &amp; "BT", ""), IF(Z523 &lt;&gt; "-", Y523 &amp; "BT/" &amp; Z523 &amp; "BT", Y523 &amp; "BT"))))</f>
        <v/>
      </c>
    </row>
    <row r="524">
      <c r="A524" t="n">
        <v>0</v>
      </c>
      <c r="B524" t="inlineStr">
        <is>
          <t>SR 1606</t>
        </is>
      </c>
      <c r="C524" t="n">
        <v>3</v>
      </c>
      <c r="D524" t="inlineStr">
        <is>
          <t>N</t>
        </is>
      </c>
      <c r="E524" t="inlineStr">
        <is>
          <t>SR 1006</t>
        </is>
      </c>
      <c r="F524" t="inlineStr">
        <is>
          <t>SR 1627</t>
        </is>
      </c>
      <c r="G524" t="inlineStr">
        <is>
          <t>SR 1606</t>
        </is>
      </c>
      <c r="H524" t="n">
        <v>999.999</v>
      </c>
      <c r="I524" t="inlineStr">
        <is>
          <t>NIS</t>
        </is>
      </c>
      <c r="L524" t="n">
        <v>105850446</v>
      </c>
      <c r="M524" s="6" t="n">
        <v>43584</v>
      </c>
      <c r="N524" t="n">
        <v>19</v>
      </c>
      <c r="O524" t="n">
        <v>1</v>
      </c>
      <c r="P524" t="n">
        <v>0</v>
      </c>
      <c r="Q524" t="n">
        <v>3</v>
      </c>
      <c r="R524" t="inlineStr">
        <is>
          <t>A</t>
        </is>
      </c>
      <c r="S524">
        <f>IFERROR(VLOOKUP(N524,Index!$A$1:$B$26,2,FALSE),"")</f>
        <v/>
      </c>
      <c r="T524">
        <f>AA524</f>
        <v/>
      </c>
      <c r="V524">
        <f>IFERROR(INDEX(DetailedFiche!Q:Q,MATCH(L524,DetailedFiche!J:J,0)),"")</f>
        <v/>
      </c>
      <c r="W524">
        <f>IFERROR(INDEX(DetailedFiche!R:R,MATCH(L524,DetailedFiche!J:J,0)),"")</f>
        <v/>
      </c>
      <c r="Y524">
        <f>IFERROR(IF(AND(INDEX('Initial Study'!K:K, MATCH(L524, 'Initial Study'!B:B, 0)+1)&lt;&gt;0,INDEX('Initial Study'!K:K, MATCH(L524, 'Initial Study'!B:B, 0)+1)&lt;&gt;""),INDEX('Initial Study'!K:K, MATCH(L524, 'Initial Study'!B:B, 0)+1),""),"")</f>
        <v/>
      </c>
      <c r="Z524">
        <f>IFERROR(IF(AND(INDEX('Initial Study'!K:K, MATCH(L524, 'Initial Study'!B:B, 0)+2)&lt;&gt;0,INDEX('Initial Study'!K:K, MATCH(L524, 'Initial Study'!B:B, 0)+2)&lt;&gt;"",NOT(ISNUMBER(INDEX('Initial Study'!K:K, MATCH(L524, 'Initial Study'!B:B, 0)+2)))),INDEX('Initial Study'!K:K, MATCH(L524, 'Initial Study'!B:B, 0)+2),"-"),"-")</f>
        <v/>
      </c>
      <c r="AA524">
        <f>IF(S524="RE", Y524 &amp; "BT/" &amp; IF(Z524 &lt;&gt; "-", Z524 &amp; "BT", ""), IF(OR(S524="LTDR", S524="LTSR"), Y524 &amp; "BL" &amp; IF(Z524 &lt;&gt; "-", "/" &amp; Z524 &amp; "BT", ""), IF(OR(S524="RTDR", S524="RTSR"), Y524 &amp; "BR" &amp; IF(Z524 &lt;&gt; "-", "/" &amp; Z524 &amp; "BT", ""), IF(Z524 &lt;&gt; "-", Y524 &amp; "BT/" &amp; Z524 &amp; "BT", Y524 &amp; "BT"))))</f>
        <v/>
      </c>
    </row>
    <row r="525">
      <c r="A525" t="n">
        <v>637</v>
      </c>
      <c r="B525" t="inlineStr">
        <is>
          <t>SR 1606</t>
        </is>
      </c>
      <c r="C525" t="n">
        <v>0.1</v>
      </c>
      <c r="D525" t="inlineStr">
        <is>
          <t>SW</t>
        </is>
      </c>
      <c r="E525" t="inlineStr">
        <is>
          <t>SR 1507</t>
        </is>
      </c>
      <c r="F525" t="inlineStr">
        <is>
          <t>NC 218</t>
        </is>
      </c>
      <c r="G525" t="inlineStr">
        <is>
          <t>SR 1606</t>
        </is>
      </c>
      <c r="H525" t="n">
        <v>999.999</v>
      </c>
      <c r="I525" t="inlineStr">
        <is>
          <t>NIS</t>
        </is>
      </c>
      <c r="L525" t="n">
        <v>107737133</v>
      </c>
      <c r="M525" s="6" t="n">
        <v>45442</v>
      </c>
      <c r="N525" t="n">
        <v>29</v>
      </c>
      <c r="O525" t="n">
        <v>1</v>
      </c>
      <c r="P525" t="n">
        <v>0</v>
      </c>
      <c r="Q525" t="n">
        <v>1</v>
      </c>
      <c r="R525" t="inlineStr">
        <is>
          <t>O</t>
        </is>
      </c>
      <c r="S525">
        <f>IFERROR(VLOOKUP(N525,Index!$A$1:$B$26,2,FALSE),"")</f>
        <v/>
      </c>
      <c r="T525">
        <f>AA525</f>
        <v/>
      </c>
      <c r="V525">
        <f>IFERROR(INDEX(DetailedFiche!Q:Q,MATCH(L525,DetailedFiche!J:J,0)),"")</f>
        <v/>
      </c>
      <c r="W525">
        <f>IFERROR(INDEX(DetailedFiche!R:R,MATCH(L525,DetailedFiche!J:J,0)),"")</f>
        <v/>
      </c>
      <c r="Y525">
        <f>IFERROR(IF(AND(INDEX('Initial Study'!K:K, MATCH(L525, 'Initial Study'!B:B, 0)+1)&lt;&gt;0,INDEX('Initial Study'!K:K, MATCH(L525, 'Initial Study'!B:B, 0)+1)&lt;&gt;""),INDEX('Initial Study'!K:K, MATCH(L525, 'Initial Study'!B:B, 0)+1),""),"")</f>
        <v/>
      </c>
      <c r="Z525">
        <f>IFERROR(IF(AND(INDEX('Initial Study'!K:K, MATCH(L525, 'Initial Study'!B:B, 0)+2)&lt;&gt;0,INDEX('Initial Study'!K:K, MATCH(L525, 'Initial Study'!B:B, 0)+2)&lt;&gt;"",NOT(ISNUMBER(INDEX('Initial Study'!K:K, MATCH(L525, 'Initial Study'!B:B, 0)+2)))),INDEX('Initial Study'!K:K, MATCH(L525, 'Initial Study'!B:B, 0)+2),"-"),"-")</f>
        <v/>
      </c>
      <c r="AA525">
        <f>IF(S525="RE", Y525 &amp; "BT/" &amp; IF(Z525 &lt;&gt; "-", Z525 &amp; "BT", ""), IF(OR(S525="LTDR", S525="LTSR"), Y525 &amp; "BL" &amp; IF(Z525 &lt;&gt; "-", "/" &amp; Z525 &amp; "BT", ""), IF(OR(S525="RTDR", S525="RTSR"), Y525 &amp; "BR" &amp; IF(Z525 &lt;&gt; "-", "/" &amp; Z525 &amp; "BT", ""), IF(Z525 &lt;&gt; "-", Y525 &amp; "BT/" &amp; Z525 &amp; "BT", Y525 &amp; "BT"))))</f>
        <v/>
      </c>
    </row>
    <row r="526">
      <c r="A526" t="n">
        <v>558</v>
      </c>
      <c r="B526" t="inlineStr">
        <is>
          <t>SR 1606</t>
        </is>
      </c>
      <c r="C526" t="n">
        <v>0.2</v>
      </c>
      <c r="D526" t="inlineStr">
        <is>
          <t>S</t>
        </is>
      </c>
      <c r="E526" t="inlineStr">
        <is>
          <t>SR 1605</t>
        </is>
      </c>
      <c r="F526" t="inlineStr">
        <is>
          <t>SR 1638</t>
        </is>
      </c>
      <c r="G526" t="inlineStr">
        <is>
          <t>SR 1606</t>
        </is>
      </c>
      <c r="H526" t="n">
        <v>999.999</v>
      </c>
      <c r="I526" t="inlineStr">
        <is>
          <t>NIS</t>
        </is>
      </c>
      <c r="L526" t="n">
        <v>104772437</v>
      </c>
      <c r="M526" s="6" t="n">
        <v>42543</v>
      </c>
      <c r="N526" t="n">
        <v>17</v>
      </c>
      <c r="O526" t="n">
        <v>1</v>
      </c>
      <c r="P526" t="n">
        <v>0</v>
      </c>
      <c r="Q526" t="n">
        <v>5</v>
      </c>
      <c r="R526" t="inlineStr">
        <is>
          <t>O</t>
        </is>
      </c>
      <c r="S526">
        <f>IFERROR(VLOOKUP(N526,Index!$A$1:$B$26,2,FALSE),"")</f>
        <v/>
      </c>
      <c r="T526">
        <f>AA526</f>
        <v/>
      </c>
      <c r="V526">
        <f>IFERROR(INDEX(DetailedFiche!Q:Q,MATCH(L526,DetailedFiche!J:J,0)),"")</f>
        <v/>
      </c>
      <c r="W526">
        <f>IFERROR(INDEX(DetailedFiche!R:R,MATCH(L526,DetailedFiche!J:J,0)),"")</f>
        <v/>
      </c>
      <c r="Y526">
        <f>IFERROR(IF(AND(INDEX('Initial Study'!K:K, MATCH(L526, 'Initial Study'!B:B, 0)+1)&lt;&gt;0,INDEX('Initial Study'!K:K, MATCH(L526, 'Initial Study'!B:B, 0)+1)&lt;&gt;""),INDEX('Initial Study'!K:K, MATCH(L526, 'Initial Study'!B:B, 0)+1),""),"")</f>
        <v/>
      </c>
      <c r="Z526">
        <f>IFERROR(IF(AND(INDEX('Initial Study'!K:K, MATCH(L526, 'Initial Study'!B:B, 0)+2)&lt;&gt;0,INDEX('Initial Study'!K:K, MATCH(L526, 'Initial Study'!B:B, 0)+2)&lt;&gt;"",NOT(ISNUMBER(INDEX('Initial Study'!K:K, MATCH(L526, 'Initial Study'!B:B, 0)+2)))),INDEX('Initial Study'!K:K, MATCH(L526, 'Initial Study'!B:B, 0)+2),"-"),"-")</f>
        <v/>
      </c>
      <c r="AA526">
        <f>IF(S526="RE", Y526 &amp; "BT/" &amp; IF(Z526 &lt;&gt; "-", Z526 &amp; "BT", ""), IF(OR(S526="LTDR", S526="LTSR"), Y526 &amp; "BL" &amp; IF(Z526 &lt;&gt; "-", "/" &amp; Z526 &amp; "BT", ""), IF(OR(S526="RTDR", S526="RTSR"), Y526 &amp; "BR" &amp; IF(Z526 &lt;&gt; "-", "/" &amp; Z526 &amp; "BT", ""), IF(Z526 &lt;&gt; "-", Y526 &amp; "BT/" &amp; Z526 &amp; "BT", Y526 &amp; "BT"))))</f>
        <v/>
      </c>
    </row>
    <row r="527">
      <c r="A527" t="n">
        <v>558</v>
      </c>
      <c r="B527" t="inlineStr">
        <is>
          <t>SR 1606</t>
        </is>
      </c>
      <c r="C527" t="n">
        <v>0</v>
      </c>
      <c r="E527" t="inlineStr">
        <is>
          <t>SR 1606</t>
        </is>
      </c>
      <c r="G527" t="inlineStr">
        <is>
          <t>SR 1606</t>
        </is>
      </c>
      <c r="H527" t="n">
        <v>999.999</v>
      </c>
      <c r="I527" t="inlineStr">
        <is>
          <t>NIS</t>
        </is>
      </c>
      <c r="L527" t="n">
        <v>104720551</v>
      </c>
      <c r="M527" s="6" t="n">
        <v>42491</v>
      </c>
      <c r="N527" t="n">
        <v>30</v>
      </c>
      <c r="O527" t="n">
        <v>1</v>
      </c>
      <c r="P527" t="n">
        <v>7</v>
      </c>
      <c r="Q527" t="n">
        <v>1</v>
      </c>
      <c r="R527" t="inlineStr">
        <is>
          <t>O</t>
        </is>
      </c>
      <c r="S527">
        <f>IFERROR(VLOOKUP(N527,Index!$A$1:$B$26,2,FALSE),"")</f>
        <v/>
      </c>
      <c r="T527">
        <f>AA527</f>
        <v/>
      </c>
      <c r="V527">
        <f>IFERROR(INDEX(DetailedFiche!Q:Q,MATCH(L527,DetailedFiche!J:J,0)),"")</f>
        <v/>
      </c>
      <c r="W527">
        <f>IFERROR(INDEX(DetailedFiche!R:R,MATCH(L527,DetailedFiche!J:J,0)),"")</f>
        <v/>
      </c>
      <c r="Y527">
        <f>IFERROR(IF(AND(INDEX('Initial Study'!K:K, MATCH(L527, 'Initial Study'!B:B, 0)+1)&lt;&gt;0,INDEX('Initial Study'!K:K, MATCH(L527, 'Initial Study'!B:B, 0)+1)&lt;&gt;""),INDEX('Initial Study'!K:K, MATCH(L527, 'Initial Study'!B:B, 0)+1),""),"")</f>
        <v/>
      </c>
      <c r="Z527">
        <f>IFERROR(IF(AND(INDEX('Initial Study'!K:K, MATCH(L527, 'Initial Study'!B:B, 0)+2)&lt;&gt;0,INDEX('Initial Study'!K:K, MATCH(L527, 'Initial Study'!B:B, 0)+2)&lt;&gt;"",NOT(ISNUMBER(INDEX('Initial Study'!K:K, MATCH(L527, 'Initial Study'!B:B, 0)+2)))),INDEX('Initial Study'!K:K, MATCH(L527, 'Initial Study'!B:B, 0)+2),"-"),"-")</f>
        <v/>
      </c>
      <c r="AA527">
        <f>IF(S527="RE", Y527 &amp; "BT/" &amp; IF(Z527 &lt;&gt; "-", Z527 &amp; "BT", ""), IF(OR(S527="LTDR", S527="LTSR"), Y527 &amp; "BL" &amp; IF(Z527 &lt;&gt; "-", "/" &amp; Z527 &amp; "BT", ""), IF(OR(S527="RTDR", S527="RTSR"), Y527 &amp; "BR" &amp; IF(Z527 &lt;&gt; "-", "/" &amp; Z527 &amp; "BT", ""), IF(Z527 &lt;&gt; "-", Y527 &amp; "BT/" &amp; Z527 &amp; "BT", Y527 &amp; "BT"))))</f>
        <v/>
      </c>
    </row>
    <row r="528">
      <c r="A528" t="n">
        <v>0</v>
      </c>
      <c r="B528" t="inlineStr">
        <is>
          <t>SR 1606</t>
        </is>
      </c>
      <c r="C528" t="n">
        <v>0.1</v>
      </c>
      <c r="D528" t="inlineStr">
        <is>
          <t>S</t>
        </is>
      </c>
      <c r="E528" t="inlineStr">
        <is>
          <t>SR 1617</t>
        </is>
      </c>
      <c r="F528" t="inlineStr">
        <is>
          <t>SR 1634</t>
        </is>
      </c>
      <c r="G528" t="inlineStr">
        <is>
          <t>SR 1606</t>
        </is>
      </c>
      <c r="H528" t="n">
        <v>999.999</v>
      </c>
      <c r="I528" t="inlineStr">
        <is>
          <t>NIS</t>
        </is>
      </c>
      <c r="L528" t="n">
        <v>104922359</v>
      </c>
      <c r="M528" s="6" t="n">
        <v>42691</v>
      </c>
      <c r="N528" t="n">
        <v>17</v>
      </c>
      <c r="O528" t="n">
        <v>1</v>
      </c>
      <c r="P528" t="n">
        <v>0</v>
      </c>
      <c r="Q528" t="n">
        <v>5</v>
      </c>
      <c r="R528" t="inlineStr">
        <is>
          <t>O</t>
        </is>
      </c>
      <c r="S528">
        <f>IFERROR(VLOOKUP(N528,Index!$A$1:$B$26,2,FALSE),"")</f>
        <v/>
      </c>
      <c r="T528">
        <f>AA528</f>
        <v/>
      </c>
      <c r="V528">
        <f>IFERROR(INDEX(DetailedFiche!Q:Q,MATCH(L528,DetailedFiche!J:J,0)),"")</f>
        <v/>
      </c>
      <c r="W528">
        <f>IFERROR(INDEX(DetailedFiche!R:R,MATCH(L528,DetailedFiche!J:J,0)),"")</f>
        <v/>
      </c>
      <c r="Y528">
        <f>IFERROR(IF(AND(INDEX('Initial Study'!K:K, MATCH(L528, 'Initial Study'!B:B, 0)+1)&lt;&gt;0,INDEX('Initial Study'!K:K, MATCH(L528, 'Initial Study'!B:B, 0)+1)&lt;&gt;""),INDEX('Initial Study'!K:K, MATCH(L528, 'Initial Study'!B:B, 0)+1),""),"")</f>
        <v/>
      </c>
      <c r="Z528">
        <f>IFERROR(IF(AND(INDEX('Initial Study'!K:K, MATCH(L528, 'Initial Study'!B:B, 0)+2)&lt;&gt;0,INDEX('Initial Study'!K:K, MATCH(L528, 'Initial Study'!B:B, 0)+2)&lt;&gt;"",NOT(ISNUMBER(INDEX('Initial Study'!K:K, MATCH(L528, 'Initial Study'!B:B, 0)+2)))),INDEX('Initial Study'!K:K, MATCH(L528, 'Initial Study'!B:B, 0)+2),"-"),"-")</f>
        <v/>
      </c>
      <c r="AA528">
        <f>IF(S528="RE", Y528 &amp; "BT/" &amp; IF(Z528 &lt;&gt; "-", Z528 &amp; "BT", ""), IF(OR(S528="LTDR", S528="LTSR"), Y528 &amp; "BL" &amp; IF(Z528 &lt;&gt; "-", "/" &amp; Z528 &amp; "BT", ""), IF(OR(S528="RTDR", S528="RTSR"), Y528 &amp; "BR" &amp; IF(Z528 &lt;&gt; "-", "/" &amp; Z528 &amp; "BT", ""), IF(Z528 &lt;&gt; "-", Y528 &amp; "BT/" &amp; Z528 &amp; "BT", Y528 &amp; "BT"))))</f>
        <v/>
      </c>
    </row>
    <row r="529">
      <c r="A529" t="n">
        <v>0</v>
      </c>
      <c r="B529" t="inlineStr">
        <is>
          <t>SR 1606</t>
        </is>
      </c>
      <c r="C529" t="n">
        <v>0.8</v>
      </c>
      <c r="D529" t="inlineStr">
        <is>
          <t>S</t>
        </is>
      </c>
      <c r="E529" t="inlineStr">
        <is>
          <t>SR 1617</t>
        </is>
      </c>
      <c r="F529" t="inlineStr">
        <is>
          <t>SR 1615</t>
        </is>
      </c>
      <c r="G529" t="inlineStr">
        <is>
          <t>SR 1606</t>
        </is>
      </c>
      <c r="H529" t="n">
        <v>999.999</v>
      </c>
      <c r="I529" t="inlineStr">
        <is>
          <t>NIS</t>
        </is>
      </c>
      <c r="L529" t="n">
        <v>105825314</v>
      </c>
      <c r="M529" s="6" t="n">
        <v>43557</v>
      </c>
      <c r="N529" t="n">
        <v>19</v>
      </c>
      <c r="O529" t="n">
        <v>6</v>
      </c>
      <c r="P529" t="n">
        <v>0</v>
      </c>
      <c r="Q529" t="n">
        <v>1</v>
      </c>
      <c r="R529" t="inlineStr">
        <is>
          <t>B</t>
        </is>
      </c>
      <c r="S529">
        <f>IFERROR(VLOOKUP(N529,Index!$A$1:$B$26,2,FALSE),"")</f>
        <v/>
      </c>
      <c r="T529">
        <f>AA529</f>
        <v/>
      </c>
      <c r="V529">
        <f>IFERROR(INDEX(DetailedFiche!Q:Q,MATCH(L529,DetailedFiche!J:J,0)),"")</f>
        <v/>
      </c>
      <c r="W529">
        <f>IFERROR(INDEX(DetailedFiche!R:R,MATCH(L529,DetailedFiche!J:J,0)),"")</f>
        <v/>
      </c>
      <c r="Y529">
        <f>IFERROR(IF(AND(INDEX('Initial Study'!K:K, MATCH(L529, 'Initial Study'!B:B, 0)+1)&lt;&gt;0,INDEX('Initial Study'!K:K, MATCH(L529, 'Initial Study'!B:B, 0)+1)&lt;&gt;""),INDEX('Initial Study'!K:K, MATCH(L529, 'Initial Study'!B:B, 0)+1),""),"")</f>
        <v/>
      </c>
      <c r="Z529">
        <f>IFERROR(IF(AND(INDEX('Initial Study'!K:K, MATCH(L529, 'Initial Study'!B:B, 0)+2)&lt;&gt;0,INDEX('Initial Study'!K:K, MATCH(L529, 'Initial Study'!B:B, 0)+2)&lt;&gt;"",NOT(ISNUMBER(INDEX('Initial Study'!K:K, MATCH(L529, 'Initial Study'!B:B, 0)+2)))),INDEX('Initial Study'!K:K, MATCH(L529, 'Initial Study'!B:B, 0)+2),"-"),"-")</f>
        <v/>
      </c>
      <c r="AA529">
        <f>IF(S529="RE", Y529 &amp; "BT/" &amp; IF(Z529 &lt;&gt; "-", Z529 &amp; "BT", ""), IF(OR(S529="LTDR", S529="LTSR"), Y529 &amp; "BL" &amp; IF(Z529 &lt;&gt; "-", "/" &amp; Z529 &amp; "BT", ""), IF(OR(S529="RTDR", S529="RTSR"), Y529 &amp; "BR" &amp; IF(Z529 &lt;&gt; "-", "/" &amp; Z529 &amp; "BT", ""), IF(Z529 &lt;&gt; "-", Y529 &amp; "BT/" &amp; Z529 &amp; "BT", Y529 &amp; "BT"))))</f>
        <v/>
      </c>
    </row>
    <row r="530">
      <c r="A530" t="n">
        <v>0</v>
      </c>
      <c r="B530" t="inlineStr">
        <is>
          <t>SR 1606</t>
        </is>
      </c>
      <c r="C530" t="n">
        <v>0.08</v>
      </c>
      <c r="D530" t="inlineStr">
        <is>
          <t>N</t>
        </is>
      </c>
      <c r="E530" t="inlineStr">
        <is>
          <t>SR 1619</t>
        </is>
      </c>
      <c r="F530" t="inlineStr">
        <is>
          <t>SR 1001</t>
        </is>
      </c>
      <c r="G530" t="inlineStr">
        <is>
          <t>SR 1606</t>
        </is>
      </c>
      <c r="H530" t="n">
        <v>999.999</v>
      </c>
      <c r="I530" t="inlineStr">
        <is>
          <t>NIS</t>
        </is>
      </c>
      <c r="L530" t="n">
        <v>106276502</v>
      </c>
      <c r="M530" s="6" t="n">
        <v>44026</v>
      </c>
      <c r="N530" t="n">
        <v>17</v>
      </c>
      <c r="O530" t="n">
        <v>1</v>
      </c>
      <c r="P530" t="n">
        <v>0</v>
      </c>
      <c r="Q530" t="n">
        <v>5</v>
      </c>
      <c r="R530" t="inlineStr">
        <is>
          <t>O</t>
        </is>
      </c>
      <c r="S530">
        <f>IFERROR(VLOOKUP(N530,Index!$A$1:$B$26,2,FALSE),"")</f>
        <v/>
      </c>
      <c r="T530">
        <f>AA530</f>
        <v/>
      </c>
      <c r="V530">
        <f>IFERROR(INDEX(DetailedFiche!Q:Q,MATCH(L530,DetailedFiche!J:J,0)),"")</f>
        <v/>
      </c>
      <c r="W530">
        <f>IFERROR(INDEX(DetailedFiche!R:R,MATCH(L530,DetailedFiche!J:J,0)),"")</f>
        <v/>
      </c>
      <c r="Y530">
        <f>IFERROR(IF(AND(INDEX('Initial Study'!K:K, MATCH(L530, 'Initial Study'!B:B, 0)+1)&lt;&gt;0,INDEX('Initial Study'!K:K, MATCH(L530, 'Initial Study'!B:B, 0)+1)&lt;&gt;""),INDEX('Initial Study'!K:K, MATCH(L530, 'Initial Study'!B:B, 0)+1),""),"")</f>
        <v/>
      </c>
      <c r="Z530">
        <f>IFERROR(IF(AND(INDEX('Initial Study'!K:K, MATCH(L530, 'Initial Study'!B:B, 0)+2)&lt;&gt;0,INDEX('Initial Study'!K:K, MATCH(L530, 'Initial Study'!B:B, 0)+2)&lt;&gt;"",NOT(ISNUMBER(INDEX('Initial Study'!K:K, MATCH(L530, 'Initial Study'!B:B, 0)+2)))),INDEX('Initial Study'!K:K, MATCH(L530, 'Initial Study'!B:B, 0)+2),"-"),"-")</f>
        <v/>
      </c>
      <c r="AA530">
        <f>IF(S530="RE", Y530 &amp; "BT/" &amp; IF(Z530 &lt;&gt; "-", Z530 &amp; "BT", ""), IF(OR(S530="LTDR", S530="LTSR"), Y530 &amp; "BL" &amp; IF(Z530 &lt;&gt; "-", "/" &amp; Z530 &amp; "BT", ""), IF(OR(S530="RTDR", S530="RTSR"), Y530 &amp; "BR" &amp; IF(Z530 &lt;&gt; "-", "/" &amp; Z530 &amp; "BT", ""), IF(Z530 &lt;&gt; "-", Y530 &amp; "BT/" &amp; Z530 &amp; "BT", Y530 &amp; "BT"))))</f>
        <v/>
      </c>
    </row>
    <row r="531">
      <c r="A531" t="n">
        <v>558</v>
      </c>
      <c r="B531" t="inlineStr">
        <is>
          <t>SR 1606</t>
        </is>
      </c>
      <c r="C531" t="n">
        <v>0.3</v>
      </c>
      <c r="D531" t="inlineStr">
        <is>
          <t>E</t>
        </is>
      </c>
      <c r="E531" t="inlineStr">
        <is>
          <t>SR 1619</t>
        </is>
      </c>
      <c r="F531" t="inlineStr">
        <is>
          <t>NC 200</t>
        </is>
      </c>
      <c r="G531" t="inlineStr">
        <is>
          <t>SR 1606</t>
        </is>
      </c>
      <c r="H531" t="n">
        <v>999.999</v>
      </c>
      <c r="I531" t="inlineStr">
        <is>
          <t>NIS</t>
        </is>
      </c>
      <c r="L531" t="n">
        <v>107329736</v>
      </c>
      <c r="M531" s="6" t="n">
        <v>45053</v>
      </c>
      <c r="N531" t="n">
        <v>19</v>
      </c>
      <c r="O531" t="n">
        <v>1</v>
      </c>
      <c r="P531" t="n">
        <v>0</v>
      </c>
      <c r="Q531" t="n">
        <v>5</v>
      </c>
      <c r="R531" t="inlineStr">
        <is>
          <t>A</t>
        </is>
      </c>
      <c r="S531">
        <f>IFERROR(VLOOKUP(N531,Index!$A$1:$B$26,2,FALSE),"")</f>
        <v/>
      </c>
      <c r="T531">
        <f>AA531</f>
        <v/>
      </c>
      <c r="V531">
        <f>IFERROR(INDEX(DetailedFiche!Q:Q,MATCH(L531,DetailedFiche!J:J,0)),"")</f>
        <v/>
      </c>
      <c r="W531">
        <f>IFERROR(INDEX(DetailedFiche!R:R,MATCH(L531,DetailedFiche!J:J,0)),"")</f>
        <v/>
      </c>
      <c r="Y531">
        <f>IFERROR(IF(AND(INDEX('Initial Study'!K:K, MATCH(L531, 'Initial Study'!B:B, 0)+1)&lt;&gt;0,INDEX('Initial Study'!K:K, MATCH(L531, 'Initial Study'!B:B, 0)+1)&lt;&gt;""),INDEX('Initial Study'!K:K, MATCH(L531, 'Initial Study'!B:B, 0)+1),""),"")</f>
        <v/>
      </c>
      <c r="Z531">
        <f>IFERROR(IF(AND(INDEX('Initial Study'!K:K, MATCH(L531, 'Initial Study'!B:B, 0)+2)&lt;&gt;0,INDEX('Initial Study'!K:K, MATCH(L531, 'Initial Study'!B:B, 0)+2)&lt;&gt;"",NOT(ISNUMBER(INDEX('Initial Study'!K:K, MATCH(L531, 'Initial Study'!B:B, 0)+2)))),INDEX('Initial Study'!K:K, MATCH(L531, 'Initial Study'!B:B, 0)+2),"-"),"-")</f>
        <v/>
      </c>
      <c r="AA531">
        <f>IF(S531="RE", Y531 &amp; "BT/" &amp; IF(Z531 &lt;&gt; "-", Z531 &amp; "BT", ""), IF(OR(S531="LTDR", S531="LTSR"), Y531 &amp; "BL" &amp; IF(Z531 &lt;&gt; "-", "/" &amp; Z531 &amp; "BT", ""), IF(OR(S531="RTDR", S531="RTSR"), Y531 &amp; "BR" &amp; IF(Z531 &lt;&gt; "-", "/" &amp; Z531 &amp; "BT", ""), IF(Z531 &lt;&gt; "-", Y531 &amp; "BT/" &amp; Z531 &amp; "BT", Y531 &amp; "BT"))))</f>
        <v/>
      </c>
    </row>
    <row r="532">
      <c r="A532" t="n">
        <v>0</v>
      </c>
      <c r="B532" t="inlineStr">
        <is>
          <t>SR 1606</t>
        </is>
      </c>
      <c r="C532" t="n">
        <v>0.5</v>
      </c>
      <c r="D532" t="inlineStr">
        <is>
          <t>S</t>
        </is>
      </c>
      <c r="E532" t="inlineStr">
        <is>
          <t>SR 1619</t>
        </is>
      </c>
      <c r="F532" t="inlineStr">
        <is>
          <t>PRESSON FARM</t>
        </is>
      </c>
      <c r="G532" t="inlineStr">
        <is>
          <t>SR 1606</t>
        </is>
      </c>
      <c r="H532" t="n">
        <v>999.999</v>
      </c>
      <c r="I532" t="inlineStr">
        <is>
          <t>NIS</t>
        </is>
      </c>
      <c r="L532" t="n">
        <v>105685420</v>
      </c>
      <c r="M532" s="6" t="n">
        <v>43424</v>
      </c>
      <c r="N532" t="n">
        <v>17</v>
      </c>
      <c r="O532" t="n">
        <v>1</v>
      </c>
      <c r="P532" t="n">
        <v>0</v>
      </c>
      <c r="Q532" t="n">
        <v>2</v>
      </c>
      <c r="R532" t="inlineStr">
        <is>
          <t>O</t>
        </is>
      </c>
      <c r="S532">
        <f>IFERROR(VLOOKUP(N532,Index!$A$1:$B$26,2,FALSE),"")</f>
        <v/>
      </c>
      <c r="T532">
        <f>AA532</f>
        <v/>
      </c>
      <c r="V532">
        <f>IFERROR(INDEX(DetailedFiche!Q:Q,MATCH(L532,DetailedFiche!J:J,0)),"")</f>
        <v/>
      </c>
      <c r="W532">
        <f>IFERROR(INDEX(DetailedFiche!R:R,MATCH(L532,DetailedFiche!J:J,0)),"")</f>
        <v/>
      </c>
      <c r="Y532">
        <f>IFERROR(IF(AND(INDEX('Initial Study'!K:K, MATCH(L532, 'Initial Study'!B:B, 0)+1)&lt;&gt;0,INDEX('Initial Study'!K:K, MATCH(L532, 'Initial Study'!B:B, 0)+1)&lt;&gt;""),INDEX('Initial Study'!K:K, MATCH(L532, 'Initial Study'!B:B, 0)+1),""),"")</f>
        <v/>
      </c>
      <c r="Z532">
        <f>IFERROR(IF(AND(INDEX('Initial Study'!K:K, MATCH(L532, 'Initial Study'!B:B, 0)+2)&lt;&gt;0,INDEX('Initial Study'!K:K, MATCH(L532, 'Initial Study'!B:B, 0)+2)&lt;&gt;"",NOT(ISNUMBER(INDEX('Initial Study'!K:K, MATCH(L532, 'Initial Study'!B:B, 0)+2)))),INDEX('Initial Study'!K:K, MATCH(L532, 'Initial Study'!B:B, 0)+2),"-"),"-")</f>
        <v/>
      </c>
      <c r="AA532">
        <f>IF(S532="RE", Y532 &amp; "BT/" &amp; IF(Z532 &lt;&gt; "-", Z532 &amp; "BT", ""), IF(OR(S532="LTDR", S532="LTSR"), Y532 &amp; "BL" &amp; IF(Z532 &lt;&gt; "-", "/" &amp; Z532 &amp; "BT", ""), IF(OR(S532="RTDR", S532="RTSR"), Y532 &amp; "BR" &amp; IF(Z532 &lt;&gt; "-", "/" &amp; Z532 &amp; "BT", ""), IF(Z532 &lt;&gt; "-", Y532 &amp; "BT/" &amp; Z532 &amp; "BT", Y532 &amp; "BT"))))</f>
        <v/>
      </c>
    </row>
    <row r="533">
      <c r="A533" t="n">
        <v>558</v>
      </c>
      <c r="B533" t="inlineStr">
        <is>
          <t>SR 1606</t>
        </is>
      </c>
      <c r="C533" t="n">
        <v>0.6</v>
      </c>
      <c r="D533" t="inlineStr">
        <is>
          <t>W</t>
        </is>
      </c>
      <c r="E533" t="inlineStr">
        <is>
          <t>SR 1619</t>
        </is>
      </c>
      <c r="F533" t="inlineStr">
        <is>
          <t>SR 1637</t>
        </is>
      </c>
      <c r="G533" t="inlineStr">
        <is>
          <t>SR 1606</t>
        </is>
      </c>
      <c r="H533" t="n">
        <v>999.999</v>
      </c>
      <c r="I533" t="inlineStr">
        <is>
          <t>NIS</t>
        </is>
      </c>
      <c r="L533" t="n">
        <v>106249008</v>
      </c>
      <c r="M533" s="6" t="n">
        <v>43993</v>
      </c>
      <c r="N533" t="n">
        <v>19</v>
      </c>
      <c r="O533" t="n">
        <v>2</v>
      </c>
      <c r="P533" t="n">
        <v>0</v>
      </c>
      <c r="Q533" t="n">
        <v>1</v>
      </c>
      <c r="R533" t="inlineStr">
        <is>
          <t>O</t>
        </is>
      </c>
      <c r="S533">
        <f>IFERROR(VLOOKUP(N533,Index!$A$1:$B$26,2,FALSE),"")</f>
        <v/>
      </c>
      <c r="T533">
        <f>AA533</f>
        <v/>
      </c>
      <c r="V533">
        <f>IFERROR(INDEX(DetailedFiche!Q:Q,MATCH(L533,DetailedFiche!J:J,0)),"")</f>
        <v/>
      </c>
      <c r="W533">
        <f>IFERROR(INDEX(DetailedFiche!R:R,MATCH(L533,DetailedFiche!J:J,0)),"")</f>
        <v/>
      </c>
      <c r="Y533">
        <f>IFERROR(IF(AND(INDEX('Initial Study'!K:K, MATCH(L533, 'Initial Study'!B:B, 0)+1)&lt;&gt;0,INDEX('Initial Study'!K:K, MATCH(L533, 'Initial Study'!B:B, 0)+1)&lt;&gt;""),INDEX('Initial Study'!K:K, MATCH(L533, 'Initial Study'!B:B, 0)+1),""),"")</f>
        <v/>
      </c>
      <c r="Z533">
        <f>IFERROR(IF(AND(INDEX('Initial Study'!K:K, MATCH(L533, 'Initial Study'!B:B, 0)+2)&lt;&gt;0,INDEX('Initial Study'!K:K, MATCH(L533, 'Initial Study'!B:B, 0)+2)&lt;&gt;"",NOT(ISNUMBER(INDEX('Initial Study'!K:K, MATCH(L533, 'Initial Study'!B:B, 0)+2)))),INDEX('Initial Study'!K:K, MATCH(L533, 'Initial Study'!B:B, 0)+2),"-"),"-")</f>
        <v/>
      </c>
      <c r="AA533">
        <f>IF(S533="RE", Y533 &amp; "BT/" &amp; IF(Z533 &lt;&gt; "-", Z533 &amp; "BT", ""), IF(OR(S533="LTDR", S533="LTSR"), Y533 &amp; "BL" &amp; IF(Z533 &lt;&gt; "-", "/" &amp; Z533 &amp; "BT", ""), IF(OR(S533="RTDR", S533="RTSR"), Y533 &amp; "BR" &amp; IF(Z533 &lt;&gt; "-", "/" &amp; Z533 &amp; "BT", ""), IF(Z533 &lt;&gt; "-", Y533 &amp; "BT/" &amp; Z533 &amp; "BT", Y533 &amp; "BT"))))</f>
        <v/>
      </c>
    </row>
    <row r="534">
      <c r="A534" t="n">
        <v>0</v>
      </c>
      <c r="B534" t="inlineStr">
        <is>
          <t>SR 1606</t>
        </is>
      </c>
      <c r="C534" t="n">
        <v>0</v>
      </c>
      <c r="E534" t="inlineStr">
        <is>
          <t>SR 1627</t>
        </is>
      </c>
      <c r="F534" t="inlineStr">
        <is>
          <t>NC 200</t>
        </is>
      </c>
      <c r="G534" t="inlineStr">
        <is>
          <t>SR 1606</t>
        </is>
      </c>
      <c r="H534" t="n">
        <v>999.999</v>
      </c>
      <c r="I534" t="inlineStr">
        <is>
          <t>NIS</t>
        </is>
      </c>
      <c r="L534" t="n">
        <v>107696630</v>
      </c>
      <c r="M534" s="6" t="n">
        <v>45399</v>
      </c>
      <c r="N534" t="n">
        <v>30</v>
      </c>
      <c r="O534" t="n">
        <v>1</v>
      </c>
      <c r="P534" t="n">
        <v>7</v>
      </c>
      <c r="Q534" t="n">
        <v>1</v>
      </c>
      <c r="R534" t="inlineStr">
        <is>
          <t>B</t>
        </is>
      </c>
      <c r="S534">
        <f>IFERROR(VLOOKUP(N534,Index!$A$1:$B$26,2,FALSE),"")</f>
        <v/>
      </c>
      <c r="T534">
        <f>AA534</f>
        <v/>
      </c>
      <c r="V534">
        <f>IFERROR(INDEX(DetailedFiche!Q:Q,MATCH(L534,DetailedFiche!J:J,0)),"")</f>
        <v/>
      </c>
      <c r="W534">
        <f>IFERROR(INDEX(DetailedFiche!R:R,MATCH(L534,DetailedFiche!J:J,0)),"")</f>
        <v/>
      </c>
      <c r="Y534">
        <f>IFERROR(IF(AND(INDEX('Initial Study'!K:K, MATCH(L534, 'Initial Study'!B:B, 0)+1)&lt;&gt;0,INDEX('Initial Study'!K:K, MATCH(L534, 'Initial Study'!B:B, 0)+1)&lt;&gt;""),INDEX('Initial Study'!K:K, MATCH(L534, 'Initial Study'!B:B, 0)+1),""),"")</f>
        <v/>
      </c>
      <c r="Z534">
        <f>IFERROR(IF(AND(INDEX('Initial Study'!K:K, MATCH(L534, 'Initial Study'!B:B, 0)+2)&lt;&gt;0,INDEX('Initial Study'!K:K, MATCH(L534, 'Initial Study'!B:B, 0)+2)&lt;&gt;"",NOT(ISNUMBER(INDEX('Initial Study'!K:K, MATCH(L534, 'Initial Study'!B:B, 0)+2)))),INDEX('Initial Study'!K:K, MATCH(L534, 'Initial Study'!B:B, 0)+2),"-"),"-")</f>
        <v/>
      </c>
      <c r="AA534">
        <f>IF(S534="RE", Y534 &amp; "BT/" &amp; IF(Z534 &lt;&gt; "-", Z534 &amp; "BT", ""), IF(OR(S534="LTDR", S534="LTSR"), Y534 &amp; "BL" &amp; IF(Z534 &lt;&gt; "-", "/" &amp; Z534 &amp; "BT", ""), IF(OR(S534="RTDR", S534="RTSR"), Y534 &amp; "BR" &amp; IF(Z534 &lt;&gt; "-", "/" &amp; Z534 &amp; "BT", ""), IF(Z534 &lt;&gt; "-", Y534 &amp; "BT/" &amp; Z534 &amp; "BT", Y534 &amp; "BT"))))</f>
        <v/>
      </c>
    </row>
    <row r="535">
      <c r="A535" t="n">
        <v>0</v>
      </c>
      <c r="B535" t="inlineStr">
        <is>
          <t>SR 1606</t>
        </is>
      </c>
      <c r="C535" t="n">
        <v>0.5</v>
      </c>
      <c r="D535" t="inlineStr">
        <is>
          <t>W</t>
        </is>
      </c>
      <c r="E535" t="inlineStr">
        <is>
          <t>SR 1627</t>
        </is>
      </c>
      <c r="F535" t="inlineStr">
        <is>
          <t>NC 200</t>
        </is>
      </c>
      <c r="G535" t="inlineStr">
        <is>
          <t>SR 1606</t>
        </is>
      </c>
      <c r="H535" t="n">
        <v>999.999</v>
      </c>
      <c r="I535" t="inlineStr">
        <is>
          <t>NIS</t>
        </is>
      </c>
      <c r="L535" t="n">
        <v>104877259</v>
      </c>
      <c r="M535" s="6" t="n">
        <v>42655</v>
      </c>
      <c r="N535" t="n">
        <v>29</v>
      </c>
      <c r="O535" t="n">
        <v>1</v>
      </c>
      <c r="P535" t="n">
        <v>0</v>
      </c>
      <c r="Q535" t="n">
        <v>1</v>
      </c>
      <c r="R535" t="inlineStr">
        <is>
          <t>O</t>
        </is>
      </c>
      <c r="S535">
        <f>IFERROR(VLOOKUP(N535,Index!$A$1:$B$26,2,FALSE),"")</f>
        <v/>
      </c>
      <c r="T535">
        <f>AA535</f>
        <v/>
      </c>
      <c r="V535">
        <f>IFERROR(INDEX(DetailedFiche!Q:Q,MATCH(L535,DetailedFiche!J:J,0)),"")</f>
        <v/>
      </c>
      <c r="W535">
        <f>IFERROR(INDEX(DetailedFiche!R:R,MATCH(L535,DetailedFiche!J:J,0)),"")</f>
        <v/>
      </c>
      <c r="Y535">
        <f>IFERROR(IF(AND(INDEX('Initial Study'!K:K, MATCH(L535, 'Initial Study'!B:B, 0)+1)&lt;&gt;0,INDEX('Initial Study'!K:K, MATCH(L535, 'Initial Study'!B:B, 0)+1)&lt;&gt;""),INDEX('Initial Study'!K:K, MATCH(L535, 'Initial Study'!B:B, 0)+1),""),"")</f>
        <v/>
      </c>
      <c r="Z535">
        <f>IFERROR(IF(AND(INDEX('Initial Study'!K:K, MATCH(L535, 'Initial Study'!B:B, 0)+2)&lt;&gt;0,INDEX('Initial Study'!K:K, MATCH(L535, 'Initial Study'!B:B, 0)+2)&lt;&gt;"",NOT(ISNUMBER(INDEX('Initial Study'!K:K, MATCH(L535, 'Initial Study'!B:B, 0)+2)))),INDEX('Initial Study'!K:K, MATCH(L535, 'Initial Study'!B:B, 0)+2),"-"),"-")</f>
        <v/>
      </c>
      <c r="AA535">
        <f>IF(S535="RE", Y535 &amp; "BT/" &amp; IF(Z535 &lt;&gt; "-", Z535 &amp; "BT", ""), IF(OR(S535="LTDR", S535="LTSR"), Y535 &amp; "BL" &amp; IF(Z535 &lt;&gt; "-", "/" &amp; Z535 &amp; "BT", ""), IF(OR(S535="RTDR", S535="RTSR"), Y535 &amp; "BR" &amp; IF(Z535 &lt;&gt; "-", "/" &amp; Z535 &amp; "BT", ""), IF(Z535 &lt;&gt; "-", Y535 &amp; "BT/" &amp; Z535 &amp; "BT", Y535 &amp; "BT"))))</f>
        <v/>
      </c>
    </row>
    <row r="536">
      <c r="A536" t="n">
        <v>558</v>
      </c>
      <c r="B536" t="inlineStr">
        <is>
          <t>SR 1606</t>
        </is>
      </c>
      <c r="C536" t="n">
        <v>0.2</v>
      </c>
      <c r="D536" t="inlineStr">
        <is>
          <t>S</t>
        </is>
      </c>
      <c r="E536" t="inlineStr">
        <is>
          <t>SR 1691</t>
        </is>
      </c>
      <c r="F536" t="inlineStr">
        <is>
          <t>NC 200</t>
        </is>
      </c>
      <c r="G536" t="inlineStr">
        <is>
          <t>SR 1606</t>
        </is>
      </c>
      <c r="H536" t="n">
        <v>999.999</v>
      </c>
      <c r="I536" t="inlineStr">
        <is>
          <t>NIS</t>
        </is>
      </c>
      <c r="L536" t="n">
        <v>108320401</v>
      </c>
      <c r="M536" s="6" t="n">
        <v>45981</v>
      </c>
      <c r="N536" t="n">
        <v>23</v>
      </c>
      <c r="O536" t="n">
        <v>1</v>
      </c>
      <c r="P536" t="n">
        <v>0</v>
      </c>
      <c r="Q536" t="n">
        <v>1</v>
      </c>
      <c r="R536" t="inlineStr">
        <is>
          <t>O</t>
        </is>
      </c>
      <c r="S536">
        <f>IFERROR(VLOOKUP(N536,Index!$A$1:$B$26,2,FALSE),"")</f>
        <v/>
      </c>
      <c r="T536">
        <f>AA536</f>
        <v/>
      </c>
      <c r="V536">
        <f>IFERROR(INDEX(DetailedFiche!Q:Q,MATCH(L536,DetailedFiche!J:J,0)),"")</f>
        <v/>
      </c>
      <c r="W536">
        <f>IFERROR(INDEX(DetailedFiche!R:R,MATCH(L536,DetailedFiche!J:J,0)),"")</f>
        <v/>
      </c>
      <c r="Y536">
        <f>IFERROR(IF(AND(INDEX('Initial Study'!K:K, MATCH(L536, 'Initial Study'!B:B, 0)+1)&lt;&gt;0,INDEX('Initial Study'!K:K, MATCH(L536, 'Initial Study'!B:B, 0)+1)&lt;&gt;""),INDEX('Initial Study'!K:K, MATCH(L536, 'Initial Study'!B:B, 0)+1),""),"")</f>
        <v/>
      </c>
      <c r="Z536">
        <f>IFERROR(IF(AND(INDEX('Initial Study'!K:K, MATCH(L536, 'Initial Study'!B:B, 0)+2)&lt;&gt;0,INDEX('Initial Study'!K:K, MATCH(L536, 'Initial Study'!B:B, 0)+2)&lt;&gt;"",NOT(ISNUMBER(INDEX('Initial Study'!K:K, MATCH(L536, 'Initial Study'!B:B, 0)+2)))),INDEX('Initial Study'!K:K, MATCH(L536, 'Initial Study'!B:B, 0)+2),"-"),"-")</f>
        <v/>
      </c>
      <c r="AA536">
        <f>IF(S536="RE", Y536 &amp; "BT/" &amp; IF(Z536 &lt;&gt; "-", Z536 &amp; "BT", ""), IF(OR(S536="LTDR", S536="LTSR"), Y536 &amp; "BL" &amp; IF(Z536 &lt;&gt; "-", "/" &amp; Z536 &amp; "BT", ""), IF(OR(S536="RTDR", S536="RTSR"), Y536 &amp; "BR" &amp; IF(Z536 &lt;&gt; "-", "/" &amp; Z536 &amp; "BT", ""), IF(Z536 &lt;&gt; "-", Y536 &amp; "BT/" &amp; Z536 &amp; "BT", Y536 &amp; "BT"))))</f>
        <v/>
      </c>
    </row>
    <row r="537">
      <c r="A537" t="n">
        <v>558</v>
      </c>
      <c r="B537" t="inlineStr">
        <is>
          <t>SR 1606</t>
        </is>
      </c>
      <c r="C537" t="n">
        <v>0.3</v>
      </c>
      <c r="D537" t="inlineStr">
        <is>
          <t>E</t>
        </is>
      </c>
      <c r="E537" t="inlineStr">
        <is>
          <t>SR 1697</t>
        </is>
      </c>
      <c r="F537" t="inlineStr">
        <is>
          <t>NC 200</t>
        </is>
      </c>
      <c r="G537" t="inlineStr">
        <is>
          <t>SR 1606</t>
        </is>
      </c>
      <c r="H537" t="n">
        <v>999.999</v>
      </c>
      <c r="I537" t="inlineStr">
        <is>
          <t>NIS</t>
        </is>
      </c>
      <c r="L537" t="n">
        <v>107647374</v>
      </c>
      <c r="M537" s="6" t="n">
        <v>45358</v>
      </c>
      <c r="N537" t="n">
        <v>19</v>
      </c>
      <c r="O537" t="n">
        <v>1</v>
      </c>
      <c r="P537" t="n">
        <v>0</v>
      </c>
      <c r="Q537" t="n">
        <v>1</v>
      </c>
      <c r="R537" t="inlineStr">
        <is>
          <t>O</t>
        </is>
      </c>
      <c r="S537">
        <f>IFERROR(VLOOKUP(N537,Index!$A$1:$B$26,2,FALSE),"")</f>
        <v/>
      </c>
      <c r="T537">
        <f>AA537</f>
        <v/>
      </c>
      <c r="V537">
        <f>IFERROR(INDEX(DetailedFiche!Q:Q,MATCH(L537,DetailedFiche!J:J,0)),"")</f>
        <v/>
      </c>
      <c r="W537">
        <f>IFERROR(INDEX(DetailedFiche!R:R,MATCH(L537,DetailedFiche!J:J,0)),"")</f>
        <v/>
      </c>
      <c r="Y537">
        <f>IFERROR(IF(AND(INDEX('Initial Study'!K:K, MATCH(L537, 'Initial Study'!B:B, 0)+1)&lt;&gt;0,INDEX('Initial Study'!K:K, MATCH(L537, 'Initial Study'!B:B, 0)+1)&lt;&gt;""),INDEX('Initial Study'!K:K, MATCH(L537, 'Initial Study'!B:B, 0)+1),""),"")</f>
        <v/>
      </c>
      <c r="Z537">
        <f>IFERROR(IF(AND(INDEX('Initial Study'!K:K, MATCH(L537, 'Initial Study'!B:B, 0)+2)&lt;&gt;0,INDEX('Initial Study'!K:K, MATCH(L537, 'Initial Study'!B:B, 0)+2)&lt;&gt;"",NOT(ISNUMBER(INDEX('Initial Study'!K:K, MATCH(L537, 'Initial Study'!B:B, 0)+2)))),INDEX('Initial Study'!K:K, MATCH(L537, 'Initial Study'!B:B, 0)+2),"-"),"-")</f>
        <v/>
      </c>
      <c r="AA537">
        <f>IF(S537="RE", Y537 &amp; "BT/" &amp; IF(Z537 &lt;&gt; "-", Z537 &amp; "BT", ""), IF(OR(S537="LTDR", S537="LTSR"), Y537 &amp; "BL" &amp; IF(Z537 &lt;&gt; "-", "/" &amp; Z537 &amp; "BT", ""), IF(OR(S537="RTDR", S537="RTSR"), Y537 &amp; "BR" &amp; IF(Z537 &lt;&gt; "-", "/" &amp; Z537 &amp; "BT", ""), IF(Z537 &lt;&gt; "-", Y537 &amp; "BT/" &amp; Z537 &amp; "BT", Y537 &amp; "BT"))))</f>
        <v/>
      </c>
    </row>
    <row r="538">
      <c r="A538" t="n">
        <v>0</v>
      </c>
      <c r="B538" t="inlineStr">
        <is>
          <t>SR 1606</t>
        </is>
      </c>
      <c r="C538" t="n">
        <v>0</v>
      </c>
      <c r="E538" t="inlineStr">
        <is>
          <t>SR 2785</t>
        </is>
      </c>
      <c r="F538" t="inlineStr">
        <is>
          <t>SR 1006</t>
        </is>
      </c>
      <c r="G538" t="inlineStr">
        <is>
          <t>SR 1606</t>
        </is>
      </c>
      <c r="H538" t="n">
        <v>999.999</v>
      </c>
      <c r="I538" t="inlineStr">
        <is>
          <t>NIS</t>
        </is>
      </c>
      <c r="L538" t="n">
        <v>105844523</v>
      </c>
      <c r="M538" s="6" t="n">
        <v>43581</v>
      </c>
      <c r="N538" t="n">
        <v>19</v>
      </c>
      <c r="O538" t="n">
        <v>1</v>
      </c>
      <c r="P538" t="n">
        <v>8</v>
      </c>
      <c r="Q538" t="n">
        <v>5</v>
      </c>
      <c r="R538" t="inlineStr">
        <is>
          <t>O</t>
        </is>
      </c>
      <c r="S538">
        <f>IFERROR(VLOOKUP(N538,Index!$A$1:$B$26,2,FALSE),"")</f>
        <v/>
      </c>
      <c r="T538">
        <f>AA538</f>
        <v/>
      </c>
      <c r="V538">
        <f>IFERROR(INDEX(DetailedFiche!Q:Q,MATCH(L538,DetailedFiche!J:J,0)),"")</f>
        <v/>
      </c>
      <c r="W538">
        <f>IFERROR(INDEX(DetailedFiche!R:R,MATCH(L538,DetailedFiche!J:J,0)),"")</f>
        <v/>
      </c>
      <c r="Y538">
        <f>IFERROR(IF(AND(INDEX('Initial Study'!K:K, MATCH(L538, 'Initial Study'!B:B, 0)+1)&lt;&gt;0,INDEX('Initial Study'!K:K, MATCH(L538, 'Initial Study'!B:B, 0)+1)&lt;&gt;""),INDEX('Initial Study'!K:K, MATCH(L538, 'Initial Study'!B:B, 0)+1),""),"")</f>
        <v/>
      </c>
      <c r="Z538">
        <f>IFERROR(IF(AND(INDEX('Initial Study'!K:K, MATCH(L538, 'Initial Study'!B:B, 0)+2)&lt;&gt;0,INDEX('Initial Study'!K:K, MATCH(L538, 'Initial Study'!B:B, 0)+2)&lt;&gt;"",NOT(ISNUMBER(INDEX('Initial Study'!K:K, MATCH(L538, 'Initial Study'!B:B, 0)+2)))),INDEX('Initial Study'!K:K, MATCH(L538, 'Initial Study'!B:B, 0)+2),"-"),"-")</f>
        <v/>
      </c>
      <c r="AA538">
        <f>IF(S538="RE", Y538 &amp; "BT/" &amp; IF(Z538 &lt;&gt; "-", Z538 &amp; "BT", ""), IF(OR(S538="LTDR", S538="LTSR"), Y538 &amp; "BL" &amp; IF(Z538 &lt;&gt; "-", "/" &amp; Z538 &amp; "BT", ""), IF(OR(S538="RTDR", S538="RTSR"), Y538 &amp; "BR" &amp; IF(Z538 &lt;&gt; "-", "/" &amp; Z538 &amp; "BT", ""), IF(Z538 &lt;&gt; "-", Y538 &amp; "BT/" &amp; Z538 &amp; "BT", Y538 &amp; "BT"))))</f>
        <v/>
      </c>
    </row>
    <row r="539">
      <c r="A539" t="n">
        <v>558</v>
      </c>
      <c r="B539" t="inlineStr">
        <is>
          <t>SR 1611</t>
        </is>
      </c>
      <c r="C539" t="n">
        <v>0.006</v>
      </c>
      <c r="D539" t="inlineStr">
        <is>
          <t>W</t>
        </is>
      </c>
      <c r="E539" t="inlineStr">
        <is>
          <t>SR 1606</t>
        </is>
      </c>
      <c r="F539" t="inlineStr">
        <is>
          <t>SR 1640</t>
        </is>
      </c>
      <c r="G539" t="inlineStr">
        <is>
          <t>SR 1611</t>
        </is>
      </c>
      <c r="H539" t="n">
        <v>3.361</v>
      </c>
      <c r="I539" t="inlineStr">
        <is>
          <t>NIS</t>
        </is>
      </c>
      <c r="L539" t="n">
        <v>105387651</v>
      </c>
      <c r="M539" s="6" t="n">
        <v>43149</v>
      </c>
      <c r="N539" t="n">
        <v>18</v>
      </c>
      <c r="O539" t="n">
        <v>1</v>
      </c>
      <c r="P539" t="n">
        <v>0</v>
      </c>
      <c r="Q539" t="n">
        <v>1</v>
      </c>
      <c r="R539" t="inlineStr">
        <is>
          <t>O</t>
        </is>
      </c>
      <c r="S539">
        <f>IFERROR(VLOOKUP(N539,Index!$A$1:$B$26,2,FALSE),"")</f>
        <v/>
      </c>
      <c r="T539">
        <f>AA539</f>
        <v/>
      </c>
      <c r="V539">
        <f>IFERROR(INDEX(DetailedFiche!Q:Q,MATCH(L539,DetailedFiche!J:J,0)),"")</f>
        <v/>
      </c>
      <c r="W539">
        <f>IFERROR(INDEX(DetailedFiche!R:R,MATCH(L539,DetailedFiche!J:J,0)),"")</f>
        <v/>
      </c>
      <c r="Y539">
        <f>IFERROR(IF(AND(INDEX('Initial Study'!K:K, MATCH(L539, 'Initial Study'!B:B, 0)+1)&lt;&gt;0,INDEX('Initial Study'!K:K, MATCH(L539, 'Initial Study'!B:B, 0)+1)&lt;&gt;""),INDEX('Initial Study'!K:K, MATCH(L539, 'Initial Study'!B:B, 0)+1),""),"")</f>
        <v/>
      </c>
      <c r="Z539">
        <f>IFERROR(IF(AND(INDEX('Initial Study'!K:K, MATCH(L539, 'Initial Study'!B:B, 0)+2)&lt;&gt;0,INDEX('Initial Study'!K:K, MATCH(L539, 'Initial Study'!B:B, 0)+2)&lt;&gt;"",NOT(ISNUMBER(INDEX('Initial Study'!K:K, MATCH(L539, 'Initial Study'!B:B, 0)+2)))),INDEX('Initial Study'!K:K, MATCH(L539, 'Initial Study'!B:B, 0)+2),"-"),"-")</f>
        <v/>
      </c>
      <c r="AA539">
        <f>IF(S539="RE", Y539 &amp; "BT/" &amp; IF(Z539 &lt;&gt; "-", Z539 &amp; "BT", ""), IF(OR(S539="LTDR", S539="LTSR"), Y539 &amp; "BL" &amp; IF(Z539 &lt;&gt; "-", "/" &amp; Z539 &amp; "BT", ""), IF(OR(S539="RTDR", S539="RTSR"), Y539 &amp; "BR" &amp; IF(Z539 &lt;&gt; "-", "/" &amp; Z539 &amp; "BT", ""), IF(Z539 &lt;&gt; "-", Y539 &amp; "BT/" &amp; Z539 &amp; "BT", Y539 &amp; "BT"))))</f>
        <v/>
      </c>
    </row>
    <row r="540">
      <c r="A540" t="n">
        <v>558</v>
      </c>
      <c r="B540" t="inlineStr">
        <is>
          <t>SR 1611</t>
        </is>
      </c>
      <c r="C540" t="n">
        <v>0.019</v>
      </c>
      <c r="D540" t="inlineStr">
        <is>
          <t>SW</t>
        </is>
      </c>
      <c r="E540" t="inlineStr">
        <is>
          <t>SR 1001</t>
        </is>
      </c>
      <c r="F540" t="inlineStr">
        <is>
          <t>SR 1640</t>
        </is>
      </c>
      <c r="G540" t="inlineStr">
        <is>
          <t>SR 1611</t>
        </is>
      </c>
      <c r="H540" t="n">
        <v>999.999</v>
      </c>
      <c r="I540" t="inlineStr">
        <is>
          <t>NIS</t>
        </is>
      </c>
      <c r="L540" t="n">
        <v>104711866</v>
      </c>
      <c r="M540" s="6" t="n">
        <v>42484</v>
      </c>
      <c r="N540" t="n">
        <v>17</v>
      </c>
      <c r="O540" t="n">
        <v>1</v>
      </c>
      <c r="Q540" t="n">
        <v>5</v>
      </c>
      <c r="R540" t="inlineStr">
        <is>
          <t>O</t>
        </is>
      </c>
      <c r="S540">
        <f>IFERROR(VLOOKUP(N540,Index!$A$1:$B$26,2,FALSE),"")</f>
        <v/>
      </c>
      <c r="T540">
        <f>AA540</f>
        <v/>
      </c>
      <c r="V540">
        <f>IFERROR(INDEX(DetailedFiche!Q:Q,MATCH(L540,DetailedFiche!J:J,0)),"")</f>
        <v/>
      </c>
      <c r="W540">
        <f>IFERROR(INDEX(DetailedFiche!R:R,MATCH(L540,DetailedFiche!J:J,0)),"")</f>
        <v/>
      </c>
      <c r="Y540">
        <f>IFERROR(IF(AND(INDEX('Initial Study'!K:K, MATCH(L540, 'Initial Study'!B:B, 0)+1)&lt;&gt;0,INDEX('Initial Study'!K:K, MATCH(L540, 'Initial Study'!B:B, 0)+1)&lt;&gt;""),INDEX('Initial Study'!K:K, MATCH(L540, 'Initial Study'!B:B, 0)+1),""),"")</f>
        <v/>
      </c>
      <c r="Z540">
        <f>IFERROR(IF(AND(INDEX('Initial Study'!K:K, MATCH(L540, 'Initial Study'!B:B, 0)+2)&lt;&gt;0,INDEX('Initial Study'!K:K, MATCH(L540, 'Initial Study'!B:B, 0)+2)&lt;&gt;"",NOT(ISNUMBER(INDEX('Initial Study'!K:K, MATCH(L540, 'Initial Study'!B:B, 0)+2)))),INDEX('Initial Study'!K:K, MATCH(L540, 'Initial Study'!B:B, 0)+2),"-"),"-")</f>
        <v/>
      </c>
      <c r="AA540">
        <f>IF(S540="RE", Y540 &amp; "BT/" &amp; IF(Z540 &lt;&gt; "-", Z540 &amp; "BT", ""), IF(OR(S540="LTDR", S540="LTSR"), Y540 &amp; "BL" &amp; IF(Z540 &lt;&gt; "-", "/" &amp; Z540 &amp; "BT", ""), IF(OR(S540="RTDR", S540="RTSR"), Y540 &amp; "BR" &amp; IF(Z540 &lt;&gt; "-", "/" &amp; Z540 &amp; "BT", ""), IF(Z540 &lt;&gt; "-", Y540 &amp; "BT/" &amp; Z540 &amp; "BT", Y540 &amp; "BT"))))</f>
        <v/>
      </c>
    </row>
    <row r="541">
      <c r="A541" t="n">
        <v>558</v>
      </c>
      <c r="B541" t="inlineStr">
        <is>
          <t>SR 1615</t>
        </is>
      </c>
      <c r="C541" t="n">
        <v>0.02</v>
      </c>
      <c r="D541" t="inlineStr">
        <is>
          <t>S</t>
        </is>
      </c>
      <c r="E541" t="inlineStr">
        <is>
          <t>SR 1617</t>
        </is>
      </c>
      <c r="F541" t="inlineStr">
        <is>
          <t>SR 1001</t>
        </is>
      </c>
      <c r="G541" t="inlineStr">
        <is>
          <t>SR 1615</t>
        </is>
      </c>
      <c r="H541" t="n">
        <v>2.204</v>
      </c>
      <c r="I541" t="inlineStr">
        <is>
          <t>NIS</t>
        </is>
      </c>
      <c r="L541" t="n">
        <v>107082068</v>
      </c>
      <c r="M541" s="6" t="n">
        <v>44812</v>
      </c>
      <c r="N541" t="n">
        <v>19</v>
      </c>
      <c r="O541" t="n">
        <v>2</v>
      </c>
      <c r="P541" t="n">
        <v>0</v>
      </c>
      <c r="Q541" t="n">
        <v>5</v>
      </c>
      <c r="R541" t="inlineStr">
        <is>
          <t>B</t>
        </is>
      </c>
      <c r="S541">
        <f>IFERROR(VLOOKUP(N541,Index!$A$1:$B$26,2,FALSE),"")</f>
        <v/>
      </c>
      <c r="T541">
        <f>AA541</f>
        <v/>
      </c>
      <c r="V541">
        <f>IFERROR(INDEX(DetailedFiche!Q:Q,MATCH(L541,DetailedFiche!J:J,0)),"")</f>
        <v/>
      </c>
      <c r="W541">
        <f>IFERROR(INDEX(DetailedFiche!R:R,MATCH(L541,DetailedFiche!J:J,0)),"")</f>
        <v/>
      </c>
      <c r="Y541">
        <f>IFERROR(IF(AND(INDEX('Initial Study'!K:K, MATCH(L541, 'Initial Study'!B:B, 0)+1)&lt;&gt;0,INDEX('Initial Study'!K:K, MATCH(L541, 'Initial Study'!B:B, 0)+1)&lt;&gt;""),INDEX('Initial Study'!K:K, MATCH(L541, 'Initial Study'!B:B, 0)+1),""),"")</f>
        <v/>
      </c>
      <c r="Z541">
        <f>IFERROR(IF(AND(INDEX('Initial Study'!K:K, MATCH(L541, 'Initial Study'!B:B, 0)+2)&lt;&gt;0,INDEX('Initial Study'!K:K, MATCH(L541, 'Initial Study'!B:B, 0)+2)&lt;&gt;"",NOT(ISNUMBER(INDEX('Initial Study'!K:K, MATCH(L541, 'Initial Study'!B:B, 0)+2)))),INDEX('Initial Study'!K:K, MATCH(L541, 'Initial Study'!B:B, 0)+2),"-"),"-")</f>
        <v/>
      </c>
      <c r="AA541">
        <f>IF(S541="RE", Y541 &amp; "BT/" &amp; IF(Z541 &lt;&gt; "-", Z541 &amp; "BT", ""), IF(OR(S541="LTDR", S541="LTSR"), Y541 &amp; "BL" &amp; IF(Z541 &lt;&gt; "-", "/" &amp; Z541 &amp; "BT", ""), IF(OR(S541="RTDR", S541="RTSR"), Y541 &amp; "BR" &amp; IF(Z541 &lt;&gt; "-", "/" &amp; Z541 &amp; "BT", ""), IF(Z541 &lt;&gt; "-", Y541 &amp; "BT/" &amp; Z541 &amp; "BT", Y541 &amp; "BT"))))</f>
        <v/>
      </c>
    </row>
    <row r="542">
      <c r="A542" t="n">
        <v>558</v>
      </c>
      <c r="B542" t="inlineStr">
        <is>
          <t>SR 1615</t>
        </is>
      </c>
      <c r="C542" t="n">
        <v>0</v>
      </c>
      <c r="E542" t="inlineStr">
        <is>
          <t>SR 1001</t>
        </is>
      </c>
      <c r="F542" t="inlineStr">
        <is>
          <t>SR 1619</t>
        </is>
      </c>
      <c r="G542" t="inlineStr">
        <is>
          <t>SR 1615</t>
        </is>
      </c>
      <c r="H542" t="n">
        <v>2.89</v>
      </c>
      <c r="I542" t="inlineStr">
        <is>
          <t>NIS</t>
        </is>
      </c>
      <c r="L542" t="n">
        <v>107574676</v>
      </c>
      <c r="M542" s="6" t="n">
        <v>45283</v>
      </c>
      <c r="N542" t="n">
        <v>19</v>
      </c>
      <c r="O542" t="n">
        <v>1</v>
      </c>
      <c r="P542" t="n">
        <v>8</v>
      </c>
      <c r="Q542" t="n">
        <v>5</v>
      </c>
      <c r="R542" t="inlineStr">
        <is>
          <t>O</t>
        </is>
      </c>
      <c r="S542">
        <f>IFERROR(VLOOKUP(N542,Index!$A$1:$B$26,2,FALSE),"")</f>
        <v/>
      </c>
      <c r="T542">
        <f>AA542</f>
        <v/>
      </c>
      <c r="V542">
        <f>IFERROR(INDEX(DetailedFiche!Q:Q,MATCH(L542,DetailedFiche!J:J,0)),"")</f>
        <v/>
      </c>
      <c r="W542">
        <f>IFERROR(INDEX(DetailedFiche!R:R,MATCH(L542,DetailedFiche!J:J,0)),"")</f>
        <v/>
      </c>
      <c r="Y542">
        <f>IFERROR(IF(AND(INDEX('Initial Study'!K:K, MATCH(L542, 'Initial Study'!B:B, 0)+1)&lt;&gt;0,INDEX('Initial Study'!K:K, MATCH(L542, 'Initial Study'!B:B, 0)+1)&lt;&gt;""),INDEX('Initial Study'!K:K, MATCH(L542, 'Initial Study'!B:B, 0)+1),""),"")</f>
        <v/>
      </c>
      <c r="Z542">
        <f>IFERROR(IF(AND(INDEX('Initial Study'!K:K, MATCH(L542, 'Initial Study'!B:B, 0)+2)&lt;&gt;0,INDEX('Initial Study'!K:K, MATCH(L542, 'Initial Study'!B:B, 0)+2)&lt;&gt;"",NOT(ISNUMBER(INDEX('Initial Study'!K:K, MATCH(L542, 'Initial Study'!B:B, 0)+2)))),INDEX('Initial Study'!K:K, MATCH(L542, 'Initial Study'!B:B, 0)+2),"-"),"-")</f>
        <v/>
      </c>
      <c r="AA542">
        <f>IF(S542="RE", Y542 &amp; "BT/" &amp; IF(Z542 &lt;&gt; "-", Z542 &amp; "BT", ""), IF(OR(S542="LTDR", S542="LTSR"), Y542 &amp; "BL" &amp; IF(Z542 &lt;&gt; "-", "/" &amp; Z542 &amp; "BT", ""), IF(OR(S542="RTDR", S542="RTSR"), Y542 &amp; "BR" &amp; IF(Z542 &lt;&gt; "-", "/" &amp; Z542 &amp; "BT", ""), IF(Z542 &lt;&gt; "-", Y542 &amp; "BT/" &amp; Z542 &amp; "BT", Y542 &amp; "BT"))))</f>
        <v/>
      </c>
    </row>
    <row r="543">
      <c r="A543" t="n">
        <v>558</v>
      </c>
      <c r="B543" t="inlineStr">
        <is>
          <t>SR 1617</t>
        </is>
      </c>
      <c r="C543" t="n">
        <v>0.1</v>
      </c>
      <c r="D543" t="inlineStr">
        <is>
          <t>E</t>
        </is>
      </c>
      <c r="E543" t="inlineStr">
        <is>
          <t>SR 1615</t>
        </is>
      </c>
      <c r="F543" t="inlineStr">
        <is>
          <t>SR 1001</t>
        </is>
      </c>
      <c r="G543" t="inlineStr">
        <is>
          <t>SR 1617</t>
        </is>
      </c>
      <c r="H543" t="n">
        <v>0.1</v>
      </c>
      <c r="I543" t="inlineStr">
        <is>
          <t>NIS</t>
        </is>
      </c>
      <c r="L543" t="n">
        <v>106093727</v>
      </c>
      <c r="M543" s="6" t="n">
        <v>43811</v>
      </c>
      <c r="N543" t="n">
        <v>17</v>
      </c>
      <c r="O543" t="n">
        <v>1</v>
      </c>
      <c r="P543" t="n">
        <v>0</v>
      </c>
      <c r="Q543" t="n">
        <v>5</v>
      </c>
      <c r="R543" t="inlineStr">
        <is>
          <t>C</t>
        </is>
      </c>
      <c r="S543">
        <f>IFERROR(VLOOKUP(N543,Index!$A$1:$B$26,2,FALSE),"")</f>
        <v/>
      </c>
      <c r="T543">
        <f>AA543</f>
        <v/>
      </c>
      <c r="V543">
        <f>IFERROR(INDEX(DetailedFiche!Q:Q,MATCH(L543,DetailedFiche!J:J,0)),"")</f>
        <v/>
      </c>
      <c r="W543">
        <f>IFERROR(INDEX(DetailedFiche!R:R,MATCH(L543,DetailedFiche!J:J,0)),"")</f>
        <v/>
      </c>
      <c r="Y543">
        <f>IFERROR(IF(AND(INDEX('Initial Study'!K:K, MATCH(L543, 'Initial Study'!B:B, 0)+1)&lt;&gt;0,INDEX('Initial Study'!K:K, MATCH(L543, 'Initial Study'!B:B, 0)+1)&lt;&gt;""),INDEX('Initial Study'!K:K, MATCH(L543, 'Initial Study'!B:B, 0)+1),""),"")</f>
        <v/>
      </c>
      <c r="Z543">
        <f>IFERROR(IF(AND(INDEX('Initial Study'!K:K, MATCH(L543, 'Initial Study'!B:B, 0)+2)&lt;&gt;0,INDEX('Initial Study'!K:K, MATCH(L543, 'Initial Study'!B:B, 0)+2)&lt;&gt;"",NOT(ISNUMBER(INDEX('Initial Study'!K:K, MATCH(L543, 'Initial Study'!B:B, 0)+2)))),INDEX('Initial Study'!K:K, MATCH(L543, 'Initial Study'!B:B, 0)+2),"-"),"-")</f>
        <v/>
      </c>
      <c r="AA543">
        <f>IF(S543="RE", Y543 &amp; "BT/" &amp; IF(Z543 &lt;&gt; "-", Z543 &amp; "BT", ""), IF(OR(S543="LTDR", S543="LTSR"), Y543 &amp; "BL" &amp; IF(Z543 &lt;&gt; "-", "/" &amp; Z543 &amp; "BT", ""), IF(OR(S543="RTDR", S543="RTSR"), Y543 &amp; "BR" &amp; IF(Z543 &lt;&gt; "-", "/" &amp; Z543 &amp; "BT", ""), IF(Z543 &lt;&gt; "-", Y543 &amp; "BT/" &amp; Z543 &amp; "BT", Y543 &amp; "BT"))))</f>
        <v/>
      </c>
    </row>
    <row r="544">
      <c r="A544" t="n">
        <v>558</v>
      </c>
      <c r="B544" t="inlineStr">
        <is>
          <t>SR 1617</t>
        </is>
      </c>
      <c r="C544" t="n">
        <v>0.1</v>
      </c>
      <c r="D544" t="inlineStr">
        <is>
          <t>E</t>
        </is>
      </c>
      <c r="E544" t="inlineStr">
        <is>
          <t>SR 1615</t>
        </is>
      </c>
      <c r="F544" t="inlineStr">
        <is>
          <t>SR 1001</t>
        </is>
      </c>
      <c r="G544" t="inlineStr">
        <is>
          <t>SR 1617</t>
        </is>
      </c>
      <c r="H544" t="n">
        <v>0.1</v>
      </c>
      <c r="I544" t="inlineStr">
        <is>
          <t>NIS</t>
        </is>
      </c>
      <c r="L544" t="n">
        <v>105356713</v>
      </c>
      <c r="M544" s="6" t="n">
        <v>43119</v>
      </c>
      <c r="N544" t="n">
        <v>19</v>
      </c>
      <c r="O544" t="n">
        <v>4</v>
      </c>
      <c r="P544" t="n">
        <v>0</v>
      </c>
      <c r="Q544" t="n">
        <v>5</v>
      </c>
      <c r="R544" t="inlineStr">
        <is>
          <t>O</t>
        </is>
      </c>
      <c r="S544">
        <f>IFERROR(VLOOKUP(N544,Index!$A$1:$B$26,2,FALSE),"")</f>
        <v/>
      </c>
      <c r="T544">
        <f>AA544</f>
        <v/>
      </c>
      <c r="V544">
        <f>IFERROR(INDEX(DetailedFiche!Q:Q,MATCH(L544,DetailedFiche!J:J,0)),"")</f>
        <v/>
      </c>
      <c r="W544">
        <f>IFERROR(INDEX(DetailedFiche!R:R,MATCH(L544,DetailedFiche!J:J,0)),"")</f>
        <v/>
      </c>
      <c r="Y544">
        <f>IFERROR(IF(AND(INDEX('Initial Study'!K:K, MATCH(L544, 'Initial Study'!B:B, 0)+1)&lt;&gt;0,INDEX('Initial Study'!K:K, MATCH(L544, 'Initial Study'!B:B, 0)+1)&lt;&gt;""),INDEX('Initial Study'!K:K, MATCH(L544, 'Initial Study'!B:B, 0)+1),""),"")</f>
        <v/>
      </c>
      <c r="Z544">
        <f>IFERROR(IF(AND(INDEX('Initial Study'!K:K, MATCH(L544, 'Initial Study'!B:B, 0)+2)&lt;&gt;0,INDEX('Initial Study'!K:K, MATCH(L544, 'Initial Study'!B:B, 0)+2)&lt;&gt;"",NOT(ISNUMBER(INDEX('Initial Study'!K:K, MATCH(L544, 'Initial Study'!B:B, 0)+2)))),INDEX('Initial Study'!K:K, MATCH(L544, 'Initial Study'!B:B, 0)+2),"-"),"-")</f>
        <v/>
      </c>
      <c r="AA544">
        <f>IF(S544="RE", Y544 &amp; "BT/" &amp; IF(Z544 &lt;&gt; "-", Z544 &amp; "BT", ""), IF(OR(S544="LTDR", S544="LTSR"), Y544 &amp; "BL" &amp; IF(Z544 &lt;&gt; "-", "/" &amp; Z544 &amp; "BT", ""), IF(OR(S544="RTDR", S544="RTSR"), Y544 &amp; "BR" &amp; IF(Z544 &lt;&gt; "-", "/" &amp; Z544 &amp; "BT", ""), IF(Z544 &lt;&gt; "-", Y544 &amp; "BT/" &amp; Z544 &amp; "BT", Y544 &amp; "BT"))))</f>
        <v/>
      </c>
    </row>
    <row r="545">
      <c r="A545" t="n">
        <v>558</v>
      </c>
      <c r="B545" t="inlineStr">
        <is>
          <t>SR 1617</t>
        </is>
      </c>
      <c r="C545" t="n">
        <v>0.2</v>
      </c>
      <c r="D545" t="inlineStr">
        <is>
          <t>SE</t>
        </is>
      </c>
      <c r="E545" t="inlineStr">
        <is>
          <t>SR 1615</t>
        </is>
      </c>
      <c r="F545" t="inlineStr">
        <is>
          <t>SR 1001</t>
        </is>
      </c>
      <c r="G545" t="inlineStr">
        <is>
          <t>SR 1617</t>
        </is>
      </c>
      <c r="H545" t="n">
        <v>0.2</v>
      </c>
      <c r="I545" t="inlineStr">
        <is>
          <t>NIS</t>
        </is>
      </c>
      <c r="L545" t="n">
        <v>107295872</v>
      </c>
      <c r="M545" s="6" t="n">
        <v>45021</v>
      </c>
      <c r="N545" t="n">
        <v>17</v>
      </c>
      <c r="O545" t="n">
        <v>1</v>
      </c>
      <c r="P545" t="n">
        <v>0</v>
      </c>
      <c r="Q545" t="n">
        <v>5</v>
      </c>
      <c r="R545" t="inlineStr">
        <is>
          <t>O</t>
        </is>
      </c>
      <c r="S545">
        <f>IFERROR(VLOOKUP(N545,Index!$A$1:$B$26,2,FALSE),"")</f>
        <v/>
      </c>
      <c r="T545">
        <f>AA545</f>
        <v/>
      </c>
      <c r="V545">
        <f>IFERROR(INDEX(DetailedFiche!Q:Q,MATCH(L545,DetailedFiche!J:J,0)),"")</f>
        <v/>
      </c>
      <c r="W545">
        <f>IFERROR(INDEX(DetailedFiche!R:R,MATCH(L545,DetailedFiche!J:J,0)),"")</f>
        <v/>
      </c>
      <c r="Y545">
        <f>IFERROR(IF(AND(INDEX('Initial Study'!K:K, MATCH(L545, 'Initial Study'!B:B, 0)+1)&lt;&gt;0,INDEX('Initial Study'!K:K, MATCH(L545, 'Initial Study'!B:B, 0)+1)&lt;&gt;""),INDEX('Initial Study'!K:K, MATCH(L545, 'Initial Study'!B:B, 0)+1),""),"")</f>
        <v/>
      </c>
      <c r="Z545">
        <f>IFERROR(IF(AND(INDEX('Initial Study'!K:K, MATCH(L545, 'Initial Study'!B:B, 0)+2)&lt;&gt;0,INDEX('Initial Study'!K:K, MATCH(L545, 'Initial Study'!B:B, 0)+2)&lt;&gt;"",NOT(ISNUMBER(INDEX('Initial Study'!K:K, MATCH(L545, 'Initial Study'!B:B, 0)+2)))),INDEX('Initial Study'!K:K, MATCH(L545, 'Initial Study'!B:B, 0)+2),"-"),"-")</f>
        <v/>
      </c>
      <c r="AA545">
        <f>IF(S545="RE", Y545 &amp; "BT/" &amp; IF(Z545 &lt;&gt; "-", Z545 &amp; "BT", ""), IF(OR(S545="LTDR", S545="LTSR"), Y545 &amp; "BL" &amp; IF(Z545 &lt;&gt; "-", "/" &amp; Z545 &amp; "BT", ""), IF(OR(S545="RTDR", S545="RTSR"), Y545 &amp; "BR" &amp; IF(Z545 &lt;&gt; "-", "/" &amp; Z545 &amp; "BT", ""), IF(Z545 &lt;&gt; "-", Y545 &amp; "BT/" &amp; Z545 &amp; "BT", Y545 &amp; "BT"))))</f>
        <v/>
      </c>
    </row>
    <row r="546">
      <c r="A546" s="9" t="n">
        <v>558</v>
      </c>
      <c r="B546" s="9" t="inlineStr">
        <is>
          <t>SR 1617</t>
        </is>
      </c>
      <c r="C546" s="9" t="n">
        <v>0.028</v>
      </c>
      <c r="D546" s="9" t="inlineStr">
        <is>
          <t>W</t>
        </is>
      </c>
      <c r="E546" s="9" t="inlineStr">
        <is>
          <t>SR 1001</t>
        </is>
      </c>
      <c r="F546" s="9" t="inlineStr">
        <is>
          <t>SR 1615</t>
        </is>
      </c>
      <c r="G546" s="9" t="inlineStr">
        <is>
          <t>SR 1617</t>
        </is>
      </c>
      <c r="H546" s="9" t="n">
        <v>0.512</v>
      </c>
      <c r="I546" s="9" t="inlineStr">
        <is>
          <t>IS</t>
        </is>
      </c>
      <c r="J546" s="9" t="n"/>
      <c r="K546" s="9" t="n"/>
      <c r="L546" s="9" t="n">
        <v>105885258</v>
      </c>
      <c r="M546" s="10" t="n">
        <v>43620</v>
      </c>
      <c r="N546" s="9" t="n">
        <v>29</v>
      </c>
      <c r="O546" s="9" t="n">
        <v>1</v>
      </c>
      <c r="P546" s="9" t="n">
        <v>0</v>
      </c>
      <c r="Q546" s="9" t="n">
        <v>1</v>
      </c>
      <c r="R546" s="9" t="inlineStr">
        <is>
          <t>O</t>
        </is>
      </c>
      <c r="S546" s="9">
        <f>IFERROR(VLOOKUP(N546,Index!$A$1:$B$26,2,FALSE),"")</f>
        <v/>
      </c>
      <c r="T546" s="9">
        <f>AA546</f>
        <v/>
      </c>
      <c r="U546" s="9" t="inlineStr">
        <is>
          <t>SR 1617 MP 0.512, 148 ft west, right at the y-line</t>
        </is>
      </c>
      <c r="V546" s="9">
        <f>IFERROR(INDEX(DetailedFiche!Q:Q,MATCH(L546,DetailedFiche!J:J,0)),"")</f>
        <v/>
      </c>
      <c r="W546" s="9">
        <f>IFERROR(INDEX(DetailedFiche!R:R,MATCH(L546,DetailedFiche!J:J,0)),"")</f>
        <v/>
      </c>
      <c r="X546" s="9" t="n"/>
      <c r="Y546" s="9">
        <f>IFERROR(IF(AND(INDEX('Initial Study'!K:K, MATCH(L546, 'Initial Study'!B:B, 0)+1)&lt;&gt;0,INDEX('Initial Study'!K:K, MATCH(L546, 'Initial Study'!B:B, 0)+1)&lt;&gt;""),INDEX('Initial Study'!K:K, MATCH(L546, 'Initial Study'!B:B, 0)+1),""),"")</f>
        <v/>
      </c>
      <c r="Z546" s="9">
        <f>IFERROR(IF(AND(INDEX('Initial Study'!K:K, MATCH(L546, 'Initial Study'!B:B, 0)+2)&lt;&gt;0,INDEX('Initial Study'!K:K, MATCH(L546, 'Initial Study'!B:B, 0)+2)&lt;&gt;"",NOT(ISNUMBER(INDEX('Initial Study'!K:K, MATCH(L546, 'Initial Study'!B:B, 0)+2)))),INDEX('Initial Study'!K:K, MATCH(L546, 'Initial Study'!B:B, 0)+2),"-"),"-")</f>
        <v/>
      </c>
      <c r="AA546" s="9">
        <f>IF(S546="RE", Y546 &amp; "BT/" &amp; IF(Z546 &lt;&gt; "-", Z546 &amp; "BT", ""), IF(OR(S546="LTDR", S546="LTSR"), Y546 &amp; "BL" &amp; IF(Z546 &lt;&gt; "-", "/" &amp; Z546 &amp; "BT", ""), IF(OR(S546="RTDR", S546="RTSR"), Y546 &amp; "BR" &amp; IF(Z546 &lt;&gt; "-", "/" &amp; Z546 &amp; "BT", ""), IF(Z546 &lt;&gt; "-", Y546 &amp; "BT/" &amp; Z546 &amp; "BT", Y546 &amp; "BT"))))</f>
        <v/>
      </c>
    </row>
    <row r="547">
      <c r="A547" s="9" t="n">
        <v>558</v>
      </c>
      <c r="B547" s="9" t="inlineStr">
        <is>
          <t>SR 1617</t>
        </is>
      </c>
      <c r="C547" s="9" t="n">
        <v>0</v>
      </c>
      <c r="D547" s="9" t="n"/>
      <c r="E547" s="9" t="inlineStr">
        <is>
          <t>SR 1001</t>
        </is>
      </c>
      <c r="F547" s="9" t="n"/>
      <c r="G547" s="9" t="inlineStr">
        <is>
          <t>SR 1617</t>
        </is>
      </c>
      <c r="H547" s="9" t="n">
        <v>0.54</v>
      </c>
      <c r="I547" s="9" t="inlineStr">
        <is>
          <t>IS</t>
        </is>
      </c>
      <c r="J547" s="9" t="n"/>
      <c r="K547" s="9" t="n"/>
      <c r="L547" s="9" t="n">
        <v>104716467</v>
      </c>
      <c r="M547" s="10" t="n">
        <v>42487</v>
      </c>
      <c r="N547" s="9" t="n">
        <v>30</v>
      </c>
      <c r="O547" s="9" t="n">
        <v>1</v>
      </c>
      <c r="P547" s="9" t="n">
        <v>7</v>
      </c>
      <c r="Q547" s="9" t="n">
        <v>1</v>
      </c>
      <c r="R547" s="9" t="inlineStr">
        <is>
          <t>O</t>
        </is>
      </c>
      <c r="S547" s="9">
        <f>IFERROR(VLOOKUP(N547,Index!$A$1:$B$26,2,FALSE),"")</f>
        <v/>
      </c>
      <c r="T547" s="9">
        <f>AA547</f>
        <v/>
      </c>
      <c r="U547" s="9" t="inlineStr">
        <is>
          <t>at the junction, SR 1617 MP 0.540</t>
        </is>
      </c>
      <c r="V547" s="9">
        <f>IFERROR(INDEX(DetailedFiche!Q:Q,MATCH(L547,DetailedFiche!J:J,0)),"")</f>
        <v/>
      </c>
      <c r="W547" s="9">
        <f>IFERROR(INDEX(DetailedFiche!R:R,MATCH(L547,DetailedFiche!J:J,0)),"")</f>
        <v/>
      </c>
      <c r="X547" s="9" t="n"/>
      <c r="Y547" s="9">
        <f>IFERROR(IF(AND(INDEX('Initial Study'!K:K, MATCH(L547, 'Initial Study'!B:B, 0)+1)&lt;&gt;0,INDEX('Initial Study'!K:K, MATCH(L547, 'Initial Study'!B:B, 0)+1)&lt;&gt;""),INDEX('Initial Study'!K:K, MATCH(L547, 'Initial Study'!B:B, 0)+1),""),"")</f>
        <v/>
      </c>
      <c r="Z547" s="9">
        <f>IFERROR(IF(AND(INDEX('Initial Study'!K:K, MATCH(L547, 'Initial Study'!B:B, 0)+2)&lt;&gt;0,INDEX('Initial Study'!K:K, MATCH(L547, 'Initial Study'!B:B, 0)+2)&lt;&gt;"",NOT(ISNUMBER(INDEX('Initial Study'!K:K, MATCH(L547, 'Initial Study'!B:B, 0)+2)))),INDEX('Initial Study'!K:K, MATCH(L547, 'Initial Study'!B:B, 0)+2),"-"),"-")</f>
        <v/>
      </c>
      <c r="AA547" s="9">
        <f>IF(S547="RE", Y547 &amp; "BT/" &amp; IF(Z547 &lt;&gt; "-", Z547 &amp; "BT", ""), IF(OR(S547="LTDR", S547="LTSR"), Y547 &amp; "BL" &amp; IF(Z547 &lt;&gt; "-", "/" &amp; Z547 &amp; "BT", ""), IF(OR(S547="RTDR", S547="RTSR"), Y547 &amp; "BR" &amp; IF(Z547 &lt;&gt; "-", "/" &amp; Z547 &amp; "BT", ""), IF(Z547 &lt;&gt; "-", Y547 &amp; "BT/" &amp; Z547 &amp; "BT", Y547 &amp; "BT"))))</f>
        <v/>
      </c>
    </row>
    <row r="548">
      <c r="A548" t="n">
        <v>558</v>
      </c>
      <c r="B548" t="inlineStr">
        <is>
          <t>SR 1618</t>
        </is>
      </c>
      <c r="C548" t="n">
        <v>0</v>
      </c>
      <c r="D548" t="inlineStr">
        <is>
          <t>E</t>
        </is>
      </c>
      <c r="E548" t="inlineStr">
        <is>
          <t>SR 1001</t>
        </is>
      </c>
      <c r="F548" t="inlineStr">
        <is>
          <t>SR 1637</t>
        </is>
      </c>
      <c r="G548" t="inlineStr">
        <is>
          <t>SR 1618</t>
        </is>
      </c>
      <c r="H548" t="n">
        <v>0</v>
      </c>
      <c r="I548" t="inlineStr">
        <is>
          <t>NIS</t>
        </is>
      </c>
      <c r="L548" t="n">
        <v>105670638</v>
      </c>
      <c r="M548" s="6" t="n">
        <v>43413</v>
      </c>
      <c r="N548" t="n">
        <v>26</v>
      </c>
      <c r="O548" t="n">
        <v>2</v>
      </c>
      <c r="P548" t="n">
        <v>10</v>
      </c>
      <c r="Q548" t="n">
        <v>5</v>
      </c>
      <c r="R548" t="inlineStr">
        <is>
          <t>O</t>
        </is>
      </c>
      <c r="S548">
        <f>IFERROR(VLOOKUP(N548,Index!$A$1:$B$26,2,FALSE),"")</f>
        <v/>
      </c>
      <c r="T548">
        <f>AA548</f>
        <v/>
      </c>
      <c r="V548">
        <f>IFERROR(INDEX(DetailedFiche!Q:Q,MATCH(L548,DetailedFiche!J:J,0)),"")</f>
        <v/>
      </c>
      <c r="W548">
        <f>IFERROR(INDEX(DetailedFiche!R:R,MATCH(L548,DetailedFiche!J:J,0)),"")</f>
        <v/>
      </c>
      <c r="Y548">
        <f>IFERROR(IF(AND(INDEX('Initial Study'!K:K, MATCH(L548, 'Initial Study'!B:B, 0)+1)&lt;&gt;0,INDEX('Initial Study'!K:K, MATCH(L548, 'Initial Study'!B:B, 0)+1)&lt;&gt;""),INDEX('Initial Study'!K:K, MATCH(L548, 'Initial Study'!B:B, 0)+1),""),"")</f>
        <v/>
      </c>
      <c r="Z548">
        <f>IFERROR(IF(AND(INDEX('Initial Study'!K:K, MATCH(L548, 'Initial Study'!B:B, 0)+2)&lt;&gt;0,INDEX('Initial Study'!K:K, MATCH(L548, 'Initial Study'!B:B, 0)+2)&lt;&gt;"",NOT(ISNUMBER(INDEX('Initial Study'!K:K, MATCH(L548, 'Initial Study'!B:B, 0)+2)))),INDEX('Initial Study'!K:K, MATCH(L548, 'Initial Study'!B:B, 0)+2),"-"),"-")</f>
        <v/>
      </c>
      <c r="AA548">
        <f>IF(S548="RE", Y548 &amp; "BT/" &amp; IF(Z548 &lt;&gt; "-", Z548 &amp; "BT", ""), IF(OR(S548="LTDR", S548="LTSR"), Y548 &amp; "BL" &amp; IF(Z548 &lt;&gt; "-", "/" &amp; Z548 &amp; "BT", ""), IF(OR(S548="RTDR", S548="RTSR"), Y548 &amp; "BR" &amp; IF(Z548 &lt;&gt; "-", "/" &amp; Z548 &amp; "BT", ""), IF(Z548 &lt;&gt; "-", Y548 &amp; "BT/" &amp; Z548 &amp; "BT", Y548 &amp; "BT"))))</f>
        <v/>
      </c>
    </row>
    <row r="549">
      <c r="A549" t="n">
        <v>558</v>
      </c>
      <c r="B549" t="inlineStr">
        <is>
          <t>SR 1618</t>
        </is>
      </c>
      <c r="C549" t="n">
        <v>0</v>
      </c>
      <c r="E549" t="inlineStr">
        <is>
          <t>SR 1606</t>
        </is>
      </c>
      <c r="F549" t="inlineStr">
        <is>
          <t>SR 1001</t>
        </is>
      </c>
      <c r="G549" t="inlineStr">
        <is>
          <t>SR 1618</t>
        </is>
      </c>
      <c r="H549" t="n">
        <v>0</v>
      </c>
      <c r="I549" t="inlineStr">
        <is>
          <t>NIS</t>
        </is>
      </c>
      <c r="L549" t="n">
        <v>106096868</v>
      </c>
      <c r="M549" s="6" t="n">
        <v>43811</v>
      </c>
      <c r="N549" t="n">
        <v>26</v>
      </c>
      <c r="O549" t="n">
        <v>1</v>
      </c>
      <c r="P549" t="n">
        <v>10</v>
      </c>
      <c r="Q549" t="n">
        <v>1</v>
      </c>
      <c r="R549" t="inlineStr">
        <is>
          <t>C</t>
        </is>
      </c>
      <c r="S549">
        <f>IFERROR(VLOOKUP(N549,Index!$A$1:$B$26,2,FALSE),"")</f>
        <v/>
      </c>
      <c r="T549">
        <f>AA549</f>
        <v/>
      </c>
      <c r="V549">
        <f>IFERROR(INDEX(DetailedFiche!Q:Q,MATCH(L549,DetailedFiche!J:J,0)),"")</f>
        <v/>
      </c>
      <c r="W549">
        <f>IFERROR(INDEX(DetailedFiche!R:R,MATCH(L549,DetailedFiche!J:J,0)),"")</f>
        <v/>
      </c>
      <c r="Y549">
        <f>IFERROR(IF(AND(INDEX('Initial Study'!K:K, MATCH(L549, 'Initial Study'!B:B, 0)+1)&lt;&gt;0,INDEX('Initial Study'!K:K, MATCH(L549, 'Initial Study'!B:B, 0)+1)&lt;&gt;""),INDEX('Initial Study'!K:K, MATCH(L549, 'Initial Study'!B:B, 0)+1),""),"")</f>
        <v/>
      </c>
      <c r="Z549">
        <f>IFERROR(IF(AND(INDEX('Initial Study'!K:K, MATCH(L549, 'Initial Study'!B:B, 0)+2)&lt;&gt;0,INDEX('Initial Study'!K:K, MATCH(L549, 'Initial Study'!B:B, 0)+2)&lt;&gt;"",NOT(ISNUMBER(INDEX('Initial Study'!K:K, MATCH(L549, 'Initial Study'!B:B, 0)+2)))),INDEX('Initial Study'!K:K, MATCH(L549, 'Initial Study'!B:B, 0)+2),"-"),"-")</f>
        <v/>
      </c>
      <c r="AA549">
        <f>IF(S549="RE", Y549 &amp; "BT/" &amp; IF(Z549 &lt;&gt; "-", Z549 &amp; "BT", ""), IF(OR(S549="LTDR", S549="LTSR"), Y549 &amp; "BL" &amp; IF(Z549 &lt;&gt; "-", "/" &amp; Z549 &amp; "BT", ""), IF(OR(S549="RTDR", S549="RTSR"), Y549 &amp; "BR" &amp; IF(Z549 &lt;&gt; "-", "/" &amp; Z549 &amp; "BT", ""), IF(Z549 &lt;&gt; "-", Y549 &amp; "BT/" &amp; Z549 &amp; "BT", Y549 &amp; "BT"))))</f>
        <v/>
      </c>
    </row>
    <row r="550">
      <c r="A550" t="n">
        <v>558</v>
      </c>
      <c r="B550" t="inlineStr">
        <is>
          <t>SR 1618</t>
        </is>
      </c>
      <c r="C550" t="n">
        <v>0.008</v>
      </c>
      <c r="D550" t="inlineStr">
        <is>
          <t>S</t>
        </is>
      </c>
      <c r="E550" t="inlineStr">
        <is>
          <t>SR 1606</t>
        </is>
      </c>
      <c r="F550" t="inlineStr">
        <is>
          <t>SR 1615</t>
        </is>
      </c>
      <c r="G550" t="inlineStr">
        <is>
          <t>SR 1618</t>
        </is>
      </c>
      <c r="H550" t="n">
        <v>0</v>
      </c>
      <c r="I550" t="inlineStr">
        <is>
          <t>NIS</t>
        </is>
      </c>
      <c r="L550" t="n">
        <v>105669889</v>
      </c>
      <c r="M550" s="6" t="n">
        <v>43411</v>
      </c>
      <c r="N550" t="n">
        <v>21</v>
      </c>
      <c r="O550" t="n">
        <v>1</v>
      </c>
      <c r="P550" t="n">
        <v>10</v>
      </c>
      <c r="Q550" t="n">
        <v>1</v>
      </c>
      <c r="R550" t="inlineStr">
        <is>
          <t>C</t>
        </is>
      </c>
      <c r="S550">
        <f>IFERROR(VLOOKUP(N550,Index!$A$1:$B$26,2,FALSE),"")</f>
        <v/>
      </c>
      <c r="T550">
        <f>AA550</f>
        <v/>
      </c>
      <c r="V550">
        <f>IFERROR(INDEX(DetailedFiche!Q:Q,MATCH(L550,DetailedFiche!J:J,0)),"")</f>
        <v/>
      </c>
      <c r="W550">
        <f>IFERROR(INDEX(DetailedFiche!R:R,MATCH(L550,DetailedFiche!J:J,0)),"")</f>
        <v/>
      </c>
      <c r="Y550">
        <f>IFERROR(IF(AND(INDEX('Initial Study'!K:K, MATCH(L550, 'Initial Study'!B:B, 0)+1)&lt;&gt;0,INDEX('Initial Study'!K:K, MATCH(L550, 'Initial Study'!B:B, 0)+1)&lt;&gt;""),INDEX('Initial Study'!K:K, MATCH(L550, 'Initial Study'!B:B, 0)+1),""),"")</f>
        <v/>
      </c>
      <c r="Z550">
        <f>IFERROR(IF(AND(INDEX('Initial Study'!K:K, MATCH(L550, 'Initial Study'!B:B, 0)+2)&lt;&gt;0,INDEX('Initial Study'!K:K, MATCH(L550, 'Initial Study'!B:B, 0)+2)&lt;&gt;"",NOT(ISNUMBER(INDEX('Initial Study'!K:K, MATCH(L550, 'Initial Study'!B:B, 0)+2)))),INDEX('Initial Study'!K:K, MATCH(L550, 'Initial Study'!B:B, 0)+2),"-"),"-")</f>
        <v/>
      </c>
      <c r="AA550">
        <f>IF(S550="RE", Y550 &amp; "BT/" &amp; IF(Z550 &lt;&gt; "-", Z550 &amp; "BT", ""), IF(OR(S550="LTDR", S550="LTSR"), Y550 &amp; "BL" &amp; IF(Z550 &lt;&gt; "-", "/" &amp; Z550 &amp; "BT", ""), IF(OR(S550="RTDR", S550="RTSR"), Y550 &amp; "BR" &amp; IF(Z550 &lt;&gt; "-", "/" &amp; Z550 &amp; "BT", ""), IF(Z550 &lt;&gt; "-", Y550 &amp; "BT/" &amp; Z550 &amp; "BT", Y550 &amp; "BT"))))</f>
        <v/>
      </c>
    </row>
    <row r="551">
      <c r="A551" t="n">
        <v>558</v>
      </c>
      <c r="B551" t="inlineStr">
        <is>
          <t>SR 1618</t>
        </is>
      </c>
      <c r="C551" t="n">
        <v>0.006</v>
      </c>
      <c r="D551" t="inlineStr">
        <is>
          <t>W</t>
        </is>
      </c>
      <c r="E551" t="inlineStr">
        <is>
          <t>SR 1606</t>
        </is>
      </c>
      <c r="F551" t="inlineStr">
        <is>
          <t>SR 1615</t>
        </is>
      </c>
      <c r="G551" t="inlineStr">
        <is>
          <t>SR 1618</t>
        </is>
      </c>
      <c r="H551" t="n">
        <v>0.006</v>
      </c>
      <c r="I551" t="inlineStr">
        <is>
          <t>NIS</t>
        </is>
      </c>
      <c r="L551" t="n">
        <v>106093757</v>
      </c>
      <c r="M551" s="6" t="n">
        <v>43811</v>
      </c>
      <c r="N551" t="n">
        <v>21</v>
      </c>
      <c r="O551" t="n">
        <v>1</v>
      </c>
      <c r="P551" t="n">
        <v>10</v>
      </c>
      <c r="Q551" t="n">
        <v>1</v>
      </c>
      <c r="R551" t="inlineStr">
        <is>
          <t>O</t>
        </is>
      </c>
      <c r="S551">
        <f>IFERROR(VLOOKUP(N551,Index!$A$1:$B$26,2,FALSE),"")</f>
        <v/>
      </c>
      <c r="T551">
        <f>AA551</f>
        <v/>
      </c>
      <c r="V551">
        <f>IFERROR(INDEX(DetailedFiche!Q:Q,MATCH(L551,DetailedFiche!J:J,0)),"")</f>
        <v/>
      </c>
      <c r="W551">
        <f>IFERROR(INDEX(DetailedFiche!R:R,MATCH(L551,DetailedFiche!J:J,0)),"")</f>
        <v/>
      </c>
      <c r="Y551">
        <f>IFERROR(IF(AND(INDEX('Initial Study'!K:K, MATCH(L551, 'Initial Study'!B:B, 0)+1)&lt;&gt;0,INDEX('Initial Study'!K:K, MATCH(L551, 'Initial Study'!B:B, 0)+1)&lt;&gt;""),INDEX('Initial Study'!K:K, MATCH(L551, 'Initial Study'!B:B, 0)+1),""),"")</f>
        <v/>
      </c>
      <c r="Z551">
        <f>IFERROR(IF(AND(INDEX('Initial Study'!K:K, MATCH(L551, 'Initial Study'!B:B, 0)+2)&lt;&gt;0,INDEX('Initial Study'!K:K, MATCH(L551, 'Initial Study'!B:B, 0)+2)&lt;&gt;"",NOT(ISNUMBER(INDEX('Initial Study'!K:K, MATCH(L551, 'Initial Study'!B:B, 0)+2)))),INDEX('Initial Study'!K:K, MATCH(L551, 'Initial Study'!B:B, 0)+2),"-"),"-")</f>
        <v/>
      </c>
      <c r="AA551">
        <f>IF(S551="RE", Y551 &amp; "BT/" &amp; IF(Z551 &lt;&gt; "-", Z551 &amp; "BT", ""), IF(OR(S551="LTDR", S551="LTSR"), Y551 &amp; "BL" &amp; IF(Z551 &lt;&gt; "-", "/" &amp; Z551 &amp; "BT", ""), IF(OR(S551="RTDR", S551="RTSR"), Y551 &amp; "BR" &amp; IF(Z551 &lt;&gt; "-", "/" &amp; Z551 &amp; "BT", ""), IF(Z551 &lt;&gt; "-", Y551 &amp; "BT/" &amp; Z551 &amp; "BT", Y551 &amp; "BT"))))</f>
        <v/>
      </c>
    </row>
    <row r="552">
      <c r="A552" t="n">
        <v>558</v>
      </c>
      <c r="B552" t="inlineStr">
        <is>
          <t>SR 1618</t>
        </is>
      </c>
      <c r="C552" t="n">
        <v>0.014</v>
      </c>
      <c r="D552" t="inlineStr">
        <is>
          <t>W</t>
        </is>
      </c>
      <c r="E552" t="inlineStr">
        <is>
          <t>SR 1606</t>
        </is>
      </c>
      <c r="F552" t="inlineStr">
        <is>
          <t>SR 2776</t>
        </is>
      </c>
      <c r="G552" t="inlineStr">
        <is>
          <t>SR 1618</t>
        </is>
      </c>
      <c r="H552" t="n">
        <v>0.014</v>
      </c>
      <c r="I552" t="inlineStr">
        <is>
          <t>NIS</t>
        </is>
      </c>
      <c r="L552" t="n">
        <v>105139371</v>
      </c>
      <c r="M552" s="6" t="n">
        <v>42898</v>
      </c>
      <c r="N552" t="n">
        <v>19</v>
      </c>
      <c r="O552" t="n">
        <v>1</v>
      </c>
      <c r="P552" t="n">
        <v>10</v>
      </c>
      <c r="Q552" t="n">
        <v>1</v>
      </c>
      <c r="R552" t="inlineStr">
        <is>
          <t>O</t>
        </is>
      </c>
      <c r="S552">
        <f>IFERROR(VLOOKUP(N552,Index!$A$1:$B$26,2,FALSE),"")</f>
        <v/>
      </c>
      <c r="T552">
        <f>AA552</f>
        <v/>
      </c>
      <c r="V552">
        <f>IFERROR(INDEX(DetailedFiche!Q:Q,MATCH(L552,DetailedFiche!J:J,0)),"")</f>
        <v/>
      </c>
      <c r="W552">
        <f>IFERROR(INDEX(DetailedFiche!R:R,MATCH(L552,DetailedFiche!J:J,0)),"")</f>
        <v/>
      </c>
      <c r="Y552">
        <f>IFERROR(IF(AND(INDEX('Initial Study'!K:K, MATCH(L552, 'Initial Study'!B:B, 0)+1)&lt;&gt;0,INDEX('Initial Study'!K:K, MATCH(L552, 'Initial Study'!B:B, 0)+1)&lt;&gt;""),INDEX('Initial Study'!K:K, MATCH(L552, 'Initial Study'!B:B, 0)+1),""),"")</f>
        <v/>
      </c>
      <c r="Z552">
        <f>IFERROR(IF(AND(INDEX('Initial Study'!K:K, MATCH(L552, 'Initial Study'!B:B, 0)+2)&lt;&gt;0,INDEX('Initial Study'!K:K, MATCH(L552, 'Initial Study'!B:B, 0)+2)&lt;&gt;"",NOT(ISNUMBER(INDEX('Initial Study'!K:K, MATCH(L552, 'Initial Study'!B:B, 0)+2)))),INDEX('Initial Study'!K:K, MATCH(L552, 'Initial Study'!B:B, 0)+2),"-"),"-")</f>
        <v/>
      </c>
      <c r="AA552">
        <f>IF(S552="RE", Y552 &amp; "BT/" &amp; IF(Z552 &lt;&gt; "-", Z552 &amp; "BT", ""), IF(OR(S552="LTDR", S552="LTSR"), Y552 &amp; "BL" &amp; IF(Z552 &lt;&gt; "-", "/" &amp; Z552 &amp; "BT", ""), IF(OR(S552="RTDR", S552="RTSR"), Y552 &amp; "BR" &amp; IF(Z552 &lt;&gt; "-", "/" &amp; Z552 &amp; "BT", ""), IF(Z552 &lt;&gt; "-", Y552 &amp; "BT/" &amp; Z552 &amp; "BT", Y552 &amp; "BT"))))</f>
        <v/>
      </c>
    </row>
    <row r="553">
      <c r="A553" t="n">
        <v>558</v>
      </c>
      <c r="B553" t="inlineStr">
        <is>
          <t>SR 1618</t>
        </is>
      </c>
      <c r="C553" t="n">
        <v>0.019</v>
      </c>
      <c r="D553" t="inlineStr">
        <is>
          <t>W</t>
        </is>
      </c>
      <c r="E553" t="inlineStr">
        <is>
          <t>SR 1001</t>
        </is>
      </c>
      <c r="F553" t="inlineStr">
        <is>
          <t>SR 1615</t>
        </is>
      </c>
      <c r="G553" t="inlineStr">
        <is>
          <t>SR 1618</t>
        </is>
      </c>
      <c r="H553" t="n">
        <v>0.019</v>
      </c>
      <c r="I553" t="inlineStr">
        <is>
          <t>NIS</t>
        </is>
      </c>
      <c r="L553" t="n">
        <v>105283816</v>
      </c>
      <c r="M553" s="6" t="n">
        <v>43046</v>
      </c>
      <c r="N553" t="n">
        <v>21</v>
      </c>
      <c r="O553" t="n">
        <v>1</v>
      </c>
      <c r="P553" t="n">
        <v>0</v>
      </c>
      <c r="Q553" t="n">
        <v>1</v>
      </c>
      <c r="R553" t="inlineStr">
        <is>
          <t>C</t>
        </is>
      </c>
      <c r="S553">
        <f>IFERROR(VLOOKUP(N553,Index!$A$1:$B$26,2,FALSE),"")</f>
        <v/>
      </c>
      <c r="T553">
        <f>AA553</f>
        <v/>
      </c>
      <c r="V553">
        <f>IFERROR(INDEX(DetailedFiche!Q:Q,MATCH(L553,DetailedFiche!J:J,0)),"")</f>
        <v/>
      </c>
      <c r="W553">
        <f>IFERROR(INDEX(DetailedFiche!R:R,MATCH(L553,DetailedFiche!J:J,0)),"")</f>
        <v/>
      </c>
      <c r="Y553">
        <f>IFERROR(IF(AND(INDEX('Initial Study'!K:K, MATCH(L553, 'Initial Study'!B:B, 0)+1)&lt;&gt;0,INDEX('Initial Study'!K:K, MATCH(L553, 'Initial Study'!B:B, 0)+1)&lt;&gt;""),INDEX('Initial Study'!K:K, MATCH(L553, 'Initial Study'!B:B, 0)+1),""),"")</f>
        <v/>
      </c>
      <c r="Z553">
        <f>IFERROR(IF(AND(INDEX('Initial Study'!K:K, MATCH(L553, 'Initial Study'!B:B, 0)+2)&lt;&gt;0,INDEX('Initial Study'!K:K, MATCH(L553, 'Initial Study'!B:B, 0)+2)&lt;&gt;"",NOT(ISNUMBER(INDEX('Initial Study'!K:K, MATCH(L553, 'Initial Study'!B:B, 0)+2)))),INDEX('Initial Study'!K:K, MATCH(L553, 'Initial Study'!B:B, 0)+2),"-"),"-")</f>
        <v/>
      </c>
      <c r="AA553">
        <f>IF(S553="RE", Y553 &amp; "BT/" &amp; IF(Z553 &lt;&gt; "-", Z553 &amp; "BT", ""), IF(OR(S553="LTDR", S553="LTSR"), Y553 &amp; "BL" &amp; IF(Z553 &lt;&gt; "-", "/" &amp; Z553 &amp; "BT", ""), IF(OR(S553="RTDR", S553="RTSR"), Y553 &amp; "BR" &amp; IF(Z553 &lt;&gt; "-", "/" &amp; Z553 &amp; "BT", ""), IF(Z553 &lt;&gt; "-", Y553 &amp; "BT/" &amp; Z553 &amp; "BT", Y553 &amp; "BT"))))</f>
        <v/>
      </c>
    </row>
    <row r="554">
      <c r="A554" t="n">
        <v>558</v>
      </c>
      <c r="B554" t="inlineStr">
        <is>
          <t>SR 1619</t>
        </is>
      </c>
      <c r="C554" t="n">
        <v>0</v>
      </c>
      <c r="E554" t="inlineStr">
        <is>
          <t>SR 1001</t>
        </is>
      </c>
      <c r="F554" t="inlineStr">
        <is>
          <t>SR 1606</t>
        </is>
      </c>
      <c r="G554" t="inlineStr">
        <is>
          <t>SR 1619</t>
        </is>
      </c>
      <c r="H554" t="n">
        <v>0</v>
      </c>
      <c r="I554" t="inlineStr">
        <is>
          <t>NIS</t>
        </is>
      </c>
      <c r="L554" t="n">
        <v>104898405</v>
      </c>
      <c r="M554" s="6" t="n">
        <v>42674</v>
      </c>
      <c r="N554" t="n">
        <v>30</v>
      </c>
      <c r="O554" t="n">
        <v>1</v>
      </c>
      <c r="P554" t="n">
        <v>7</v>
      </c>
      <c r="Q554" t="n">
        <v>1</v>
      </c>
      <c r="R554" t="inlineStr">
        <is>
          <t>C</t>
        </is>
      </c>
      <c r="S554">
        <f>IFERROR(VLOOKUP(N554,Index!$A$1:$B$26,2,FALSE),"")</f>
        <v/>
      </c>
      <c r="T554">
        <f>AA554</f>
        <v/>
      </c>
      <c r="V554">
        <f>IFERROR(INDEX(DetailedFiche!Q:Q,MATCH(L554,DetailedFiche!J:J,0)),"")</f>
        <v/>
      </c>
      <c r="W554">
        <f>IFERROR(INDEX(DetailedFiche!R:R,MATCH(L554,DetailedFiche!J:J,0)),"")</f>
        <v/>
      </c>
      <c r="Y554">
        <f>IFERROR(IF(AND(INDEX('Initial Study'!K:K, MATCH(L554, 'Initial Study'!B:B, 0)+1)&lt;&gt;0,INDEX('Initial Study'!K:K, MATCH(L554, 'Initial Study'!B:B, 0)+1)&lt;&gt;""),INDEX('Initial Study'!K:K, MATCH(L554, 'Initial Study'!B:B, 0)+1),""),"")</f>
        <v/>
      </c>
      <c r="Z554">
        <f>IFERROR(IF(AND(INDEX('Initial Study'!K:K, MATCH(L554, 'Initial Study'!B:B, 0)+2)&lt;&gt;0,INDEX('Initial Study'!K:K, MATCH(L554, 'Initial Study'!B:B, 0)+2)&lt;&gt;"",NOT(ISNUMBER(INDEX('Initial Study'!K:K, MATCH(L554, 'Initial Study'!B:B, 0)+2)))),INDEX('Initial Study'!K:K, MATCH(L554, 'Initial Study'!B:B, 0)+2),"-"),"-")</f>
        <v/>
      </c>
      <c r="AA554">
        <f>IF(S554="RE", Y554 &amp; "BT/" &amp; IF(Z554 &lt;&gt; "-", Z554 &amp; "BT", ""), IF(OR(S554="LTDR", S554="LTSR"), Y554 &amp; "BL" &amp; IF(Z554 &lt;&gt; "-", "/" &amp; Z554 &amp; "BT", ""), IF(OR(S554="RTDR", S554="RTSR"), Y554 &amp; "BR" &amp; IF(Z554 &lt;&gt; "-", "/" &amp; Z554 &amp; "BT", ""), IF(Z554 &lt;&gt; "-", Y554 &amp; "BT/" &amp; Z554 &amp; "BT", Y554 &amp; "BT"))))</f>
        <v/>
      </c>
    </row>
    <row r="555">
      <c r="A555" t="n">
        <v>0</v>
      </c>
      <c r="B555" t="inlineStr">
        <is>
          <t>SR 1619</t>
        </is>
      </c>
      <c r="C555" t="n">
        <v>0.038</v>
      </c>
      <c r="D555" t="inlineStr">
        <is>
          <t>W</t>
        </is>
      </c>
      <c r="E555" t="inlineStr">
        <is>
          <t>SR 1001</t>
        </is>
      </c>
      <c r="F555" t="inlineStr">
        <is>
          <t>UNIONVILLE</t>
        </is>
      </c>
      <c r="G555" t="inlineStr">
        <is>
          <t>SR 1619</t>
        </is>
      </c>
      <c r="H555" t="n">
        <v>0</v>
      </c>
      <c r="I555" t="inlineStr">
        <is>
          <t>NIS</t>
        </is>
      </c>
      <c r="L555" t="n">
        <v>105669961</v>
      </c>
      <c r="M555" s="6" t="n">
        <v>43411</v>
      </c>
      <c r="N555" t="n">
        <v>17</v>
      </c>
      <c r="O555" t="n">
        <v>2</v>
      </c>
      <c r="P555" t="n">
        <v>0</v>
      </c>
      <c r="Q555" t="n">
        <v>5</v>
      </c>
      <c r="R555" t="inlineStr">
        <is>
          <t>O</t>
        </is>
      </c>
      <c r="S555">
        <f>IFERROR(VLOOKUP(N555,Index!$A$1:$B$26,2,FALSE),"")</f>
        <v/>
      </c>
      <c r="T555">
        <f>AA555</f>
        <v/>
      </c>
      <c r="V555">
        <f>IFERROR(INDEX(DetailedFiche!Q:Q,MATCH(L555,DetailedFiche!J:J,0)),"")</f>
        <v/>
      </c>
      <c r="W555">
        <f>IFERROR(INDEX(DetailedFiche!R:R,MATCH(L555,DetailedFiche!J:J,0)),"")</f>
        <v/>
      </c>
      <c r="Y555">
        <f>IFERROR(IF(AND(INDEX('Initial Study'!K:K, MATCH(L555, 'Initial Study'!B:B, 0)+1)&lt;&gt;0,INDEX('Initial Study'!K:K, MATCH(L555, 'Initial Study'!B:B, 0)+1)&lt;&gt;""),INDEX('Initial Study'!K:K, MATCH(L555, 'Initial Study'!B:B, 0)+1),""),"")</f>
        <v/>
      </c>
      <c r="Z555">
        <f>IFERROR(IF(AND(INDEX('Initial Study'!K:K, MATCH(L555, 'Initial Study'!B:B, 0)+2)&lt;&gt;0,INDEX('Initial Study'!K:K, MATCH(L555, 'Initial Study'!B:B, 0)+2)&lt;&gt;"",NOT(ISNUMBER(INDEX('Initial Study'!K:K, MATCH(L555, 'Initial Study'!B:B, 0)+2)))),INDEX('Initial Study'!K:K, MATCH(L555, 'Initial Study'!B:B, 0)+2),"-"),"-")</f>
        <v/>
      </c>
      <c r="AA555">
        <f>IF(S555="RE", Y555 &amp; "BT/" &amp; IF(Z555 &lt;&gt; "-", Z555 &amp; "BT", ""), IF(OR(S555="LTDR", S555="LTSR"), Y555 &amp; "BL" &amp; IF(Z555 &lt;&gt; "-", "/" &amp; Z555 &amp; "BT", ""), IF(OR(S555="RTDR", S555="RTSR"), Y555 &amp; "BR" &amp; IF(Z555 &lt;&gt; "-", "/" &amp; Z555 &amp; "BT", ""), IF(Z555 &lt;&gt; "-", Y555 &amp; "BT/" &amp; Z555 &amp; "BT", Y555 &amp; "BT"))))</f>
        <v/>
      </c>
    </row>
    <row r="556">
      <c r="A556" t="n">
        <v>558</v>
      </c>
      <c r="B556" t="inlineStr">
        <is>
          <t>SR 1619</t>
        </is>
      </c>
      <c r="C556" t="n">
        <v>0.095</v>
      </c>
      <c r="D556" t="inlineStr">
        <is>
          <t>E</t>
        </is>
      </c>
      <c r="E556" t="inlineStr">
        <is>
          <t>SR 1001</t>
        </is>
      </c>
      <c r="F556" t="inlineStr">
        <is>
          <t>SR 1606</t>
        </is>
      </c>
      <c r="G556" t="inlineStr">
        <is>
          <t>SR 1619</t>
        </is>
      </c>
      <c r="H556" t="n">
        <v>0.095</v>
      </c>
      <c r="I556" t="inlineStr">
        <is>
          <t>NIS</t>
        </is>
      </c>
      <c r="L556" t="n">
        <v>105344181</v>
      </c>
      <c r="M556" s="6" t="n">
        <v>43104</v>
      </c>
      <c r="N556" t="n">
        <v>29</v>
      </c>
      <c r="O556" t="n">
        <v>1</v>
      </c>
      <c r="P556" t="n">
        <v>0</v>
      </c>
      <c r="Q556" t="n">
        <v>1</v>
      </c>
      <c r="R556" t="inlineStr">
        <is>
          <t>O</t>
        </is>
      </c>
      <c r="S556">
        <f>IFERROR(VLOOKUP(N556,Index!$A$1:$B$26,2,FALSE),"")</f>
        <v/>
      </c>
      <c r="T556">
        <f>AA556</f>
        <v/>
      </c>
      <c r="V556">
        <f>IFERROR(INDEX(DetailedFiche!Q:Q,MATCH(L556,DetailedFiche!J:J,0)),"")</f>
        <v/>
      </c>
      <c r="W556">
        <f>IFERROR(INDEX(DetailedFiche!R:R,MATCH(L556,DetailedFiche!J:J,0)),"")</f>
        <v/>
      </c>
      <c r="Y556">
        <f>IFERROR(IF(AND(INDEX('Initial Study'!K:K, MATCH(L556, 'Initial Study'!B:B, 0)+1)&lt;&gt;0,INDEX('Initial Study'!K:K, MATCH(L556, 'Initial Study'!B:B, 0)+1)&lt;&gt;""),INDEX('Initial Study'!K:K, MATCH(L556, 'Initial Study'!B:B, 0)+1),""),"")</f>
        <v/>
      </c>
      <c r="Z556">
        <f>IFERROR(IF(AND(INDEX('Initial Study'!K:K, MATCH(L556, 'Initial Study'!B:B, 0)+2)&lt;&gt;0,INDEX('Initial Study'!K:K, MATCH(L556, 'Initial Study'!B:B, 0)+2)&lt;&gt;"",NOT(ISNUMBER(INDEX('Initial Study'!K:K, MATCH(L556, 'Initial Study'!B:B, 0)+2)))),INDEX('Initial Study'!K:K, MATCH(L556, 'Initial Study'!B:B, 0)+2),"-"),"-")</f>
        <v/>
      </c>
      <c r="AA556">
        <f>IF(S556="RE", Y556 &amp; "BT/" &amp; IF(Z556 &lt;&gt; "-", Z556 &amp; "BT", ""), IF(OR(S556="LTDR", S556="LTSR"), Y556 &amp; "BL" &amp; IF(Z556 &lt;&gt; "-", "/" &amp; Z556 &amp; "BT", ""), IF(OR(S556="RTDR", S556="RTSR"), Y556 &amp; "BR" &amp; IF(Z556 &lt;&gt; "-", "/" &amp; Z556 &amp; "BT", ""), IF(Z556 &lt;&gt; "-", Y556 &amp; "BT/" &amp; Z556 &amp; "BT", Y556 &amp; "BT"))))</f>
        <v/>
      </c>
    </row>
    <row r="557">
      <c r="A557" t="n">
        <v>558</v>
      </c>
      <c r="B557" t="inlineStr">
        <is>
          <t>SR 1619</t>
        </is>
      </c>
      <c r="C557" t="n">
        <v>0.095</v>
      </c>
      <c r="D557" t="inlineStr">
        <is>
          <t>E</t>
        </is>
      </c>
      <c r="E557" t="inlineStr">
        <is>
          <t>SR 1001</t>
        </is>
      </c>
      <c r="F557" t="inlineStr">
        <is>
          <t>SR 1606</t>
        </is>
      </c>
      <c r="G557" t="inlineStr">
        <is>
          <t>SR 1619</t>
        </is>
      </c>
      <c r="H557" t="n">
        <v>0.095</v>
      </c>
      <c r="I557" t="inlineStr">
        <is>
          <t>NIS</t>
        </is>
      </c>
      <c r="L557" t="n">
        <v>107771302</v>
      </c>
      <c r="M557" s="6" t="n">
        <v>45468</v>
      </c>
      <c r="N557" t="n">
        <v>17</v>
      </c>
      <c r="O557" t="n">
        <v>1</v>
      </c>
      <c r="P557" t="n">
        <v>0</v>
      </c>
      <c r="Q557" t="n">
        <v>5</v>
      </c>
      <c r="R557" t="inlineStr">
        <is>
          <t>O</t>
        </is>
      </c>
      <c r="S557">
        <f>IFERROR(VLOOKUP(N557,Index!$A$1:$B$26,2,FALSE),"")</f>
        <v/>
      </c>
      <c r="T557">
        <f>AA557</f>
        <v/>
      </c>
      <c r="V557">
        <f>IFERROR(INDEX(DetailedFiche!Q:Q,MATCH(L557,DetailedFiche!J:J,0)),"")</f>
        <v/>
      </c>
      <c r="W557">
        <f>IFERROR(INDEX(DetailedFiche!R:R,MATCH(L557,DetailedFiche!J:J,0)),"")</f>
        <v/>
      </c>
      <c r="Y557">
        <f>IFERROR(IF(AND(INDEX('Initial Study'!K:K, MATCH(L557, 'Initial Study'!B:B, 0)+1)&lt;&gt;0,INDEX('Initial Study'!K:K, MATCH(L557, 'Initial Study'!B:B, 0)+1)&lt;&gt;""),INDEX('Initial Study'!K:K, MATCH(L557, 'Initial Study'!B:B, 0)+1),""),"")</f>
        <v/>
      </c>
      <c r="Z557">
        <f>IFERROR(IF(AND(INDEX('Initial Study'!K:K, MATCH(L557, 'Initial Study'!B:B, 0)+2)&lt;&gt;0,INDEX('Initial Study'!K:K, MATCH(L557, 'Initial Study'!B:B, 0)+2)&lt;&gt;"",NOT(ISNUMBER(INDEX('Initial Study'!K:K, MATCH(L557, 'Initial Study'!B:B, 0)+2)))),INDEX('Initial Study'!K:K, MATCH(L557, 'Initial Study'!B:B, 0)+2),"-"),"-")</f>
        <v/>
      </c>
      <c r="AA557">
        <f>IF(S557="RE", Y557 &amp; "BT/" &amp; IF(Z557 &lt;&gt; "-", Z557 &amp; "BT", ""), IF(OR(S557="LTDR", S557="LTSR"), Y557 &amp; "BL" &amp; IF(Z557 &lt;&gt; "-", "/" &amp; Z557 &amp; "BT", ""), IF(OR(S557="RTDR", S557="RTSR"), Y557 &amp; "BR" &amp; IF(Z557 &lt;&gt; "-", "/" &amp; Z557 &amp; "BT", ""), IF(Z557 &lt;&gt; "-", Y557 &amp; "BT/" &amp; Z557 &amp; "BT", Y557 &amp; "BT"))))</f>
        <v/>
      </c>
    </row>
    <row r="558">
      <c r="A558" t="n">
        <v>558</v>
      </c>
      <c r="B558" t="inlineStr">
        <is>
          <t>SR 1619</t>
        </is>
      </c>
      <c r="C558" t="n">
        <v>0.1</v>
      </c>
      <c r="D558" t="inlineStr">
        <is>
          <t>E</t>
        </is>
      </c>
      <c r="E558" t="inlineStr">
        <is>
          <t>SR 1001</t>
        </is>
      </c>
      <c r="F558" t="inlineStr">
        <is>
          <t>SR 1681</t>
        </is>
      </c>
      <c r="G558" t="inlineStr">
        <is>
          <t>SR 1619</t>
        </is>
      </c>
      <c r="H558" t="n">
        <v>0.1</v>
      </c>
      <c r="I558" t="inlineStr">
        <is>
          <t>NIS</t>
        </is>
      </c>
      <c r="L558" t="n">
        <v>105517517</v>
      </c>
      <c r="M558" s="6" t="n">
        <v>43267</v>
      </c>
      <c r="N558" t="n">
        <v>17</v>
      </c>
      <c r="O558" t="n">
        <v>1</v>
      </c>
      <c r="Q558" t="n">
        <v>5</v>
      </c>
      <c r="R558" t="inlineStr">
        <is>
          <t>O</t>
        </is>
      </c>
      <c r="S558">
        <f>IFERROR(VLOOKUP(N558,Index!$A$1:$B$26,2,FALSE),"")</f>
        <v/>
      </c>
      <c r="T558">
        <f>AA558</f>
        <v/>
      </c>
      <c r="V558">
        <f>IFERROR(INDEX(DetailedFiche!Q:Q,MATCH(L558,DetailedFiche!J:J,0)),"")</f>
        <v/>
      </c>
      <c r="W558">
        <f>IFERROR(INDEX(DetailedFiche!R:R,MATCH(L558,DetailedFiche!J:J,0)),"")</f>
        <v/>
      </c>
      <c r="Y558">
        <f>IFERROR(IF(AND(INDEX('Initial Study'!K:K, MATCH(L558, 'Initial Study'!B:B, 0)+1)&lt;&gt;0,INDEX('Initial Study'!K:K, MATCH(L558, 'Initial Study'!B:B, 0)+1)&lt;&gt;""),INDEX('Initial Study'!K:K, MATCH(L558, 'Initial Study'!B:B, 0)+1),""),"")</f>
        <v/>
      </c>
      <c r="Z558">
        <f>IFERROR(IF(AND(INDEX('Initial Study'!K:K, MATCH(L558, 'Initial Study'!B:B, 0)+2)&lt;&gt;0,INDEX('Initial Study'!K:K, MATCH(L558, 'Initial Study'!B:B, 0)+2)&lt;&gt;"",NOT(ISNUMBER(INDEX('Initial Study'!K:K, MATCH(L558, 'Initial Study'!B:B, 0)+2)))),INDEX('Initial Study'!K:K, MATCH(L558, 'Initial Study'!B:B, 0)+2),"-"),"-")</f>
        <v/>
      </c>
      <c r="AA558">
        <f>IF(S558="RE", Y558 &amp; "BT/" &amp; IF(Z558 &lt;&gt; "-", Z558 &amp; "BT", ""), IF(OR(S558="LTDR", S558="LTSR"), Y558 &amp; "BL" &amp; IF(Z558 &lt;&gt; "-", "/" &amp; Z558 &amp; "BT", ""), IF(OR(S558="RTDR", S558="RTSR"), Y558 &amp; "BR" &amp; IF(Z558 &lt;&gt; "-", "/" &amp; Z558 &amp; "BT", ""), IF(Z558 &lt;&gt; "-", Y558 &amp; "BT/" &amp; Z558 &amp; "BT", Y558 &amp; "BT"))))</f>
        <v/>
      </c>
    </row>
    <row r="559">
      <c r="A559" t="n">
        <v>558</v>
      </c>
      <c r="B559" t="inlineStr">
        <is>
          <t>SR 1619</t>
        </is>
      </c>
      <c r="C559" t="n">
        <v>0.38</v>
      </c>
      <c r="D559" t="inlineStr">
        <is>
          <t>E</t>
        </is>
      </c>
      <c r="E559" t="inlineStr">
        <is>
          <t>SR 1001</t>
        </is>
      </c>
      <c r="F559" t="inlineStr">
        <is>
          <t>SR 1681</t>
        </is>
      </c>
      <c r="G559" t="inlineStr">
        <is>
          <t>SR 1619</t>
        </is>
      </c>
      <c r="H559" t="n">
        <v>0.38</v>
      </c>
      <c r="I559" t="inlineStr">
        <is>
          <t>NIS</t>
        </is>
      </c>
      <c r="L559" t="n">
        <v>106111340</v>
      </c>
      <c r="M559" s="6" t="n">
        <v>43823</v>
      </c>
      <c r="N559" t="n">
        <v>23</v>
      </c>
      <c r="O559" t="n">
        <v>1</v>
      </c>
      <c r="P559" t="n">
        <v>0</v>
      </c>
      <c r="Q559" t="n">
        <v>1</v>
      </c>
      <c r="R559" t="inlineStr">
        <is>
          <t>B</t>
        </is>
      </c>
      <c r="S559">
        <f>IFERROR(VLOOKUP(N559,Index!$A$1:$B$26,2,FALSE),"")</f>
        <v/>
      </c>
      <c r="T559">
        <f>AA559</f>
        <v/>
      </c>
      <c r="V559">
        <f>IFERROR(INDEX(DetailedFiche!Q:Q,MATCH(L559,DetailedFiche!J:J,0)),"")</f>
        <v/>
      </c>
      <c r="W559">
        <f>IFERROR(INDEX(DetailedFiche!R:R,MATCH(L559,DetailedFiche!J:J,0)),"")</f>
        <v/>
      </c>
      <c r="Y559">
        <f>IFERROR(IF(AND(INDEX('Initial Study'!K:K, MATCH(L559, 'Initial Study'!B:B, 0)+1)&lt;&gt;0,INDEX('Initial Study'!K:K, MATCH(L559, 'Initial Study'!B:B, 0)+1)&lt;&gt;""),INDEX('Initial Study'!K:K, MATCH(L559, 'Initial Study'!B:B, 0)+1),""),"")</f>
        <v/>
      </c>
      <c r="Z559">
        <f>IFERROR(IF(AND(INDEX('Initial Study'!K:K, MATCH(L559, 'Initial Study'!B:B, 0)+2)&lt;&gt;0,INDEX('Initial Study'!K:K, MATCH(L559, 'Initial Study'!B:B, 0)+2)&lt;&gt;"",NOT(ISNUMBER(INDEX('Initial Study'!K:K, MATCH(L559, 'Initial Study'!B:B, 0)+2)))),INDEX('Initial Study'!K:K, MATCH(L559, 'Initial Study'!B:B, 0)+2),"-"),"-")</f>
        <v/>
      </c>
      <c r="AA559">
        <f>IF(S559="RE", Y559 &amp; "BT/" &amp; IF(Z559 &lt;&gt; "-", Z559 &amp; "BT", ""), IF(OR(S559="LTDR", S559="LTSR"), Y559 &amp; "BL" &amp; IF(Z559 &lt;&gt; "-", "/" &amp; Z559 &amp; "BT", ""), IF(OR(S559="RTDR", S559="RTSR"), Y559 &amp; "BR" &amp; IF(Z559 &lt;&gt; "-", "/" &amp; Z559 &amp; "BT", ""), IF(Z559 &lt;&gt; "-", Y559 &amp; "BT/" &amp; Z559 &amp; "BT", Y559 &amp; "BT"))))</f>
        <v/>
      </c>
    </row>
    <row r="560">
      <c r="A560" t="n">
        <v>558</v>
      </c>
      <c r="B560" t="inlineStr">
        <is>
          <t>SR 1619</t>
        </is>
      </c>
      <c r="C560" t="n">
        <v>0</v>
      </c>
      <c r="E560" t="inlineStr">
        <is>
          <t>SR 1681</t>
        </is>
      </c>
      <c r="G560" t="inlineStr">
        <is>
          <t>SR 1619</t>
        </is>
      </c>
      <c r="H560" t="n">
        <v>0.573</v>
      </c>
      <c r="I560" t="inlineStr">
        <is>
          <t>NIS</t>
        </is>
      </c>
      <c r="L560" t="n">
        <v>107533157</v>
      </c>
      <c r="M560" s="6" t="n">
        <v>45249</v>
      </c>
      <c r="N560" t="n">
        <v>19</v>
      </c>
      <c r="O560" t="n">
        <v>1</v>
      </c>
      <c r="P560" t="n">
        <v>8</v>
      </c>
      <c r="Q560" t="n">
        <v>1</v>
      </c>
      <c r="R560" t="inlineStr">
        <is>
          <t>O</t>
        </is>
      </c>
      <c r="S560">
        <f>IFERROR(VLOOKUP(N560,Index!$A$1:$B$26,2,FALSE),"")</f>
        <v/>
      </c>
      <c r="T560">
        <f>AA560</f>
        <v/>
      </c>
      <c r="V560">
        <f>IFERROR(INDEX(DetailedFiche!Q:Q,MATCH(L560,DetailedFiche!J:J,0)),"")</f>
        <v/>
      </c>
      <c r="W560">
        <f>IFERROR(INDEX(DetailedFiche!R:R,MATCH(L560,DetailedFiche!J:J,0)),"")</f>
        <v/>
      </c>
      <c r="Y560">
        <f>IFERROR(IF(AND(INDEX('Initial Study'!K:K, MATCH(L560, 'Initial Study'!B:B, 0)+1)&lt;&gt;0,INDEX('Initial Study'!K:K, MATCH(L560, 'Initial Study'!B:B, 0)+1)&lt;&gt;""),INDEX('Initial Study'!K:K, MATCH(L560, 'Initial Study'!B:B, 0)+1),""),"")</f>
        <v/>
      </c>
      <c r="Z560">
        <f>IFERROR(IF(AND(INDEX('Initial Study'!K:K, MATCH(L560, 'Initial Study'!B:B, 0)+2)&lt;&gt;0,INDEX('Initial Study'!K:K, MATCH(L560, 'Initial Study'!B:B, 0)+2)&lt;&gt;"",NOT(ISNUMBER(INDEX('Initial Study'!K:K, MATCH(L560, 'Initial Study'!B:B, 0)+2)))),INDEX('Initial Study'!K:K, MATCH(L560, 'Initial Study'!B:B, 0)+2),"-"),"-")</f>
        <v/>
      </c>
      <c r="AA560">
        <f>IF(S560="RE", Y560 &amp; "BT/" &amp; IF(Z560 &lt;&gt; "-", Z560 &amp; "BT", ""), IF(OR(S560="LTDR", S560="LTSR"), Y560 &amp; "BL" &amp; IF(Z560 &lt;&gt; "-", "/" &amp; Z560 &amp; "BT", ""), IF(OR(S560="RTDR", S560="RTSR"), Y560 &amp; "BR" &amp; IF(Z560 &lt;&gt; "-", "/" &amp; Z560 &amp; "BT", ""), IF(Z560 &lt;&gt; "-", Y560 &amp; "BT/" &amp; Z560 &amp; "BT", Y560 &amp; "BT"))))</f>
        <v/>
      </c>
    </row>
    <row r="561">
      <c r="A561" t="n">
        <v>558</v>
      </c>
      <c r="B561" t="inlineStr">
        <is>
          <t>SR 1619</t>
        </is>
      </c>
      <c r="C561" t="n">
        <v>0.008999999999999999</v>
      </c>
      <c r="D561" t="inlineStr">
        <is>
          <t>E</t>
        </is>
      </c>
      <c r="E561" t="inlineStr">
        <is>
          <t>SR 2116</t>
        </is>
      </c>
      <c r="F561" t="inlineStr">
        <is>
          <t>SR 1681</t>
        </is>
      </c>
      <c r="G561" t="inlineStr">
        <is>
          <t>SR 1619</t>
        </is>
      </c>
      <c r="H561" t="n">
        <v>999.999</v>
      </c>
      <c r="I561" t="inlineStr">
        <is>
          <t>NIS</t>
        </is>
      </c>
      <c r="L561" t="n">
        <v>107278206</v>
      </c>
      <c r="M561" s="6" t="n">
        <v>45006</v>
      </c>
      <c r="N561" t="n">
        <v>29</v>
      </c>
      <c r="O561" t="n">
        <v>1</v>
      </c>
      <c r="P561" t="n">
        <v>0</v>
      </c>
      <c r="Q561" t="n">
        <v>1</v>
      </c>
      <c r="R561" t="inlineStr">
        <is>
          <t>O</t>
        </is>
      </c>
      <c r="S561">
        <f>IFERROR(VLOOKUP(N561,Index!$A$1:$B$26,2,FALSE),"")</f>
        <v/>
      </c>
      <c r="T561">
        <f>AA561</f>
        <v/>
      </c>
      <c r="V561">
        <f>IFERROR(INDEX(DetailedFiche!Q:Q,MATCH(L561,DetailedFiche!J:J,0)),"")</f>
        <v/>
      </c>
      <c r="W561">
        <f>IFERROR(INDEX(DetailedFiche!R:R,MATCH(L561,DetailedFiche!J:J,0)),"")</f>
        <v/>
      </c>
      <c r="Y561">
        <f>IFERROR(IF(AND(INDEX('Initial Study'!K:K, MATCH(L561, 'Initial Study'!B:B, 0)+1)&lt;&gt;0,INDEX('Initial Study'!K:K, MATCH(L561, 'Initial Study'!B:B, 0)+1)&lt;&gt;""),INDEX('Initial Study'!K:K, MATCH(L561, 'Initial Study'!B:B, 0)+1),""),"")</f>
        <v/>
      </c>
      <c r="Z561">
        <f>IFERROR(IF(AND(INDEX('Initial Study'!K:K, MATCH(L561, 'Initial Study'!B:B, 0)+2)&lt;&gt;0,INDEX('Initial Study'!K:K, MATCH(L561, 'Initial Study'!B:B, 0)+2)&lt;&gt;"",NOT(ISNUMBER(INDEX('Initial Study'!K:K, MATCH(L561, 'Initial Study'!B:B, 0)+2)))),INDEX('Initial Study'!K:K, MATCH(L561, 'Initial Study'!B:B, 0)+2),"-"),"-")</f>
        <v/>
      </c>
      <c r="AA561">
        <f>IF(S561="RE", Y561 &amp; "BT/" &amp; IF(Z561 &lt;&gt; "-", Z561 &amp; "BT", ""), IF(OR(S561="LTDR", S561="LTSR"), Y561 &amp; "BL" &amp; IF(Z561 &lt;&gt; "-", "/" &amp; Z561 &amp; "BT", ""), IF(OR(S561="RTDR", S561="RTSR"), Y561 &amp; "BR" &amp; IF(Z561 &lt;&gt; "-", "/" &amp; Z561 &amp; "BT", ""), IF(Z561 &lt;&gt; "-", Y561 &amp; "BT/" &amp; Z561 &amp; "BT", Y561 &amp; "BT"))))</f>
        <v/>
      </c>
    </row>
    <row r="562">
      <c r="A562" t="n">
        <v>558</v>
      </c>
      <c r="B562" t="inlineStr">
        <is>
          <t>SR 1627</t>
        </is>
      </c>
      <c r="C562" t="n">
        <v>0</v>
      </c>
      <c r="E562" t="inlineStr">
        <is>
          <t>SR 1606</t>
        </is>
      </c>
      <c r="F562" t="inlineStr">
        <is>
          <t>SR 1633</t>
        </is>
      </c>
      <c r="G562" t="inlineStr">
        <is>
          <t>SR 1627</t>
        </is>
      </c>
      <c r="H562" t="n">
        <v>1.256</v>
      </c>
      <c r="I562" t="inlineStr">
        <is>
          <t>NIS</t>
        </is>
      </c>
      <c r="L562" t="n">
        <v>106592205</v>
      </c>
      <c r="M562" s="6" t="n">
        <v>44349</v>
      </c>
      <c r="N562" t="n">
        <v>30</v>
      </c>
      <c r="O562" t="n">
        <v>1</v>
      </c>
      <c r="P562" t="n">
        <v>7</v>
      </c>
      <c r="Q562" t="n">
        <v>5</v>
      </c>
      <c r="R562" t="inlineStr">
        <is>
          <t>C</t>
        </is>
      </c>
      <c r="S562">
        <f>IFERROR(VLOOKUP(N562,Index!$A$1:$B$26,2,FALSE),"")</f>
        <v/>
      </c>
      <c r="T562">
        <f>AA562</f>
        <v/>
      </c>
      <c r="V562">
        <f>IFERROR(INDEX(DetailedFiche!Q:Q,MATCH(L562,DetailedFiche!J:J,0)),"")</f>
        <v/>
      </c>
      <c r="W562">
        <f>IFERROR(INDEX(DetailedFiche!R:R,MATCH(L562,DetailedFiche!J:J,0)),"")</f>
        <v/>
      </c>
      <c r="Y562">
        <f>IFERROR(IF(AND(INDEX('Initial Study'!K:K, MATCH(L562, 'Initial Study'!B:B, 0)+1)&lt;&gt;0,INDEX('Initial Study'!K:K, MATCH(L562, 'Initial Study'!B:B, 0)+1)&lt;&gt;""),INDEX('Initial Study'!K:K, MATCH(L562, 'Initial Study'!B:B, 0)+1),""),"")</f>
        <v/>
      </c>
      <c r="Z562">
        <f>IFERROR(IF(AND(INDEX('Initial Study'!K:K, MATCH(L562, 'Initial Study'!B:B, 0)+2)&lt;&gt;0,INDEX('Initial Study'!K:K, MATCH(L562, 'Initial Study'!B:B, 0)+2)&lt;&gt;"",NOT(ISNUMBER(INDEX('Initial Study'!K:K, MATCH(L562, 'Initial Study'!B:B, 0)+2)))),INDEX('Initial Study'!K:K, MATCH(L562, 'Initial Study'!B:B, 0)+2),"-"),"-")</f>
        <v/>
      </c>
      <c r="AA562">
        <f>IF(S562="RE", Y562 &amp; "BT/" &amp; IF(Z562 &lt;&gt; "-", Z562 &amp; "BT", ""), IF(OR(S562="LTDR", S562="LTSR"), Y562 &amp; "BL" &amp; IF(Z562 &lt;&gt; "-", "/" &amp; Z562 &amp; "BT", ""), IF(OR(S562="RTDR", S562="RTSR"), Y562 &amp; "BR" &amp; IF(Z562 &lt;&gt; "-", "/" &amp; Z562 &amp; "BT", ""), IF(Z562 &lt;&gt; "-", Y562 &amp; "BT/" &amp; Z562 &amp; "BT", Y562 &amp; "BT"))))</f>
        <v/>
      </c>
    </row>
    <row r="563">
      <c r="A563" t="n">
        <v>0</v>
      </c>
      <c r="B563" t="inlineStr">
        <is>
          <t>SR 1627</t>
        </is>
      </c>
      <c r="C563" t="n">
        <v>0</v>
      </c>
      <c r="E563" t="inlineStr">
        <is>
          <t>SR 1606</t>
        </is>
      </c>
      <c r="F563" t="inlineStr">
        <is>
          <t>NC 200</t>
        </is>
      </c>
      <c r="G563" t="inlineStr">
        <is>
          <t>SR 1627</t>
        </is>
      </c>
      <c r="H563" t="n">
        <v>1.256</v>
      </c>
      <c r="I563" t="inlineStr">
        <is>
          <t>NIS</t>
        </is>
      </c>
      <c r="L563" t="n">
        <v>105624868</v>
      </c>
      <c r="M563" s="6" t="n">
        <v>43375</v>
      </c>
      <c r="N563" t="n">
        <v>30</v>
      </c>
      <c r="O563" t="n">
        <v>1</v>
      </c>
      <c r="P563" t="n">
        <v>7</v>
      </c>
      <c r="Q563" t="n">
        <v>1</v>
      </c>
      <c r="R563" t="inlineStr">
        <is>
          <t>O</t>
        </is>
      </c>
      <c r="S563">
        <f>IFERROR(VLOOKUP(N563,Index!$A$1:$B$26,2,FALSE),"")</f>
        <v/>
      </c>
      <c r="T563">
        <f>AA563</f>
        <v/>
      </c>
      <c r="V563">
        <f>IFERROR(INDEX(DetailedFiche!Q:Q,MATCH(L563,DetailedFiche!J:J,0)),"")</f>
        <v/>
      </c>
      <c r="W563">
        <f>IFERROR(INDEX(DetailedFiche!R:R,MATCH(L563,DetailedFiche!J:J,0)),"")</f>
        <v/>
      </c>
      <c r="Y563">
        <f>IFERROR(IF(AND(INDEX('Initial Study'!K:K, MATCH(L563, 'Initial Study'!B:B, 0)+1)&lt;&gt;0,INDEX('Initial Study'!K:K, MATCH(L563, 'Initial Study'!B:B, 0)+1)&lt;&gt;""),INDEX('Initial Study'!K:K, MATCH(L563, 'Initial Study'!B:B, 0)+1),""),"")</f>
        <v/>
      </c>
      <c r="Z563">
        <f>IFERROR(IF(AND(INDEX('Initial Study'!K:K, MATCH(L563, 'Initial Study'!B:B, 0)+2)&lt;&gt;0,INDEX('Initial Study'!K:K, MATCH(L563, 'Initial Study'!B:B, 0)+2)&lt;&gt;"",NOT(ISNUMBER(INDEX('Initial Study'!K:K, MATCH(L563, 'Initial Study'!B:B, 0)+2)))),INDEX('Initial Study'!K:K, MATCH(L563, 'Initial Study'!B:B, 0)+2),"-"),"-")</f>
        <v/>
      </c>
      <c r="AA563">
        <f>IF(S563="RE", Y563 &amp; "BT/" &amp; IF(Z563 &lt;&gt; "-", Z563 &amp; "BT", ""), IF(OR(S563="LTDR", S563="LTSR"), Y563 &amp; "BL" &amp; IF(Z563 &lt;&gt; "-", "/" &amp; Z563 &amp; "BT", ""), IF(OR(S563="RTDR", S563="RTSR"), Y563 &amp; "BR" &amp; IF(Z563 &lt;&gt; "-", "/" &amp; Z563 &amp; "BT", ""), IF(Z563 &lt;&gt; "-", Y563 &amp; "BT/" &amp; Z563 &amp; "BT", Y563 &amp; "BT"))))</f>
        <v/>
      </c>
    </row>
    <row r="564">
      <c r="A564" t="n">
        <v>558</v>
      </c>
      <c r="B564" t="inlineStr">
        <is>
          <t>SR 1627</t>
        </is>
      </c>
      <c r="C564" t="n">
        <v>0</v>
      </c>
      <c r="E564" t="inlineStr">
        <is>
          <t>SR 1606</t>
        </is>
      </c>
      <c r="F564" t="inlineStr">
        <is>
          <t>NC 200</t>
        </is>
      </c>
      <c r="G564" t="inlineStr">
        <is>
          <t>SR 1627</t>
        </is>
      </c>
      <c r="H564" t="n">
        <v>1.256</v>
      </c>
      <c r="I564" t="inlineStr">
        <is>
          <t>NIS</t>
        </is>
      </c>
      <c r="L564" t="n">
        <v>105331514</v>
      </c>
      <c r="M564" s="6" t="n">
        <v>43088</v>
      </c>
      <c r="N564" t="n">
        <v>30</v>
      </c>
      <c r="O564" t="n">
        <v>1</v>
      </c>
      <c r="P564" t="n">
        <v>7</v>
      </c>
      <c r="Q564" t="n">
        <v>1</v>
      </c>
      <c r="R564" t="inlineStr">
        <is>
          <t>A</t>
        </is>
      </c>
      <c r="S564">
        <f>IFERROR(VLOOKUP(N564,Index!$A$1:$B$26,2,FALSE),"")</f>
        <v/>
      </c>
      <c r="T564">
        <f>AA564</f>
        <v/>
      </c>
      <c r="V564">
        <f>IFERROR(INDEX(DetailedFiche!Q:Q,MATCH(L564,DetailedFiche!J:J,0)),"")</f>
        <v/>
      </c>
      <c r="W564">
        <f>IFERROR(INDEX(DetailedFiche!R:R,MATCH(L564,DetailedFiche!J:J,0)),"")</f>
        <v/>
      </c>
      <c r="Y564">
        <f>IFERROR(IF(AND(INDEX('Initial Study'!K:K, MATCH(L564, 'Initial Study'!B:B, 0)+1)&lt;&gt;0,INDEX('Initial Study'!K:K, MATCH(L564, 'Initial Study'!B:B, 0)+1)&lt;&gt;""),INDEX('Initial Study'!K:K, MATCH(L564, 'Initial Study'!B:B, 0)+1),""),"")</f>
        <v/>
      </c>
      <c r="Z564">
        <f>IFERROR(IF(AND(INDEX('Initial Study'!K:K, MATCH(L564, 'Initial Study'!B:B, 0)+2)&lt;&gt;0,INDEX('Initial Study'!K:K, MATCH(L564, 'Initial Study'!B:B, 0)+2)&lt;&gt;"",NOT(ISNUMBER(INDEX('Initial Study'!K:K, MATCH(L564, 'Initial Study'!B:B, 0)+2)))),INDEX('Initial Study'!K:K, MATCH(L564, 'Initial Study'!B:B, 0)+2),"-"),"-")</f>
        <v/>
      </c>
      <c r="AA564">
        <f>IF(S564="RE", Y564 &amp; "BT/" &amp; IF(Z564 &lt;&gt; "-", Z564 &amp; "BT", ""), IF(OR(S564="LTDR", S564="LTSR"), Y564 &amp; "BL" &amp; IF(Z564 &lt;&gt; "-", "/" &amp; Z564 &amp; "BT", ""), IF(OR(S564="RTDR", S564="RTSR"), Y564 &amp; "BR" &amp; IF(Z564 &lt;&gt; "-", "/" &amp; Z564 &amp; "BT", ""), IF(Z564 &lt;&gt; "-", Y564 &amp; "BT/" &amp; Z564 &amp; "BT", Y564 &amp; "BT"))))</f>
        <v/>
      </c>
    </row>
    <row r="565">
      <c r="A565" t="n">
        <v>558</v>
      </c>
      <c r="B565" t="inlineStr">
        <is>
          <t>SR 1637</t>
        </is>
      </c>
      <c r="C565" t="n">
        <v>0</v>
      </c>
      <c r="E565" t="inlineStr">
        <is>
          <t>SR 1001</t>
        </is>
      </c>
      <c r="F565" t="inlineStr">
        <is>
          <t>SR 1606</t>
        </is>
      </c>
      <c r="G565" t="inlineStr">
        <is>
          <t>SR 1637</t>
        </is>
      </c>
      <c r="H565" t="n">
        <v>1.444</v>
      </c>
      <c r="I565" t="inlineStr">
        <is>
          <t>NIS</t>
        </is>
      </c>
      <c r="L565" t="n">
        <v>105301886</v>
      </c>
      <c r="M565" s="6" t="n">
        <v>43066</v>
      </c>
      <c r="N565" t="n">
        <v>28</v>
      </c>
      <c r="O565" t="n">
        <v>1</v>
      </c>
      <c r="P565" t="n">
        <v>10</v>
      </c>
      <c r="Q565" t="n">
        <v>5</v>
      </c>
      <c r="R565" t="inlineStr">
        <is>
          <t>O</t>
        </is>
      </c>
      <c r="S565">
        <f>IFERROR(VLOOKUP(N565,Index!$A$1:$B$26,2,FALSE),"")</f>
        <v/>
      </c>
      <c r="T565">
        <f>AA565</f>
        <v/>
      </c>
      <c r="V565">
        <f>IFERROR(INDEX(DetailedFiche!Q:Q,MATCH(L565,DetailedFiche!J:J,0)),"")</f>
        <v/>
      </c>
      <c r="W565">
        <f>IFERROR(INDEX(DetailedFiche!R:R,MATCH(L565,DetailedFiche!J:J,0)),"")</f>
        <v/>
      </c>
      <c r="Y565">
        <f>IFERROR(IF(AND(INDEX('Initial Study'!K:K, MATCH(L565, 'Initial Study'!B:B, 0)+1)&lt;&gt;0,INDEX('Initial Study'!K:K, MATCH(L565, 'Initial Study'!B:B, 0)+1)&lt;&gt;""),INDEX('Initial Study'!K:K, MATCH(L565, 'Initial Study'!B:B, 0)+1),""),"")</f>
        <v/>
      </c>
      <c r="Z565">
        <f>IFERROR(IF(AND(INDEX('Initial Study'!K:K, MATCH(L565, 'Initial Study'!B:B, 0)+2)&lt;&gt;0,INDEX('Initial Study'!K:K, MATCH(L565, 'Initial Study'!B:B, 0)+2)&lt;&gt;"",NOT(ISNUMBER(INDEX('Initial Study'!K:K, MATCH(L565, 'Initial Study'!B:B, 0)+2)))),INDEX('Initial Study'!K:K, MATCH(L565, 'Initial Study'!B:B, 0)+2),"-"),"-")</f>
        <v/>
      </c>
      <c r="AA565">
        <f>IF(S565="RE", Y565 &amp; "BT/" &amp; IF(Z565 &lt;&gt; "-", Z565 &amp; "BT", ""), IF(OR(S565="LTDR", S565="LTSR"), Y565 &amp; "BL" &amp; IF(Z565 &lt;&gt; "-", "/" &amp; Z565 &amp; "BT", ""), IF(OR(S565="RTDR", S565="RTSR"), Y565 &amp; "BR" &amp; IF(Z565 &lt;&gt; "-", "/" &amp; Z565 &amp; "BT", ""), IF(Z565 &lt;&gt; "-", Y565 &amp; "BT/" &amp; Z565 &amp; "BT", Y565 &amp; "BT"))))</f>
        <v/>
      </c>
    </row>
    <row r="566">
      <c r="A566" t="n">
        <v>558</v>
      </c>
      <c r="B566" t="inlineStr">
        <is>
          <t>SR 1638</t>
        </is>
      </c>
      <c r="C566" t="n">
        <v>0</v>
      </c>
      <c r="E566" t="inlineStr">
        <is>
          <t>SR 1001</t>
        </is>
      </c>
      <c r="F566" t="inlineStr">
        <is>
          <t>SR 1606</t>
        </is>
      </c>
      <c r="G566" t="inlineStr">
        <is>
          <t>SR 1638</t>
        </is>
      </c>
      <c r="H566" t="n">
        <v>1.556</v>
      </c>
      <c r="I566" t="inlineStr">
        <is>
          <t>NIS</t>
        </is>
      </c>
      <c r="L566" t="n">
        <v>106029698</v>
      </c>
      <c r="M566" s="6" t="n">
        <v>43752</v>
      </c>
      <c r="N566" t="n">
        <v>30</v>
      </c>
      <c r="O566" t="n">
        <v>1</v>
      </c>
      <c r="P566" t="n">
        <v>7</v>
      </c>
      <c r="Q566" t="n">
        <v>1</v>
      </c>
      <c r="R566" t="inlineStr">
        <is>
          <t>O</t>
        </is>
      </c>
      <c r="S566">
        <f>IFERROR(VLOOKUP(N566,Index!$A$1:$B$26,2,FALSE),"")</f>
        <v/>
      </c>
      <c r="T566">
        <f>AA566</f>
        <v/>
      </c>
      <c r="V566">
        <f>IFERROR(INDEX(DetailedFiche!Q:Q,MATCH(L566,DetailedFiche!J:J,0)),"")</f>
        <v/>
      </c>
      <c r="W566">
        <f>IFERROR(INDEX(DetailedFiche!R:R,MATCH(L566,DetailedFiche!J:J,0)),"")</f>
        <v/>
      </c>
      <c r="Y566">
        <f>IFERROR(IF(AND(INDEX('Initial Study'!K:K, MATCH(L566, 'Initial Study'!B:B, 0)+1)&lt;&gt;0,INDEX('Initial Study'!K:K, MATCH(L566, 'Initial Study'!B:B, 0)+1)&lt;&gt;""),INDEX('Initial Study'!K:K, MATCH(L566, 'Initial Study'!B:B, 0)+1),""),"")</f>
        <v/>
      </c>
      <c r="Z566">
        <f>IFERROR(IF(AND(INDEX('Initial Study'!K:K, MATCH(L566, 'Initial Study'!B:B, 0)+2)&lt;&gt;0,INDEX('Initial Study'!K:K, MATCH(L566, 'Initial Study'!B:B, 0)+2)&lt;&gt;"",NOT(ISNUMBER(INDEX('Initial Study'!K:K, MATCH(L566, 'Initial Study'!B:B, 0)+2)))),INDEX('Initial Study'!K:K, MATCH(L566, 'Initial Study'!B:B, 0)+2),"-"),"-")</f>
        <v/>
      </c>
      <c r="AA566">
        <f>IF(S566="RE", Y566 &amp; "BT/" &amp; IF(Z566 &lt;&gt; "-", Z566 &amp; "BT", ""), IF(OR(S566="LTDR", S566="LTSR"), Y566 &amp; "BL" &amp; IF(Z566 &lt;&gt; "-", "/" &amp; Z566 &amp; "BT", ""), IF(OR(S566="RTDR", S566="RTSR"), Y566 &amp; "BR" &amp; IF(Z566 &lt;&gt; "-", "/" &amp; Z566 &amp; "BT", ""), IF(Z566 &lt;&gt; "-", Y566 &amp; "BT/" &amp; Z566 &amp; "BT", Y566 &amp; "BT"))))</f>
        <v/>
      </c>
    </row>
    <row r="567">
      <c r="A567" t="n">
        <v>558</v>
      </c>
      <c r="B567" t="inlineStr">
        <is>
          <t>SR 1638</t>
        </is>
      </c>
      <c r="C567" t="n">
        <v>0</v>
      </c>
      <c r="E567" t="inlineStr">
        <is>
          <t>SR 1001</t>
        </is>
      </c>
      <c r="F567" t="inlineStr">
        <is>
          <t>SR 1638</t>
        </is>
      </c>
      <c r="G567" t="inlineStr">
        <is>
          <t>SR 1638</t>
        </is>
      </c>
      <c r="H567" t="n">
        <v>1.556</v>
      </c>
      <c r="I567" t="inlineStr">
        <is>
          <t>NIS</t>
        </is>
      </c>
      <c r="L567" t="n">
        <v>104762571</v>
      </c>
      <c r="M567" s="6" t="n">
        <v>42529</v>
      </c>
      <c r="N567" t="n">
        <v>30</v>
      </c>
      <c r="O567" t="n">
        <v>1</v>
      </c>
      <c r="P567" t="n">
        <v>7</v>
      </c>
      <c r="Q567" t="n">
        <v>1</v>
      </c>
      <c r="R567" t="inlineStr">
        <is>
          <t>O</t>
        </is>
      </c>
      <c r="S567">
        <f>IFERROR(VLOOKUP(N567,Index!$A$1:$B$26,2,FALSE),"")</f>
        <v/>
      </c>
      <c r="T567">
        <f>AA567</f>
        <v/>
      </c>
      <c r="V567">
        <f>IFERROR(INDEX(DetailedFiche!Q:Q,MATCH(L567,DetailedFiche!J:J,0)),"")</f>
        <v/>
      </c>
      <c r="W567">
        <f>IFERROR(INDEX(DetailedFiche!R:R,MATCH(L567,DetailedFiche!J:J,0)),"")</f>
        <v/>
      </c>
      <c r="Y567">
        <f>IFERROR(IF(AND(INDEX('Initial Study'!K:K, MATCH(L567, 'Initial Study'!B:B, 0)+1)&lt;&gt;0,INDEX('Initial Study'!K:K, MATCH(L567, 'Initial Study'!B:B, 0)+1)&lt;&gt;""),INDEX('Initial Study'!K:K, MATCH(L567, 'Initial Study'!B:B, 0)+1),""),"")</f>
        <v/>
      </c>
      <c r="Z567">
        <f>IFERROR(IF(AND(INDEX('Initial Study'!K:K, MATCH(L567, 'Initial Study'!B:B, 0)+2)&lt;&gt;0,INDEX('Initial Study'!K:K, MATCH(L567, 'Initial Study'!B:B, 0)+2)&lt;&gt;"",NOT(ISNUMBER(INDEX('Initial Study'!K:K, MATCH(L567, 'Initial Study'!B:B, 0)+2)))),INDEX('Initial Study'!K:K, MATCH(L567, 'Initial Study'!B:B, 0)+2),"-"),"-")</f>
        <v/>
      </c>
      <c r="AA567">
        <f>IF(S567="RE", Y567 &amp; "BT/" &amp; IF(Z567 &lt;&gt; "-", Z567 &amp; "BT", ""), IF(OR(S567="LTDR", S567="LTSR"), Y567 &amp; "BL" &amp; IF(Z567 &lt;&gt; "-", "/" &amp; Z567 &amp; "BT", ""), IF(OR(S567="RTDR", S567="RTSR"), Y567 &amp; "BR" &amp; IF(Z567 &lt;&gt; "-", "/" &amp; Z567 &amp; "BT", ""), IF(Z567 &lt;&gt; "-", Y567 &amp; "BT/" &amp; Z567 &amp; "BT", Y567 &amp; "BT"))))</f>
        <v/>
      </c>
    </row>
    <row r="568">
      <c r="A568" t="n">
        <v>0</v>
      </c>
      <c r="B568" t="inlineStr">
        <is>
          <t>SR 1655</t>
        </is>
      </c>
      <c r="C568" t="n">
        <v>0.004</v>
      </c>
      <c r="D568" t="inlineStr">
        <is>
          <t>W</t>
        </is>
      </c>
      <c r="E568" t="inlineStr">
        <is>
          <t>SR 1001</t>
        </is>
      </c>
      <c r="F568" t="inlineStr">
        <is>
          <t>SR 1547</t>
        </is>
      </c>
      <c r="G568" t="inlineStr">
        <is>
          <t>SR 1655</t>
        </is>
      </c>
      <c r="H568" t="n">
        <v>1.233</v>
      </c>
      <c r="I568" t="inlineStr">
        <is>
          <t>NIS</t>
        </is>
      </c>
      <c r="L568" t="n">
        <v>105896304</v>
      </c>
      <c r="M568" s="6" t="n">
        <v>43630</v>
      </c>
      <c r="N568" t="n">
        <v>27</v>
      </c>
      <c r="O568" t="n">
        <v>1</v>
      </c>
      <c r="P568" t="n">
        <v>8</v>
      </c>
      <c r="Q568" t="n">
        <v>1</v>
      </c>
      <c r="R568" t="inlineStr">
        <is>
          <t>O</t>
        </is>
      </c>
      <c r="S568">
        <f>IFERROR(VLOOKUP(N568,Index!$A$1:$B$26,2,FALSE),"")</f>
        <v/>
      </c>
      <c r="T568">
        <f>AA568</f>
        <v/>
      </c>
      <c r="V568">
        <f>IFERROR(INDEX(DetailedFiche!Q:Q,MATCH(L568,DetailedFiche!J:J,0)),"")</f>
        <v/>
      </c>
      <c r="W568">
        <f>IFERROR(INDEX(DetailedFiche!R:R,MATCH(L568,DetailedFiche!J:J,0)),"")</f>
        <v/>
      </c>
      <c r="Y568">
        <f>IFERROR(IF(AND(INDEX('Initial Study'!K:K, MATCH(L568, 'Initial Study'!B:B, 0)+1)&lt;&gt;0,INDEX('Initial Study'!K:K, MATCH(L568, 'Initial Study'!B:B, 0)+1)&lt;&gt;""),INDEX('Initial Study'!K:K, MATCH(L568, 'Initial Study'!B:B, 0)+1),""),"")</f>
        <v/>
      </c>
      <c r="Z568">
        <f>IFERROR(IF(AND(INDEX('Initial Study'!K:K, MATCH(L568, 'Initial Study'!B:B, 0)+2)&lt;&gt;0,INDEX('Initial Study'!K:K, MATCH(L568, 'Initial Study'!B:B, 0)+2)&lt;&gt;"",NOT(ISNUMBER(INDEX('Initial Study'!K:K, MATCH(L568, 'Initial Study'!B:B, 0)+2)))),INDEX('Initial Study'!K:K, MATCH(L568, 'Initial Study'!B:B, 0)+2),"-"),"-")</f>
        <v/>
      </c>
      <c r="AA568">
        <f>IF(S568="RE", Y568 &amp; "BT/" &amp; IF(Z568 &lt;&gt; "-", Z568 &amp; "BT", ""), IF(OR(S568="LTDR", S568="LTSR"), Y568 &amp; "BL" &amp; IF(Z568 &lt;&gt; "-", "/" &amp; Z568 &amp; "BT", ""), IF(OR(S568="RTDR", S568="RTSR"), Y568 &amp; "BR" &amp; IF(Z568 &lt;&gt; "-", "/" &amp; Z568 &amp; "BT", ""), IF(Z568 &lt;&gt; "-", Y568 &amp; "BT/" &amp; Z568 &amp; "BT", Y568 &amp; "BT"))))</f>
        <v/>
      </c>
    </row>
    <row r="569">
      <c r="A569" t="n">
        <v>0</v>
      </c>
      <c r="B569" t="inlineStr">
        <is>
          <t>SR 1655</t>
        </is>
      </c>
      <c r="C569" t="n">
        <v>0</v>
      </c>
      <c r="E569" t="inlineStr">
        <is>
          <t>SR 1001</t>
        </is>
      </c>
      <c r="F569" t="inlineStr">
        <is>
          <t>SR 1656</t>
        </is>
      </c>
      <c r="G569" t="inlineStr">
        <is>
          <t>SR 1655</t>
        </is>
      </c>
      <c r="H569" t="n">
        <v>1.237</v>
      </c>
      <c r="I569" t="inlineStr">
        <is>
          <t>NIS</t>
        </is>
      </c>
      <c r="L569" t="n">
        <v>105627177</v>
      </c>
      <c r="M569" s="6" t="n">
        <v>43378</v>
      </c>
      <c r="N569" t="n">
        <v>19</v>
      </c>
      <c r="O569" t="n">
        <v>1</v>
      </c>
      <c r="P569" t="n">
        <v>8</v>
      </c>
      <c r="Q569" t="n">
        <v>1</v>
      </c>
      <c r="R569" t="inlineStr">
        <is>
          <t>O</t>
        </is>
      </c>
      <c r="S569">
        <f>IFERROR(VLOOKUP(N569,Index!$A$1:$B$26,2,FALSE),"")</f>
        <v/>
      </c>
      <c r="T569">
        <f>AA569</f>
        <v/>
      </c>
      <c r="V569">
        <f>IFERROR(INDEX(DetailedFiche!Q:Q,MATCH(L569,DetailedFiche!J:J,0)),"")</f>
        <v/>
      </c>
      <c r="W569">
        <f>IFERROR(INDEX(DetailedFiche!R:R,MATCH(L569,DetailedFiche!J:J,0)),"")</f>
        <v/>
      </c>
      <c r="Y569">
        <f>IFERROR(IF(AND(INDEX('Initial Study'!K:K, MATCH(L569, 'Initial Study'!B:B, 0)+1)&lt;&gt;0,INDEX('Initial Study'!K:K, MATCH(L569, 'Initial Study'!B:B, 0)+1)&lt;&gt;""),INDEX('Initial Study'!K:K, MATCH(L569, 'Initial Study'!B:B, 0)+1),""),"")</f>
        <v/>
      </c>
      <c r="Z569">
        <f>IFERROR(IF(AND(INDEX('Initial Study'!K:K, MATCH(L569, 'Initial Study'!B:B, 0)+2)&lt;&gt;0,INDEX('Initial Study'!K:K, MATCH(L569, 'Initial Study'!B:B, 0)+2)&lt;&gt;"",NOT(ISNUMBER(INDEX('Initial Study'!K:K, MATCH(L569, 'Initial Study'!B:B, 0)+2)))),INDEX('Initial Study'!K:K, MATCH(L569, 'Initial Study'!B:B, 0)+2),"-"),"-")</f>
        <v/>
      </c>
      <c r="AA569">
        <f>IF(S569="RE", Y569 &amp; "BT/" &amp; IF(Z569 &lt;&gt; "-", Z569 &amp; "BT", ""), IF(OR(S569="LTDR", S569="LTSR"), Y569 &amp; "BL" &amp; IF(Z569 &lt;&gt; "-", "/" &amp; Z569 &amp; "BT", ""), IF(OR(S569="RTDR", S569="RTSR"), Y569 &amp; "BR" &amp; IF(Z569 &lt;&gt; "-", "/" &amp; Z569 &amp; "BT", ""), IF(Z569 &lt;&gt; "-", Y569 &amp; "BT/" &amp; Z569 &amp; "BT", Y569 &amp; "BT"))))</f>
        <v/>
      </c>
    </row>
    <row r="570">
      <c r="A570" t="n">
        <v>0</v>
      </c>
      <c r="B570" t="inlineStr">
        <is>
          <t>SR 1656</t>
        </is>
      </c>
      <c r="C570" t="n">
        <v>0</v>
      </c>
      <c r="E570" t="inlineStr">
        <is>
          <t>SR 1001</t>
        </is>
      </c>
      <c r="F570" t="inlineStr">
        <is>
          <t>SR 1655</t>
        </is>
      </c>
      <c r="G570" t="inlineStr">
        <is>
          <t>SR 1656</t>
        </is>
      </c>
      <c r="H570" t="n">
        <v>0</v>
      </c>
      <c r="I570" t="inlineStr">
        <is>
          <t>NIS</t>
        </is>
      </c>
      <c r="L570" t="n">
        <v>107648441</v>
      </c>
      <c r="M570" s="6" t="n">
        <v>45359</v>
      </c>
      <c r="N570" t="n">
        <v>24</v>
      </c>
      <c r="O570" t="n">
        <v>1</v>
      </c>
      <c r="P570" t="n">
        <v>8</v>
      </c>
      <c r="Q570" t="n">
        <v>1</v>
      </c>
      <c r="R570" t="inlineStr">
        <is>
          <t>C</t>
        </is>
      </c>
      <c r="S570">
        <f>IFERROR(VLOOKUP(N570,Index!$A$1:$B$26,2,FALSE),"")</f>
        <v/>
      </c>
      <c r="T570">
        <f>AA570</f>
        <v/>
      </c>
      <c r="V570">
        <f>IFERROR(INDEX(DetailedFiche!Q:Q,MATCH(L570,DetailedFiche!J:J,0)),"")</f>
        <v/>
      </c>
      <c r="W570">
        <f>IFERROR(INDEX(DetailedFiche!R:R,MATCH(L570,DetailedFiche!J:J,0)),"")</f>
        <v/>
      </c>
      <c r="Y570">
        <f>IFERROR(IF(AND(INDEX('Initial Study'!K:K, MATCH(L570, 'Initial Study'!B:B, 0)+1)&lt;&gt;0,INDEX('Initial Study'!K:K, MATCH(L570, 'Initial Study'!B:B, 0)+1)&lt;&gt;""),INDEX('Initial Study'!K:K, MATCH(L570, 'Initial Study'!B:B, 0)+1),""),"")</f>
        <v/>
      </c>
      <c r="Z570">
        <f>IFERROR(IF(AND(INDEX('Initial Study'!K:K, MATCH(L570, 'Initial Study'!B:B, 0)+2)&lt;&gt;0,INDEX('Initial Study'!K:K, MATCH(L570, 'Initial Study'!B:B, 0)+2)&lt;&gt;"",NOT(ISNUMBER(INDEX('Initial Study'!K:K, MATCH(L570, 'Initial Study'!B:B, 0)+2)))),INDEX('Initial Study'!K:K, MATCH(L570, 'Initial Study'!B:B, 0)+2),"-"),"-")</f>
        <v/>
      </c>
      <c r="AA570">
        <f>IF(S570="RE", Y570 &amp; "BT/" &amp; IF(Z570 &lt;&gt; "-", Z570 &amp; "BT", ""), IF(OR(S570="LTDR", S570="LTSR"), Y570 &amp; "BL" &amp; IF(Z570 &lt;&gt; "-", "/" &amp; Z570 &amp; "BT", ""), IF(OR(S570="RTDR", S570="RTSR"), Y570 &amp; "BR" &amp; IF(Z570 &lt;&gt; "-", "/" &amp; Z570 &amp; "BT", ""), IF(Z570 &lt;&gt; "-", Y570 &amp; "BT/" &amp; Z570 &amp; "BT", Y570 &amp; "BT"))))</f>
        <v/>
      </c>
    </row>
    <row r="571">
      <c r="A571" t="n">
        <v>650</v>
      </c>
      <c r="B571" t="inlineStr">
        <is>
          <t>SR 1664</t>
        </is>
      </c>
      <c r="C571" t="n">
        <v>0</v>
      </c>
      <c r="E571" t="inlineStr">
        <is>
          <t>SR 1001</t>
        </is>
      </c>
      <c r="F571" t="inlineStr">
        <is>
          <t>SR 1663</t>
        </is>
      </c>
      <c r="G571" t="inlineStr">
        <is>
          <t>SR 1664</t>
        </is>
      </c>
      <c r="H571" t="n">
        <v>0</v>
      </c>
      <c r="I571" t="inlineStr">
        <is>
          <t>NIS</t>
        </is>
      </c>
      <c r="L571" t="n">
        <v>106462130</v>
      </c>
      <c r="M571" s="6" t="n">
        <v>44205</v>
      </c>
      <c r="N571" t="n">
        <v>24</v>
      </c>
      <c r="O571" t="n">
        <v>1</v>
      </c>
      <c r="P571" t="n">
        <v>8</v>
      </c>
      <c r="Q571" t="n">
        <v>1</v>
      </c>
      <c r="R571" t="inlineStr">
        <is>
          <t>C</t>
        </is>
      </c>
      <c r="S571">
        <f>IFERROR(VLOOKUP(N571,Index!$A$1:$B$26,2,FALSE),"")</f>
        <v/>
      </c>
      <c r="T571">
        <f>AA571</f>
        <v/>
      </c>
      <c r="V571">
        <f>IFERROR(INDEX(DetailedFiche!Q:Q,MATCH(L571,DetailedFiche!J:J,0)),"")</f>
        <v/>
      </c>
      <c r="W571">
        <f>IFERROR(INDEX(DetailedFiche!R:R,MATCH(L571,DetailedFiche!J:J,0)),"")</f>
        <v/>
      </c>
      <c r="Y571">
        <f>IFERROR(IF(AND(INDEX('Initial Study'!K:K, MATCH(L571, 'Initial Study'!B:B, 0)+1)&lt;&gt;0,INDEX('Initial Study'!K:K, MATCH(L571, 'Initial Study'!B:B, 0)+1)&lt;&gt;""),INDEX('Initial Study'!K:K, MATCH(L571, 'Initial Study'!B:B, 0)+1),""),"")</f>
        <v/>
      </c>
      <c r="Z571">
        <f>IFERROR(IF(AND(INDEX('Initial Study'!K:K, MATCH(L571, 'Initial Study'!B:B, 0)+2)&lt;&gt;0,INDEX('Initial Study'!K:K, MATCH(L571, 'Initial Study'!B:B, 0)+2)&lt;&gt;"",NOT(ISNUMBER(INDEX('Initial Study'!K:K, MATCH(L571, 'Initial Study'!B:B, 0)+2)))),INDEX('Initial Study'!K:K, MATCH(L571, 'Initial Study'!B:B, 0)+2),"-"),"-")</f>
        <v/>
      </c>
      <c r="AA571">
        <f>IF(S571="RE", Y571 &amp; "BT/" &amp; IF(Z571 &lt;&gt; "-", Z571 &amp; "BT", ""), IF(OR(S571="LTDR", S571="LTSR"), Y571 &amp; "BL" &amp; IF(Z571 &lt;&gt; "-", "/" &amp; Z571 &amp; "BT", ""), IF(OR(S571="RTDR", S571="RTSR"), Y571 &amp; "BR" &amp; IF(Z571 &lt;&gt; "-", "/" &amp; Z571 &amp; "BT", ""), IF(Z571 &lt;&gt; "-", Y571 &amp; "BT/" &amp; Z571 &amp; "BT", Y571 &amp; "BT"))))</f>
        <v/>
      </c>
    </row>
    <row r="572">
      <c r="A572" t="n">
        <v>0</v>
      </c>
      <c r="B572" t="inlineStr">
        <is>
          <t>SR 1665</t>
        </is>
      </c>
      <c r="C572" t="n">
        <v>0.008</v>
      </c>
      <c r="D572" t="inlineStr">
        <is>
          <t>W</t>
        </is>
      </c>
      <c r="E572" t="inlineStr">
        <is>
          <t>SR 1001</t>
        </is>
      </c>
      <c r="F572" t="inlineStr">
        <is>
          <t>SR 2709</t>
        </is>
      </c>
      <c r="G572" t="inlineStr">
        <is>
          <t>SR 1665</t>
        </is>
      </c>
      <c r="H572" t="n">
        <v>0.008</v>
      </c>
      <c r="I572" t="inlineStr">
        <is>
          <t>NIS</t>
        </is>
      </c>
      <c r="L572" t="n">
        <v>107374234</v>
      </c>
      <c r="M572" s="6" t="n">
        <v>45098</v>
      </c>
      <c r="N572" t="n">
        <v>19</v>
      </c>
      <c r="O572" t="n">
        <v>2</v>
      </c>
      <c r="P572" t="n">
        <v>8</v>
      </c>
      <c r="Q572" t="n">
        <v>1</v>
      </c>
      <c r="R572" t="inlineStr">
        <is>
          <t>C</t>
        </is>
      </c>
      <c r="S572">
        <f>IFERROR(VLOOKUP(N572,Index!$A$1:$B$26,2,FALSE),"")</f>
        <v/>
      </c>
      <c r="T572">
        <f>AA572</f>
        <v/>
      </c>
      <c r="V572">
        <f>IFERROR(INDEX(DetailedFiche!Q:Q,MATCH(L572,DetailedFiche!J:J,0)),"")</f>
        <v/>
      </c>
      <c r="W572">
        <f>IFERROR(INDEX(DetailedFiche!R:R,MATCH(L572,DetailedFiche!J:J,0)),"")</f>
        <v/>
      </c>
      <c r="Y572">
        <f>IFERROR(IF(AND(INDEX('Initial Study'!K:K, MATCH(L572, 'Initial Study'!B:B, 0)+1)&lt;&gt;0,INDEX('Initial Study'!K:K, MATCH(L572, 'Initial Study'!B:B, 0)+1)&lt;&gt;""),INDEX('Initial Study'!K:K, MATCH(L572, 'Initial Study'!B:B, 0)+1),""),"")</f>
        <v/>
      </c>
      <c r="Z572">
        <f>IFERROR(IF(AND(INDEX('Initial Study'!K:K, MATCH(L572, 'Initial Study'!B:B, 0)+2)&lt;&gt;0,INDEX('Initial Study'!K:K, MATCH(L572, 'Initial Study'!B:B, 0)+2)&lt;&gt;"",NOT(ISNUMBER(INDEX('Initial Study'!K:K, MATCH(L572, 'Initial Study'!B:B, 0)+2)))),INDEX('Initial Study'!K:K, MATCH(L572, 'Initial Study'!B:B, 0)+2),"-"),"-")</f>
        <v/>
      </c>
      <c r="AA572">
        <f>IF(S572="RE", Y572 &amp; "BT/" &amp; IF(Z572 &lt;&gt; "-", Z572 &amp; "BT", ""), IF(OR(S572="LTDR", S572="LTSR"), Y572 &amp; "BL" &amp; IF(Z572 &lt;&gt; "-", "/" &amp; Z572 &amp; "BT", ""), IF(OR(S572="RTDR", S572="RTSR"), Y572 &amp; "BR" &amp; IF(Z572 &lt;&gt; "-", "/" &amp; Z572 &amp; "BT", ""), IF(Z572 &lt;&gt; "-", Y572 &amp; "BT/" &amp; Z572 &amp; "BT", Y572 &amp; "BT"))))</f>
        <v/>
      </c>
    </row>
    <row r="573">
      <c r="A573" t="n">
        <v>650</v>
      </c>
      <c r="B573" t="inlineStr">
        <is>
          <t>SR 1672</t>
        </is>
      </c>
      <c r="C573" t="n">
        <v>0</v>
      </c>
      <c r="E573" t="inlineStr">
        <is>
          <t>SR 1001</t>
        </is>
      </c>
      <c r="G573" t="inlineStr">
        <is>
          <t>SR 1672</t>
        </is>
      </c>
      <c r="H573" t="n">
        <v>999.999</v>
      </c>
      <c r="I573" t="inlineStr">
        <is>
          <t>NIS</t>
        </is>
      </c>
      <c r="L573" t="n">
        <v>105067773</v>
      </c>
      <c r="M573" s="6" t="n">
        <v>42828</v>
      </c>
      <c r="N573" t="n">
        <v>19</v>
      </c>
      <c r="O573" t="n">
        <v>1</v>
      </c>
      <c r="P573" t="n">
        <v>8</v>
      </c>
      <c r="Q573" t="n">
        <v>1</v>
      </c>
      <c r="R573" t="inlineStr">
        <is>
          <t>O</t>
        </is>
      </c>
      <c r="S573">
        <f>IFERROR(VLOOKUP(N573,Index!$A$1:$B$26,2,FALSE),"")</f>
        <v/>
      </c>
      <c r="T573">
        <f>AA573</f>
        <v/>
      </c>
      <c r="V573">
        <f>IFERROR(INDEX(DetailedFiche!Q:Q,MATCH(L573,DetailedFiche!J:J,0)),"")</f>
        <v/>
      </c>
      <c r="W573">
        <f>IFERROR(INDEX(DetailedFiche!R:R,MATCH(L573,DetailedFiche!J:J,0)),"")</f>
        <v/>
      </c>
      <c r="Y573">
        <f>IFERROR(IF(AND(INDEX('Initial Study'!K:K, MATCH(L573, 'Initial Study'!B:B, 0)+1)&lt;&gt;0,INDEX('Initial Study'!K:K, MATCH(L573, 'Initial Study'!B:B, 0)+1)&lt;&gt;""),INDEX('Initial Study'!K:K, MATCH(L573, 'Initial Study'!B:B, 0)+1),""),"")</f>
        <v/>
      </c>
      <c r="Z573">
        <f>IFERROR(IF(AND(INDEX('Initial Study'!K:K, MATCH(L573, 'Initial Study'!B:B, 0)+2)&lt;&gt;0,INDEX('Initial Study'!K:K, MATCH(L573, 'Initial Study'!B:B, 0)+2)&lt;&gt;"",NOT(ISNUMBER(INDEX('Initial Study'!K:K, MATCH(L573, 'Initial Study'!B:B, 0)+2)))),INDEX('Initial Study'!K:K, MATCH(L573, 'Initial Study'!B:B, 0)+2),"-"),"-")</f>
        <v/>
      </c>
      <c r="AA573">
        <f>IF(S573="RE", Y573 &amp; "BT/" &amp; IF(Z573 &lt;&gt; "-", Z573 &amp; "BT", ""), IF(OR(S573="LTDR", S573="LTSR"), Y573 &amp; "BL" &amp; IF(Z573 &lt;&gt; "-", "/" &amp; Z573 &amp; "BT", ""), IF(OR(S573="RTDR", S573="RTSR"), Y573 &amp; "BR" &amp; IF(Z573 &lt;&gt; "-", "/" &amp; Z573 &amp; "BT", ""), IF(Z573 &lt;&gt; "-", Y573 &amp; "BT/" &amp; Z573 &amp; "BT", Y573 &amp; "BT"))))</f>
        <v/>
      </c>
    </row>
    <row r="574">
      <c r="A574" t="n">
        <v>558</v>
      </c>
      <c r="B574" t="inlineStr">
        <is>
          <t>SR 1681</t>
        </is>
      </c>
      <c r="C574" t="n">
        <v>0</v>
      </c>
      <c r="E574" t="inlineStr">
        <is>
          <t>SR 1619</t>
        </is>
      </c>
      <c r="F574" t="inlineStr">
        <is>
          <t>SR 1637</t>
        </is>
      </c>
      <c r="G574" t="inlineStr">
        <is>
          <t>SR 1681</t>
        </is>
      </c>
      <c r="H574" t="n">
        <v>0.863</v>
      </c>
      <c r="I574" t="inlineStr">
        <is>
          <t>NIS</t>
        </is>
      </c>
      <c r="L574" t="n">
        <v>108181659</v>
      </c>
      <c r="M574" s="6" t="n">
        <v>45862</v>
      </c>
      <c r="N574" t="n">
        <v>23</v>
      </c>
      <c r="O574" t="n">
        <v>1</v>
      </c>
      <c r="P574" t="n">
        <v>8</v>
      </c>
      <c r="Q574" t="n">
        <v>1</v>
      </c>
      <c r="R574" t="inlineStr">
        <is>
          <t>B</t>
        </is>
      </c>
      <c r="S574">
        <f>IFERROR(VLOOKUP(N574,Index!$A$1:$B$26,2,FALSE),"")</f>
        <v/>
      </c>
      <c r="T574">
        <f>AA574</f>
        <v/>
      </c>
      <c r="V574">
        <f>IFERROR(INDEX(DetailedFiche!Q:Q,MATCH(L574,DetailedFiche!J:J,0)),"")</f>
        <v/>
      </c>
      <c r="W574">
        <f>IFERROR(INDEX(DetailedFiche!R:R,MATCH(L574,DetailedFiche!J:J,0)),"")</f>
        <v/>
      </c>
      <c r="Y574">
        <f>IFERROR(IF(AND(INDEX('Initial Study'!K:K, MATCH(L574, 'Initial Study'!B:B, 0)+1)&lt;&gt;0,INDEX('Initial Study'!K:K, MATCH(L574, 'Initial Study'!B:B, 0)+1)&lt;&gt;""),INDEX('Initial Study'!K:K, MATCH(L574, 'Initial Study'!B:B, 0)+1),""),"")</f>
        <v/>
      </c>
      <c r="Z574">
        <f>IFERROR(IF(AND(INDEX('Initial Study'!K:K, MATCH(L574, 'Initial Study'!B:B, 0)+2)&lt;&gt;0,INDEX('Initial Study'!K:K, MATCH(L574, 'Initial Study'!B:B, 0)+2)&lt;&gt;"",NOT(ISNUMBER(INDEX('Initial Study'!K:K, MATCH(L574, 'Initial Study'!B:B, 0)+2)))),INDEX('Initial Study'!K:K, MATCH(L574, 'Initial Study'!B:B, 0)+2),"-"),"-")</f>
        <v/>
      </c>
      <c r="AA574">
        <f>IF(S574="RE", Y574 &amp; "BT/" &amp; IF(Z574 &lt;&gt; "-", Z574 &amp; "BT", ""), IF(OR(S574="LTDR", S574="LTSR"), Y574 &amp; "BL" &amp; IF(Z574 &lt;&gt; "-", "/" &amp; Z574 &amp; "BT", ""), IF(OR(S574="RTDR", S574="RTSR"), Y574 &amp; "BR" &amp; IF(Z574 &lt;&gt; "-", "/" &amp; Z574 &amp; "BT", ""), IF(Z574 &lt;&gt; "-", Y574 &amp; "BT/" &amp; Z574 &amp; "BT", Y574 &amp; "BT"))))</f>
        <v/>
      </c>
    </row>
    <row r="575">
      <c r="A575" t="n">
        <v>0</v>
      </c>
      <c r="B575" t="inlineStr">
        <is>
          <t>SR 1681</t>
        </is>
      </c>
      <c r="C575" t="n">
        <v>0.007</v>
      </c>
      <c r="D575" t="inlineStr">
        <is>
          <t>N</t>
        </is>
      </c>
      <c r="E575" t="inlineStr">
        <is>
          <t>SR 1617</t>
        </is>
      </c>
      <c r="F575" t="inlineStr">
        <is>
          <t>SR 1612</t>
        </is>
      </c>
      <c r="G575" t="inlineStr">
        <is>
          <t>SR 1681</t>
        </is>
      </c>
      <c r="H575" t="n">
        <v>999.999</v>
      </c>
      <c r="I575" t="inlineStr">
        <is>
          <t>NIS</t>
        </is>
      </c>
      <c r="L575" t="n">
        <v>108526710</v>
      </c>
      <c r="M575" s="6" t="n">
        <v>46179</v>
      </c>
      <c r="N575" t="n">
        <v>21</v>
      </c>
      <c r="O575" t="n">
        <v>1</v>
      </c>
      <c r="P575" t="n">
        <v>12</v>
      </c>
      <c r="Q575" t="n">
        <v>1</v>
      </c>
      <c r="R575" t="inlineStr">
        <is>
          <t>O</t>
        </is>
      </c>
      <c r="S575">
        <f>IFERROR(VLOOKUP(N575,Index!$A$1:$B$26,2,FALSE),"")</f>
        <v/>
      </c>
      <c r="T575">
        <f>AA575</f>
        <v/>
      </c>
      <c r="V575">
        <f>IFERROR(INDEX(DetailedFiche!Q:Q,MATCH(L575,DetailedFiche!J:J,0)),"")</f>
        <v/>
      </c>
      <c r="W575">
        <f>IFERROR(INDEX(DetailedFiche!R:R,MATCH(L575,DetailedFiche!J:J,0)),"")</f>
        <v/>
      </c>
      <c r="Y575">
        <f>IFERROR(IF(AND(INDEX('Initial Study'!K:K, MATCH(L575, 'Initial Study'!B:B, 0)+1)&lt;&gt;0,INDEX('Initial Study'!K:K, MATCH(L575, 'Initial Study'!B:B, 0)+1)&lt;&gt;""),INDEX('Initial Study'!K:K, MATCH(L575, 'Initial Study'!B:B, 0)+1),""),"")</f>
        <v/>
      </c>
      <c r="Z575">
        <f>IFERROR(IF(AND(INDEX('Initial Study'!K:K, MATCH(L575, 'Initial Study'!B:B, 0)+2)&lt;&gt;0,INDEX('Initial Study'!K:K, MATCH(L575, 'Initial Study'!B:B, 0)+2)&lt;&gt;"",NOT(ISNUMBER(INDEX('Initial Study'!K:K, MATCH(L575, 'Initial Study'!B:B, 0)+2)))),INDEX('Initial Study'!K:K, MATCH(L575, 'Initial Study'!B:B, 0)+2),"-"),"-")</f>
        <v/>
      </c>
      <c r="AA575">
        <f>IF(S575="RE", Y575 &amp; "BT/" &amp; IF(Z575 &lt;&gt; "-", Z575 &amp; "BT", ""), IF(OR(S575="LTDR", S575="LTSR"), Y575 &amp; "BL" &amp; IF(Z575 &lt;&gt; "-", "/" &amp; Z575 &amp; "BT", ""), IF(OR(S575="RTDR", S575="RTSR"), Y575 &amp; "BR" &amp; IF(Z575 &lt;&gt; "-", "/" &amp; Z575 &amp; "BT", ""), IF(Z575 &lt;&gt; "-", Y575 &amp; "BT/" &amp; Z575 &amp; "BT", Y575 &amp; "BT"))))</f>
        <v/>
      </c>
    </row>
    <row r="576">
      <c r="A576" t="n">
        <v>558</v>
      </c>
      <c r="B576" t="inlineStr">
        <is>
          <t>SR 1688</t>
        </is>
      </c>
      <c r="C576" t="n">
        <v>0</v>
      </c>
      <c r="E576" t="inlineStr">
        <is>
          <t>SR 1001</t>
        </is>
      </c>
      <c r="F576" t="inlineStr">
        <is>
          <t>SR 1674</t>
        </is>
      </c>
      <c r="G576" t="inlineStr">
        <is>
          <t>SR 1688</t>
        </is>
      </c>
      <c r="H576" t="n">
        <v>999.999</v>
      </c>
      <c r="I576" t="inlineStr">
        <is>
          <t>NIS</t>
        </is>
      </c>
      <c r="L576" t="n">
        <v>108248173</v>
      </c>
      <c r="M576" s="6" t="n">
        <v>45922</v>
      </c>
      <c r="N576" t="n">
        <v>24</v>
      </c>
      <c r="O576" t="n">
        <v>1</v>
      </c>
      <c r="P576" t="n">
        <v>8</v>
      </c>
      <c r="Q576" t="n">
        <v>1</v>
      </c>
      <c r="R576" t="inlineStr">
        <is>
          <t>O</t>
        </is>
      </c>
      <c r="S576">
        <f>IFERROR(VLOOKUP(N576,Index!$A$1:$B$26,2,FALSE),"")</f>
        <v/>
      </c>
      <c r="T576">
        <f>AA576</f>
        <v/>
      </c>
      <c r="V576">
        <f>IFERROR(INDEX(DetailedFiche!Q:Q,MATCH(L576,DetailedFiche!J:J,0)),"")</f>
        <v/>
      </c>
      <c r="W576">
        <f>IFERROR(INDEX(DetailedFiche!R:R,MATCH(L576,DetailedFiche!J:J,0)),"")</f>
        <v/>
      </c>
      <c r="Y576">
        <f>IFERROR(IF(AND(INDEX('Initial Study'!K:K, MATCH(L576, 'Initial Study'!B:B, 0)+1)&lt;&gt;0,INDEX('Initial Study'!K:K, MATCH(L576, 'Initial Study'!B:B, 0)+1)&lt;&gt;""),INDEX('Initial Study'!K:K, MATCH(L576, 'Initial Study'!B:B, 0)+1),""),"")</f>
        <v/>
      </c>
      <c r="Z576">
        <f>IFERROR(IF(AND(INDEX('Initial Study'!K:K, MATCH(L576, 'Initial Study'!B:B, 0)+2)&lt;&gt;0,INDEX('Initial Study'!K:K, MATCH(L576, 'Initial Study'!B:B, 0)+2)&lt;&gt;"",NOT(ISNUMBER(INDEX('Initial Study'!K:K, MATCH(L576, 'Initial Study'!B:B, 0)+2)))),INDEX('Initial Study'!K:K, MATCH(L576, 'Initial Study'!B:B, 0)+2),"-"),"-")</f>
        <v/>
      </c>
      <c r="AA576">
        <f>IF(S576="RE", Y576 &amp; "BT/" &amp; IF(Z576 &lt;&gt; "-", Z576 &amp; "BT", ""), IF(OR(S576="LTDR", S576="LTSR"), Y576 &amp; "BL" &amp; IF(Z576 &lt;&gt; "-", "/" &amp; Z576 &amp; "BT", ""), IF(OR(S576="RTDR", S576="RTSR"), Y576 &amp; "BR" &amp; IF(Z576 &lt;&gt; "-", "/" &amp; Z576 &amp; "BT", ""), IF(Z576 &lt;&gt; "-", Y576 &amp; "BT/" &amp; Z576 &amp; "BT", Y576 &amp; "BT"))))</f>
        <v/>
      </c>
    </row>
    <row r="577">
      <c r="A577" t="n">
        <v>0</v>
      </c>
      <c r="B577" t="inlineStr">
        <is>
          <t>US 601</t>
        </is>
      </c>
      <c r="C577" t="n">
        <v>0.015</v>
      </c>
      <c r="D577" t="inlineStr">
        <is>
          <t>S</t>
        </is>
      </c>
      <c r="E577" t="inlineStr">
        <is>
          <t>SR 1001</t>
        </is>
      </c>
      <c r="F577" t="inlineStr">
        <is>
          <t>SR 1504</t>
        </is>
      </c>
      <c r="G577" t="inlineStr">
        <is>
          <t>US 601</t>
        </is>
      </c>
      <c r="H577" t="n">
        <v>17.992</v>
      </c>
      <c r="I577" t="inlineStr">
        <is>
          <t>NIS</t>
        </is>
      </c>
      <c r="L577" t="n">
        <v>107931418</v>
      </c>
      <c r="M577" s="6" t="n">
        <v>45583</v>
      </c>
      <c r="N577" t="n">
        <v>14</v>
      </c>
      <c r="O577" t="n">
        <v>1</v>
      </c>
      <c r="P577" t="n">
        <v>0</v>
      </c>
      <c r="Q577" t="n">
        <v>5</v>
      </c>
      <c r="R577" t="inlineStr">
        <is>
          <t>K</t>
        </is>
      </c>
      <c r="S577">
        <f>IFERROR(VLOOKUP(N577,Index!$A$1:$B$26,2,FALSE),"")</f>
        <v/>
      </c>
      <c r="T577">
        <f>AA577</f>
        <v/>
      </c>
      <c r="V577">
        <f>IFERROR(INDEX(DetailedFiche!Q:Q,MATCH(L577,DetailedFiche!J:J,0)),"")</f>
        <v/>
      </c>
      <c r="W577">
        <f>IFERROR(INDEX(DetailedFiche!R:R,MATCH(L577,DetailedFiche!J:J,0)),"")</f>
        <v/>
      </c>
      <c r="Y577">
        <f>IFERROR(IF(AND(INDEX('Initial Study'!K:K, MATCH(L577, 'Initial Study'!B:B, 0)+1)&lt;&gt;0,INDEX('Initial Study'!K:K, MATCH(L577, 'Initial Study'!B:B, 0)+1)&lt;&gt;""),INDEX('Initial Study'!K:K, MATCH(L577, 'Initial Study'!B:B, 0)+1),""),"")</f>
        <v/>
      </c>
      <c r="Z577">
        <f>IFERROR(IF(AND(INDEX('Initial Study'!K:K, MATCH(L577, 'Initial Study'!B:B, 0)+2)&lt;&gt;0,INDEX('Initial Study'!K:K, MATCH(L577, 'Initial Study'!B:B, 0)+2)&lt;&gt;"",NOT(ISNUMBER(INDEX('Initial Study'!K:K, MATCH(L577, 'Initial Study'!B:B, 0)+2)))),INDEX('Initial Study'!K:K, MATCH(L577, 'Initial Study'!B:B, 0)+2),"-"),"-")</f>
        <v/>
      </c>
      <c r="AA577">
        <f>IF(S577="RE", Y577 &amp; "BT/" &amp; IF(Z577 &lt;&gt; "-", Z577 &amp; "BT", ""), IF(OR(S577="LTDR", S577="LTSR"), Y577 &amp; "BL" &amp; IF(Z577 &lt;&gt; "-", "/" &amp; Z577 &amp; "BT", ""), IF(OR(S577="RTDR", S577="RTSR"), Y577 &amp; "BR" &amp; IF(Z577 &lt;&gt; "-", "/" &amp; Z577 &amp; "BT", ""), IF(Z577 &lt;&gt; "-", Y577 &amp; "BT/" &amp; Z577 &amp; "BT", Y577 &amp; "BT"))))</f>
        <v/>
      </c>
    </row>
    <row r="578">
      <c r="A578" t="n">
        <v>558</v>
      </c>
      <c r="B578" t="inlineStr">
        <is>
          <t>US 601</t>
        </is>
      </c>
      <c r="C578" t="n">
        <v>0</v>
      </c>
      <c r="E578" t="inlineStr">
        <is>
          <t>SIKES MILL</t>
        </is>
      </c>
      <c r="F578" t="inlineStr">
        <is>
          <t>RIDGE</t>
        </is>
      </c>
      <c r="G578" t="inlineStr">
        <is>
          <t>US 601</t>
        </is>
      </c>
      <c r="H578" t="n">
        <v>18.007</v>
      </c>
      <c r="I578" t="inlineStr">
        <is>
          <t>NIS</t>
        </is>
      </c>
      <c r="L578" t="n">
        <v>106925270</v>
      </c>
      <c r="M578" s="6" t="n">
        <v>44669</v>
      </c>
      <c r="N578" t="n">
        <v>24</v>
      </c>
      <c r="O578" t="n">
        <v>1</v>
      </c>
      <c r="P578" t="n">
        <v>8</v>
      </c>
      <c r="Q578" t="n">
        <v>1</v>
      </c>
      <c r="R578" t="inlineStr">
        <is>
          <t>O</t>
        </is>
      </c>
      <c r="S578">
        <f>IFERROR(VLOOKUP(N578,Index!$A$1:$B$26,2,FALSE),"")</f>
        <v/>
      </c>
      <c r="T578">
        <f>AA578</f>
        <v/>
      </c>
      <c r="V578">
        <f>IFERROR(INDEX(DetailedFiche!Q:Q,MATCH(L578,DetailedFiche!J:J,0)),"")</f>
        <v/>
      </c>
      <c r="W578">
        <f>IFERROR(INDEX(DetailedFiche!R:R,MATCH(L578,DetailedFiche!J:J,0)),"")</f>
        <v/>
      </c>
      <c r="Y578">
        <f>IFERROR(IF(AND(INDEX('Initial Study'!K:K, MATCH(L578, 'Initial Study'!B:B, 0)+1)&lt;&gt;0,INDEX('Initial Study'!K:K, MATCH(L578, 'Initial Study'!B:B, 0)+1)&lt;&gt;""),INDEX('Initial Study'!K:K, MATCH(L578, 'Initial Study'!B:B, 0)+1),""),"")</f>
        <v/>
      </c>
      <c r="Z578">
        <f>IFERROR(IF(AND(INDEX('Initial Study'!K:K, MATCH(L578, 'Initial Study'!B:B, 0)+2)&lt;&gt;0,INDEX('Initial Study'!K:K, MATCH(L578, 'Initial Study'!B:B, 0)+2)&lt;&gt;"",NOT(ISNUMBER(INDEX('Initial Study'!K:K, MATCH(L578, 'Initial Study'!B:B, 0)+2)))),INDEX('Initial Study'!K:K, MATCH(L578, 'Initial Study'!B:B, 0)+2),"-"),"-")</f>
        <v/>
      </c>
      <c r="AA578">
        <f>IF(S578="RE", Y578 &amp; "BT/" &amp; IF(Z578 &lt;&gt; "-", Z578 &amp; "BT", ""), IF(OR(S578="LTDR", S578="LTSR"), Y578 &amp; "BL" &amp; IF(Z578 &lt;&gt; "-", "/" &amp; Z578 &amp; "BT", ""), IF(OR(S578="RTDR", S578="RTSR"), Y578 &amp; "BR" &amp; IF(Z578 &lt;&gt; "-", "/" &amp; Z578 &amp; "BT", ""), IF(Z578 &lt;&gt; "-", Y578 &amp; "BT/" &amp; Z578 &amp; "BT", Y578 &amp; "BT"))))</f>
        <v/>
      </c>
    </row>
    <row r="579">
      <c r="A579" t="n">
        <v>0</v>
      </c>
      <c r="B579" t="inlineStr">
        <is>
          <t>US 601</t>
        </is>
      </c>
      <c r="C579" t="n">
        <v>0</v>
      </c>
      <c r="E579" t="inlineStr">
        <is>
          <t>SIKES MILL</t>
        </is>
      </c>
      <c r="F579" t="inlineStr">
        <is>
          <t>MAPLE HILL</t>
        </is>
      </c>
      <c r="G579" t="inlineStr">
        <is>
          <t>US 601</t>
        </is>
      </c>
      <c r="H579" t="n">
        <v>18.007</v>
      </c>
      <c r="I579" t="inlineStr">
        <is>
          <t>NIS</t>
        </is>
      </c>
      <c r="L579" t="n">
        <v>105212692</v>
      </c>
      <c r="M579" s="6" t="n">
        <v>42971</v>
      </c>
      <c r="N579" t="n">
        <v>23</v>
      </c>
      <c r="O579" t="n">
        <v>1</v>
      </c>
      <c r="P579" t="n">
        <v>7</v>
      </c>
      <c r="Q579" t="n">
        <v>5</v>
      </c>
      <c r="R579" t="inlineStr">
        <is>
          <t>C</t>
        </is>
      </c>
      <c r="S579">
        <f>IFERROR(VLOOKUP(N579,Index!$A$1:$B$26,2,FALSE),"")</f>
        <v/>
      </c>
      <c r="T579">
        <f>AA579</f>
        <v/>
      </c>
      <c r="V579">
        <f>IFERROR(INDEX(DetailedFiche!Q:Q,MATCH(L579,DetailedFiche!J:J,0)),"")</f>
        <v/>
      </c>
      <c r="W579">
        <f>IFERROR(INDEX(DetailedFiche!R:R,MATCH(L579,DetailedFiche!J:J,0)),"")</f>
        <v/>
      </c>
      <c r="Y579">
        <f>IFERROR(IF(AND(INDEX('Initial Study'!K:K, MATCH(L579, 'Initial Study'!B:B, 0)+1)&lt;&gt;0,INDEX('Initial Study'!K:K, MATCH(L579, 'Initial Study'!B:B, 0)+1)&lt;&gt;""),INDEX('Initial Study'!K:K, MATCH(L579, 'Initial Study'!B:B, 0)+1),""),"")</f>
        <v/>
      </c>
      <c r="Z579">
        <f>IFERROR(IF(AND(INDEX('Initial Study'!K:K, MATCH(L579, 'Initial Study'!B:B, 0)+2)&lt;&gt;0,INDEX('Initial Study'!K:K, MATCH(L579, 'Initial Study'!B:B, 0)+2)&lt;&gt;"",NOT(ISNUMBER(INDEX('Initial Study'!K:K, MATCH(L579, 'Initial Study'!B:B, 0)+2)))),INDEX('Initial Study'!K:K, MATCH(L579, 'Initial Study'!B:B, 0)+2),"-"),"-")</f>
        <v/>
      </c>
      <c r="AA579">
        <f>IF(S579="RE", Y579 &amp; "BT/" &amp; IF(Z579 &lt;&gt; "-", Z579 &amp; "BT", ""), IF(OR(S579="LTDR", S579="LTSR"), Y579 &amp; "BL" &amp; IF(Z579 &lt;&gt; "-", "/" &amp; Z579 &amp; "BT", ""), IF(OR(S579="RTDR", S579="RTSR"), Y579 &amp; "BR" &amp; IF(Z579 &lt;&gt; "-", "/" &amp; Z579 &amp; "BT", ""), IF(Z579 &lt;&gt; "-", Y579 &amp; "BT/" &amp; Z579 &amp; "BT", Y579 &amp; "BT"))))</f>
        <v/>
      </c>
    </row>
    <row r="580">
      <c r="A580" t="n">
        <v>558</v>
      </c>
      <c r="B580" t="inlineStr">
        <is>
          <t>US 601</t>
        </is>
      </c>
      <c r="C580" t="n">
        <v>0</v>
      </c>
      <c r="E580" t="inlineStr">
        <is>
          <t>SIKES MILL</t>
        </is>
      </c>
      <c r="F580" t="inlineStr">
        <is>
          <t>BAUCOM DEESE</t>
        </is>
      </c>
      <c r="G580" t="inlineStr">
        <is>
          <t>US 601</t>
        </is>
      </c>
      <c r="H580" t="n">
        <v>18.007</v>
      </c>
      <c r="I580" t="inlineStr">
        <is>
          <t>NIS</t>
        </is>
      </c>
      <c r="L580" t="n">
        <v>107221390</v>
      </c>
      <c r="M580" s="6" t="n">
        <v>44946</v>
      </c>
      <c r="N580" t="n">
        <v>24</v>
      </c>
      <c r="O580" t="n">
        <v>1</v>
      </c>
      <c r="P580" t="n">
        <v>8</v>
      </c>
      <c r="Q580" t="n">
        <v>1</v>
      </c>
      <c r="R580" t="inlineStr">
        <is>
          <t>O</t>
        </is>
      </c>
      <c r="S580">
        <f>IFERROR(VLOOKUP(N580,Index!$A$1:$B$26,2,FALSE),"")</f>
        <v/>
      </c>
      <c r="T580">
        <f>AA580</f>
        <v/>
      </c>
      <c r="V580">
        <f>IFERROR(INDEX(DetailedFiche!Q:Q,MATCH(L580,DetailedFiche!J:J,0)),"")</f>
        <v/>
      </c>
      <c r="W580">
        <f>IFERROR(INDEX(DetailedFiche!R:R,MATCH(L580,DetailedFiche!J:J,0)),"")</f>
        <v/>
      </c>
      <c r="Y580">
        <f>IFERROR(IF(AND(INDEX('Initial Study'!K:K, MATCH(L580, 'Initial Study'!B:B, 0)+1)&lt;&gt;0,INDEX('Initial Study'!K:K, MATCH(L580, 'Initial Study'!B:B, 0)+1)&lt;&gt;""),INDEX('Initial Study'!K:K, MATCH(L580, 'Initial Study'!B:B, 0)+1),""),"")</f>
        <v/>
      </c>
      <c r="Z580">
        <f>IFERROR(IF(AND(INDEX('Initial Study'!K:K, MATCH(L580, 'Initial Study'!B:B, 0)+2)&lt;&gt;0,INDEX('Initial Study'!K:K, MATCH(L580, 'Initial Study'!B:B, 0)+2)&lt;&gt;"",NOT(ISNUMBER(INDEX('Initial Study'!K:K, MATCH(L580, 'Initial Study'!B:B, 0)+2)))),INDEX('Initial Study'!K:K, MATCH(L580, 'Initial Study'!B:B, 0)+2),"-"),"-")</f>
        <v/>
      </c>
      <c r="AA580">
        <f>IF(S580="RE", Y580 &amp; "BT/" &amp; IF(Z580 &lt;&gt; "-", Z580 &amp; "BT", ""), IF(OR(S580="LTDR", S580="LTSR"), Y580 &amp; "BL" &amp; IF(Z580 &lt;&gt; "-", "/" &amp; Z580 &amp; "BT", ""), IF(OR(S580="RTDR", S580="RTSR"), Y580 &amp; "BR" &amp; IF(Z580 &lt;&gt; "-", "/" &amp; Z580 &amp; "BT", ""), IF(Z580 &lt;&gt; "-", Y580 &amp; "BT/" &amp; Z580 &amp; "BT", Y580 &amp; "BT"))))</f>
        <v/>
      </c>
    </row>
    <row r="581">
      <c r="A581" t="n">
        <v>558</v>
      </c>
      <c r="B581" t="inlineStr">
        <is>
          <t>US 601</t>
        </is>
      </c>
      <c r="C581" t="n">
        <v>0</v>
      </c>
      <c r="E581" t="inlineStr">
        <is>
          <t>SR 1001</t>
        </is>
      </c>
      <c r="F581" t="inlineStr">
        <is>
          <t>DEAD END</t>
        </is>
      </c>
      <c r="G581" t="inlineStr">
        <is>
          <t>US 601</t>
        </is>
      </c>
      <c r="H581" t="n">
        <v>18.007</v>
      </c>
      <c r="I581" t="inlineStr">
        <is>
          <t>NIS</t>
        </is>
      </c>
      <c r="L581" t="n">
        <v>108401808</v>
      </c>
      <c r="M581" s="6" t="n">
        <v>46066</v>
      </c>
      <c r="N581" t="n">
        <v>24</v>
      </c>
      <c r="O581" t="n">
        <v>1</v>
      </c>
      <c r="P581" t="n">
        <v>8</v>
      </c>
      <c r="Q581" t="n">
        <v>5</v>
      </c>
      <c r="R581" t="inlineStr">
        <is>
          <t>O</t>
        </is>
      </c>
      <c r="S581">
        <f>IFERROR(VLOOKUP(N581,Index!$A$1:$B$26,2,FALSE),"")</f>
        <v/>
      </c>
      <c r="T581">
        <f>AA581</f>
        <v/>
      </c>
      <c r="V581">
        <f>IFERROR(INDEX(DetailedFiche!Q:Q,MATCH(L581,DetailedFiche!J:J,0)),"")</f>
        <v/>
      </c>
      <c r="W581">
        <f>IFERROR(INDEX(DetailedFiche!R:R,MATCH(L581,DetailedFiche!J:J,0)),"")</f>
        <v/>
      </c>
      <c r="Y581">
        <f>IFERROR(IF(AND(INDEX('Initial Study'!K:K, MATCH(L581, 'Initial Study'!B:B, 0)+1)&lt;&gt;0,INDEX('Initial Study'!K:K, MATCH(L581, 'Initial Study'!B:B, 0)+1)&lt;&gt;""),INDEX('Initial Study'!K:K, MATCH(L581, 'Initial Study'!B:B, 0)+1),""),"")</f>
        <v/>
      </c>
      <c r="Z581">
        <f>IFERROR(IF(AND(INDEX('Initial Study'!K:K, MATCH(L581, 'Initial Study'!B:B, 0)+2)&lt;&gt;0,INDEX('Initial Study'!K:K, MATCH(L581, 'Initial Study'!B:B, 0)+2)&lt;&gt;"",NOT(ISNUMBER(INDEX('Initial Study'!K:K, MATCH(L581, 'Initial Study'!B:B, 0)+2)))),INDEX('Initial Study'!K:K, MATCH(L581, 'Initial Study'!B:B, 0)+2),"-"),"-")</f>
        <v/>
      </c>
      <c r="AA581">
        <f>IF(S581="RE", Y581 &amp; "BT/" &amp; IF(Z581 &lt;&gt; "-", Z581 &amp; "BT", ""), IF(OR(S581="LTDR", S581="LTSR"), Y581 &amp; "BL" &amp; IF(Z581 &lt;&gt; "-", "/" &amp; Z581 &amp; "BT", ""), IF(OR(S581="RTDR", S581="RTSR"), Y581 &amp; "BR" &amp; IF(Z581 &lt;&gt; "-", "/" &amp; Z581 &amp; "BT", ""), IF(Z581 &lt;&gt; "-", Y581 &amp; "BT/" &amp; Z581 &amp; "BT", Y581 &amp; "BT"))))</f>
        <v/>
      </c>
    </row>
    <row r="582">
      <c r="A582" t="n">
        <v>558</v>
      </c>
      <c r="B582" t="inlineStr">
        <is>
          <t>US 601</t>
        </is>
      </c>
      <c r="C582" t="n">
        <v>0</v>
      </c>
      <c r="E582" t="inlineStr">
        <is>
          <t>SR 1001</t>
        </is>
      </c>
      <c r="F582" t="inlineStr">
        <is>
          <t>SR 1504</t>
        </is>
      </c>
      <c r="G582" t="inlineStr">
        <is>
          <t>US 601</t>
        </is>
      </c>
      <c r="H582" t="n">
        <v>18.007</v>
      </c>
      <c r="I582" t="inlineStr">
        <is>
          <t>NIS</t>
        </is>
      </c>
      <c r="L582" t="n">
        <v>108338300</v>
      </c>
      <c r="M582" s="6" t="n">
        <v>46000</v>
      </c>
      <c r="N582" t="n">
        <v>24</v>
      </c>
      <c r="O582" t="n">
        <v>1</v>
      </c>
      <c r="P582" t="n">
        <v>8</v>
      </c>
      <c r="Q582" t="n">
        <v>5</v>
      </c>
      <c r="R582" t="inlineStr">
        <is>
          <t>O</t>
        </is>
      </c>
      <c r="S582">
        <f>IFERROR(VLOOKUP(N582,Index!$A$1:$B$26,2,FALSE),"")</f>
        <v/>
      </c>
      <c r="T582">
        <f>AA582</f>
        <v/>
      </c>
      <c r="V582">
        <f>IFERROR(INDEX(DetailedFiche!Q:Q,MATCH(L582,DetailedFiche!J:J,0)),"")</f>
        <v/>
      </c>
      <c r="W582">
        <f>IFERROR(INDEX(DetailedFiche!R:R,MATCH(L582,DetailedFiche!J:J,0)),"")</f>
        <v/>
      </c>
      <c r="Y582">
        <f>IFERROR(IF(AND(INDEX('Initial Study'!K:K, MATCH(L582, 'Initial Study'!B:B, 0)+1)&lt;&gt;0,INDEX('Initial Study'!K:K, MATCH(L582, 'Initial Study'!B:B, 0)+1)&lt;&gt;""),INDEX('Initial Study'!K:K, MATCH(L582, 'Initial Study'!B:B, 0)+1),""),"")</f>
        <v/>
      </c>
      <c r="Z582">
        <f>IFERROR(IF(AND(INDEX('Initial Study'!K:K, MATCH(L582, 'Initial Study'!B:B, 0)+2)&lt;&gt;0,INDEX('Initial Study'!K:K, MATCH(L582, 'Initial Study'!B:B, 0)+2)&lt;&gt;"",NOT(ISNUMBER(INDEX('Initial Study'!K:K, MATCH(L582, 'Initial Study'!B:B, 0)+2)))),INDEX('Initial Study'!K:K, MATCH(L582, 'Initial Study'!B:B, 0)+2),"-"),"-")</f>
        <v/>
      </c>
      <c r="AA582">
        <f>IF(S582="RE", Y582 &amp; "BT/" &amp; IF(Z582 &lt;&gt; "-", Z582 &amp; "BT", ""), IF(OR(S582="LTDR", S582="LTSR"), Y582 &amp; "BL" &amp; IF(Z582 &lt;&gt; "-", "/" &amp; Z582 &amp; "BT", ""), IF(OR(S582="RTDR", S582="RTSR"), Y582 &amp; "BR" &amp; IF(Z582 &lt;&gt; "-", "/" &amp; Z582 &amp; "BT", ""), IF(Z582 &lt;&gt; "-", Y582 &amp; "BT/" &amp; Z582 &amp; "BT", Y582 &amp; "BT"))))</f>
        <v/>
      </c>
    </row>
    <row r="583">
      <c r="A583" t="n">
        <v>0</v>
      </c>
      <c r="B583" t="inlineStr">
        <is>
          <t>US 601</t>
        </is>
      </c>
      <c r="C583" t="n">
        <v>0</v>
      </c>
      <c r="E583" t="inlineStr">
        <is>
          <t>SR 1001</t>
        </is>
      </c>
      <c r="F583" t="inlineStr">
        <is>
          <t>SR 1504</t>
        </is>
      </c>
      <c r="G583" t="inlineStr">
        <is>
          <t>US 601</t>
        </is>
      </c>
      <c r="H583" t="n">
        <v>18.007</v>
      </c>
      <c r="I583" t="inlineStr">
        <is>
          <t>NIS</t>
        </is>
      </c>
      <c r="L583" t="n">
        <v>107931666</v>
      </c>
      <c r="M583" s="6" t="n">
        <v>45611</v>
      </c>
      <c r="N583" t="n">
        <v>24</v>
      </c>
      <c r="O583" t="n">
        <v>1</v>
      </c>
      <c r="P583" t="n">
        <v>9</v>
      </c>
      <c r="Q583" t="n">
        <v>5</v>
      </c>
      <c r="R583" t="inlineStr">
        <is>
          <t>C</t>
        </is>
      </c>
      <c r="S583">
        <f>IFERROR(VLOOKUP(N583,Index!$A$1:$B$26,2,FALSE),"")</f>
        <v/>
      </c>
      <c r="T583">
        <f>AA583</f>
        <v/>
      </c>
      <c r="V583">
        <f>IFERROR(INDEX(DetailedFiche!Q:Q,MATCH(L583,DetailedFiche!J:J,0)),"")</f>
        <v/>
      </c>
      <c r="W583">
        <f>IFERROR(INDEX(DetailedFiche!R:R,MATCH(L583,DetailedFiche!J:J,0)),"")</f>
        <v/>
      </c>
      <c r="Y583">
        <f>IFERROR(IF(AND(INDEX('Initial Study'!K:K, MATCH(L583, 'Initial Study'!B:B, 0)+1)&lt;&gt;0,INDEX('Initial Study'!K:K, MATCH(L583, 'Initial Study'!B:B, 0)+1)&lt;&gt;""),INDEX('Initial Study'!K:K, MATCH(L583, 'Initial Study'!B:B, 0)+1),""),"")</f>
        <v/>
      </c>
      <c r="Z583">
        <f>IFERROR(IF(AND(INDEX('Initial Study'!K:K, MATCH(L583, 'Initial Study'!B:B, 0)+2)&lt;&gt;0,INDEX('Initial Study'!K:K, MATCH(L583, 'Initial Study'!B:B, 0)+2)&lt;&gt;"",NOT(ISNUMBER(INDEX('Initial Study'!K:K, MATCH(L583, 'Initial Study'!B:B, 0)+2)))),INDEX('Initial Study'!K:K, MATCH(L583, 'Initial Study'!B:B, 0)+2),"-"),"-")</f>
        <v/>
      </c>
      <c r="AA583">
        <f>IF(S583="RE", Y583 &amp; "BT/" &amp; IF(Z583 &lt;&gt; "-", Z583 &amp; "BT", ""), IF(OR(S583="LTDR", S583="LTSR"), Y583 &amp; "BL" &amp; IF(Z583 &lt;&gt; "-", "/" &amp; Z583 &amp; "BT", ""), IF(OR(S583="RTDR", S583="RTSR"), Y583 &amp; "BR" &amp; IF(Z583 &lt;&gt; "-", "/" &amp; Z583 &amp; "BT", ""), IF(Z583 &lt;&gt; "-", Y583 &amp; "BT/" &amp; Z583 &amp; "BT", Y583 &amp; "BT"))))</f>
        <v/>
      </c>
    </row>
    <row r="584">
      <c r="A584" t="n">
        <v>558</v>
      </c>
      <c r="B584" t="inlineStr">
        <is>
          <t>US 601</t>
        </is>
      </c>
      <c r="C584" t="n">
        <v>0</v>
      </c>
      <c r="E584" t="inlineStr">
        <is>
          <t>SR 1001</t>
        </is>
      </c>
      <c r="F584" t="inlineStr">
        <is>
          <t>SR 1505</t>
        </is>
      </c>
      <c r="G584" t="inlineStr">
        <is>
          <t>US 601</t>
        </is>
      </c>
      <c r="H584" t="n">
        <v>18.007</v>
      </c>
      <c r="I584" t="inlineStr">
        <is>
          <t>NIS</t>
        </is>
      </c>
      <c r="L584" t="n">
        <v>104721418</v>
      </c>
      <c r="M584" s="6" t="n">
        <v>42485</v>
      </c>
      <c r="N584" t="n">
        <v>24</v>
      </c>
      <c r="O584" t="n">
        <v>1</v>
      </c>
      <c r="P584" t="n">
        <v>8</v>
      </c>
      <c r="Q584" t="n">
        <v>1</v>
      </c>
      <c r="R584" t="inlineStr">
        <is>
          <t>O</t>
        </is>
      </c>
      <c r="S584">
        <f>IFERROR(VLOOKUP(N584,Index!$A$1:$B$26,2,FALSE),"")</f>
        <v/>
      </c>
      <c r="T584">
        <f>AA584</f>
        <v/>
      </c>
      <c r="V584">
        <f>IFERROR(INDEX(DetailedFiche!Q:Q,MATCH(L584,DetailedFiche!J:J,0)),"")</f>
        <v/>
      </c>
      <c r="W584">
        <f>IFERROR(INDEX(DetailedFiche!R:R,MATCH(L584,DetailedFiche!J:J,0)),"")</f>
        <v/>
      </c>
      <c r="Y584">
        <f>IFERROR(IF(AND(INDEX('Initial Study'!K:K, MATCH(L584, 'Initial Study'!B:B, 0)+1)&lt;&gt;0,INDEX('Initial Study'!K:K, MATCH(L584, 'Initial Study'!B:B, 0)+1)&lt;&gt;""),INDEX('Initial Study'!K:K, MATCH(L584, 'Initial Study'!B:B, 0)+1),""),"")</f>
        <v/>
      </c>
      <c r="Z584">
        <f>IFERROR(IF(AND(INDEX('Initial Study'!K:K, MATCH(L584, 'Initial Study'!B:B, 0)+2)&lt;&gt;0,INDEX('Initial Study'!K:K, MATCH(L584, 'Initial Study'!B:B, 0)+2)&lt;&gt;"",NOT(ISNUMBER(INDEX('Initial Study'!K:K, MATCH(L584, 'Initial Study'!B:B, 0)+2)))),INDEX('Initial Study'!K:K, MATCH(L584, 'Initial Study'!B:B, 0)+2),"-"),"-")</f>
        <v/>
      </c>
      <c r="AA584">
        <f>IF(S584="RE", Y584 &amp; "BT/" &amp; IF(Z584 &lt;&gt; "-", Z584 &amp; "BT", ""), IF(OR(S584="LTDR", S584="LTSR"), Y584 &amp; "BL" &amp; IF(Z584 &lt;&gt; "-", "/" &amp; Z584 &amp; "BT", ""), IF(OR(S584="RTDR", S584="RTSR"), Y584 &amp; "BR" &amp; IF(Z584 &lt;&gt; "-", "/" &amp; Z584 &amp; "BT", ""), IF(Z584 &lt;&gt; "-", Y584 &amp; "BT/" &amp; Z584 &amp; "BT", Y584 &amp; "BT"))))</f>
        <v/>
      </c>
    </row>
    <row r="585">
      <c r="A585" t="n">
        <v>558</v>
      </c>
      <c r="B585" t="inlineStr">
        <is>
          <t>US 601</t>
        </is>
      </c>
      <c r="C585" t="n">
        <v>0</v>
      </c>
      <c r="E585" t="inlineStr">
        <is>
          <t>SR 1001</t>
        </is>
      </c>
      <c r="F585" t="inlineStr">
        <is>
          <t>SR 1504</t>
        </is>
      </c>
      <c r="G585" t="inlineStr">
        <is>
          <t>US 601</t>
        </is>
      </c>
      <c r="H585" t="n">
        <v>18.007</v>
      </c>
      <c r="I585" t="inlineStr">
        <is>
          <t>NIS</t>
        </is>
      </c>
      <c r="L585" t="n">
        <v>105644357</v>
      </c>
      <c r="M585" s="6" t="n">
        <v>43389</v>
      </c>
      <c r="N585" t="n">
        <v>24</v>
      </c>
      <c r="O585" t="n">
        <v>1</v>
      </c>
      <c r="P585" t="n">
        <v>8</v>
      </c>
      <c r="Q585" t="n">
        <v>1</v>
      </c>
      <c r="R585" t="inlineStr">
        <is>
          <t>C</t>
        </is>
      </c>
      <c r="S585">
        <f>IFERROR(VLOOKUP(N585,Index!$A$1:$B$26,2,FALSE),"")</f>
        <v/>
      </c>
      <c r="T585">
        <f>AA585</f>
        <v/>
      </c>
      <c r="V585">
        <f>IFERROR(INDEX(DetailedFiche!Q:Q,MATCH(L585,DetailedFiche!J:J,0)),"")</f>
        <v/>
      </c>
      <c r="W585">
        <f>IFERROR(INDEX(DetailedFiche!R:R,MATCH(L585,DetailedFiche!J:J,0)),"")</f>
        <v/>
      </c>
      <c r="Y585">
        <f>IFERROR(IF(AND(INDEX('Initial Study'!K:K, MATCH(L585, 'Initial Study'!B:B, 0)+1)&lt;&gt;0,INDEX('Initial Study'!K:K, MATCH(L585, 'Initial Study'!B:B, 0)+1)&lt;&gt;""),INDEX('Initial Study'!K:K, MATCH(L585, 'Initial Study'!B:B, 0)+1),""),"")</f>
        <v/>
      </c>
      <c r="Z585">
        <f>IFERROR(IF(AND(INDEX('Initial Study'!K:K, MATCH(L585, 'Initial Study'!B:B, 0)+2)&lt;&gt;0,INDEX('Initial Study'!K:K, MATCH(L585, 'Initial Study'!B:B, 0)+2)&lt;&gt;"",NOT(ISNUMBER(INDEX('Initial Study'!K:K, MATCH(L585, 'Initial Study'!B:B, 0)+2)))),INDEX('Initial Study'!K:K, MATCH(L585, 'Initial Study'!B:B, 0)+2),"-"),"-")</f>
        <v/>
      </c>
      <c r="AA585">
        <f>IF(S585="RE", Y585 &amp; "BT/" &amp; IF(Z585 &lt;&gt; "-", Z585 &amp; "BT", ""), IF(OR(S585="LTDR", S585="LTSR"), Y585 &amp; "BL" &amp; IF(Z585 &lt;&gt; "-", "/" &amp; Z585 &amp; "BT", ""), IF(OR(S585="RTDR", S585="RTSR"), Y585 &amp; "BR" &amp; IF(Z585 &lt;&gt; "-", "/" &amp; Z585 &amp; "BT", ""), IF(Z585 &lt;&gt; "-", Y585 &amp; "BT/" &amp; Z585 &amp; "BT", Y585 &amp; "BT"))))</f>
        <v/>
      </c>
    </row>
    <row r="586">
      <c r="A586" t="n">
        <v>558</v>
      </c>
      <c r="B586" t="inlineStr">
        <is>
          <t>US 601</t>
        </is>
      </c>
      <c r="C586" t="n">
        <v>0.002</v>
      </c>
      <c r="D586" t="inlineStr">
        <is>
          <t>N</t>
        </is>
      </c>
      <c r="E586" t="inlineStr">
        <is>
          <t>SR 1001</t>
        </is>
      </c>
      <c r="F586" t="inlineStr">
        <is>
          <t>SR 1505</t>
        </is>
      </c>
      <c r="G586" t="inlineStr">
        <is>
          <t>US 601</t>
        </is>
      </c>
      <c r="H586" t="n">
        <v>18.009</v>
      </c>
      <c r="I586" t="inlineStr">
        <is>
          <t>NIS</t>
        </is>
      </c>
      <c r="L586" t="n">
        <v>107708011</v>
      </c>
      <c r="M586" s="6" t="n">
        <v>45416</v>
      </c>
      <c r="N586" t="n">
        <v>21</v>
      </c>
      <c r="O586" t="n">
        <v>2</v>
      </c>
      <c r="P586" t="n">
        <v>0</v>
      </c>
      <c r="Q586" t="n">
        <v>1</v>
      </c>
      <c r="R586" t="inlineStr">
        <is>
          <t>O</t>
        </is>
      </c>
      <c r="S586">
        <f>IFERROR(VLOOKUP(N586,Index!$A$1:$B$26,2,FALSE),"")</f>
        <v/>
      </c>
      <c r="T586">
        <f>AA586</f>
        <v/>
      </c>
      <c r="V586">
        <f>IFERROR(INDEX(DetailedFiche!Q:Q,MATCH(L586,DetailedFiche!J:J,0)),"")</f>
        <v/>
      </c>
      <c r="W586">
        <f>IFERROR(INDEX(DetailedFiche!R:R,MATCH(L586,DetailedFiche!J:J,0)),"")</f>
        <v/>
      </c>
      <c r="Y586">
        <f>IFERROR(IF(AND(INDEX('Initial Study'!K:K, MATCH(L586, 'Initial Study'!B:B, 0)+1)&lt;&gt;0,INDEX('Initial Study'!K:K, MATCH(L586, 'Initial Study'!B:B, 0)+1)&lt;&gt;""),INDEX('Initial Study'!K:K, MATCH(L586, 'Initial Study'!B:B, 0)+1),""),"")</f>
        <v/>
      </c>
      <c r="Z586">
        <f>IFERROR(IF(AND(INDEX('Initial Study'!K:K, MATCH(L586, 'Initial Study'!B:B, 0)+2)&lt;&gt;0,INDEX('Initial Study'!K:K, MATCH(L586, 'Initial Study'!B:B, 0)+2)&lt;&gt;"",NOT(ISNUMBER(INDEX('Initial Study'!K:K, MATCH(L586, 'Initial Study'!B:B, 0)+2)))),INDEX('Initial Study'!K:K, MATCH(L586, 'Initial Study'!B:B, 0)+2),"-"),"-")</f>
        <v/>
      </c>
      <c r="AA586">
        <f>IF(S586="RE", Y586 &amp; "BT/" &amp; IF(Z586 &lt;&gt; "-", Z586 &amp; "BT", ""), IF(OR(S586="LTDR", S586="LTSR"), Y586 &amp; "BL" &amp; IF(Z586 &lt;&gt; "-", "/" &amp; Z586 &amp; "BT", ""), IF(OR(S586="RTDR", S586="RTSR"), Y586 &amp; "BR" &amp; IF(Z586 &lt;&gt; "-", "/" &amp; Z586 &amp; "BT", ""), IF(Z586 &lt;&gt; "-", Y586 &amp; "BT/" &amp; Z586 &amp; "BT", Y586 &amp; "BT"))))</f>
        <v/>
      </c>
    </row>
    <row r="587">
      <c r="A587" t="n">
        <v>0</v>
      </c>
      <c r="B587" t="inlineStr">
        <is>
          <t>US 601</t>
        </is>
      </c>
      <c r="C587" t="n">
        <v>0.008999999999999999</v>
      </c>
      <c r="D587" t="inlineStr">
        <is>
          <t>N</t>
        </is>
      </c>
      <c r="E587" t="inlineStr">
        <is>
          <t>SR 1001</t>
        </is>
      </c>
      <c r="F587" t="inlineStr">
        <is>
          <t>SR 1505</t>
        </is>
      </c>
      <c r="G587" t="inlineStr">
        <is>
          <t>US 601</t>
        </is>
      </c>
      <c r="H587" t="n">
        <v>18.016</v>
      </c>
      <c r="I587" t="inlineStr">
        <is>
          <t>NIS</t>
        </is>
      </c>
      <c r="L587" t="n">
        <v>107232412</v>
      </c>
      <c r="M587" s="6" t="n">
        <v>44959</v>
      </c>
      <c r="N587" t="n">
        <v>21</v>
      </c>
      <c r="O587" t="n">
        <v>2</v>
      </c>
      <c r="P587" t="n">
        <v>0</v>
      </c>
      <c r="Q587" t="n">
        <v>1</v>
      </c>
      <c r="R587" t="inlineStr">
        <is>
          <t>O</t>
        </is>
      </c>
      <c r="S587">
        <f>IFERROR(VLOOKUP(N587,Index!$A$1:$B$26,2,FALSE),"")</f>
        <v/>
      </c>
      <c r="T587">
        <f>AA587</f>
        <v/>
      </c>
      <c r="V587">
        <f>IFERROR(INDEX(DetailedFiche!Q:Q,MATCH(L587,DetailedFiche!J:J,0)),"")</f>
        <v/>
      </c>
      <c r="W587">
        <f>IFERROR(INDEX(DetailedFiche!R:R,MATCH(L587,DetailedFiche!J:J,0)),"")</f>
        <v/>
      </c>
      <c r="Y587">
        <f>IFERROR(IF(AND(INDEX('Initial Study'!K:K, MATCH(L587, 'Initial Study'!B:B, 0)+1)&lt;&gt;0,INDEX('Initial Study'!K:K, MATCH(L587, 'Initial Study'!B:B, 0)+1)&lt;&gt;""),INDEX('Initial Study'!K:K, MATCH(L587, 'Initial Study'!B:B, 0)+1),""),"")</f>
        <v/>
      </c>
      <c r="Z587">
        <f>IFERROR(IF(AND(INDEX('Initial Study'!K:K, MATCH(L587, 'Initial Study'!B:B, 0)+2)&lt;&gt;0,INDEX('Initial Study'!K:K, MATCH(L587, 'Initial Study'!B:B, 0)+2)&lt;&gt;"",NOT(ISNUMBER(INDEX('Initial Study'!K:K, MATCH(L587, 'Initial Study'!B:B, 0)+2)))),INDEX('Initial Study'!K:K, MATCH(L587, 'Initial Study'!B:B, 0)+2),"-"),"-")</f>
        <v/>
      </c>
      <c r="AA587">
        <f>IF(S587="RE", Y587 &amp; "BT/" &amp; IF(Z587 &lt;&gt; "-", Z587 &amp; "BT", ""), IF(OR(S587="LTDR", S587="LTSR"), Y587 &amp; "BL" &amp; IF(Z587 &lt;&gt; "-", "/" &amp; Z587 &amp; "BT", ""), IF(OR(S587="RTDR", S587="RTSR"), Y587 &amp; "BR" &amp; IF(Z587 &lt;&gt; "-", "/" &amp; Z587 &amp; "BT", ""), IF(Z587 &lt;&gt; "-", Y587 &amp; "BT/" &amp; Z587 &amp; "BT", Y587 &amp; "BT"))))</f>
        <v/>
      </c>
    </row>
    <row r="588">
      <c r="A588" t="n">
        <v>271</v>
      </c>
      <c r="B588" t="inlineStr">
        <is>
          <t>US 74</t>
        </is>
      </c>
      <c r="C588" t="n">
        <v>0.019</v>
      </c>
      <c r="D588" t="inlineStr">
        <is>
          <t>E</t>
        </is>
      </c>
      <c r="E588" t="inlineStr">
        <is>
          <t>SR 1001</t>
        </is>
      </c>
      <c r="F588" t="inlineStr">
        <is>
          <t>TECHNOLOGY</t>
        </is>
      </c>
      <c r="G588" t="inlineStr">
        <is>
          <t>US 74</t>
        </is>
      </c>
      <c r="H588" t="n">
        <v>999.999</v>
      </c>
      <c r="I588" t="inlineStr">
        <is>
          <t>NIS</t>
        </is>
      </c>
      <c r="L588" t="n">
        <v>105387411</v>
      </c>
      <c r="M588" s="6" t="n">
        <v>43146</v>
      </c>
      <c r="N588" t="n">
        <v>28</v>
      </c>
      <c r="O588" t="n">
        <v>1</v>
      </c>
      <c r="P588" t="n">
        <v>0</v>
      </c>
      <c r="Q588" t="n">
        <v>5</v>
      </c>
      <c r="R588" t="inlineStr">
        <is>
          <t>O</t>
        </is>
      </c>
      <c r="S588">
        <f>IFERROR(VLOOKUP(N588,Index!$A$1:$B$26,2,FALSE),"")</f>
        <v/>
      </c>
      <c r="T588">
        <f>AA588</f>
        <v/>
      </c>
      <c r="V588">
        <f>IFERROR(INDEX(DetailedFiche!Q:Q,MATCH(L588,DetailedFiche!J:J,0)),"")</f>
        <v/>
      </c>
      <c r="W588">
        <f>IFERROR(INDEX(DetailedFiche!R:R,MATCH(L588,DetailedFiche!J:J,0)),"")</f>
        <v/>
      </c>
      <c r="Y588">
        <f>IFERROR(IF(AND(INDEX('Initial Study'!K:K, MATCH(L588, 'Initial Study'!B:B, 0)+1)&lt;&gt;0,INDEX('Initial Study'!K:K, MATCH(L588, 'Initial Study'!B:B, 0)+1)&lt;&gt;""),INDEX('Initial Study'!K:K, MATCH(L588, 'Initial Study'!B:B, 0)+1),""),"")</f>
        <v/>
      </c>
      <c r="Z588">
        <f>IFERROR(IF(AND(INDEX('Initial Study'!K:K, MATCH(L588, 'Initial Study'!B:B, 0)+2)&lt;&gt;0,INDEX('Initial Study'!K:K, MATCH(L588, 'Initial Study'!B:B, 0)+2)&lt;&gt;"",NOT(ISNUMBER(INDEX('Initial Study'!K:K, MATCH(L588, 'Initial Study'!B:B, 0)+2)))),INDEX('Initial Study'!K:K, MATCH(L588, 'Initial Study'!B:B, 0)+2),"-"),"-")</f>
        <v/>
      </c>
      <c r="AA588">
        <f>IF(S588="RE", Y588 &amp; "BT/" &amp; IF(Z588 &lt;&gt; "-", Z588 &amp; "BT", ""), IF(OR(S588="LTDR", S588="LTSR"), Y588 &amp; "BL" &amp; IF(Z588 &lt;&gt; "-", "/" &amp; Z588 &amp; "BT", ""), IF(OR(S588="RTDR", S588="RTSR"), Y588 &amp; "BR" &amp; IF(Z588 &lt;&gt; "-", "/" &amp; Z588 &amp; "BT", ""), IF(Z588 &lt;&gt; "-", Y588 &amp; "BT/" &amp; Z588 &amp; "BT", Y588 &amp; "BT"))))</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88"/>
  <sheetViews>
    <sheetView workbookViewId="0">
      <selection activeCell="A1" sqref="A1"/>
    </sheetView>
  </sheetViews>
  <sheetFormatPr baseColWidth="8" defaultRowHeight="15"/>
  <sheetData>
    <row r="1">
      <c r="A1" t="inlineStr">
        <is>
          <t>Crash ID</t>
        </is>
      </c>
      <c r="B1" t="inlineStr">
        <is>
          <t>CRASH</t>
        </is>
      </c>
      <c r="C1" t="inlineStr">
        <is>
          <t>IS?</t>
        </is>
      </c>
      <c r="D1" t="inlineStr">
        <is>
          <t>Fiche?</t>
        </is>
      </c>
      <c r="H1" t="inlineStr">
        <is>
          <t>CRASH</t>
        </is>
      </c>
      <c r="I1" t="inlineStr">
        <is>
          <t>ID</t>
        </is>
      </c>
      <c r="J1" t="inlineStr">
        <is>
          <t>ON</t>
        </is>
      </c>
      <c r="K1" t="inlineStr">
        <is>
          <t>RD</t>
        </is>
      </c>
      <c r="L1" t="inlineStr">
        <is>
          <t>CD</t>
        </is>
      </c>
      <c r="M1" t="inlineStr">
        <is>
          <t>SVRTY</t>
        </is>
      </c>
      <c r="N1" t="inlineStr">
        <is>
          <t>DATE</t>
        </is>
      </c>
      <c r="O1" t="inlineStr">
        <is>
          <t>TYPE</t>
        </is>
      </c>
    </row>
    <row r="2">
      <c r="A2" t="n">
        <v>105722912</v>
      </c>
      <c r="B2" t="n">
        <v>104716467</v>
      </c>
      <c r="D2" t="inlineStr">
        <is>
          <t>YES</t>
        </is>
      </c>
      <c r="H2" t="n">
        <v>104716467</v>
      </c>
      <c r="I2" t="n">
        <v>40001617</v>
      </c>
      <c r="J2" t="n">
        <v>5</v>
      </c>
      <c r="K2" s="11" t="n">
        <v>42487</v>
      </c>
      <c r="L2" s="4" t="n">
        <v>0.8194444444444444</v>
      </c>
      <c r="M2" t="n">
        <v>30</v>
      </c>
    </row>
    <row r="3">
      <c r="A3" t="n">
        <v>104698395</v>
      </c>
      <c r="B3" t="n">
        <v>104890928</v>
      </c>
      <c r="D3" t="inlineStr">
        <is>
          <t>YES</t>
        </is>
      </c>
      <c r="H3" t="n">
        <v>104890928</v>
      </c>
      <c r="I3" t="n">
        <v>40001001</v>
      </c>
      <c r="J3" t="n">
        <v>4</v>
      </c>
      <c r="K3" s="11" t="n">
        <v>42653</v>
      </c>
      <c r="L3" s="4" t="n">
        <v>0.3680555555555556</v>
      </c>
      <c r="M3" t="n">
        <v>30</v>
      </c>
    </row>
    <row r="4">
      <c r="A4" t="n">
        <v>107479024</v>
      </c>
      <c r="B4" t="n">
        <v>104901954</v>
      </c>
      <c r="D4" t="inlineStr">
        <is>
          <t>YES</t>
        </is>
      </c>
      <c r="H4" t="n">
        <v>104901954</v>
      </c>
      <c r="I4" t="n">
        <v>40001001</v>
      </c>
      <c r="J4" t="n">
        <v>5</v>
      </c>
      <c r="K4" s="11" t="n">
        <v>42676</v>
      </c>
      <c r="L4" s="4" t="n">
        <v>0.3173611111111111</v>
      </c>
      <c r="M4" t="n">
        <v>30</v>
      </c>
    </row>
    <row r="5">
      <c r="A5" t="n">
        <v>107442545</v>
      </c>
      <c r="B5" t="n">
        <v>104942804</v>
      </c>
      <c r="D5" t="inlineStr">
        <is>
          <t>YES</t>
        </is>
      </c>
      <c r="H5" t="n">
        <v>104942804</v>
      </c>
      <c r="I5" t="n">
        <v>40001001</v>
      </c>
      <c r="J5" t="n">
        <v>3</v>
      </c>
      <c r="K5" s="11" t="n">
        <v>42712</v>
      </c>
      <c r="L5" s="4" t="n">
        <v>0.6729166666666667</v>
      </c>
      <c r="M5" t="n">
        <v>30</v>
      </c>
    </row>
    <row r="6">
      <c r="A6" t="n">
        <v>108377465</v>
      </c>
      <c r="B6" t="n">
        <v>104987740</v>
      </c>
      <c r="D6" t="inlineStr">
        <is>
          <t>YES</t>
        </is>
      </c>
      <c r="H6" t="n">
        <v>104987740</v>
      </c>
      <c r="I6" t="n">
        <v>40001001</v>
      </c>
      <c r="J6" t="n">
        <v>3</v>
      </c>
      <c r="K6" s="11" t="n">
        <v>42760</v>
      </c>
      <c r="L6" s="4" t="n">
        <v>0.5694444444444444</v>
      </c>
      <c r="M6" t="n">
        <v>30</v>
      </c>
    </row>
    <row r="7">
      <c r="A7" t="n">
        <v>108397947</v>
      </c>
      <c r="B7" t="n">
        <v>105210461</v>
      </c>
      <c r="D7" t="inlineStr">
        <is>
          <t>YES</t>
        </is>
      </c>
      <c r="H7" t="n">
        <v>105210461</v>
      </c>
      <c r="I7" t="n">
        <v>40001001</v>
      </c>
      <c r="J7" t="n">
        <v>4</v>
      </c>
      <c r="K7" s="11" t="n">
        <v>42977</v>
      </c>
      <c r="L7" s="4" t="n">
        <v>0.3388888888888889</v>
      </c>
      <c r="M7" t="n">
        <v>30</v>
      </c>
    </row>
    <row r="8">
      <c r="A8" t="n">
        <v>107756918</v>
      </c>
      <c r="B8" t="n">
        <v>105326435</v>
      </c>
      <c r="D8" t="inlineStr">
        <is>
          <t>YES</t>
        </is>
      </c>
      <c r="H8" t="n">
        <v>105326435</v>
      </c>
      <c r="I8" t="n">
        <v>40001001</v>
      </c>
      <c r="J8" t="n">
        <v>2</v>
      </c>
      <c r="K8" s="11" t="n">
        <v>43085</v>
      </c>
      <c r="L8" s="4" t="n">
        <v>0.4881944444444444</v>
      </c>
      <c r="M8" t="n">
        <v>30</v>
      </c>
    </row>
    <row r="9">
      <c r="A9" t="n">
        <v>108479327</v>
      </c>
      <c r="B9" t="n">
        <v>105520583</v>
      </c>
      <c r="D9" t="inlineStr">
        <is>
          <t>YES</t>
        </is>
      </c>
      <c r="H9" t="n">
        <v>105520583</v>
      </c>
      <c r="I9" t="n">
        <v>40001001</v>
      </c>
      <c r="J9" t="n">
        <v>5</v>
      </c>
      <c r="K9" s="11" t="n">
        <v>43271</v>
      </c>
      <c r="L9" s="4" t="n">
        <v>0.8125</v>
      </c>
      <c r="M9" t="n">
        <v>19</v>
      </c>
    </row>
    <row r="10">
      <c r="A10" t="n">
        <v>107528155</v>
      </c>
      <c r="B10" t="n">
        <v>105535858</v>
      </c>
      <c r="D10" t="inlineStr">
        <is>
          <t>YES</t>
        </is>
      </c>
      <c r="H10" t="n">
        <v>105535858</v>
      </c>
      <c r="I10" t="n">
        <v>40001001</v>
      </c>
      <c r="J10" t="n">
        <v>3</v>
      </c>
      <c r="K10" s="11" t="n">
        <v>43290</v>
      </c>
      <c r="L10" s="4" t="n">
        <v>0.3534722222222222</v>
      </c>
      <c r="M10" t="n">
        <v>30</v>
      </c>
    </row>
    <row r="11">
      <c r="A11" t="n">
        <v>105971602</v>
      </c>
      <c r="B11" t="n">
        <v>105553349</v>
      </c>
      <c r="D11" t="inlineStr">
        <is>
          <t>YES</t>
        </is>
      </c>
      <c r="H11" t="n">
        <v>105553349</v>
      </c>
      <c r="I11" t="n">
        <v>40001001</v>
      </c>
      <c r="J11" t="n">
        <v>5</v>
      </c>
      <c r="K11" s="11" t="n">
        <v>43304</v>
      </c>
      <c r="L11" s="4" t="n">
        <v>0.8048611111111111</v>
      </c>
      <c r="M11" t="n">
        <v>18</v>
      </c>
    </row>
    <row r="12">
      <c r="A12" t="n">
        <v>107250998</v>
      </c>
      <c r="B12" t="n">
        <v>105885258</v>
      </c>
      <c r="D12" t="inlineStr">
        <is>
          <t>YES</t>
        </is>
      </c>
      <c r="H12" t="n">
        <v>105885258</v>
      </c>
      <c r="I12" t="n">
        <v>40001617</v>
      </c>
      <c r="J12" t="n">
        <v>5</v>
      </c>
      <c r="K12" s="11" t="n">
        <v>43620</v>
      </c>
      <c r="L12" s="4" t="n">
        <v>0.3201388888888889</v>
      </c>
      <c r="M12" t="n">
        <v>29</v>
      </c>
    </row>
    <row r="13">
      <c r="A13" t="n">
        <v>105983673</v>
      </c>
      <c r="B13" t="n">
        <v>106126767</v>
      </c>
      <c r="D13" t="inlineStr">
        <is>
          <t>YES</t>
        </is>
      </c>
      <c r="H13" t="n">
        <v>106126767</v>
      </c>
      <c r="I13" t="n">
        <v>40001001</v>
      </c>
      <c r="J13" t="n">
        <v>5</v>
      </c>
      <c r="K13" s="11" t="n">
        <v>43843</v>
      </c>
      <c r="L13" s="4" t="n">
        <v>0.5506944444444445</v>
      </c>
      <c r="M13" t="n">
        <v>21</v>
      </c>
    </row>
    <row r="14">
      <c r="A14" t="n">
        <v>107844251</v>
      </c>
      <c r="B14" t="n">
        <v>106133705</v>
      </c>
      <c r="D14" t="inlineStr">
        <is>
          <t>YES</t>
        </is>
      </c>
      <c r="H14" t="n">
        <v>106133705</v>
      </c>
      <c r="I14" t="n">
        <v>50028131</v>
      </c>
      <c r="J14" t="n">
        <v>5</v>
      </c>
      <c r="K14" s="11" t="n">
        <v>43853</v>
      </c>
      <c r="L14" s="4" t="n">
        <v>0.3333333333333333</v>
      </c>
      <c r="M14" t="n">
        <v>30</v>
      </c>
    </row>
    <row r="15">
      <c r="A15" t="n">
        <v>106254686</v>
      </c>
      <c r="B15" t="n">
        <v>106286453</v>
      </c>
      <c r="D15" t="inlineStr">
        <is>
          <t>YES</t>
        </is>
      </c>
      <c r="H15" t="n">
        <v>106286453</v>
      </c>
      <c r="I15" t="n">
        <v>40001001</v>
      </c>
      <c r="J15" t="n">
        <v>4</v>
      </c>
      <c r="K15" s="11" t="n">
        <v>44037</v>
      </c>
      <c r="L15" s="4" t="n">
        <v>0.43125</v>
      </c>
      <c r="M15" t="n">
        <v>30</v>
      </c>
    </row>
    <row r="16">
      <c r="A16" t="n">
        <v>107994713</v>
      </c>
      <c r="B16" t="n">
        <v>106743409</v>
      </c>
      <c r="D16" t="inlineStr">
        <is>
          <t>YES</t>
        </is>
      </c>
      <c r="H16" t="n">
        <v>106743409</v>
      </c>
      <c r="I16" t="n">
        <v>40001001</v>
      </c>
      <c r="J16" t="n">
        <v>5</v>
      </c>
      <c r="K16" s="11" t="n">
        <v>44494</v>
      </c>
      <c r="L16" s="4" t="n">
        <v>0.8138888888888889</v>
      </c>
      <c r="M16" t="n">
        <v>30</v>
      </c>
    </row>
    <row r="17">
      <c r="A17" t="n">
        <v>106584227</v>
      </c>
      <c r="B17" t="n">
        <v>106772984</v>
      </c>
      <c r="D17" t="inlineStr">
        <is>
          <t>YES</t>
        </is>
      </c>
      <c r="H17" t="n">
        <v>106772984</v>
      </c>
      <c r="I17" t="n">
        <v>50028131</v>
      </c>
      <c r="J17" t="n">
        <v>5</v>
      </c>
      <c r="K17" s="11" t="n">
        <v>44519</v>
      </c>
      <c r="L17" s="4" t="n">
        <v>0.34375</v>
      </c>
      <c r="M17" t="n">
        <v>30</v>
      </c>
    </row>
    <row r="18">
      <c r="A18" t="n">
        <v>106303935</v>
      </c>
      <c r="B18" t="n">
        <v>107601791</v>
      </c>
      <c r="D18" t="inlineStr">
        <is>
          <t>YES</t>
        </is>
      </c>
      <c r="H18" t="n">
        <v>107601791</v>
      </c>
      <c r="I18" t="n">
        <v>50028131</v>
      </c>
      <c r="J18" t="n">
        <v>5</v>
      </c>
      <c r="K18" s="11" t="n">
        <v>45314</v>
      </c>
      <c r="L18" s="4" t="n">
        <v>0.34375</v>
      </c>
      <c r="M18" t="n">
        <v>30</v>
      </c>
    </row>
    <row r="19">
      <c r="A19" t="n">
        <v>108345733</v>
      </c>
      <c r="B19" t="n">
        <v>107870118</v>
      </c>
      <c r="D19" t="inlineStr">
        <is>
          <t>YES</t>
        </is>
      </c>
      <c r="H19" t="n">
        <v>107870118</v>
      </c>
      <c r="I19" t="n">
        <v>50028131</v>
      </c>
      <c r="J19" t="n">
        <v>5</v>
      </c>
      <c r="K19" s="11" t="n">
        <v>45568</v>
      </c>
      <c r="L19" s="4" t="n">
        <v>0.6354166666666666</v>
      </c>
      <c r="M19" t="n">
        <v>30</v>
      </c>
    </row>
    <row r="20">
      <c r="A20" t="n">
        <v>105790718</v>
      </c>
      <c r="B20" t="n">
        <v>107902086</v>
      </c>
      <c r="D20" t="inlineStr">
        <is>
          <t>YES</t>
        </is>
      </c>
      <c r="H20" t="n">
        <v>107902086</v>
      </c>
      <c r="I20" t="n">
        <v>40001001</v>
      </c>
      <c r="J20" t="n">
        <v>5</v>
      </c>
      <c r="K20" s="11" t="n">
        <v>45593</v>
      </c>
      <c r="L20" s="4" t="n">
        <v>0.7576388888888889</v>
      </c>
      <c r="M20" t="n">
        <v>30</v>
      </c>
    </row>
    <row r="21">
      <c r="A21" t="n">
        <v>106747056</v>
      </c>
      <c r="B21" t="n">
        <v>107945637</v>
      </c>
      <c r="D21" t="inlineStr">
        <is>
          <t>YES</t>
        </is>
      </c>
      <c r="H21" t="n">
        <v>107945637</v>
      </c>
      <c r="I21" t="n">
        <v>50028131</v>
      </c>
      <c r="J21" t="n">
        <v>4</v>
      </c>
      <c r="K21" s="11" t="n">
        <v>45630</v>
      </c>
      <c r="L21" s="4" t="n">
        <v>0.6458333333333334</v>
      </c>
      <c r="M21" t="n">
        <v>21</v>
      </c>
    </row>
    <row r="22">
      <c r="A22" t="n">
        <v>107692192</v>
      </c>
      <c r="B22" t="n">
        <v>108250468</v>
      </c>
      <c r="D22" t="inlineStr">
        <is>
          <t>YES</t>
        </is>
      </c>
      <c r="H22" t="n">
        <v>108250468</v>
      </c>
      <c r="I22" t="n">
        <v>40001001</v>
      </c>
      <c r="J22" t="n">
        <v>5</v>
      </c>
      <c r="K22" s="11" t="n">
        <v>45931</v>
      </c>
      <c r="L22" s="4" t="n">
        <v>0.8368055555555556</v>
      </c>
      <c r="M22" t="n">
        <v>30</v>
      </c>
    </row>
    <row r="23">
      <c r="A23" t="n">
        <v>105060300</v>
      </c>
      <c r="B23" t="n">
        <v>108279485</v>
      </c>
      <c r="D23" t="inlineStr">
        <is>
          <t>YES</t>
        </is>
      </c>
      <c r="H23" t="n">
        <v>108279485</v>
      </c>
      <c r="I23" t="n">
        <v>40001001</v>
      </c>
      <c r="J23" t="n">
        <v>4</v>
      </c>
      <c r="K23" s="11" t="n">
        <v>45953</v>
      </c>
      <c r="L23" s="4" t="n">
        <v>0.5368055555555555</v>
      </c>
      <c r="M23" t="n">
        <v>30</v>
      </c>
    </row>
    <row r="24">
      <c r="A24" t="n">
        <v>104865813</v>
      </c>
    </row>
    <row r="25">
      <c r="A25" t="n">
        <v>104945962</v>
      </c>
    </row>
    <row r="26">
      <c r="A26" t="n">
        <v>104950470</v>
      </c>
    </row>
    <row r="27">
      <c r="A27" t="n">
        <v>107118944</v>
      </c>
    </row>
    <row r="28">
      <c r="A28" t="n">
        <v>107711938</v>
      </c>
    </row>
    <row r="29">
      <c r="A29" t="n">
        <v>105740561</v>
      </c>
    </row>
    <row r="30">
      <c r="A30" t="n">
        <v>108247372</v>
      </c>
    </row>
    <row r="31">
      <c r="A31" t="n">
        <v>107683218</v>
      </c>
    </row>
    <row r="32">
      <c r="A32" t="n">
        <v>105226618</v>
      </c>
    </row>
    <row r="33">
      <c r="A33" t="n">
        <v>108319024</v>
      </c>
    </row>
    <row r="34">
      <c r="A34" t="n">
        <v>107926331</v>
      </c>
    </row>
    <row r="35">
      <c r="A35" t="n">
        <v>108430866</v>
      </c>
    </row>
    <row r="36">
      <c r="A36" t="n">
        <v>105935402</v>
      </c>
    </row>
    <row r="37">
      <c r="A37" t="n">
        <v>106214571</v>
      </c>
    </row>
    <row r="38">
      <c r="A38" t="n">
        <v>104734401</v>
      </c>
    </row>
    <row r="39">
      <c r="A39" t="n">
        <v>105415127</v>
      </c>
    </row>
    <row r="40">
      <c r="A40" t="n">
        <v>106910957</v>
      </c>
    </row>
    <row r="41">
      <c r="A41" t="n">
        <v>108277405</v>
      </c>
    </row>
    <row r="42">
      <c r="A42" t="n">
        <v>107906736</v>
      </c>
    </row>
    <row r="43">
      <c r="A43" t="n">
        <v>105230136</v>
      </c>
    </row>
    <row r="44">
      <c r="A44" t="n">
        <v>107493499</v>
      </c>
    </row>
    <row r="45">
      <c r="A45" t="n">
        <v>108330211</v>
      </c>
    </row>
    <row r="46">
      <c r="A46" t="n">
        <v>107319671</v>
      </c>
    </row>
    <row r="47">
      <c r="A47" t="n">
        <v>107148213</v>
      </c>
    </row>
    <row r="48">
      <c r="A48" t="n">
        <v>105536078</v>
      </c>
    </row>
    <row r="49">
      <c r="A49" t="n">
        <v>107224951</v>
      </c>
    </row>
    <row r="50">
      <c r="A50" t="n">
        <v>106326117</v>
      </c>
    </row>
    <row r="51">
      <c r="A51" t="n">
        <v>106253848</v>
      </c>
    </row>
    <row r="52">
      <c r="A52" t="n">
        <v>105848333</v>
      </c>
    </row>
    <row r="53">
      <c r="A53" t="n">
        <v>105422803</v>
      </c>
    </row>
    <row r="54">
      <c r="A54" t="n">
        <v>107859973</v>
      </c>
    </row>
    <row r="55">
      <c r="A55" t="n">
        <v>108436294</v>
      </c>
    </row>
    <row r="56">
      <c r="A56" t="n">
        <v>107209411</v>
      </c>
    </row>
    <row r="57">
      <c r="A57" t="n">
        <v>107321738</v>
      </c>
    </row>
    <row r="58">
      <c r="A58" t="n">
        <v>104866396</v>
      </c>
    </row>
    <row r="59">
      <c r="A59" t="n">
        <v>108486827</v>
      </c>
    </row>
    <row r="60">
      <c r="A60" t="n">
        <v>107751347</v>
      </c>
    </row>
    <row r="61">
      <c r="A61" t="n">
        <v>107705518</v>
      </c>
    </row>
    <row r="62">
      <c r="A62" t="n">
        <v>107183135</v>
      </c>
    </row>
    <row r="63">
      <c r="A63" t="n">
        <v>107035876</v>
      </c>
    </row>
    <row r="64">
      <c r="A64" t="n">
        <v>107659355</v>
      </c>
    </row>
    <row r="65">
      <c r="A65" t="n">
        <v>107194746</v>
      </c>
    </row>
    <row r="66">
      <c r="A66" t="n">
        <v>107139136</v>
      </c>
    </row>
    <row r="67">
      <c r="A67" t="n">
        <v>107122762</v>
      </c>
    </row>
    <row r="68">
      <c r="A68" t="n">
        <v>106620331</v>
      </c>
    </row>
    <row r="69">
      <c r="A69" t="n">
        <v>105491727</v>
      </c>
    </row>
    <row r="70">
      <c r="A70" t="n">
        <v>105344309</v>
      </c>
    </row>
    <row r="71">
      <c r="A71" t="n">
        <v>105184681</v>
      </c>
    </row>
    <row r="72">
      <c r="A72" t="n">
        <v>105098258</v>
      </c>
    </row>
    <row r="73">
      <c r="A73" t="n">
        <v>105178395</v>
      </c>
    </row>
    <row r="74">
      <c r="A74" t="n">
        <v>104905109</v>
      </c>
    </row>
    <row r="75">
      <c r="A75" t="n">
        <v>104997979</v>
      </c>
    </row>
    <row r="76">
      <c r="A76" t="n">
        <v>104984617</v>
      </c>
    </row>
    <row r="77">
      <c r="A77" t="n">
        <v>104866502</v>
      </c>
    </row>
    <row r="78">
      <c r="A78" t="n">
        <v>104805272</v>
      </c>
    </row>
    <row r="79">
      <c r="A79" t="n">
        <v>105301818</v>
      </c>
    </row>
    <row r="80">
      <c r="A80" t="n">
        <v>105152445</v>
      </c>
    </row>
    <row r="81">
      <c r="A81" t="n">
        <v>108326425</v>
      </c>
    </row>
    <row r="82">
      <c r="A82" t="n">
        <v>107144129</v>
      </c>
    </row>
    <row r="83">
      <c r="A83" t="n">
        <v>105062907</v>
      </c>
    </row>
    <row r="84">
      <c r="A84" t="n">
        <v>105103445</v>
      </c>
    </row>
    <row r="85">
      <c r="A85" t="n">
        <v>105067787</v>
      </c>
    </row>
    <row r="86">
      <c r="A86" t="n">
        <v>108267514</v>
      </c>
    </row>
    <row r="87">
      <c r="A87" t="n">
        <v>107715702</v>
      </c>
    </row>
    <row r="88">
      <c r="A88" t="n">
        <v>107040279</v>
      </c>
    </row>
    <row r="89">
      <c r="A89" t="n">
        <v>107011232</v>
      </c>
    </row>
    <row r="90">
      <c r="A90" t="n">
        <v>107011234</v>
      </c>
    </row>
    <row r="91">
      <c r="A91" t="n">
        <v>106880793</v>
      </c>
    </row>
    <row r="92">
      <c r="A92" t="n">
        <v>107287156</v>
      </c>
    </row>
    <row r="93">
      <c r="A93" t="n">
        <v>106759634</v>
      </c>
    </row>
    <row r="94">
      <c r="A94" t="n">
        <v>106655032</v>
      </c>
    </row>
    <row r="95">
      <c r="A95" t="n">
        <v>106554754</v>
      </c>
    </row>
    <row r="96">
      <c r="A96" t="n">
        <v>106521629</v>
      </c>
    </row>
    <row r="97">
      <c r="A97" t="n">
        <v>106362077</v>
      </c>
    </row>
    <row r="98">
      <c r="A98" t="n">
        <v>106219177</v>
      </c>
    </row>
    <row r="99">
      <c r="A99" t="n">
        <v>106186515</v>
      </c>
    </row>
    <row r="100">
      <c r="A100" t="n">
        <v>106071236</v>
      </c>
    </row>
    <row r="101">
      <c r="A101" t="n">
        <v>106062746</v>
      </c>
    </row>
    <row r="102">
      <c r="A102" t="n">
        <v>105842501</v>
      </c>
    </row>
    <row r="103">
      <c r="A103" t="n">
        <v>105989915</v>
      </c>
    </row>
    <row r="104">
      <c r="A104" t="n">
        <v>105711501</v>
      </c>
    </row>
    <row r="105">
      <c r="A105" t="n">
        <v>105644334</v>
      </c>
    </row>
    <row r="106">
      <c r="A106" t="n">
        <v>105502400</v>
      </c>
    </row>
    <row r="107">
      <c r="A107" t="n">
        <v>105452058</v>
      </c>
    </row>
    <row r="108">
      <c r="A108" t="n">
        <v>105283709</v>
      </c>
    </row>
    <row r="109">
      <c r="A109" t="n">
        <v>105326336</v>
      </c>
    </row>
    <row r="110">
      <c r="A110" t="n">
        <v>105085947</v>
      </c>
    </row>
    <row r="111">
      <c r="A111" t="n">
        <v>105127353</v>
      </c>
    </row>
    <row r="112">
      <c r="A112" t="n">
        <v>105125636</v>
      </c>
    </row>
    <row r="113">
      <c r="A113" t="n">
        <v>107609800</v>
      </c>
    </row>
    <row r="114">
      <c r="A114" t="n">
        <v>106370455</v>
      </c>
    </row>
    <row r="115">
      <c r="A115" t="n">
        <v>104859857</v>
      </c>
    </row>
    <row r="116">
      <c r="A116" t="n">
        <v>105713579</v>
      </c>
    </row>
    <row r="117">
      <c r="A117" t="n">
        <v>108485442</v>
      </c>
    </row>
    <row r="118">
      <c r="A118" t="n">
        <v>107562589</v>
      </c>
    </row>
    <row r="119">
      <c r="A119" t="n">
        <v>108496852</v>
      </c>
    </row>
    <row r="120">
      <c r="A120" t="n">
        <v>107553868</v>
      </c>
    </row>
    <row r="121">
      <c r="A121" t="n">
        <v>107408108</v>
      </c>
    </row>
    <row r="122">
      <c r="A122" t="n">
        <v>107535602</v>
      </c>
    </row>
    <row r="123">
      <c r="A123" t="n">
        <v>106918739</v>
      </c>
    </row>
    <row r="124">
      <c r="A124" t="n">
        <v>106479132</v>
      </c>
    </row>
    <row r="125">
      <c r="A125" t="n">
        <v>106910959</v>
      </c>
    </row>
    <row r="126">
      <c r="A126" t="n">
        <v>107217101</v>
      </c>
    </row>
    <row r="127">
      <c r="A127" t="n">
        <v>106612846</v>
      </c>
    </row>
    <row r="128">
      <c r="A128" t="n">
        <v>107337337</v>
      </c>
    </row>
    <row r="129">
      <c r="A129" t="n">
        <v>106882446</v>
      </c>
    </row>
    <row r="130">
      <c r="A130" t="n">
        <v>107575353</v>
      </c>
    </row>
    <row r="131">
      <c r="A131" t="n">
        <v>107132496</v>
      </c>
    </row>
    <row r="132">
      <c r="A132" t="n">
        <v>108296735</v>
      </c>
    </row>
    <row r="133">
      <c r="A133" t="n">
        <v>107885248</v>
      </c>
    </row>
    <row r="134">
      <c r="A134" t="n">
        <v>106029162</v>
      </c>
    </row>
    <row r="135">
      <c r="A135" t="n">
        <v>106285749</v>
      </c>
    </row>
    <row r="136">
      <c r="A136" t="n">
        <v>108310676</v>
      </c>
    </row>
    <row r="137">
      <c r="A137" t="n">
        <v>106626412</v>
      </c>
    </row>
    <row r="138">
      <c r="A138" t="n">
        <v>106023012</v>
      </c>
    </row>
    <row r="139">
      <c r="A139" t="n">
        <v>107748214</v>
      </c>
    </row>
    <row r="140">
      <c r="A140" t="n">
        <v>105787598</v>
      </c>
    </row>
    <row r="141">
      <c r="A141" t="n">
        <v>104745060</v>
      </c>
    </row>
    <row r="142">
      <c r="A142" t="n">
        <v>108010266</v>
      </c>
    </row>
    <row r="143">
      <c r="A143" t="n">
        <v>106852598</v>
      </c>
    </row>
    <row r="144">
      <c r="A144" t="n">
        <v>106345655</v>
      </c>
    </row>
    <row r="145">
      <c r="A145" t="n">
        <v>106219230</v>
      </c>
    </row>
    <row r="146">
      <c r="A146" t="n">
        <v>105752124</v>
      </c>
    </row>
    <row r="147">
      <c r="A147" t="n">
        <v>105477289</v>
      </c>
    </row>
    <row r="148">
      <c r="A148" t="n">
        <v>106252525</v>
      </c>
    </row>
    <row r="149">
      <c r="A149" t="n">
        <v>105520586</v>
      </c>
    </row>
    <row r="150">
      <c r="A150" t="n">
        <v>105326274</v>
      </c>
    </row>
    <row r="151">
      <c r="A151" t="n">
        <v>105007511</v>
      </c>
    </row>
    <row r="152">
      <c r="A152" t="n">
        <v>107405557</v>
      </c>
    </row>
    <row r="153">
      <c r="A153" t="n">
        <v>106020271</v>
      </c>
    </row>
    <row r="154">
      <c r="A154" t="n">
        <v>107088923</v>
      </c>
    </row>
    <row r="155">
      <c r="A155" t="n">
        <v>104867496</v>
      </c>
    </row>
    <row r="156">
      <c r="A156" t="n">
        <v>107615459</v>
      </c>
    </row>
    <row r="157">
      <c r="A157" t="n">
        <v>107395905</v>
      </c>
    </row>
    <row r="158">
      <c r="A158" t="n">
        <v>104717808</v>
      </c>
    </row>
    <row r="159">
      <c r="A159" t="n">
        <v>107643542</v>
      </c>
    </row>
    <row r="160">
      <c r="A160" t="n">
        <v>108184095</v>
      </c>
    </row>
    <row r="161">
      <c r="A161" t="n">
        <v>107224114</v>
      </c>
    </row>
    <row r="162">
      <c r="A162" t="n">
        <v>105876758</v>
      </c>
    </row>
    <row r="163">
      <c r="A163" t="n">
        <v>107943300</v>
      </c>
    </row>
    <row r="164">
      <c r="A164" t="n">
        <v>106392203</v>
      </c>
    </row>
    <row r="165">
      <c r="A165" t="n">
        <v>108339974</v>
      </c>
    </row>
    <row r="166">
      <c r="A166" t="n">
        <v>107466297</v>
      </c>
    </row>
    <row r="167">
      <c r="A167" t="n">
        <v>105741595</v>
      </c>
    </row>
    <row r="168">
      <c r="A168" t="n">
        <v>107653448</v>
      </c>
    </row>
    <row r="169">
      <c r="A169" t="n">
        <v>108424807</v>
      </c>
    </row>
    <row r="170">
      <c r="A170" t="n">
        <v>104938752</v>
      </c>
    </row>
    <row r="171">
      <c r="A171" t="n">
        <v>106059402</v>
      </c>
    </row>
    <row r="172">
      <c r="A172" t="n">
        <v>106976262</v>
      </c>
    </row>
    <row r="173">
      <c r="A173" t="n">
        <v>105442537</v>
      </c>
    </row>
    <row r="174">
      <c r="A174" t="n">
        <v>107900538</v>
      </c>
    </row>
    <row r="175">
      <c r="A175" t="n">
        <v>106572928</v>
      </c>
    </row>
    <row r="176">
      <c r="A176" t="n">
        <v>107715447</v>
      </c>
    </row>
    <row r="177">
      <c r="A177" t="n">
        <v>108256185</v>
      </c>
    </row>
    <row r="178">
      <c r="A178" t="n">
        <v>105898128</v>
      </c>
    </row>
    <row r="179">
      <c r="A179" t="n">
        <v>106028073</v>
      </c>
    </row>
    <row r="180">
      <c r="A180" t="n">
        <v>108478263</v>
      </c>
    </row>
    <row r="181">
      <c r="A181" t="n">
        <v>105934391</v>
      </c>
    </row>
    <row r="182">
      <c r="A182" t="n">
        <v>107470651</v>
      </c>
    </row>
    <row r="183">
      <c r="A183" t="n">
        <v>105723366</v>
      </c>
    </row>
    <row r="184">
      <c r="A184" t="n">
        <v>106776645</v>
      </c>
    </row>
    <row r="185">
      <c r="A185" t="n">
        <v>108314414</v>
      </c>
    </row>
    <row r="186">
      <c r="A186" t="n">
        <v>105596512</v>
      </c>
    </row>
    <row r="187">
      <c r="A187" t="n">
        <v>107030009</v>
      </c>
    </row>
    <row r="188">
      <c r="A188" t="n">
        <v>106971893</v>
      </c>
    </row>
    <row r="189">
      <c r="A189" t="n">
        <v>104780506</v>
      </c>
    </row>
    <row r="190">
      <c r="A190" t="n">
        <v>106072796</v>
      </c>
    </row>
    <row r="191">
      <c r="A191" t="n">
        <v>108296963</v>
      </c>
    </row>
    <row r="192">
      <c r="A192" t="n">
        <v>106254958</v>
      </c>
    </row>
    <row r="193">
      <c r="A193" t="n">
        <v>108285791</v>
      </c>
    </row>
    <row r="194">
      <c r="A194" t="n">
        <v>106790781</v>
      </c>
    </row>
    <row r="195">
      <c r="A195" t="n">
        <v>107976497</v>
      </c>
    </row>
    <row r="196">
      <c r="A196" t="n">
        <v>107319625</v>
      </c>
    </row>
    <row r="197">
      <c r="A197" t="n">
        <v>105713041</v>
      </c>
    </row>
    <row r="198">
      <c r="A198" t="n">
        <v>106844875</v>
      </c>
    </row>
    <row r="199">
      <c r="A199" t="n">
        <v>107128674</v>
      </c>
    </row>
    <row r="200">
      <c r="A200" t="n">
        <v>107595975</v>
      </c>
    </row>
    <row r="201">
      <c r="A201" t="n">
        <v>107125512</v>
      </c>
    </row>
    <row r="202">
      <c r="A202" t="n">
        <v>105778678</v>
      </c>
    </row>
    <row r="203">
      <c r="A203" t="n">
        <v>105554071</v>
      </c>
    </row>
    <row r="204">
      <c r="A204" t="n">
        <v>106547429</v>
      </c>
    </row>
    <row r="205">
      <c r="A205" t="n">
        <v>107720690</v>
      </c>
    </row>
    <row r="206">
      <c r="A206" t="n">
        <v>107984794</v>
      </c>
    </row>
    <row r="207">
      <c r="A207" t="n">
        <v>106961419</v>
      </c>
    </row>
    <row r="208">
      <c r="A208" t="n">
        <v>106709721</v>
      </c>
    </row>
    <row r="209">
      <c r="A209" t="n">
        <v>105178227</v>
      </c>
    </row>
    <row r="210">
      <c r="A210" t="n">
        <v>105912752</v>
      </c>
    </row>
    <row r="211">
      <c r="A211" t="n">
        <v>105707364</v>
      </c>
    </row>
    <row r="212">
      <c r="A212" t="n">
        <v>107412806</v>
      </c>
    </row>
    <row r="213">
      <c r="A213" t="n">
        <v>105302586</v>
      </c>
    </row>
    <row r="214">
      <c r="A214" t="n">
        <v>107935833</v>
      </c>
    </row>
    <row r="215">
      <c r="A215" t="n">
        <v>105137812</v>
      </c>
    </row>
    <row r="216">
      <c r="A216" t="n">
        <v>107059684</v>
      </c>
    </row>
    <row r="217">
      <c r="A217" t="n">
        <v>106807050</v>
      </c>
    </row>
    <row r="218">
      <c r="A218" t="n">
        <v>106678989</v>
      </c>
    </row>
    <row r="219">
      <c r="A219" t="n">
        <v>106572777</v>
      </c>
    </row>
    <row r="220">
      <c r="A220" t="n">
        <v>105183265</v>
      </c>
    </row>
    <row r="221">
      <c r="A221" t="n">
        <v>104942809</v>
      </c>
    </row>
    <row r="222">
      <c r="A222" t="n">
        <v>104946035</v>
      </c>
    </row>
    <row r="223">
      <c r="A223" t="n">
        <v>107743856</v>
      </c>
    </row>
    <row r="224">
      <c r="A224" t="n">
        <v>108208937</v>
      </c>
    </row>
    <row r="225">
      <c r="A225" t="n">
        <v>108377777</v>
      </c>
    </row>
    <row r="226">
      <c r="A226" t="n">
        <v>106017149</v>
      </c>
    </row>
    <row r="227">
      <c r="A227" t="n">
        <v>106393731</v>
      </c>
    </row>
    <row r="228">
      <c r="A228" t="n">
        <v>107054448</v>
      </c>
    </row>
    <row r="229">
      <c r="A229" t="n">
        <v>106146785</v>
      </c>
    </row>
    <row r="230">
      <c r="A230" t="n">
        <v>107693734</v>
      </c>
    </row>
    <row r="231">
      <c r="A231" t="n">
        <v>108271610</v>
      </c>
    </row>
    <row r="232">
      <c r="A232" t="n">
        <v>107158545</v>
      </c>
    </row>
    <row r="233">
      <c r="A233" t="n">
        <v>108436731</v>
      </c>
    </row>
    <row r="234">
      <c r="A234" t="n">
        <v>105512829</v>
      </c>
    </row>
    <row r="235">
      <c r="A235" t="n">
        <v>105353604</v>
      </c>
    </row>
    <row r="236">
      <c r="A236" t="n">
        <v>106042505</v>
      </c>
    </row>
    <row r="237">
      <c r="A237" t="n">
        <v>108179130</v>
      </c>
    </row>
    <row r="238">
      <c r="A238" t="n">
        <v>106467658</v>
      </c>
    </row>
    <row r="239">
      <c r="A239" t="n">
        <v>106006697</v>
      </c>
    </row>
    <row r="240">
      <c r="A240" t="n">
        <v>106582879</v>
      </c>
    </row>
    <row r="241">
      <c r="A241" t="n">
        <v>105477494</v>
      </c>
    </row>
    <row r="242">
      <c r="A242" t="n">
        <v>108184887</v>
      </c>
    </row>
    <row r="243">
      <c r="A243" t="n">
        <v>107410107</v>
      </c>
    </row>
    <row r="244">
      <c r="A244" t="n">
        <v>106000270</v>
      </c>
    </row>
    <row r="245">
      <c r="A245" t="n">
        <v>104716998</v>
      </c>
    </row>
    <row r="246">
      <c r="A246" t="n">
        <v>105456064</v>
      </c>
    </row>
    <row r="247">
      <c r="A247" t="n">
        <v>105245689</v>
      </c>
    </row>
    <row r="248">
      <c r="A248" t="n">
        <v>105257437</v>
      </c>
    </row>
    <row r="249">
      <c r="A249" t="n">
        <v>107287148</v>
      </c>
    </row>
    <row r="250">
      <c r="A250" t="n">
        <v>106523220</v>
      </c>
    </row>
    <row r="251">
      <c r="A251" t="n">
        <v>107483858</v>
      </c>
    </row>
    <row r="252">
      <c r="A252" t="n">
        <v>108539563</v>
      </c>
    </row>
    <row r="253">
      <c r="A253" t="n">
        <v>107634836</v>
      </c>
    </row>
    <row r="254">
      <c r="A254" t="n">
        <v>106019966</v>
      </c>
    </row>
    <row r="255">
      <c r="A255" t="n">
        <v>106922517</v>
      </c>
    </row>
    <row r="256">
      <c r="A256" t="n">
        <v>106019965</v>
      </c>
    </row>
    <row r="257">
      <c r="A257" t="n">
        <v>108025090</v>
      </c>
    </row>
    <row r="258">
      <c r="A258" t="n">
        <v>105310167</v>
      </c>
    </row>
    <row r="259">
      <c r="A259" t="n">
        <v>105276432</v>
      </c>
    </row>
    <row r="260">
      <c r="A260" t="n">
        <v>105360672</v>
      </c>
    </row>
    <row r="261">
      <c r="A261" t="n">
        <v>107272200</v>
      </c>
    </row>
    <row r="262">
      <c r="A262" t="n">
        <v>107653449</v>
      </c>
    </row>
    <row r="263">
      <c r="A263" t="n">
        <v>104712202</v>
      </c>
    </row>
    <row r="264">
      <c r="A264" t="n">
        <v>105781091</v>
      </c>
    </row>
    <row r="265">
      <c r="A265" t="n">
        <v>105178491</v>
      </c>
    </row>
    <row r="266">
      <c r="A266" t="n">
        <v>107631164</v>
      </c>
    </row>
    <row r="267">
      <c r="A267" t="n">
        <v>105324665</v>
      </c>
    </row>
    <row r="268">
      <c r="A268" t="n">
        <v>104793661</v>
      </c>
    </row>
    <row r="269">
      <c r="A269" t="n">
        <v>107210295</v>
      </c>
    </row>
    <row r="270">
      <c r="A270" t="n">
        <v>107011153</v>
      </c>
    </row>
    <row r="271">
      <c r="A271" t="n">
        <v>106325966</v>
      </c>
    </row>
    <row r="272">
      <c r="A272" t="n">
        <v>107405320</v>
      </c>
    </row>
    <row r="273">
      <c r="A273" t="n">
        <v>105964079</v>
      </c>
    </row>
    <row r="274">
      <c r="A274" t="n">
        <v>105208918</v>
      </c>
    </row>
    <row r="275">
      <c r="A275" t="n">
        <v>105520583</v>
      </c>
    </row>
    <row r="276">
      <c r="A276" t="n">
        <v>105553349</v>
      </c>
    </row>
    <row r="277">
      <c r="A277" t="n">
        <v>107601791</v>
      </c>
    </row>
    <row r="278">
      <c r="A278" t="n">
        <v>106772984</v>
      </c>
    </row>
    <row r="279">
      <c r="A279" t="n">
        <v>107870118</v>
      </c>
    </row>
    <row r="280">
      <c r="A280" t="n">
        <v>106133705</v>
      </c>
    </row>
    <row r="281">
      <c r="A281" t="n">
        <v>108250468</v>
      </c>
    </row>
    <row r="282">
      <c r="A282" t="n">
        <v>108279485</v>
      </c>
    </row>
    <row r="283">
      <c r="A283" t="n">
        <v>107902086</v>
      </c>
    </row>
    <row r="284">
      <c r="A284" t="n">
        <v>106743409</v>
      </c>
    </row>
    <row r="285">
      <c r="A285" t="n">
        <v>106286453</v>
      </c>
    </row>
    <row r="286">
      <c r="A286" t="n">
        <v>105535858</v>
      </c>
    </row>
    <row r="287">
      <c r="A287" t="n">
        <v>105326435</v>
      </c>
    </row>
    <row r="288">
      <c r="A288" t="n">
        <v>105210461</v>
      </c>
    </row>
    <row r="289">
      <c r="A289" t="n">
        <v>104890928</v>
      </c>
    </row>
    <row r="290">
      <c r="A290" t="n">
        <v>104901954</v>
      </c>
    </row>
    <row r="291">
      <c r="A291" t="n">
        <v>104987740</v>
      </c>
    </row>
    <row r="292">
      <c r="A292" t="n">
        <v>104942804</v>
      </c>
    </row>
    <row r="293">
      <c r="A293" t="n">
        <v>105363964</v>
      </c>
    </row>
    <row r="294">
      <c r="A294" t="n">
        <v>107945637</v>
      </c>
    </row>
    <row r="295">
      <c r="A295" t="n">
        <v>106126767</v>
      </c>
    </row>
    <row r="296">
      <c r="A296" t="n">
        <v>105191883</v>
      </c>
    </row>
    <row r="297">
      <c r="A297" t="n">
        <v>106477388</v>
      </c>
    </row>
    <row r="298">
      <c r="A298" t="n">
        <v>107216209</v>
      </c>
    </row>
    <row r="299">
      <c r="A299" t="n">
        <v>107879671</v>
      </c>
    </row>
    <row r="300">
      <c r="A300" t="n">
        <v>105867607</v>
      </c>
    </row>
    <row r="301">
      <c r="A301" t="n">
        <v>107187995</v>
      </c>
    </row>
    <row r="302">
      <c r="A302" t="n">
        <v>108420507</v>
      </c>
    </row>
    <row r="303">
      <c r="A303" t="n">
        <v>107319577</v>
      </c>
    </row>
    <row r="304">
      <c r="A304" t="n">
        <v>106435289</v>
      </c>
    </row>
    <row r="305">
      <c r="A305" t="n">
        <v>108066712</v>
      </c>
    </row>
    <row r="306">
      <c r="A306" t="n">
        <v>106083176</v>
      </c>
    </row>
    <row r="307">
      <c r="A307" t="n">
        <v>108072099</v>
      </c>
    </row>
    <row r="308">
      <c r="A308" t="n">
        <v>106743564</v>
      </c>
    </row>
    <row r="309">
      <c r="A309" t="n">
        <v>107319455</v>
      </c>
    </row>
    <row r="310">
      <c r="A310" t="n">
        <v>105317973</v>
      </c>
    </row>
    <row r="311">
      <c r="A311" t="n">
        <v>107181511</v>
      </c>
    </row>
    <row r="312">
      <c r="A312" t="n">
        <v>108047061</v>
      </c>
    </row>
    <row r="313">
      <c r="A313" t="n">
        <v>107101493</v>
      </c>
    </row>
    <row r="314">
      <c r="A314" t="n">
        <v>107633193</v>
      </c>
    </row>
    <row r="315">
      <c r="A315" t="n">
        <v>107587041</v>
      </c>
    </row>
    <row r="316">
      <c r="A316" t="n">
        <v>105402668</v>
      </c>
    </row>
    <row r="317">
      <c r="A317" t="n">
        <v>108134024</v>
      </c>
    </row>
    <row r="318">
      <c r="A318" t="n">
        <v>107554045</v>
      </c>
    </row>
    <row r="319">
      <c r="A319" t="n">
        <v>108420506</v>
      </c>
    </row>
    <row r="320">
      <c r="A320" t="n">
        <v>107472572</v>
      </c>
    </row>
    <row r="321">
      <c r="A321" t="n">
        <v>107844522</v>
      </c>
    </row>
    <row r="322">
      <c r="A322" t="n">
        <v>107495749</v>
      </c>
    </row>
    <row r="323">
      <c r="A323" t="n">
        <v>105414221</v>
      </c>
    </row>
    <row r="324">
      <c r="A324" t="n">
        <v>106532803</v>
      </c>
    </row>
    <row r="325">
      <c r="A325" t="n">
        <v>105337648</v>
      </c>
    </row>
    <row r="326">
      <c r="A326" t="n">
        <v>106482550</v>
      </c>
    </row>
    <row r="327">
      <c r="A327" t="n">
        <v>105087246</v>
      </c>
    </row>
    <row r="328">
      <c r="A328" t="n">
        <v>107563521</v>
      </c>
    </row>
    <row r="329">
      <c r="A329" t="n">
        <v>104695165</v>
      </c>
    </row>
    <row r="330">
      <c r="A330" t="n">
        <v>104987919</v>
      </c>
    </row>
    <row r="331">
      <c r="A331" t="n">
        <v>106017163</v>
      </c>
    </row>
    <row r="332">
      <c r="A332" t="n">
        <v>107442543</v>
      </c>
    </row>
    <row r="333">
      <c r="A333" t="n">
        <v>106194121</v>
      </c>
    </row>
    <row r="334">
      <c r="A334" t="n">
        <v>105670531</v>
      </c>
    </row>
    <row r="335">
      <c r="A335" t="n">
        <v>106755818</v>
      </c>
    </row>
    <row r="336">
      <c r="A336" t="n">
        <v>106585376</v>
      </c>
    </row>
    <row r="337">
      <c r="A337" t="n">
        <v>107215772</v>
      </c>
    </row>
    <row r="338">
      <c r="A338" t="n">
        <v>107121599</v>
      </c>
    </row>
    <row r="339">
      <c r="A339" t="n">
        <v>106705523</v>
      </c>
    </row>
    <row r="340">
      <c r="A340" t="n">
        <v>107518060</v>
      </c>
    </row>
    <row r="341">
      <c r="A341" t="n">
        <v>108010852</v>
      </c>
    </row>
    <row r="342">
      <c r="A342" t="n">
        <v>107890769</v>
      </c>
    </row>
    <row r="343">
      <c r="A343" t="n">
        <v>107423126</v>
      </c>
    </row>
    <row r="344">
      <c r="A344" t="n">
        <v>108279466</v>
      </c>
    </row>
    <row r="345">
      <c r="A345" t="n">
        <v>105260877</v>
      </c>
    </row>
    <row r="346">
      <c r="A346" t="n">
        <v>107149319</v>
      </c>
    </row>
    <row r="347">
      <c r="A347" t="n">
        <v>105748330</v>
      </c>
    </row>
    <row r="348">
      <c r="A348" t="n">
        <v>105196253</v>
      </c>
    </row>
    <row r="349">
      <c r="A349" t="n">
        <v>105561390</v>
      </c>
    </row>
    <row r="350">
      <c r="A350" t="n">
        <v>108521472</v>
      </c>
    </row>
    <row r="351">
      <c r="A351" t="n">
        <v>105335407</v>
      </c>
    </row>
    <row r="352">
      <c r="A352" t="n">
        <v>105555467</v>
      </c>
    </row>
    <row r="353">
      <c r="A353" t="n">
        <v>106148368</v>
      </c>
    </row>
    <row r="354">
      <c r="A354" t="n">
        <v>105877759</v>
      </c>
    </row>
    <row r="355">
      <c r="A355" t="n">
        <v>108055290</v>
      </c>
    </row>
    <row r="356">
      <c r="A356" t="n">
        <v>106893722</v>
      </c>
    </row>
    <row r="357">
      <c r="A357" t="n">
        <v>107329666</v>
      </c>
    </row>
    <row r="358">
      <c r="A358" t="n">
        <v>105545920</v>
      </c>
    </row>
    <row r="359">
      <c r="A359" t="n">
        <v>104863234</v>
      </c>
    </row>
    <row r="360">
      <c r="A360" t="n">
        <v>107363964</v>
      </c>
    </row>
    <row r="361">
      <c r="A361" t="n">
        <v>108050644</v>
      </c>
    </row>
    <row r="362">
      <c r="A362" t="n">
        <v>105156270</v>
      </c>
    </row>
    <row r="363">
      <c r="A363" t="n">
        <v>108275804</v>
      </c>
    </row>
    <row r="364">
      <c r="A364" t="n">
        <v>105046828</v>
      </c>
    </row>
    <row r="365">
      <c r="A365" t="n">
        <v>107319519</v>
      </c>
    </row>
    <row r="366">
      <c r="A366" t="n">
        <v>106620818</v>
      </c>
    </row>
    <row r="367">
      <c r="A367" t="n">
        <v>107684157</v>
      </c>
    </row>
    <row r="368">
      <c r="A368" t="n">
        <v>106263795</v>
      </c>
    </row>
    <row r="369">
      <c r="A369" t="n">
        <v>105635077</v>
      </c>
    </row>
    <row r="370">
      <c r="A370" t="n">
        <v>107006747</v>
      </c>
    </row>
    <row r="371">
      <c r="A371" t="n">
        <v>105778686</v>
      </c>
    </row>
    <row r="372">
      <c r="A372" t="n">
        <v>107575087</v>
      </c>
    </row>
    <row r="373">
      <c r="A373" t="n">
        <v>107127894</v>
      </c>
    </row>
    <row r="374">
      <c r="A374" t="n">
        <v>105344475</v>
      </c>
    </row>
    <row r="375">
      <c r="A375" t="n">
        <v>106846006</v>
      </c>
    </row>
    <row r="376">
      <c r="A376" t="n">
        <v>105308467</v>
      </c>
    </row>
    <row r="377">
      <c r="A377" t="n">
        <v>108066713</v>
      </c>
    </row>
    <row r="378">
      <c r="A378" t="n">
        <v>106117344</v>
      </c>
    </row>
    <row r="379">
      <c r="A379" t="n">
        <v>107535604</v>
      </c>
    </row>
    <row r="380">
      <c r="A380" t="n">
        <v>105472692</v>
      </c>
    </row>
    <row r="381">
      <c r="A381" t="n">
        <v>106117028</v>
      </c>
    </row>
    <row r="382">
      <c r="A382" t="n">
        <v>107423069</v>
      </c>
    </row>
    <row r="383">
      <c r="A383" t="n">
        <v>107384204</v>
      </c>
    </row>
    <row r="384">
      <c r="A384" t="n">
        <v>107214357</v>
      </c>
    </row>
    <row r="385">
      <c r="A385" t="n">
        <v>105414167</v>
      </c>
    </row>
    <row r="386">
      <c r="A386" t="n">
        <v>107456725</v>
      </c>
    </row>
    <row r="387">
      <c r="A387" t="n">
        <v>105838344</v>
      </c>
    </row>
    <row r="388">
      <c r="A388" t="n">
        <v>108145851</v>
      </c>
    </row>
    <row r="389">
      <c r="A389" t="n">
        <v>107852234</v>
      </c>
    </row>
    <row r="390">
      <c r="A390" t="n">
        <v>106934042</v>
      </c>
    </row>
    <row r="391">
      <c r="A391" t="n">
        <v>106457925</v>
      </c>
    </row>
    <row r="392">
      <c r="A392" t="n">
        <v>104740509</v>
      </c>
    </row>
    <row r="393">
      <c r="A393" t="n">
        <v>107330783</v>
      </c>
    </row>
    <row r="394">
      <c r="A394" t="n">
        <v>105964117</v>
      </c>
    </row>
    <row r="395">
      <c r="A395" t="n">
        <v>106283239</v>
      </c>
    </row>
    <row r="396">
      <c r="A396" t="n">
        <v>105604627</v>
      </c>
    </row>
    <row r="397">
      <c r="A397" t="n">
        <v>107069209</v>
      </c>
    </row>
    <row r="398">
      <c r="A398" t="n">
        <v>106286245</v>
      </c>
    </row>
    <row r="399">
      <c r="A399" t="n">
        <v>108021945</v>
      </c>
    </row>
    <row r="400">
      <c r="A400" t="n">
        <v>107665486</v>
      </c>
    </row>
    <row r="401">
      <c r="A401" t="n">
        <v>108045760</v>
      </c>
    </row>
    <row r="402">
      <c r="A402" t="n">
        <v>108001947</v>
      </c>
    </row>
    <row r="403">
      <c r="A403" t="n">
        <v>106138896</v>
      </c>
    </row>
    <row r="404">
      <c r="A404" t="n">
        <v>106674471</v>
      </c>
    </row>
    <row r="405">
      <c r="A405" t="n">
        <v>108507895</v>
      </c>
    </row>
    <row r="406">
      <c r="A406" t="n">
        <v>104947533</v>
      </c>
    </row>
    <row r="407">
      <c r="A407" t="n">
        <v>104794097</v>
      </c>
    </row>
    <row r="408">
      <c r="A408" t="n">
        <v>104852366</v>
      </c>
    </row>
    <row r="409">
      <c r="A409" t="n">
        <v>105717397</v>
      </c>
    </row>
    <row r="410">
      <c r="A410" t="n">
        <v>107177955</v>
      </c>
    </row>
    <row r="411">
      <c r="A411" t="n">
        <v>105273256</v>
      </c>
    </row>
    <row r="412">
      <c r="A412" t="n">
        <v>108343169</v>
      </c>
    </row>
    <row r="413">
      <c r="A413" t="n">
        <v>104914991</v>
      </c>
    </row>
    <row r="414">
      <c r="A414" t="n">
        <v>108506936</v>
      </c>
    </row>
    <row r="415">
      <c r="A415" t="n">
        <v>104726807</v>
      </c>
    </row>
    <row r="416">
      <c r="A416" t="n">
        <v>106078976</v>
      </c>
    </row>
    <row r="417">
      <c r="A417" t="n">
        <v>105363575</v>
      </c>
    </row>
    <row r="418">
      <c r="A418" t="n">
        <v>106496450</v>
      </c>
    </row>
    <row r="419">
      <c r="A419" t="n">
        <v>105062524</v>
      </c>
    </row>
    <row r="420">
      <c r="A420" t="n">
        <v>105623790</v>
      </c>
    </row>
    <row r="421">
      <c r="A421" t="n">
        <v>104835188</v>
      </c>
    </row>
    <row r="422">
      <c r="A422" t="n">
        <v>106458989</v>
      </c>
    </row>
    <row r="423">
      <c r="A423" t="n">
        <v>105820903</v>
      </c>
    </row>
    <row r="424">
      <c r="A424" t="n">
        <v>105518601</v>
      </c>
    </row>
    <row r="425">
      <c r="A425" t="n">
        <v>106364269</v>
      </c>
    </row>
    <row r="426">
      <c r="A426" t="n">
        <v>107569594</v>
      </c>
    </row>
    <row r="427">
      <c r="A427" t="n">
        <v>107547852</v>
      </c>
    </row>
    <row r="428">
      <c r="A428" t="n">
        <v>106800779</v>
      </c>
    </row>
    <row r="429">
      <c r="A429" t="n">
        <v>105954257</v>
      </c>
    </row>
    <row r="430">
      <c r="A430" t="n">
        <v>107178464</v>
      </c>
    </row>
    <row r="431">
      <c r="A431" t="n">
        <v>105337660</v>
      </c>
    </row>
    <row r="432">
      <c r="A432" t="n">
        <v>105318190</v>
      </c>
    </row>
    <row r="433">
      <c r="A433" t="n">
        <v>107999824</v>
      </c>
    </row>
    <row r="434">
      <c r="A434" t="n">
        <v>106248459</v>
      </c>
    </row>
    <row r="435">
      <c r="A435" t="n">
        <v>107977960</v>
      </c>
    </row>
    <row r="436">
      <c r="A436" t="n">
        <v>108416489</v>
      </c>
    </row>
    <row r="437">
      <c r="A437" t="n">
        <v>105613443</v>
      </c>
    </row>
    <row r="438">
      <c r="A438" t="n">
        <v>107325118</v>
      </c>
    </row>
    <row r="439">
      <c r="A439" t="n">
        <v>107591326</v>
      </c>
    </row>
    <row r="440">
      <c r="A440" t="n">
        <v>105199689</v>
      </c>
    </row>
    <row r="441">
      <c r="A441" t="n">
        <v>107119047</v>
      </c>
    </row>
    <row r="442">
      <c r="A442" t="n">
        <v>106121140</v>
      </c>
    </row>
    <row r="443">
      <c r="A443" t="n">
        <v>107731025</v>
      </c>
    </row>
    <row r="444">
      <c r="A444" t="n">
        <v>108377689</v>
      </c>
    </row>
    <row r="445">
      <c r="A445" t="n">
        <v>108244970</v>
      </c>
    </row>
    <row r="446">
      <c r="A446" t="n">
        <v>108318481</v>
      </c>
    </row>
    <row r="447">
      <c r="A447" t="n">
        <v>106134680</v>
      </c>
    </row>
    <row r="448">
      <c r="A448" t="n">
        <v>107707929</v>
      </c>
    </row>
    <row r="449">
      <c r="A449" t="n">
        <v>107892491</v>
      </c>
    </row>
    <row r="450">
      <c r="A450" t="n">
        <v>107737177</v>
      </c>
    </row>
    <row r="451">
      <c r="A451" t="n">
        <v>107659363</v>
      </c>
    </row>
    <row r="452">
      <c r="A452" t="n">
        <v>107313774</v>
      </c>
    </row>
    <row r="453">
      <c r="A453" t="n">
        <v>107089024</v>
      </c>
    </row>
    <row r="454">
      <c r="A454" t="n">
        <v>106990488</v>
      </c>
    </row>
    <row r="455">
      <c r="A455" t="n">
        <v>107059898</v>
      </c>
    </row>
    <row r="456">
      <c r="A456" t="n">
        <v>106277793</v>
      </c>
    </row>
    <row r="457">
      <c r="A457" t="n">
        <v>105873568</v>
      </c>
    </row>
    <row r="458">
      <c r="A458" t="n">
        <v>105289308</v>
      </c>
    </row>
    <row r="459">
      <c r="A459" t="n">
        <v>107960659</v>
      </c>
    </row>
    <row r="460">
      <c r="A460" t="n">
        <v>107701512</v>
      </c>
    </row>
    <row r="461">
      <c r="A461" t="n">
        <v>106095719</v>
      </c>
    </row>
    <row r="462">
      <c r="A462" t="n">
        <v>105043332</v>
      </c>
    </row>
    <row r="463">
      <c r="A463" t="n">
        <v>104980363</v>
      </c>
    </row>
    <row r="464">
      <c r="A464" t="n">
        <v>106491238</v>
      </c>
    </row>
    <row r="465">
      <c r="A465" t="n">
        <v>107927512</v>
      </c>
    </row>
    <row r="466">
      <c r="A466" t="n">
        <v>105380811</v>
      </c>
    </row>
    <row r="467">
      <c r="A467" t="n">
        <v>107283618</v>
      </c>
    </row>
    <row r="468">
      <c r="A468" t="n">
        <v>105685863</v>
      </c>
    </row>
    <row r="469">
      <c r="A469" t="n">
        <v>105201844</v>
      </c>
    </row>
    <row r="470">
      <c r="A470" t="n">
        <v>104726358</v>
      </c>
    </row>
    <row r="471">
      <c r="A471" t="n">
        <v>108248400</v>
      </c>
    </row>
    <row r="472">
      <c r="A472" t="n">
        <v>106157650</v>
      </c>
    </row>
    <row r="473">
      <c r="A473" t="n">
        <v>105168368</v>
      </c>
    </row>
    <row r="474">
      <c r="A474" t="n">
        <v>107743765</v>
      </c>
    </row>
    <row r="475">
      <c r="A475" t="n">
        <v>108370708</v>
      </c>
    </row>
    <row r="476">
      <c r="A476" t="n">
        <v>107733744</v>
      </c>
    </row>
    <row r="477">
      <c r="A477" t="n">
        <v>105220541</v>
      </c>
    </row>
    <row r="478">
      <c r="A478" t="n">
        <v>106117532</v>
      </c>
    </row>
    <row r="479">
      <c r="A479" t="n">
        <v>104963318</v>
      </c>
    </row>
    <row r="480">
      <c r="A480" t="n">
        <v>106998073</v>
      </c>
    </row>
    <row r="481">
      <c r="A481" t="n">
        <v>107562167</v>
      </c>
    </row>
    <row r="482">
      <c r="A482" t="n">
        <v>108527675</v>
      </c>
    </row>
    <row r="483">
      <c r="A483" t="n">
        <v>106169959</v>
      </c>
    </row>
    <row r="484">
      <c r="A484" t="n">
        <v>105132992</v>
      </c>
    </row>
    <row r="485">
      <c r="A485" t="n">
        <v>106462109</v>
      </c>
    </row>
    <row r="486">
      <c r="A486" t="n">
        <v>106958785</v>
      </c>
    </row>
    <row r="487">
      <c r="A487" t="n">
        <v>107584544</v>
      </c>
    </row>
    <row r="488">
      <c r="A488" t="n">
        <v>105600736</v>
      </c>
    </row>
    <row r="489">
      <c r="A489" t="n">
        <v>105805384</v>
      </c>
    </row>
    <row r="490">
      <c r="A490" t="n">
        <v>107321031</v>
      </c>
    </row>
    <row r="491">
      <c r="A491" t="n">
        <v>106432490</v>
      </c>
    </row>
    <row r="492">
      <c r="A492" t="n">
        <v>107149014</v>
      </c>
    </row>
    <row r="493">
      <c r="A493" t="n">
        <v>108460445</v>
      </c>
    </row>
    <row r="494">
      <c r="A494" t="n">
        <v>107082969</v>
      </c>
    </row>
    <row r="495">
      <c r="A495" t="n">
        <v>107360456</v>
      </c>
    </row>
    <row r="496">
      <c r="A496" t="n">
        <v>108134261</v>
      </c>
    </row>
    <row r="497">
      <c r="A497" t="n">
        <v>107281872</v>
      </c>
    </row>
    <row r="498">
      <c r="A498" t="n">
        <v>107112659</v>
      </c>
    </row>
    <row r="499">
      <c r="A499" t="n">
        <v>106109136</v>
      </c>
    </row>
    <row r="500">
      <c r="A500" t="n">
        <v>107611797</v>
      </c>
    </row>
    <row r="501">
      <c r="A501" t="n">
        <v>108466476</v>
      </c>
    </row>
    <row r="502">
      <c r="A502" t="n">
        <v>105783157</v>
      </c>
    </row>
    <row r="503">
      <c r="A503" t="n">
        <v>106017162</v>
      </c>
    </row>
    <row r="504">
      <c r="A504" t="n">
        <v>105225441</v>
      </c>
    </row>
    <row r="505">
      <c r="A505" t="n">
        <v>105404553</v>
      </c>
    </row>
    <row r="506">
      <c r="A506" t="n">
        <v>107997463</v>
      </c>
    </row>
    <row r="507">
      <c r="A507" t="n">
        <v>106871624</v>
      </c>
    </row>
    <row r="508">
      <c r="A508" t="n">
        <v>106509401</v>
      </c>
    </row>
    <row r="509">
      <c r="A509" t="n">
        <v>106388383</v>
      </c>
    </row>
    <row r="510">
      <c r="A510" t="n">
        <v>104942525</v>
      </c>
    </row>
    <row r="511">
      <c r="A511" t="n">
        <v>107028892</v>
      </c>
    </row>
    <row r="512">
      <c r="A512" t="n">
        <v>106581212</v>
      </c>
    </row>
    <row r="513">
      <c r="A513" t="n">
        <v>106732357</v>
      </c>
    </row>
    <row r="514">
      <c r="A514" t="n">
        <v>105391943</v>
      </c>
    </row>
    <row r="515">
      <c r="A515" t="n">
        <v>106052165</v>
      </c>
    </row>
    <row r="516">
      <c r="A516" t="n">
        <v>107613194</v>
      </c>
    </row>
    <row r="517">
      <c r="A517" t="n">
        <v>108023442</v>
      </c>
    </row>
    <row r="518">
      <c r="A518" t="n">
        <v>107505990</v>
      </c>
    </row>
    <row r="519">
      <c r="A519" t="n">
        <v>105775814</v>
      </c>
    </row>
    <row r="520">
      <c r="A520" t="n">
        <v>105161843</v>
      </c>
    </row>
    <row r="521">
      <c r="A521" t="n">
        <v>108052545</v>
      </c>
    </row>
    <row r="522">
      <c r="A522" t="n">
        <v>104914987</v>
      </c>
    </row>
    <row r="523">
      <c r="A523" t="n">
        <v>106782341</v>
      </c>
    </row>
    <row r="524">
      <c r="A524" t="n">
        <v>105850446</v>
      </c>
    </row>
    <row r="525">
      <c r="A525" t="n">
        <v>107737133</v>
      </c>
    </row>
    <row r="526">
      <c r="A526" t="n">
        <v>104772437</v>
      </c>
    </row>
    <row r="527">
      <c r="A527" t="n">
        <v>104720551</v>
      </c>
    </row>
    <row r="528">
      <c r="A528" t="n">
        <v>104922359</v>
      </c>
    </row>
    <row r="529">
      <c r="A529" t="n">
        <v>105825314</v>
      </c>
    </row>
    <row r="530">
      <c r="A530" t="n">
        <v>106276502</v>
      </c>
    </row>
    <row r="531">
      <c r="A531" t="n">
        <v>107329736</v>
      </c>
    </row>
    <row r="532">
      <c r="A532" t="n">
        <v>105685420</v>
      </c>
    </row>
    <row r="533">
      <c r="A533" t="n">
        <v>106249008</v>
      </c>
    </row>
    <row r="534">
      <c r="A534" t="n">
        <v>107696630</v>
      </c>
    </row>
    <row r="535">
      <c r="A535" t="n">
        <v>104877259</v>
      </c>
    </row>
    <row r="536">
      <c r="A536" t="n">
        <v>108320401</v>
      </c>
    </row>
    <row r="537">
      <c r="A537" t="n">
        <v>107647374</v>
      </c>
    </row>
    <row r="538">
      <c r="A538" t="n">
        <v>105844523</v>
      </c>
    </row>
    <row r="539">
      <c r="A539" t="n">
        <v>105387651</v>
      </c>
    </row>
    <row r="540">
      <c r="A540" t="n">
        <v>104711866</v>
      </c>
    </row>
    <row r="541">
      <c r="A541" t="n">
        <v>107082068</v>
      </c>
    </row>
    <row r="542">
      <c r="A542" t="n">
        <v>107574676</v>
      </c>
    </row>
    <row r="543">
      <c r="A543" t="n">
        <v>106093727</v>
      </c>
    </row>
    <row r="544">
      <c r="A544" t="n">
        <v>105356713</v>
      </c>
    </row>
    <row r="545">
      <c r="A545" t="n">
        <v>107295872</v>
      </c>
    </row>
    <row r="546">
      <c r="A546" t="n">
        <v>105885258</v>
      </c>
    </row>
    <row r="547">
      <c r="A547" t="n">
        <v>104716467</v>
      </c>
    </row>
    <row r="548">
      <c r="A548" t="n">
        <v>105670638</v>
      </c>
    </row>
    <row r="549">
      <c r="A549" t="n">
        <v>106096868</v>
      </c>
    </row>
    <row r="550">
      <c r="A550" t="n">
        <v>105669889</v>
      </c>
    </row>
    <row r="551">
      <c r="A551" t="n">
        <v>106093757</v>
      </c>
    </row>
    <row r="552">
      <c r="A552" t="n">
        <v>105139371</v>
      </c>
    </row>
    <row r="553">
      <c r="A553" t="n">
        <v>105283816</v>
      </c>
    </row>
    <row r="554">
      <c r="A554" t="n">
        <v>104898405</v>
      </c>
    </row>
    <row r="555">
      <c r="A555" t="n">
        <v>105669961</v>
      </c>
    </row>
    <row r="556">
      <c r="A556" t="n">
        <v>105344181</v>
      </c>
    </row>
    <row r="557">
      <c r="A557" t="n">
        <v>107771302</v>
      </c>
    </row>
    <row r="558">
      <c r="A558" t="n">
        <v>105517517</v>
      </c>
    </row>
    <row r="559">
      <c r="A559" t="n">
        <v>106111340</v>
      </c>
    </row>
    <row r="560">
      <c r="A560" t="n">
        <v>107533157</v>
      </c>
    </row>
    <row r="561">
      <c r="A561" t="n">
        <v>107278206</v>
      </c>
    </row>
    <row r="562">
      <c r="A562" t="n">
        <v>106592205</v>
      </c>
    </row>
    <row r="563">
      <c r="A563" t="n">
        <v>105624868</v>
      </c>
    </row>
    <row r="564">
      <c r="A564" t="n">
        <v>105331514</v>
      </c>
    </row>
    <row r="565">
      <c r="A565" t="n">
        <v>105301886</v>
      </c>
    </row>
    <row r="566">
      <c r="A566" t="n">
        <v>106029698</v>
      </c>
    </row>
    <row r="567">
      <c r="A567" t="n">
        <v>104762571</v>
      </c>
    </row>
    <row r="568">
      <c r="A568" t="n">
        <v>105896304</v>
      </c>
    </row>
    <row r="569">
      <c r="A569" t="n">
        <v>105627177</v>
      </c>
    </row>
    <row r="570">
      <c r="A570" t="n">
        <v>107648441</v>
      </c>
    </row>
    <row r="571">
      <c r="A571" t="n">
        <v>106462130</v>
      </c>
    </row>
    <row r="572">
      <c r="A572" t="n">
        <v>107374234</v>
      </c>
    </row>
    <row r="573">
      <c r="A573" t="n">
        <v>105067773</v>
      </c>
    </row>
    <row r="574">
      <c r="A574" t="n">
        <v>108181659</v>
      </c>
    </row>
    <row r="575">
      <c r="A575" t="n">
        <v>108526710</v>
      </c>
    </row>
    <row r="576">
      <c r="A576" t="n">
        <v>108248173</v>
      </c>
    </row>
    <row r="577">
      <c r="A577" t="n">
        <v>107931418</v>
      </c>
    </row>
    <row r="578">
      <c r="A578" t="n">
        <v>106925270</v>
      </c>
    </row>
    <row r="579">
      <c r="A579" t="n">
        <v>105212692</v>
      </c>
    </row>
    <row r="580">
      <c r="A580" t="n">
        <v>107221390</v>
      </c>
    </row>
    <row r="581">
      <c r="A581" t="n">
        <v>108401808</v>
      </c>
    </row>
    <row r="582">
      <c r="A582" t="n">
        <v>108338300</v>
      </c>
    </row>
    <row r="583">
      <c r="A583" t="n">
        <v>107931666</v>
      </c>
    </row>
    <row r="584">
      <c r="A584" t="n">
        <v>104721418</v>
      </c>
    </row>
    <row r="585">
      <c r="A585" t="n">
        <v>105644357</v>
      </c>
    </row>
    <row r="586">
      <c r="A586" t="n">
        <v>107708011</v>
      </c>
    </row>
    <row r="587">
      <c r="A587" t="n">
        <v>107232412</v>
      </c>
    </row>
    <row r="588">
      <c r="A588" t="n">
        <v>105387411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n">
        <v>0</v>
      </c>
      <c r="B1" t="inlineStr">
        <is>
          <t>unknown</t>
        </is>
      </c>
    </row>
    <row r="2">
      <c r="A2" t="n">
        <v>1</v>
      </c>
      <c r="B2" t="inlineStr">
        <is>
          <t>ROR-R</t>
        </is>
      </c>
    </row>
    <row r="3">
      <c r="A3" t="n">
        <v>2</v>
      </c>
      <c r="B3" t="inlineStr">
        <is>
          <t>ROR-L</t>
        </is>
      </c>
    </row>
    <row r="4">
      <c r="A4" t="n">
        <v>3</v>
      </c>
      <c r="B4" t="inlineStr">
        <is>
          <t>ROR-T</t>
        </is>
      </c>
    </row>
    <row r="5">
      <c r="A5" t="n">
        <v>4</v>
      </c>
      <c r="B5" t="inlineStr">
        <is>
          <t>jackknife</t>
        </is>
      </c>
    </row>
    <row r="6">
      <c r="A6" t="n">
        <v>5</v>
      </c>
      <c r="B6" t="inlineStr">
        <is>
          <t>overturn</t>
        </is>
      </c>
    </row>
    <row r="7">
      <c r="A7" t="n">
        <v>13</v>
      </c>
      <c r="B7" t="inlineStr">
        <is>
          <t>other</t>
        </is>
      </c>
    </row>
    <row r="8">
      <c r="A8" t="n">
        <v>14</v>
      </c>
      <c r="B8" t="inlineStr">
        <is>
          <t>pedestrian</t>
        </is>
      </c>
    </row>
    <row r="9">
      <c r="A9" t="n">
        <v>15</v>
      </c>
      <c r="B9" t="inlineStr">
        <is>
          <t>cyclist</t>
        </is>
      </c>
    </row>
    <row r="10">
      <c r="A10" t="n">
        <v>16</v>
      </c>
      <c r="B10" t="inlineStr">
        <is>
          <t>RR</t>
        </is>
      </c>
    </row>
    <row r="11">
      <c r="A11" t="n">
        <v>17</v>
      </c>
      <c r="B11" t="inlineStr">
        <is>
          <t>animal</t>
        </is>
      </c>
    </row>
    <row r="12">
      <c r="A12" t="n">
        <v>18</v>
      </c>
      <c r="B12" t="inlineStr">
        <is>
          <t>MO</t>
        </is>
      </c>
    </row>
    <row r="13">
      <c r="A13" t="n">
        <v>19</v>
      </c>
      <c r="B13" t="inlineStr">
        <is>
          <t>FO</t>
        </is>
      </c>
    </row>
    <row r="14">
      <c r="A14" t="n">
        <v>20</v>
      </c>
      <c r="B14" t="inlineStr">
        <is>
          <t>PMV</t>
        </is>
      </c>
    </row>
    <row r="15">
      <c r="A15" t="n">
        <v>21</v>
      </c>
      <c r="B15" t="inlineStr">
        <is>
          <t>RE</t>
        </is>
      </c>
    </row>
    <row r="16">
      <c r="A16" t="n">
        <v>22</v>
      </c>
      <c r="B16" t="inlineStr">
        <is>
          <t>RE-T</t>
        </is>
      </c>
    </row>
    <row r="17">
      <c r="A17" t="n">
        <v>23</v>
      </c>
      <c r="B17" t="inlineStr">
        <is>
          <t>LTSR</t>
        </is>
      </c>
    </row>
    <row r="18">
      <c r="A18" t="n">
        <v>24</v>
      </c>
      <c r="B18" t="inlineStr">
        <is>
          <t>LTDR</t>
        </is>
      </c>
    </row>
    <row r="19">
      <c r="A19" t="n">
        <v>25</v>
      </c>
      <c r="B19" t="inlineStr">
        <is>
          <t>RTSR</t>
        </is>
      </c>
    </row>
    <row r="20">
      <c r="A20" t="n">
        <v>26</v>
      </c>
      <c r="B20" t="inlineStr">
        <is>
          <t>RTDR</t>
        </is>
      </c>
    </row>
    <row r="21">
      <c r="A21" t="n">
        <v>27</v>
      </c>
      <c r="B21" t="inlineStr">
        <is>
          <t>head-on</t>
        </is>
      </c>
    </row>
    <row r="22">
      <c r="A22" t="n">
        <v>28</v>
      </c>
      <c r="B22" t="inlineStr">
        <is>
          <t>SSSD</t>
        </is>
      </c>
    </row>
    <row r="23">
      <c r="A23" t="n">
        <v>29</v>
      </c>
      <c r="B23" t="inlineStr">
        <is>
          <t>SSOD</t>
        </is>
      </c>
    </row>
    <row r="24">
      <c r="A24" t="n">
        <v>30</v>
      </c>
      <c r="B24" t="inlineStr">
        <is>
          <t>angle</t>
        </is>
      </c>
    </row>
    <row r="25">
      <c r="A25" t="n">
        <v>31</v>
      </c>
      <c r="B25" t="inlineStr">
        <is>
          <t>backing</t>
        </is>
      </c>
    </row>
    <row r="26">
      <c r="A26" t="n">
        <v>32</v>
      </c>
      <c r="B26" t="inlineStr">
        <is>
          <t>other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99"/>
  <sheetViews>
    <sheetView workbookViewId="0">
      <selection activeCell="A1" sqref="A1"/>
    </sheetView>
  </sheetViews>
  <sheetFormatPr baseColWidth="8" defaultRowHeight="15"/>
  <sheetData>
    <row r="1">
      <c r="B1" s="5" t="inlineStr">
        <is>
          <t>North Carolina Department of Transportation
Traffic Engineering Accident Analysis System
Intersection Analysis Report</t>
        </is>
      </c>
    </row>
    <row r="2">
      <c r="A2" t="inlineStr">
        <is>
          <t>Study Criteria Summary</t>
        </is>
      </c>
    </row>
    <row r="3">
      <c r="A3" t="inlineStr">
        <is>
          <t>County:</t>
        </is>
      </c>
      <c r="B3" t="inlineStr">
        <is>
          <t>UNION</t>
        </is>
      </c>
      <c r="C3" t="inlineStr">
        <is>
          <t>City:</t>
        </is>
      </c>
      <c r="D3" t="inlineStr">
        <is>
          <t>All and Rural</t>
        </is>
      </c>
    </row>
    <row r="4">
      <c r="A4" t="inlineStr">
        <is>
          <t>Date:</t>
        </is>
      </c>
      <c r="B4" s="11" t="n">
        <v>42461</v>
      </c>
      <c r="C4" t="inlineStr">
        <is>
          <t>to</t>
        </is>
      </c>
      <c r="D4" s="11" t="n">
        <v>46203</v>
      </c>
      <c r="E4" t="inlineStr">
        <is>
          <t>Study:</t>
        </is>
      </c>
      <c r="F4" t="n">
        <v>41000076160</v>
      </c>
    </row>
    <row r="5">
      <c r="A5" t="inlineStr">
        <is>
          <t>Location:</t>
        </is>
      </c>
      <c r="B5" t="inlineStr">
        <is>
          <t>SR 1001 (Sikes Mill Road) at SR 1617 (Tom Boyd Road)</t>
        </is>
      </c>
    </row>
    <row r="6">
      <c r="A6" t="inlineStr">
        <is>
          <t>Report Details</t>
        </is>
      </c>
    </row>
    <row r="7">
      <c r="A7" s="5" t="inlineStr">
        <is>
          <t>Acc
No</t>
        </is>
      </c>
      <c r="B7" t="inlineStr">
        <is>
          <t>Crash ID</t>
        </is>
      </c>
      <c r="C7" t="inlineStr">
        <is>
          <t>Date</t>
        </is>
      </c>
      <c r="D7" t="inlineStr">
        <is>
          <t>Accident Type</t>
        </is>
      </c>
      <c r="E7" s="5" t="inlineStr">
        <is>
          <t>Total
Damage</t>
        </is>
      </c>
      <c r="F7" t="inlineStr">
        <is>
          <t>Injuries</t>
        </is>
      </c>
      <c r="G7" t="inlineStr">
        <is>
          <t>F</t>
        </is>
      </c>
      <c r="H7" t="inlineStr">
        <is>
          <t>A</t>
        </is>
      </c>
      <c r="I7" t="inlineStr">
        <is>
          <t>B</t>
        </is>
      </c>
      <c r="J7" t="inlineStr">
        <is>
          <t>C</t>
        </is>
      </c>
      <c r="K7" t="inlineStr">
        <is>
          <t>R</t>
        </is>
      </c>
      <c r="L7" t="inlineStr">
        <is>
          <t>Condition</t>
        </is>
      </c>
      <c r="M7" t="inlineStr">
        <is>
          <t>L</t>
        </is>
      </c>
      <c r="N7" t="inlineStr">
        <is>
          <t>W</t>
        </is>
      </c>
      <c r="O7" t="inlineStr">
        <is>
          <t>Road</t>
        </is>
      </c>
      <c r="P7" t="inlineStr">
        <is>
          <t>Ch</t>
        </is>
      </c>
      <c r="Q7" t="inlineStr">
        <is>
          <t>Ci</t>
        </is>
      </c>
      <c r="R7" t="inlineStr">
        <is>
          <t>Dv</t>
        </is>
      </c>
      <c r="S7" t="inlineStr">
        <is>
          <t>Trfc Ctl</t>
        </is>
      </c>
      <c r="T7" t="inlineStr">
        <is>
          <t>Op</t>
        </is>
      </c>
    </row>
    <row r="8">
      <c r="A8" t="n">
        <v>1</v>
      </c>
      <c r="B8" t="n">
        <v>104716467</v>
      </c>
      <c r="C8" s="11" t="n">
        <v>42487.81944444445</v>
      </c>
      <c r="D8" t="inlineStr">
        <is>
          <t>ANGLE</t>
        </is>
      </c>
      <c r="E8" t="inlineStr">
        <is>
          <t>$</t>
        </is>
      </c>
      <c r="F8" t="n">
        <v>15000</v>
      </c>
      <c r="G8" t="n">
        <v>0</v>
      </c>
      <c r="H8" t="n">
        <v>0</v>
      </c>
      <c r="I8" t="n">
        <v>0</v>
      </c>
      <c r="J8" t="n">
        <v>0</v>
      </c>
      <c r="K8" t="n">
        <v>1</v>
      </c>
      <c r="L8" t="n">
        <v>1</v>
      </c>
      <c r="M8" t="n">
        <v>1</v>
      </c>
      <c r="N8" t="n">
        <v>1</v>
      </c>
      <c r="O8" t="n">
        <v>0</v>
      </c>
      <c r="P8" t="n">
        <v>1</v>
      </c>
      <c r="Q8" t="n">
        <v>1</v>
      </c>
    </row>
    <row r="9">
      <c r="A9" t="inlineStr">
        <is>
          <t>Unit</t>
        </is>
      </c>
      <c r="B9" t="n">
        <v>1</v>
      </c>
      <c r="C9" t="inlineStr">
        <is>
          <t>:</t>
        </is>
      </c>
      <c r="D9" t="n">
        <v>4</v>
      </c>
      <c r="E9" t="inlineStr">
        <is>
          <t>Alchl/Drgs:</t>
        </is>
      </c>
      <c r="F9" t="n">
        <v>0</v>
      </c>
      <c r="G9" t="inlineStr">
        <is>
          <t>Speed:</t>
        </is>
      </c>
      <c r="H9" t="n">
        <v>0</v>
      </c>
      <c r="I9" t="inlineStr">
        <is>
          <t>MPH</t>
        </is>
      </c>
      <c r="J9" t="inlineStr">
        <is>
          <t>Dir:</t>
        </is>
      </c>
      <c r="K9" t="inlineStr">
        <is>
          <t>E</t>
        </is>
      </c>
      <c r="L9" t="inlineStr">
        <is>
          <t>Veh Mnvr / Ped Actn:</t>
        </is>
      </c>
      <c r="M9" t="n">
        <v>4</v>
      </c>
      <c r="N9" t="inlineStr">
        <is>
          <t>Obj Strk:</t>
        </is>
      </c>
    </row>
    <row r="10">
      <c r="A10" t="inlineStr">
        <is>
          <t>Unit</t>
        </is>
      </c>
      <c r="B10" t="n">
        <v>2</v>
      </c>
      <c r="C10" t="inlineStr">
        <is>
          <t>:</t>
        </is>
      </c>
      <c r="D10" t="n">
        <v>5</v>
      </c>
      <c r="E10" t="inlineStr">
        <is>
          <t>Alchl/Drgs:</t>
        </is>
      </c>
      <c r="F10" t="n">
        <v>0</v>
      </c>
      <c r="G10" t="inlineStr">
        <is>
          <t>Speed:</t>
        </is>
      </c>
      <c r="H10" t="n">
        <v>45</v>
      </c>
      <c r="I10" t="inlineStr">
        <is>
          <t>MPH</t>
        </is>
      </c>
      <c r="J10" t="inlineStr">
        <is>
          <t>Dir:</t>
        </is>
      </c>
      <c r="K10" t="inlineStr">
        <is>
          <t>S</t>
        </is>
      </c>
      <c r="L10" t="inlineStr">
        <is>
          <t>Veh Mnvr / Ped Actn:</t>
        </is>
      </c>
      <c r="M10" t="n">
        <v>4</v>
      </c>
      <c r="N10" t="inlineStr">
        <is>
          <t>Obj Strk:</t>
        </is>
      </c>
    </row>
    <row r="11">
      <c r="A11" t="n">
        <v>2</v>
      </c>
      <c r="B11" t="n">
        <v>104890928</v>
      </c>
      <c r="C11" s="11" t="n">
        <v>42653.36805555555</v>
      </c>
      <c r="D11" t="inlineStr">
        <is>
          <t>ANGLE</t>
        </is>
      </c>
      <c r="E11" t="inlineStr">
        <is>
          <t>$</t>
        </is>
      </c>
      <c r="F11" t="n">
        <v>2660</v>
      </c>
      <c r="G11" t="n">
        <v>0</v>
      </c>
      <c r="H11" t="n">
        <v>0</v>
      </c>
      <c r="I11" t="n">
        <v>0</v>
      </c>
      <c r="J11" t="n">
        <v>3</v>
      </c>
      <c r="K11" t="n">
        <v>1</v>
      </c>
      <c r="L11" t="n">
        <v>1</v>
      </c>
      <c r="M11" t="n">
        <v>1</v>
      </c>
      <c r="N11" t="n">
        <v>3</v>
      </c>
      <c r="O11" t="n">
        <v>0</v>
      </c>
      <c r="P11" t="n">
        <v>1</v>
      </c>
      <c r="Q11" t="n">
        <v>1</v>
      </c>
    </row>
    <row r="12">
      <c r="A12" t="inlineStr">
        <is>
          <t>Unit</t>
        </is>
      </c>
      <c r="B12" t="n">
        <v>1</v>
      </c>
      <c r="C12" t="inlineStr">
        <is>
          <t>:</t>
        </is>
      </c>
      <c r="D12" t="n">
        <v>1</v>
      </c>
      <c r="E12" t="inlineStr">
        <is>
          <t>Alchl/Drgs:</t>
        </is>
      </c>
      <c r="F12" t="n">
        <v>0</v>
      </c>
      <c r="G12" t="inlineStr">
        <is>
          <t>Speed:</t>
        </is>
      </c>
      <c r="H12" t="n">
        <v>55</v>
      </c>
      <c r="I12" t="inlineStr">
        <is>
          <t>MPH</t>
        </is>
      </c>
      <c r="J12" t="inlineStr">
        <is>
          <t>Dir:</t>
        </is>
      </c>
      <c r="K12" t="inlineStr">
        <is>
          <t>SW</t>
        </is>
      </c>
      <c r="L12" t="inlineStr">
        <is>
          <t>Veh Mnvr / Ped Actn:</t>
        </is>
      </c>
      <c r="M12" t="n">
        <v>4</v>
      </c>
      <c r="N12" t="inlineStr">
        <is>
          <t>Obj Strk:</t>
        </is>
      </c>
    </row>
    <row r="13">
      <c r="A13" t="inlineStr">
        <is>
          <t>Unit</t>
        </is>
      </c>
      <c r="B13" t="n">
        <v>2</v>
      </c>
      <c r="C13" t="inlineStr">
        <is>
          <t>:</t>
        </is>
      </c>
      <c r="D13" t="n">
        <v>2</v>
      </c>
      <c r="E13" t="inlineStr">
        <is>
          <t>Alchl/Drgs:</t>
        </is>
      </c>
      <c r="F13" t="n">
        <v>0</v>
      </c>
      <c r="G13" t="inlineStr">
        <is>
          <t>Speed:</t>
        </is>
      </c>
      <c r="H13" t="n">
        <v>5</v>
      </c>
      <c r="I13" t="inlineStr">
        <is>
          <t>MPH</t>
        </is>
      </c>
      <c r="J13" t="inlineStr">
        <is>
          <t>Dir:</t>
        </is>
      </c>
      <c r="K13" t="inlineStr">
        <is>
          <t>NW</t>
        </is>
      </c>
      <c r="L13" t="inlineStr">
        <is>
          <t>Veh Mnvr / Ped Actn:</t>
        </is>
      </c>
      <c r="M13" t="n">
        <v>4</v>
      </c>
      <c r="N13" t="inlineStr">
        <is>
          <t>Obj Strk:</t>
        </is>
      </c>
    </row>
    <row r="14">
      <c r="A14" t="n">
        <v>3</v>
      </c>
      <c r="B14" t="n">
        <v>104901954</v>
      </c>
      <c r="C14" s="11" t="n">
        <v>42676.31736111111</v>
      </c>
      <c r="D14" t="inlineStr">
        <is>
          <t>ANGLE</t>
        </is>
      </c>
      <c r="E14" t="inlineStr">
        <is>
          <t>$</t>
        </is>
      </c>
      <c r="F14" t="n">
        <v>11500</v>
      </c>
      <c r="G14" t="n">
        <v>0</v>
      </c>
      <c r="H14" t="n">
        <v>0</v>
      </c>
      <c r="I14" t="n">
        <v>0</v>
      </c>
      <c r="J14" t="n">
        <v>0</v>
      </c>
      <c r="K14" t="n">
        <v>1</v>
      </c>
      <c r="L14" t="n">
        <v>1</v>
      </c>
      <c r="M14" t="n">
        <v>1</v>
      </c>
      <c r="N14" t="n">
        <v>2</v>
      </c>
      <c r="O14" t="n">
        <v>0</v>
      </c>
      <c r="P14" t="n">
        <v>1</v>
      </c>
      <c r="Q14" t="n">
        <v>1</v>
      </c>
    </row>
    <row r="15">
      <c r="A15" t="inlineStr">
        <is>
          <t>Unit</t>
        </is>
      </c>
      <c r="B15" t="n">
        <v>1</v>
      </c>
      <c r="C15" t="inlineStr">
        <is>
          <t>:</t>
        </is>
      </c>
      <c r="D15" t="n">
        <v>2</v>
      </c>
      <c r="E15" t="inlineStr">
        <is>
          <t>Alchl/Drgs:</t>
        </is>
      </c>
      <c r="F15" t="n">
        <v>0</v>
      </c>
      <c r="G15" t="inlineStr">
        <is>
          <t>Speed:</t>
        </is>
      </c>
      <c r="H15" t="n">
        <v>0</v>
      </c>
      <c r="I15" t="inlineStr">
        <is>
          <t>MPH</t>
        </is>
      </c>
      <c r="J15" t="inlineStr">
        <is>
          <t>Dir:</t>
        </is>
      </c>
      <c r="K15" t="inlineStr">
        <is>
          <t>W</t>
        </is>
      </c>
      <c r="L15" t="inlineStr">
        <is>
          <t>Veh Mnvr / Ped Actn:</t>
        </is>
      </c>
      <c r="M15" t="n">
        <v>4</v>
      </c>
      <c r="N15" t="inlineStr">
        <is>
          <t>Obj Strk:</t>
        </is>
      </c>
    </row>
    <row r="16">
      <c r="A16" t="inlineStr">
        <is>
          <t>Unit</t>
        </is>
      </c>
      <c r="B16" t="n">
        <v>2</v>
      </c>
      <c r="C16" t="inlineStr">
        <is>
          <t>:</t>
        </is>
      </c>
      <c r="D16" t="n">
        <v>1</v>
      </c>
      <c r="E16" t="inlineStr">
        <is>
          <t>Alchl/Drgs:</t>
        </is>
      </c>
      <c r="F16" t="n">
        <v>0</v>
      </c>
      <c r="G16" t="inlineStr">
        <is>
          <t>Speed:</t>
        </is>
      </c>
      <c r="H16" t="n">
        <v>45</v>
      </c>
      <c r="I16" t="inlineStr">
        <is>
          <t>MPH</t>
        </is>
      </c>
      <c r="J16" t="inlineStr">
        <is>
          <t>Dir:</t>
        </is>
      </c>
      <c r="K16" t="inlineStr">
        <is>
          <t>S</t>
        </is>
      </c>
      <c r="L16" t="inlineStr">
        <is>
          <t>Veh Mnvr / Ped Actn:</t>
        </is>
      </c>
      <c r="M16" t="n">
        <v>4</v>
      </c>
      <c r="N16" t="inlineStr">
        <is>
          <t>Obj Strk:</t>
        </is>
      </c>
    </row>
    <row r="17">
      <c r="A17" t="inlineStr">
        <is>
          <t>Unit</t>
        </is>
      </c>
      <c r="B17" t="n">
        <v>3</v>
      </c>
      <c r="C17" t="inlineStr">
        <is>
          <t>:</t>
        </is>
      </c>
      <c r="D17" t="n">
        <v>4</v>
      </c>
      <c r="E17" t="inlineStr">
        <is>
          <t>Alchl/Drgs:</t>
        </is>
      </c>
      <c r="F17" t="n">
        <v>0</v>
      </c>
      <c r="G17" t="inlineStr">
        <is>
          <t>Speed:</t>
        </is>
      </c>
      <c r="H17" t="n">
        <v>45</v>
      </c>
      <c r="I17" t="inlineStr">
        <is>
          <t>MPH</t>
        </is>
      </c>
      <c r="J17" t="inlineStr">
        <is>
          <t>Dir:</t>
        </is>
      </c>
      <c r="K17" t="inlineStr">
        <is>
          <t>E</t>
        </is>
      </c>
      <c r="L17" t="inlineStr">
        <is>
          <t>Veh Mnvr / Ped Actn:</t>
        </is>
      </c>
      <c r="M17" t="n">
        <v>1</v>
      </c>
      <c r="N17" t="inlineStr">
        <is>
          <t>Obj Strk:</t>
        </is>
      </c>
    </row>
    <row r="18">
      <c r="A18" t="n">
        <v>4</v>
      </c>
      <c r="B18" t="n">
        <v>104942804</v>
      </c>
      <c r="C18" s="11" t="n">
        <v>42712.67291666667</v>
      </c>
      <c r="D18" t="inlineStr">
        <is>
          <t>ANGLE</t>
        </is>
      </c>
      <c r="E18" t="inlineStr">
        <is>
          <t>$</t>
        </is>
      </c>
      <c r="F18" t="n">
        <v>7000</v>
      </c>
      <c r="G18" t="n">
        <v>0</v>
      </c>
      <c r="H18" t="n">
        <v>0</v>
      </c>
      <c r="I18" t="n">
        <v>1</v>
      </c>
      <c r="J18" t="n">
        <v>0</v>
      </c>
      <c r="K18" t="n">
        <v>1</v>
      </c>
      <c r="L18" t="n">
        <v>1</v>
      </c>
      <c r="M18" t="n">
        <v>2</v>
      </c>
      <c r="N18" t="n">
        <v>3</v>
      </c>
      <c r="O18" t="n">
        <v>0</v>
      </c>
      <c r="P18" t="n">
        <v>1</v>
      </c>
      <c r="Q18" t="n">
        <v>1</v>
      </c>
    </row>
    <row r="19">
      <c r="A19" t="inlineStr">
        <is>
          <t>Unit</t>
        </is>
      </c>
      <c r="B19" t="n">
        <v>1</v>
      </c>
      <c r="C19" t="inlineStr">
        <is>
          <t>:</t>
        </is>
      </c>
      <c r="D19" t="n">
        <v>1</v>
      </c>
      <c r="E19" t="inlineStr">
        <is>
          <t>Alchl/Drgs:</t>
        </is>
      </c>
      <c r="F19" t="n">
        <v>0</v>
      </c>
      <c r="G19" t="inlineStr">
        <is>
          <t>Speed:</t>
        </is>
      </c>
      <c r="H19" t="n">
        <v>10</v>
      </c>
      <c r="I19" t="inlineStr">
        <is>
          <t>MPH</t>
        </is>
      </c>
      <c r="J19" t="inlineStr">
        <is>
          <t>Dir:</t>
        </is>
      </c>
      <c r="K19" t="inlineStr">
        <is>
          <t>W</t>
        </is>
      </c>
      <c r="L19" t="inlineStr">
        <is>
          <t>Veh Mnvr / Ped Actn:</t>
        </is>
      </c>
      <c r="M19" t="n">
        <v>4</v>
      </c>
      <c r="N19" t="inlineStr">
        <is>
          <t>Obj Strk:</t>
        </is>
      </c>
    </row>
    <row r="20">
      <c r="A20" t="inlineStr">
        <is>
          <t>Unit</t>
        </is>
      </c>
      <c r="B20" t="n">
        <v>2</v>
      </c>
      <c r="C20" t="inlineStr">
        <is>
          <t>:</t>
        </is>
      </c>
      <c r="D20" t="n">
        <v>1</v>
      </c>
      <c r="E20" t="inlineStr">
        <is>
          <t>Alchl/Drgs:</t>
        </is>
      </c>
      <c r="F20" t="n">
        <v>0</v>
      </c>
      <c r="G20" t="inlineStr">
        <is>
          <t>Speed:</t>
        </is>
      </c>
      <c r="H20" t="n">
        <v>60</v>
      </c>
      <c r="I20" t="inlineStr">
        <is>
          <t>MPH</t>
        </is>
      </c>
      <c r="J20" t="inlineStr">
        <is>
          <t>Dir:</t>
        </is>
      </c>
      <c r="K20" t="inlineStr">
        <is>
          <t>S</t>
        </is>
      </c>
      <c r="L20" t="inlineStr">
        <is>
          <t>Veh Mnvr / Ped Actn:</t>
        </is>
      </c>
      <c r="M20" t="n">
        <v>4</v>
      </c>
      <c r="N20" t="inlineStr">
        <is>
          <t>Obj Strk:</t>
        </is>
      </c>
    </row>
    <row r="21">
      <c r="A21" t="n">
        <v>5</v>
      </c>
      <c r="B21" t="n">
        <v>104987740</v>
      </c>
      <c r="C21" s="11" t="n">
        <v>42760.56944444445</v>
      </c>
      <c r="D21" t="inlineStr">
        <is>
          <t>ANGLE</t>
        </is>
      </c>
      <c r="E21" t="inlineStr">
        <is>
          <t>$</t>
        </is>
      </c>
      <c r="F21" t="n">
        <v>10575</v>
      </c>
      <c r="G21" t="n">
        <v>0</v>
      </c>
      <c r="H21" t="n">
        <v>0</v>
      </c>
      <c r="I21" t="n">
        <v>3</v>
      </c>
      <c r="J21" t="n">
        <v>3</v>
      </c>
      <c r="K21" t="n">
        <v>1</v>
      </c>
      <c r="L21" t="n">
        <v>1</v>
      </c>
      <c r="M21" t="n">
        <v>1</v>
      </c>
      <c r="N21" t="n">
        <v>3</v>
      </c>
      <c r="O21" t="n">
        <v>0</v>
      </c>
      <c r="P21" t="n">
        <v>1</v>
      </c>
      <c r="Q21" t="n">
        <v>1</v>
      </c>
    </row>
    <row r="22">
      <c r="A22" t="inlineStr">
        <is>
          <t>Unit</t>
        </is>
      </c>
      <c r="B22" t="n">
        <v>1</v>
      </c>
      <c r="C22" t="inlineStr">
        <is>
          <t>:</t>
        </is>
      </c>
      <c r="D22" t="n">
        <v>1</v>
      </c>
      <c r="E22" t="inlineStr">
        <is>
          <t>Alchl/Drgs:</t>
        </is>
      </c>
      <c r="F22" t="n">
        <v>0</v>
      </c>
      <c r="G22" t="inlineStr">
        <is>
          <t>Speed:</t>
        </is>
      </c>
      <c r="H22" t="n">
        <v>45</v>
      </c>
      <c r="I22" t="inlineStr">
        <is>
          <t>MPH</t>
        </is>
      </c>
      <c r="J22" t="inlineStr">
        <is>
          <t>Dir:</t>
        </is>
      </c>
      <c r="K22" t="inlineStr">
        <is>
          <t>W</t>
        </is>
      </c>
      <c r="L22" t="inlineStr">
        <is>
          <t>Veh Mnvr / Ped Actn:</t>
        </is>
      </c>
      <c r="M22" t="n">
        <v>4</v>
      </c>
      <c r="N22" t="inlineStr">
        <is>
          <t>Obj Strk:</t>
        </is>
      </c>
    </row>
    <row r="23">
      <c r="A23" t="inlineStr">
        <is>
          <t>Unit</t>
        </is>
      </c>
      <c r="B23" t="n">
        <v>2</v>
      </c>
      <c r="C23" t="inlineStr">
        <is>
          <t>:</t>
        </is>
      </c>
      <c r="D23" t="n">
        <v>4</v>
      </c>
      <c r="E23" t="inlineStr">
        <is>
          <t>Alchl/Drgs:</t>
        </is>
      </c>
      <c r="F23" t="n">
        <v>0</v>
      </c>
      <c r="G23" t="inlineStr">
        <is>
          <t>Speed:</t>
        </is>
      </c>
      <c r="H23" t="n">
        <v>50</v>
      </c>
      <c r="I23" t="inlineStr">
        <is>
          <t>MPH</t>
        </is>
      </c>
      <c r="J23" t="inlineStr">
        <is>
          <t>Dir:</t>
        </is>
      </c>
      <c r="K23" t="inlineStr">
        <is>
          <t>S</t>
        </is>
      </c>
      <c r="L23" t="inlineStr">
        <is>
          <t>Veh Mnvr / Ped Actn:</t>
        </is>
      </c>
      <c r="M23" t="n">
        <v>4</v>
      </c>
      <c r="N23" t="inlineStr">
        <is>
          <t>Obj Strk:</t>
        </is>
      </c>
      <c r="O23" t="n">
        <v>60</v>
      </c>
    </row>
    <row r="24">
      <c r="A24" t="n">
        <v>6</v>
      </c>
      <c r="B24" t="n">
        <v>105210461</v>
      </c>
      <c r="C24" s="11" t="n">
        <v>42977.33888888889</v>
      </c>
      <c r="D24" t="inlineStr">
        <is>
          <t>ANGLE</t>
        </is>
      </c>
      <c r="E24" t="inlineStr">
        <is>
          <t>$</t>
        </is>
      </c>
      <c r="F24" t="n">
        <v>4500</v>
      </c>
      <c r="G24" t="n">
        <v>0</v>
      </c>
      <c r="H24" t="n">
        <v>0</v>
      </c>
      <c r="I24" t="n">
        <v>0</v>
      </c>
      <c r="J24" t="n">
        <v>2</v>
      </c>
      <c r="K24" t="n">
        <v>1</v>
      </c>
      <c r="L24" t="n">
        <v>1</v>
      </c>
      <c r="M24" t="n">
        <v>1</v>
      </c>
      <c r="N24" t="n">
        <v>3</v>
      </c>
      <c r="O24" t="n">
        <v>0</v>
      </c>
      <c r="P24" t="n">
        <v>1</v>
      </c>
      <c r="Q24" t="n">
        <v>1</v>
      </c>
    </row>
    <row r="25">
      <c r="A25" t="inlineStr">
        <is>
          <t>Unit</t>
        </is>
      </c>
      <c r="B25" t="n">
        <v>1</v>
      </c>
      <c r="C25" t="inlineStr">
        <is>
          <t>:</t>
        </is>
      </c>
      <c r="D25" t="n">
        <v>4</v>
      </c>
      <c r="E25" t="inlineStr">
        <is>
          <t>Alchl/Drgs:</t>
        </is>
      </c>
      <c r="F25" t="n">
        <v>0</v>
      </c>
      <c r="G25" t="inlineStr">
        <is>
          <t>Speed:</t>
        </is>
      </c>
      <c r="H25" t="n">
        <v>0</v>
      </c>
      <c r="I25" t="inlineStr">
        <is>
          <t>MPH</t>
        </is>
      </c>
      <c r="J25" t="inlineStr">
        <is>
          <t>Dir:</t>
        </is>
      </c>
      <c r="K25" t="inlineStr">
        <is>
          <t>E</t>
        </is>
      </c>
      <c r="L25" t="inlineStr">
        <is>
          <t>Veh Mnvr / Ped Actn:</t>
        </is>
      </c>
      <c r="M25" t="n">
        <v>4</v>
      </c>
      <c r="N25" t="inlineStr">
        <is>
          <t>Obj Strk:</t>
        </is>
      </c>
    </row>
    <row r="26">
      <c r="A26" t="inlineStr">
        <is>
          <t>Unit</t>
        </is>
      </c>
      <c r="B26" t="n">
        <v>2</v>
      </c>
      <c r="C26" t="inlineStr">
        <is>
          <t>:</t>
        </is>
      </c>
      <c r="D26" t="n">
        <v>7</v>
      </c>
      <c r="E26" t="inlineStr">
        <is>
          <t>Alchl/Drgs:</t>
        </is>
      </c>
      <c r="F26" t="n">
        <v>0</v>
      </c>
      <c r="G26" t="inlineStr">
        <is>
          <t>Speed:</t>
        </is>
      </c>
      <c r="H26" t="n">
        <v>45</v>
      </c>
      <c r="I26" t="inlineStr">
        <is>
          <t>MPH</t>
        </is>
      </c>
      <c r="J26" t="inlineStr">
        <is>
          <t>Dir:</t>
        </is>
      </c>
      <c r="K26" t="inlineStr">
        <is>
          <t>N</t>
        </is>
      </c>
      <c r="L26" t="inlineStr">
        <is>
          <t>Veh Mnvr / Ped Actn:</t>
        </is>
      </c>
      <c r="M26" t="n">
        <v>4</v>
      </c>
      <c r="N26" t="inlineStr">
        <is>
          <t>Obj Strk:</t>
        </is>
      </c>
    </row>
    <row r="27">
      <c r="A27" t="n">
        <v>7</v>
      </c>
      <c r="B27" t="n">
        <v>105326435</v>
      </c>
      <c r="C27" s="11" t="n">
        <v>43085.48819444444</v>
      </c>
      <c r="D27" t="inlineStr">
        <is>
          <t>ANGLE</t>
        </is>
      </c>
      <c r="E27" t="inlineStr">
        <is>
          <t>$</t>
        </is>
      </c>
      <c r="F27" t="n">
        <v>20000</v>
      </c>
      <c r="G27" t="n">
        <v>0</v>
      </c>
      <c r="H27" t="n">
        <v>1</v>
      </c>
      <c r="I27" t="n">
        <v>1</v>
      </c>
      <c r="J27" t="n">
        <v>0</v>
      </c>
      <c r="K27" t="n">
        <v>1</v>
      </c>
      <c r="L27" t="n">
        <v>1</v>
      </c>
      <c r="M27" t="n">
        <v>1</v>
      </c>
      <c r="N27" t="n">
        <v>1</v>
      </c>
      <c r="O27" t="n">
        <v>0</v>
      </c>
      <c r="P27" t="n">
        <v>1</v>
      </c>
      <c r="Q27" t="n">
        <v>1</v>
      </c>
    </row>
    <row r="28">
      <c r="A28" t="inlineStr">
        <is>
          <t>Unit</t>
        </is>
      </c>
      <c r="B28" t="n">
        <v>1</v>
      </c>
      <c r="C28" t="inlineStr">
        <is>
          <t>:</t>
        </is>
      </c>
      <c r="D28" t="n">
        <v>14</v>
      </c>
      <c r="E28" t="inlineStr">
        <is>
          <t>Alchl/Drgs:</t>
        </is>
      </c>
      <c r="F28" t="n">
        <v>0</v>
      </c>
      <c r="G28" t="inlineStr">
        <is>
          <t>Speed:</t>
        </is>
      </c>
      <c r="H28" t="n">
        <v>45</v>
      </c>
      <c r="I28" t="inlineStr">
        <is>
          <t>MPH</t>
        </is>
      </c>
      <c r="J28" t="inlineStr">
        <is>
          <t>Dir:</t>
        </is>
      </c>
      <c r="K28" t="inlineStr">
        <is>
          <t>S</t>
        </is>
      </c>
      <c r="L28" t="inlineStr">
        <is>
          <t>Veh Mnvr / Ped Actn:</t>
        </is>
      </c>
      <c r="M28" t="n">
        <v>4</v>
      </c>
      <c r="N28" t="inlineStr">
        <is>
          <t>Obj Strk:</t>
        </is>
      </c>
      <c r="O28" t="n">
        <v>58</v>
      </c>
    </row>
    <row r="29">
      <c r="A29" t="inlineStr">
        <is>
          <t>Unit</t>
        </is>
      </c>
      <c r="B29" t="n">
        <v>2</v>
      </c>
      <c r="C29" t="inlineStr">
        <is>
          <t>:</t>
        </is>
      </c>
      <c r="D29" t="n">
        <v>1</v>
      </c>
      <c r="E29" t="inlineStr">
        <is>
          <t>Alchl/Drgs:</t>
        </is>
      </c>
      <c r="F29" t="n">
        <v>0</v>
      </c>
      <c r="G29" t="inlineStr">
        <is>
          <t>Speed:</t>
        </is>
      </c>
      <c r="H29" t="n">
        <v>55</v>
      </c>
      <c r="I29" t="inlineStr">
        <is>
          <t>MPH</t>
        </is>
      </c>
      <c r="J29" t="inlineStr">
        <is>
          <t>Dir:</t>
        </is>
      </c>
      <c r="K29" t="inlineStr">
        <is>
          <t>E</t>
        </is>
      </c>
      <c r="L29" t="inlineStr">
        <is>
          <t>Veh Mnvr / Ped Actn:</t>
        </is>
      </c>
      <c r="M29" t="n">
        <v>4</v>
      </c>
      <c r="N29" t="inlineStr">
        <is>
          <t>Obj Strk:</t>
        </is>
      </c>
    </row>
    <row r="30">
      <c r="B30" s="11" t="n">
        <v>46254</v>
      </c>
      <c r="C30" s="5"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D30" t="inlineStr">
        <is>
          <t>-1-</t>
        </is>
      </c>
    </row>
    <row r="31">
      <c r="B31" s="5" t="inlineStr">
        <is>
          <t>North Carolina Department of Transportation
Traffic Engineering Accident Analysis System
Intersection Analysis Report</t>
        </is>
      </c>
    </row>
    <row r="32">
      <c r="A32" s="5" t="inlineStr">
        <is>
          <t>Acc
No</t>
        </is>
      </c>
      <c r="B32" t="inlineStr">
        <is>
          <t>Crash ID</t>
        </is>
      </c>
      <c r="C32" t="inlineStr">
        <is>
          <t>Date</t>
        </is>
      </c>
      <c r="D32" t="inlineStr">
        <is>
          <t>Accident Type</t>
        </is>
      </c>
      <c r="E32" s="5" t="inlineStr">
        <is>
          <t>Total
Damage</t>
        </is>
      </c>
      <c r="F32" t="inlineStr">
        <is>
          <t>Injuries</t>
        </is>
      </c>
      <c r="G32" t="inlineStr">
        <is>
          <t>F</t>
        </is>
      </c>
      <c r="H32" t="inlineStr">
        <is>
          <t>A</t>
        </is>
      </c>
      <c r="I32" t="inlineStr">
        <is>
          <t>B</t>
        </is>
      </c>
      <c r="J32" t="inlineStr">
        <is>
          <t>C</t>
        </is>
      </c>
      <c r="K32" t="inlineStr">
        <is>
          <t>R</t>
        </is>
      </c>
      <c r="L32" t="inlineStr">
        <is>
          <t>Condition</t>
        </is>
      </c>
      <c r="M32" t="inlineStr">
        <is>
          <t>L</t>
        </is>
      </c>
      <c r="N32" t="inlineStr">
        <is>
          <t>W</t>
        </is>
      </c>
      <c r="O32" t="inlineStr">
        <is>
          <t>Road</t>
        </is>
      </c>
      <c r="P32" t="inlineStr">
        <is>
          <t>Ch</t>
        </is>
      </c>
      <c r="Q32" t="inlineStr">
        <is>
          <t>Ci</t>
        </is>
      </c>
      <c r="R32" t="inlineStr">
        <is>
          <t>Dv</t>
        </is>
      </c>
      <c r="S32" t="inlineStr">
        <is>
          <t>Trfc Ctl</t>
        </is>
      </c>
      <c r="T32" t="inlineStr">
        <is>
          <t>Op</t>
        </is>
      </c>
    </row>
    <row r="33">
      <c r="A33" t="n">
        <v>8</v>
      </c>
      <c r="B33" t="n">
        <v>105520583</v>
      </c>
      <c r="C33" s="11" t="n">
        <v>43271.8125</v>
      </c>
      <c r="D33" t="inlineStr">
        <is>
          <t>FIXED OBJECT</t>
        </is>
      </c>
      <c r="E33" t="inlineStr">
        <is>
          <t>$</t>
        </is>
      </c>
      <c r="F33" t="n">
        <v>1000</v>
      </c>
      <c r="G33" t="n">
        <v>0</v>
      </c>
      <c r="H33" t="n">
        <v>0</v>
      </c>
      <c r="I33" t="n">
        <v>0</v>
      </c>
      <c r="J33" t="n">
        <v>0</v>
      </c>
      <c r="K33" t="n">
        <v>2</v>
      </c>
      <c r="L33" t="n">
        <v>1</v>
      </c>
      <c r="M33" t="n">
        <v>3</v>
      </c>
      <c r="N33" t="n">
        <v>5</v>
      </c>
      <c r="O33" t="n">
        <v>0</v>
      </c>
      <c r="P33" t="n">
        <v>13</v>
      </c>
      <c r="Q33" t="n">
        <v>1</v>
      </c>
    </row>
    <row r="34">
      <c r="A34" t="inlineStr">
        <is>
          <t>Unit</t>
        </is>
      </c>
      <c r="B34" t="n">
        <v>1</v>
      </c>
      <c r="C34" t="inlineStr">
        <is>
          <t>:</t>
        </is>
      </c>
      <c r="D34" t="n">
        <v>1</v>
      </c>
      <c r="E34" t="inlineStr">
        <is>
          <t>Alchl/Drgs:</t>
        </is>
      </c>
      <c r="F34" t="n">
        <v>0</v>
      </c>
      <c r="G34" t="inlineStr">
        <is>
          <t>Speed:</t>
        </is>
      </c>
      <c r="H34" t="n">
        <v>35</v>
      </c>
      <c r="I34" t="inlineStr">
        <is>
          <t>MPH</t>
        </is>
      </c>
      <c r="J34" t="inlineStr">
        <is>
          <t>Dir:</t>
        </is>
      </c>
      <c r="K34" t="inlineStr">
        <is>
          <t>N</t>
        </is>
      </c>
      <c r="L34" t="inlineStr">
        <is>
          <t>Veh Mnvr / Ped Actn:</t>
        </is>
      </c>
      <c r="M34" t="n">
        <v>4</v>
      </c>
      <c r="N34" t="inlineStr">
        <is>
          <t>Obj Strk:</t>
        </is>
      </c>
      <c r="O34" t="n">
        <v>58</v>
      </c>
    </row>
    <row r="35">
      <c r="A35" t="n">
        <v>9</v>
      </c>
      <c r="B35" t="n">
        <v>105535858</v>
      </c>
      <c r="C35" s="11" t="n">
        <v>43290.35347222222</v>
      </c>
      <c r="D35" t="inlineStr">
        <is>
          <t>ANGLE</t>
        </is>
      </c>
      <c r="E35" t="inlineStr">
        <is>
          <t>$</t>
        </is>
      </c>
      <c r="F35" t="n">
        <v>28650</v>
      </c>
      <c r="G35" t="n">
        <v>0</v>
      </c>
      <c r="H35" t="n">
        <v>0</v>
      </c>
      <c r="I35" t="n">
        <v>2</v>
      </c>
      <c r="J35" t="n">
        <v>0</v>
      </c>
      <c r="K35" t="n">
        <v>1</v>
      </c>
      <c r="L35" t="n">
        <v>1</v>
      </c>
      <c r="M35" t="n">
        <v>1</v>
      </c>
      <c r="N35" t="n">
        <v>1</v>
      </c>
      <c r="O35" t="n">
        <v>0</v>
      </c>
      <c r="P35" t="n">
        <v>1</v>
      </c>
      <c r="Q35" t="n">
        <v>1</v>
      </c>
    </row>
    <row r="36">
      <c r="A36" t="inlineStr">
        <is>
          <t>Unit</t>
        </is>
      </c>
      <c r="B36" t="n">
        <v>1</v>
      </c>
      <c r="C36" t="inlineStr">
        <is>
          <t>:</t>
        </is>
      </c>
      <c r="D36" t="n">
        <v>1</v>
      </c>
      <c r="E36" t="inlineStr">
        <is>
          <t>Alchl/Drgs:</t>
        </is>
      </c>
      <c r="F36" t="n">
        <v>0</v>
      </c>
      <c r="G36" t="inlineStr">
        <is>
          <t>Speed:</t>
        </is>
      </c>
      <c r="H36" t="n">
        <v>50</v>
      </c>
      <c r="I36" t="inlineStr">
        <is>
          <t>MPH</t>
        </is>
      </c>
      <c r="J36" t="inlineStr">
        <is>
          <t>Dir:</t>
        </is>
      </c>
      <c r="K36" t="inlineStr">
        <is>
          <t>SE</t>
        </is>
      </c>
      <c r="L36" t="inlineStr">
        <is>
          <t>Veh Mnvr / Ped Actn:</t>
        </is>
      </c>
      <c r="M36" t="n">
        <v>4</v>
      </c>
      <c r="N36" t="inlineStr">
        <is>
          <t>Obj Strk:</t>
        </is>
      </c>
      <c r="O36" t="n">
        <v>64</v>
      </c>
    </row>
    <row r="37">
      <c r="A37" t="inlineStr">
        <is>
          <t>Unit</t>
        </is>
      </c>
      <c r="B37" t="n">
        <v>2</v>
      </c>
      <c r="C37" t="inlineStr">
        <is>
          <t>:</t>
        </is>
      </c>
      <c r="D37" t="n">
        <v>4</v>
      </c>
      <c r="E37" t="inlineStr">
        <is>
          <t>Alchl/Drgs:</t>
        </is>
      </c>
      <c r="F37" t="n">
        <v>0</v>
      </c>
      <c r="G37" t="inlineStr">
        <is>
          <t>Speed:</t>
        </is>
      </c>
      <c r="H37" t="n">
        <v>45</v>
      </c>
      <c r="I37" t="inlineStr">
        <is>
          <t>MPH</t>
        </is>
      </c>
      <c r="J37" t="inlineStr">
        <is>
          <t>Dir:</t>
        </is>
      </c>
      <c r="K37" t="inlineStr">
        <is>
          <t>SW</t>
        </is>
      </c>
      <c r="L37" t="inlineStr">
        <is>
          <t>Veh Mnvr / Ped Actn:</t>
        </is>
      </c>
      <c r="M37" t="n">
        <v>4</v>
      </c>
      <c r="N37" t="inlineStr">
        <is>
          <t>Obj Strk:</t>
        </is>
      </c>
    </row>
    <row r="38">
      <c r="A38" t="inlineStr">
        <is>
          <t>Unit</t>
        </is>
      </c>
      <c r="B38" t="n">
        <v>3</v>
      </c>
      <c r="C38" t="inlineStr">
        <is>
          <t>:</t>
        </is>
      </c>
      <c r="D38" t="n">
        <v>2</v>
      </c>
      <c r="E38" t="inlineStr">
        <is>
          <t>Alchl/Drgs:</t>
        </is>
      </c>
      <c r="F38" t="n">
        <v>7</v>
      </c>
      <c r="G38" t="inlineStr">
        <is>
          <t>Speed:</t>
        </is>
      </c>
      <c r="H38" t="n">
        <v>0</v>
      </c>
      <c r="I38" t="inlineStr">
        <is>
          <t>MPH</t>
        </is>
      </c>
      <c r="J38" t="inlineStr">
        <is>
          <t>Dir:</t>
        </is>
      </c>
      <c r="K38" t="inlineStr">
        <is>
          <t>W</t>
        </is>
      </c>
      <c r="L38" t="inlineStr">
        <is>
          <t>Veh Mnvr / Ped Actn:</t>
        </is>
      </c>
      <c r="M38" t="n">
        <v>2</v>
      </c>
      <c r="N38" t="inlineStr">
        <is>
          <t>Obj Strk:</t>
        </is>
      </c>
    </row>
    <row r="39">
      <c r="A39" t="n">
        <v>10</v>
      </c>
      <c r="B39" t="n">
        <v>105553349</v>
      </c>
      <c r="C39" s="11" t="n">
        <v>43304.80486111111</v>
      </c>
      <c r="D39" t="inlineStr">
        <is>
          <t>MOVABLE OBJECT</t>
        </is>
      </c>
      <c r="E39" t="inlineStr">
        <is>
          <t>$</t>
        </is>
      </c>
      <c r="F39" t="n">
        <v>500</v>
      </c>
      <c r="G39" t="n">
        <v>0</v>
      </c>
      <c r="H39" t="n">
        <v>0</v>
      </c>
      <c r="I39" t="n">
        <v>0</v>
      </c>
      <c r="J39" t="n">
        <v>0</v>
      </c>
      <c r="K39" t="n">
        <v>2</v>
      </c>
      <c r="L39" t="n">
        <v>1</v>
      </c>
      <c r="M39" t="n">
        <v>3</v>
      </c>
      <c r="N39" t="n">
        <v>7</v>
      </c>
      <c r="O39" t="n">
        <v>0</v>
      </c>
      <c r="P39" t="n">
        <v>13</v>
      </c>
      <c r="Q39" t="n">
        <v>1</v>
      </c>
    </row>
    <row r="40">
      <c r="A40" t="inlineStr">
        <is>
          <t>Unit</t>
        </is>
      </c>
      <c r="B40" t="n">
        <v>1</v>
      </c>
      <c r="C40" t="inlineStr">
        <is>
          <t>:</t>
        </is>
      </c>
      <c r="D40" t="n">
        <v>1</v>
      </c>
      <c r="E40" t="inlineStr">
        <is>
          <t>Alchl/Drgs:</t>
        </is>
      </c>
      <c r="F40" t="n">
        <v>0</v>
      </c>
      <c r="G40" t="inlineStr">
        <is>
          <t>Speed:</t>
        </is>
      </c>
      <c r="H40" t="n">
        <v>65</v>
      </c>
      <c r="I40" t="inlineStr">
        <is>
          <t>MPH</t>
        </is>
      </c>
      <c r="J40" t="inlineStr">
        <is>
          <t>Dir:</t>
        </is>
      </c>
      <c r="K40" t="inlineStr">
        <is>
          <t>N</t>
        </is>
      </c>
      <c r="L40" t="inlineStr">
        <is>
          <t>Veh Mnvr / Ped Actn:</t>
        </is>
      </c>
      <c r="M40" t="n">
        <v>4</v>
      </c>
      <c r="N40" t="inlineStr">
        <is>
          <t>Obj Strk:</t>
        </is>
      </c>
      <c r="O40" t="n">
        <v>18</v>
      </c>
    </row>
    <row r="41">
      <c r="A41" t="n">
        <v>11</v>
      </c>
      <c r="B41" t="n">
        <v>105885258</v>
      </c>
      <c r="C41" s="11" t="n">
        <v>43620.32013888889</v>
      </c>
      <c r="D41" t="inlineStr">
        <is>
          <t>SIDESWIPE, OPPOSITE DIRECTION</t>
        </is>
      </c>
      <c r="E41" t="inlineStr">
        <is>
          <t>$</t>
        </is>
      </c>
      <c r="F41" t="n">
        <v>500</v>
      </c>
      <c r="G41" t="n">
        <v>0</v>
      </c>
      <c r="H41" t="n">
        <v>0</v>
      </c>
      <c r="I41" t="n">
        <v>0</v>
      </c>
      <c r="J41" t="n">
        <v>0</v>
      </c>
      <c r="K41" t="n">
        <v>1</v>
      </c>
      <c r="L41" t="n">
        <v>1</v>
      </c>
      <c r="M41" t="n">
        <v>1</v>
      </c>
      <c r="N41" t="n">
        <v>1</v>
      </c>
      <c r="O41" t="n">
        <v>0</v>
      </c>
      <c r="P41" t="n">
        <v>0</v>
      </c>
    </row>
    <row r="42">
      <c r="A42" t="inlineStr">
        <is>
          <t>Unit</t>
        </is>
      </c>
      <c r="B42" t="n">
        <v>1</v>
      </c>
      <c r="C42" t="inlineStr">
        <is>
          <t>:</t>
        </is>
      </c>
      <c r="D42" t="n">
        <v>32</v>
      </c>
      <c r="E42" t="inlineStr">
        <is>
          <t>Alchl/Drgs:</t>
        </is>
      </c>
      <c r="F42" t="n">
        <v>7</v>
      </c>
      <c r="G42" t="inlineStr">
        <is>
          <t>Speed:</t>
        </is>
      </c>
      <c r="H42" t="n">
        <v>55</v>
      </c>
      <c r="I42" t="inlineStr">
        <is>
          <t>MPH</t>
        </is>
      </c>
      <c r="J42" t="inlineStr">
        <is>
          <t>Dir:</t>
        </is>
      </c>
      <c r="K42" t="inlineStr">
        <is>
          <t>W</t>
        </is>
      </c>
      <c r="L42" t="inlineStr">
        <is>
          <t>Veh Mnvr / Ped Actn:</t>
        </is>
      </c>
      <c r="M42" t="n">
        <v>4</v>
      </c>
      <c r="N42" t="inlineStr">
        <is>
          <t>Obj Strk:</t>
        </is>
      </c>
    </row>
    <row r="43">
      <c r="A43" t="inlineStr">
        <is>
          <t>Unit</t>
        </is>
      </c>
      <c r="B43" t="n">
        <v>2</v>
      </c>
      <c r="C43" t="inlineStr">
        <is>
          <t>:</t>
        </is>
      </c>
      <c r="D43" t="n">
        <v>2</v>
      </c>
      <c r="E43" t="inlineStr">
        <is>
          <t>Alchl/Drgs:</t>
        </is>
      </c>
      <c r="F43" t="n">
        <v>0</v>
      </c>
      <c r="G43" t="inlineStr">
        <is>
          <t>Speed:</t>
        </is>
      </c>
      <c r="H43" t="n">
        <v>55</v>
      </c>
      <c r="I43" t="inlineStr">
        <is>
          <t>MPH</t>
        </is>
      </c>
      <c r="J43" t="inlineStr">
        <is>
          <t>Dir:</t>
        </is>
      </c>
      <c r="K43" t="inlineStr">
        <is>
          <t>E</t>
        </is>
      </c>
      <c r="L43" t="inlineStr">
        <is>
          <t>Veh Mnvr / Ped Actn:</t>
        </is>
      </c>
      <c r="M43" t="n">
        <v>4</v>
      </c>
      <c r="N43" t="inlineStr">
        <is>
          <t>Obj Strk:</t>
        </is>
      </c>
    </row>
    <row r="44">
      <c r="A44" t="n">
        <v>12</v>
      </c>
      <c r="B44" t="n">
        <v>106126767</v>
      </c>
      <c r="C44" s="11" t="n">
        <v>43843.55069444444</v>
      </c>
      <c r="D44" t="inlineStr">
        <is>
          <t>REAR END, SLOW OR STOP</t>
        </is>
      </c>
      <c r="E44" t="inlineStr">
        <is>
          <t>$</t>
        </is>
      </c>
      <c r="F44" t="n">
        <v>10000</v>
      </c>
      <c r="G44" t="n">
        <v>0</v>
      </c>
      <c r="H44" t="n">
        <v>0</v>
      </c>
      <c r="I44" t="n">
        <v>0</v>
      </c>
      <c r="J44" t="n">
        <v>0</v>
      </c>
      <c r="K44" t="n">
        <v>2</v>
      </c>
      <c r="L44" t="n">
        <v>1</v>
      </c>
      <c r="M44" t="n">
        <v>2</v>
      </c>
      <c r="N44" t="n">
        <v>1</v>
      </c>
      <c r="O44" t="n">
        <v>0</v>
      </c>
      <c r="P44" t="n">
        <v>14</v>
      </c>
      <c r="Q44" t="n">
        <v>1</v>
      </c>
    </row>
    <row r="45">
      <c r="A45" t="inlineStr">
        <is>
          <t>Unit</t>
        </is>
      </c>
      <c r="B45" t="n">
        <v>1</v>
      </c>
      <c r="C45" t="inlineStr">
        <is>
          <t>:</t>
        </is>
      </c>
      <c r="D45" t="n">
        <v>2</v>
      </c>
      <c r="E45" t="inlineStr">
        <is>
          <t>Alchl/Drgs:</t>
        </is>
      </c>
      <c r="F45" t="n">
        <v>0</v>
      </c>
      <c r="G45" t="inlineStr">
        <is>
          <t>Speed:</t>
        </is>
      </c>
      <c r="H45" t="n">
        <v>45</v>
      </c>
      <c r="I45" t="inlineStr">
        <is>
          <t>MPH</t>
        </is>
      </c>
      <c r="J45" t="inlineStr">
        <is>
          <t>Dir:</t>
        </is>
      </c>
      <c r="K45" t="inlineStr">
        <is>
          <t>S</t>
        </is>
      </c>
      <c r="L45" t="inlineStr">
        <is>
          <t>Veh Mnvr / Ped Actn:</t>
        </is>
      </c>
      <c r="M45" t="n">
        <v>4</v>
      </c>
      <c r="N45" t="inlineStr">
        <is>
          <t>Obj Strk:</t>
        </is>
      </c>
    </row>
    <row r="46">
      <c r="A46" t="inlineStr">
        <is>
          <t>Unit</t>
        </is>
      </c>
      <c r="B46" t="n">
        <v>2</v>
      </c>
      <c r="C46" t="inlineStr">
        <is>
          <t>:</t>
        </is>
      </c>
      <c r="D46" t="n">
        <v>1</v>
      </c>
      <c r="E46" t="inlineStr">
        <is>
          <t>Alchl/Drgs:</t>
        </is>
      </c>
      <c r="F46" t="n">
        <v>0</v>
      </c>
      <c r="G46" t="inlineStr">
        <is>
          <t>Speed:</t>
        </is>
      </c>
      <c r="H46" t="n">
        <v>15</v>
      </c>
      <c r="I46" t="inlineStr">
        <is>
          <t>MPH</t>
        </is>
      </c>
      <c r="J46" t="inlineStr">
        <is>
          <t>Dir:</t>
        </is>
      </c>
      <c r="K46" t="inlineStr">
        <is>
          <t>S</t>
        </is>
      </c>
      <c r="L46" t="inlineStr">
        <is>
          <t>Veh Mnvr / Ped Actn:</t>
        </is>
      </c>
      <c r="M46" t="n">
        <v>11</v>
      </c>
      <c r="N46" t="inlineStr">
        <is>
          <t>Obj Strk:</t>
        </is>
      </c>
    </row>
    <row r="47">
      <c r="A47" t="inlineStr">
        <is>
          <t>Unit</t>
        </is>
      </c>
      <c r="B47" t="n">
        <v>3</v>
      </c>
      <c r="C47" t="inlineStr">
        <is>
          <t>:</t>
        </is>
      </c>
      <c r="D47" t="n">
        <v>1</v>
      </c>
      <c r="E47" t="inlineStr">
        <is>
          <t>Alchl/Drgs:</t>
        </is>
      </c>
      <c r="F47" t="n">
        <v>0</v>
      </c>
      <c r="G47" t="inlineStr">
        <is>
          <t>Speed:</t>
        </is>
      </c>
      <c r="H47" t="n">
        <v>10</v>
      </c>
      <c r="I47" t="inlineStr">
        <is>
          <t>MPH</t>
        </is>
      </c>
      <c r="J47" t="inlineStr">
        <is>
          <t>Dir:</t>
        </is>
      </c>
      <c r="K47" t="inlineStr">
        <is>
          <t>S</t>
        </is>
      </c>
      <c r="L47" t="inlineStr">
        <is>
          <t>Veh Mnvr / Ped Actn:</t>
        </is>
      </c>
      <c r="M47" t="n">
        <v>1</v>
      </c>
      <c r="N47" t="inlineStr">
        <is>
          <t>Obj Strk:</t>
        </is>
      </c>
    </row>
    <row r="48">
      <c r="A48" t="n">
        <v>13</v>
      </c>
      <c r="B48" t="n">
        <v>106133705</v>
      </c>
      <c r="C48" s="11" t="n">
        <v>43853.33333333334</v>
      </c>
      <c r="D48" t="inlineStr">
        <is>
          <t>ANGLE</t>
        </is>
      </c>
      <c r="E48" t="inlineStr">
        <is>
          <t>$</t>
        </is>
      </c>
      <c r="F48" t="n">
        <v>10000</v>
      </c>
      <c r="G48" t="n">
        <v>0</v>
      </c>
      <c r="H48" t="n">
        <v>0</v>
      </c>
      <c r="I48" t="n">
        <v>0</v>
      </c>
      <c r="J48" t="n">
        <v>0</v>
      </c>
      <c r="K48" t="n">
        <v>1</v>
      </c>
      <c r="L48" t="n">
        <v>1</v>
      </c>
      <c r="M48" t="n">
        <v>2</v>
      </c>
      <c r="N48" t="n">
        <v>1</v>
      </c>
      <c r="O48" t="n">
        <v>0</v>
      </c>
      <c r="P48" t="n">
        <v>1</v>
      </c>
      <c r="Q48" t="n">
        <v>1</v>
      </c>
    </row>
    <row r="49">
      <c r="A49" t="inlineStr">
        <is>
          <t>Unit</t>
        </is>
      </c>
      <c r="B49" t="n">
        <v>1</v>
      </c>
      <c r="C49" t="inlineStr">
        <is>
          <t>:</t>
        </is>
      </c>
      <c r="D49" t="n">
        <v>2</v>
      </c>
      <c r="E49" t="inlineStr">
        <is>
          <t>Alchl/Drgs:</t>
        </is>
      </c>
      <c r="F49" t="n">
        <v>0</v>
      </c>
      <c r="G49" t="inlineStr">
        <is>
          <t>Speed:</t>
        </is>
      </c>
      <c r="H49" t="n">
        <v>15</v>
      </c>
      <c r="I49" t="inlineStr">
        <is>
          <t>MPH</t>
        </is>
      </c>
      <c r="J49" t="inlineStr">
        <is>
          <t>Dir:</t>
        </is>
      </c>
      <c r="K49" t="inlineStr">
        <is>
          <t>E</t>
        </is>
      </c>
      <c r="L49" t="inlineStr">
        <is>
          <t>Veh Mnvr / Ped Actn:</t>
        </is>
      </c>
      <c r="M49" t="n">
        <v>4</v>
      </c>
      <c r="N49" t="inlineStr">
        <is>
          <t>Obj Strk:</t>
        </is>
      </c>
    </row>
    <row r="50">
      <c r="A50" t="inlineStr">
        <is>
          <t>Unit</t>
        </is>
      </c>
      <c r="B50" t="n">
        <v>2</v>
      </c>
      <c r="C50" t="inlineStr">
        <is>
          <t>:</t>
        </is>
      </c>
      <c r="D50" t="n">
        <v>1</v>
      </c>
      <c r="E50" t="inlineStr">
        <is>
          <t>Alchl/Drgs:</t>
        </is>
      </c>
      <c r="F50" t="n">
        <v>0</v>
      </c>
      <c r="G50" t="inlineStr">
        <is>
          <t>Speed:</t>
        </is>
      </c>
      <c r="H50" t="n">
        <v>45</v>
      </c>
      <c r="I50" t="inlineStr">
        <is>
          <t>MPH</t>
        </is>
      </c>
      <c r="J50" t="inlineStr">
        <is>
          <t>Dir:</t>
        </is>
      </c>
      <c r="K50" t="inlineStr">
        <is>
          <t>N</t>
        </is>
      </c>
      <c r="L50" t="inlineStr">
        <is>
          <t>Veh Mnvr / Ped Actn:</t>
        </is>
      </c>
      <c r="M50" t="n">
        <v>4</v>
      </c>
      <c r="N50" t="inlineStr">
        <is>
          <t>Obj Strk:</t>
        </is>
      </c>
    </row>
    <row r="51">
      <c r="A51" t="n">
        <v>14</v>
      </c>
      <c r="B51" t="n">
        <v>106286453</v>
      </c>
      <c r="C51" s="11" t="n">
        <v>44037.43125</v>
      </c>
      <c r="D51" t="inlineStr">
        <is>
          <t>ANGLE</t>
        </is>
      </c>
      <c r="E51" t="inlineStr">
        <is>
          <t>$</t>
        </is>
      </c>
      <c r="F51" t="n">
        <v>8000</v>
      </c>
      <c r="G51" t="n">
        <v>0</v>
      </c>
      <c r="H51" t="n">
        <v>0</v>
      </c>
      <c r="I51" t="n">
        <v>0</v>
      </c>
      <c r="J51" t="n">
        <v>4</v>
      </c>
      <c r="K51" t="n">
        <v>1</v>
      </c>
      <c r="L51" t="n">
        <v>1</v>
      </c>
      <c r="M51" t="n">
        <v>1</v>
      </c>
      <c r="N51" t="n">
        <v>1</v>
      </c>
      <c r="O51" t="n">
        <v>0</v>
      </c>
      <c r="P51" t="n">
        <v>1</v>
      </c>
      <c r="Q51" t="n">
        <v>1</v>
      </c>
    </row>
    <row r="52">
      <c r="A52" t="inlineStr">
        <is>
          <t>Unit</t>
        </is>
      </c>
      <c r="B52" t="n">
        <v>1</v>
      </c>
      <c r="C52" t="inlineStr">
        <is>
          <t>:</t>
        </is>
      </c>
      <c r="D52" t="n">
        <v>4</v>
      </c>
      <c r="E52" t="inlineStr">
        <is>
          <t>Alchl/Drgs:</t>
        </is>
      </c>
      <c r="F52" t="n">
        <v>0</v>
      </c>
      <c r="G52" t="inlineStr">
        <is>
          <t>Speed:</t>
        </is>
      </c>
      <c r="H52" t="n">
        <v>10</v>
      </c>
      <c r="I52" t="inlineStr">
        <is>
          <t>MPH</t>
        </is>
      </c>
      <c r="J52" t="inlineStr">
        <is>
          <t>Dir:</t>
        </is>
      </c>
      <c r="K52" t="inlineStr">
        <is>
          <t>E</t>
        </is>
      </c>
      <c r="L52" t="inlineStr">
        <is>
          <t>Veh Mnvr / Ped Actn:</t>
        </is>
      </c>
      <c r="M52" t="n">
        <v>4</v>
      </c>
      <c r="N52" t="inlineStr">
        <is>
          <t>Obj Strk:</t>
        </is>
      </c>
    </row>
    <row r="53">
      <c r="A53" t="inlineStr">
        <is>
          <t>Unit</t>
        </is>
      </c>
      <c r="B53" t="n">
        <v>2</v>
      </c>
      <c r="C53" t="inlineStr">
        <is>
          <t>:</t>
        </is>
      </c>
      <c r="D53" t="n">
        <v>4</v>
      </c>
      <c r="E53" t="inlineStr">
        <is>
          <t>Alchl/Drgs:</t>
        </is>
      </c>
      <c r="F53" t="n">
        <v>0</v>
      </c>
      <c r="G53" t="inlineStr">
        <is>
          <t>Speed:</t>
        </is>
      </c>
      <c r="H53" t="n">
        <v>55</v>
      </c>
      <c r="I53" t="inlineStr">
        <is>
          <t>MPH</t>
        </is>
      </c>
      <c r="J53" t="inlineStr">
        <is>
          <t>Dir:</t>
        </is>
      </c>
      <c r="K53" t="inlineStr">
        <is>
          <t>N</t>
        </is>
      </c>
      <c r="L53" t="inlineStr">
        <is>
          <t>Veh Mnvr / Ped Actn:</t>
        </is>
      </c>
      <c r="M53" t="n">
        <v>4</v>
      </c>
      <c r="N53" t="inlineStr">
        <is>
          <t>Obj Strk:</t>
        </is>
      </c>
    </row>
    <row r="54">
      <c r="A54" t="n">
        <v>15</v>
      </c>
      <c r="B54" t="n">
        <v>106743409</v>
      </c>
      <c r="C54" s="11" t="n">
        <v>44494.81388888889</v>
      </c>
      <c r="D54" t="inlineStr">
        <is>
          <t>ANGLE</t>
        </is>
      </c>
      <c r="E54" t="inlineStr">
        <is>
          <t>$</t>
        </is>
      </c>
      <c r="F54" t="n">
        <v>8600</v>
      </c>
      <c r="G54" t="n">
        <v>0</v>
      </c>
      <c r="H54" t="n">
        <v>0</v>
      </c>
      <c r="I54" t="n">
        <v>0</v>
      </c>
      <c r="J54" t="n">
        <v>0</v>
      </c>
      <c r="K54" t="n">
        <v>1</v>
      </c>
      <c r="L54" t="n">
        <v>5</v>
      </c>
      <c r="M54" t="n">
        <v>2</v>
      </c>
      <c r="N54" t="n">
        <v>1</v>
      </c>
      <c r="O54" t="n">
        <v>0</v>
      </c>
      <c r="P54" t="n">
        <v>1</v>
      </c>
      <c r="Q54" t="n">
        <v>1</v>
      </c>
    </row>
    <row r="55">
      <c r="A55" t="inlineStr">
        <is>
          <t>Unit</t>
        </is>
      </c>
      <c r="B55" t="n">
        <v>1</v>
      </c>
      <c r="C55" t="inlineStr">
        <is>
          <t>:</t>
        </is>
      </c>
      <c r="D55" t="n">
        <v>1</v>
      </c>
      <c r="E55" t="inlineStr">
        <is>
          <t>Alchl/Drgs:</t>
        </is>
      </c>
      <c r="F55" t="n">
        <v>0</v>
      </c>
      <c r="G55" t="inlineStr">
        <is>
          <t>Speed:</t>
        </is>
      </c>
      <c r="H55" t="n">
        <v>0</v>
      </c>
      <c r="I55" t="inlineStr">
        <is>
          <t>MPH</t>
        </is>
      </c>
      <c r="J55" t="inlineStr">
        <is>
          <t>Dir:</t>
        </is>
      </c>
      <c r="K55" t="inlineStr">
        <is>
          <t>N</t>
        </is>
      </c>
      <c r="L55" t="inlineStr">
        <is>
          <t>Veh Mnvr / Ped Actn:</t>
        </is>
      </c>
      <c r="M55" t="n">
        <v>4</v>
      </c>
      <c r="N55" t="inlineStr">
        <is>
          <t>Obj Strk:</t>
        </is>
      </c>
    </row>
    <row r="56">
      <c r="A56" t="inlineStr">
        <is>
          <t>Unit</t>
        </is>
      </c>
      <c r="B56" t="n">
        <v>2</v>
      </c>
      <c r="C56" t="inlineStr">
        <is>
          <t>:</t>
        </is>
      </c>
      <c r="D56" t="n">
        <v>1</v>
      </c>
      <c r="E56" t="inlineStr">
        <is>
          <t>Alchl/Drgs:</t>
        </is>
      </c>
      <c r="F56" t="n">
        <v>0</v>
      </c>
      <c r="G56" t="inlineStr">
        <is>
          <t>Speed:</t>
        </is>
      </c>
      <c r="H56" t="n">
        <v>8</v>
      </c>
      <c r="I56" t="inlineStr">
        <is>
          <t>MPH</t>
        </is>
      </c>
      <c r="J56" t="inlineStr">
        <is>
          <t>Dir:</t>
        </is>
      </c>
      <c r="K56" t="inlineStr">
        <is>
          <t>E</t>
        </is>
      </c>
      <c r="L56" t="inlineStr">
        <is>
          <t>Veh Mnvr / Ped Actn:</t>
        </is>
      </c>
      <c r="M56" t="n">
        <v>4</v>
      </c>
      <c r="N56" t="inlineStr">
        <is>
          <t>Obj Strk:</t>
        </is>
      </c>
    </row>
    <row r="57">
      <c r="A57" t="n">
        <v>16</v>
      </c>
      <c r="B57" t="n">
        <v>106772984</v>
      </c>
      <c r="C57" s="11" t="n">
        <v>44519.34375</v>
      </c>
      <c r="D57" t="inlineStr">
        <is>
          <t>ANGLE</t>
        </is>
      </c>
      <c r="E57" t="inlineStr">
        <is>
          <t>$</t>
        </is>
      </c>
      <c r="F57" t="n">
        <v>3000</v>
      </c>
      <c r="G57" t="n">
        <v>0</v>
      </c>
      <c r="H57" t="n">
        <v>0</v>
      </c>
      <c r="I57" t="n">
        <v>0</v>
      </c>
      <c r="J57" t="n">
        <v>0</v>
      </c>
      <c r="K57" t="n">
        <v>1</v>
      </c>
      <c r="L57" t="n">
        <v>1</v>
      </c>
      <c r="M57" t="n">
        <v>1</v>
      </c>
      <c r="N57" t="n">
        <v>1</v>
      </c>
      <c r="O57" t="n">
        <v>0</v>
      </c>
      <c r="P57" t="n">
        <v>1</v>
      </c>
      <c r="Q57" t="n">
        <v>1</v>
      </c>
    </row>
    <row r="58">
      <c r="A58" t="inlineStr">
        <is>
          <t>Unit</t>
        </is>
      </c>
      <c r="B58" t="n">
        <v>1</v>
      </c>
      <c r="C58" t="inlineStr">
        <is>
          <t>:</t>
        </is>
      </c>
      <c r="D58" t="n">
        <v>1</v>
      </c>
      <c r="E58" t="inlineStr">
        <is>
          <t>Alchl/Drgs:</t>
        </is>
      </c>
      <c r="F58" t="n">
        <v>0</v>
      </c>
      <c r="G58" t="inlineStr">
        <is>
          <t>Speed:</t>
        </is>
      </c>
      <c r="H58" t="n">
        <v>15</v>
      </c>
      <c r="I58" t="inlineStr">
        <is>
          <t>MPH</t>
        </is>
      </c>
      <c r="J58" t="inlineStr">
        <is>
          <t>Dir:</t>
        </is>
      </c>
      <c r="K58" t="inlineStr">
        <is>
          <t>W</t>
        </is>
      </c>
      <c r="L58" t="inlineStr">
        <is>
          <t>Veh Mnvr / Ped Actn:</t>
        </is>
      </c>
      <c r="M58" t="n">
        <v>4</v>
      </c>
      <c r="N58" t="inlineStr">
        <is>
          <t>Obj Strk:</t>
        </is>
      </c>
    </row>
    <row r="59">
      <c r="A59" t="inlineStr">
        <is>
          <t>Unit</t>
        </is>
      </c>
      <c r="B59" t="n">
        <v>2</v>
      </c>
      <c r="C59" t="inlineStr">
        <is>
          <t>:</t>
        </is>
      </c>
      <c r="D59" t="n">
        <v>4</v>
      </c>
      <c r="E59" t="inlineStr">
        <is>
          <t>Alchl/Drgs:</t>
        </is>
      </c>
      <c r="F59" t="n">
        <v>0</v>
      </c>
      <c r="G59" t="inlineStr">
        <is>
          <t>Speed:</t>
        </is>
      </c>
      <c r="H59" t="n">
        <v>10</v>
      </c>
      <c r="I59" t="inlineStr">
        <is>
          <t>MPH</t>
        </is>
      </c>
      <c r="J59" t="inlineStr">
        <is>
          <t>Dir:</t>
        </is>
      </c>
      <c r="K59" t="inlineStr">
        <is>
          <t>S</t>
        </is>
      </c>
      <c r="L59" t="inlineStr">
        <is>
          <t>Veh Mnvr / Ped Actn:</t>
        </is>
      </c>
      <c r="M59" t="n">
        <v>4</v>
      </c>
      <c r="N59" t="inlineStr">
        <is>
          <t>Obj Strk:</t>
        </is>
      </c>
    </row>
    <row r="60">
      <c r="B60" s="11" t="n">
        <v>46254</v>
      </c>
      <c r="C60" s="5"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D60" t="inlineStr">
        <is>
          <t>-2-</t>
        </is>
      </c>
    </row>
    <row r="61">
      <c r="B61" s="5" t="inlineStr">
        <is>
          <t>North Carolina Department of Transportation
Traffic Engineering Accident Analysis System
Intersection Analysis Report</t>
        </is>
      </c>
    </row>
    <row r="62">
      <c r="A62" s="5" t="inlineStr">
        <is>
          <t>Acc
No</t>
        </is>
      </c>
      <c r="B62" t="inlineStr">
        <is>
          <t>Crash ID</t>
        </is>
      </c>
      <c r="C62" t="inlineStr">
        <is>
          <t>Date</t>
        </is>
      </c>
      <c r="D62" t="inlineStr">
        <is>
          <t>Accident Type</t>
        </is>
      </c>
      <c r="E62" s="5" t="inlineStr">
        <is>
          <t>Total
Damage</t>
        </is>
      </c>
      <c r="F62" t="inlineStr">
        <is>
          <t>Injuries</t>
        </is>
      </c>
      <c r="G62" t="inlineStr">
        <is>
          <t>F</t>
        </is>
      </c>
      <c r="H62" t="inlineStr">
        <is>
          <t>A</t>
        </is>
      </c>
      <c r="I62" t="inlineStr">
        <is>
          <t>B</t>
        </is>
      </c>
      <c r="J62" t="inlineStr">
        <is>
          <t>C</t>
        </is>
      </c>
      <c r="K62" t="inlineStr">
        <is>
          <t>R</t>
        </is>
      </c>
      <c r="L62" t="inlineStr">
        <is>
          <t>Condition</t>
        </is>
      </c>
      <c r="M62" t="inlineStr">
        <is>
          <t>L</t>
        </is>
      </c>
      <c r="N62" t="inlineStr">
        <is>
          <t>W</t>
        </is>
      </c>
      <c r="O62" t="inlineStr">
        <is>
          <t>Road</t>
        </is>
      </c>
      <c r="P62" t="inlineStr">
        <is>
          <t>Ch</t>
        </is>
      </c>
      <c r="Q62" t="inlineStr">
        <is>
          <t>Ci</t>
        </is>
      </c>
      <c r="R62" t="inlineStr">
        <is>
          <t>Dv</t>
        </is>
      </c>
      <c r="S62" t="inlineStr">
        <is>
          <t>Trfc Ctl</t>
        </is>
      </c>
      <c r="T62" t="inlineStr">
        <is>
          <t>Op</t>
        </is>
      </c>
    </row>
    <row r="63">
      <c r="A63" t="n">
        <v>17</v>
      </c>
      <c r="B63" t="n">
        <v>107601791</v>
      </c>
      <c r="C63" s="11" t="n">
        <v>45314.34375</v>
      </c>
      <c r="D63" t="inlineStr">
        <is>
          <t>ANGLE</t>
        </is>
      </c>
      <c r="E63" t="inlineStr">
        <is>
          <t>$</t>
        </is>
      </c>
      <c r="F63" t="n">
        <v>3500</v>
      </c>
      <c r="G63" t="n">
        <v>0</v>
      </c>
      <c r="H63" t="n">
        <v>0</v>
      </c>
      <c r="I63" t="n">
        <v>0</v>
      </c>
      <c r="J63" t="n">
        <v>0</v>
      </c>
      <c r="K63" t="n">
        <v>2</v>
      </c>
      <c r="L63" t="n">
        <v>1</v>
      </c>
      <c r="M63" t="n">
        <v>3</v>
      </c>
      <c r="N63" t="n">
        <v>1</v>
      </c>
      <c r="O63" t="n">
        <v>0</v>
      </c>
      <c r="P63" t="n">
        <v>1</v>
      </c>
      <c r="Q63" t="n">
        <v>1</v>
      </c>
    </row>
    <row r="64">
      <c r="A64" t="inlineStr">
        <is>
          <t>Unit</t>
        </is>
      </c>
      <c r="B64" t="n">
        <v>1</v>
      </c>
      <c r="C64" t="inlineStr">
        <is>
          <t>:</t>
        </is>
      </c>
      <c r="D64" t="n">
        <v>2</v>
      </c>
      <c r="E64" t="inlineStr">
        <is>
          <t>Alchl/Drgs:</t>
        </is>
      </c>
      <c r="F64" t="n">
        <v>0</v>
      </c>
      <c r="G64" t="inlineStr">
        <is>
          <t>Speed:</t>
        </is>
      </c>
      <c r="H64" t="n">
        <v>10</v>
      </c>
      <c r="I64" t="inlineStr">
        <is>
          <t>MPH</t>
        </is>
      </c>
      <c r="J64" t="inlineStr">
        <is>
          <t>Dir:</t>
        </is>
      </c>
      <c r="K64" t="inlineStr">
        <is>
          <t>E</t>
        </is>
      </c>
      <c r="L64" t="inlineStr">
        <is>
          <t>Veh Mnvr / Ped Actn:</t>
        </is>
      </c>
      <c r="M64" t="n">
        <v>4</v>
      </c>
      <c r="N64" t="inlineStr">
        <is>
          <t>Obj Strk:</t>
        </is>
      </c>
    </row>
    <row r="65">
      <c r="A65" t="inlineStr">
        <is>
          <t>Unit</t>
        </is>
      </c>
      <c r="B65" t="n">
        <v>2</v>
      </c>
      <c r="C65" t="inlineStr">
        <is>
          <t>:</t>
        </is>
      </c>
      <c r="D65" t="n">
        <v>4</v>
      </c>
      <c r="E65" t="inlineStr">
        <is>
          <t>Alchl/Drgs:</t>
        </is>
      </c>
      <c r="F65" t="n">
        <v>0</v>
      </c>
      <c r="G65" t="inlineStr">
        <is>
          <t>Speed:</t>
        </is>
      </c>
      <c r="H65" t="n">
        <v>10</v>
      </c>
      <c r="I65" t="inlineStr">
        <is>
          <t>MPH</t>
        </is>
      </c>
      <c r="J65" t="inlineStr">
        <is>
          <t>Dir:</t>
        </is>
      </c>
      <c r="K65" t="inlineStr">
        <is>
          <t>S</t>
        </is>
      </c>
      <c r="L65" t="inlineStr">
        <is>
          <t>Veh Mnvr / Ped Actn:</t>
        </is>
      </c>
      <c r="M65" t="n">
        <v>4</v>
      </c>
      <c r="N65" t="inlineStr">
        <is>
          <t>Obj Strk:</t>
        </is>
      </c>
    </row>
    <row r="66">
      <c r="A66" t="n">
        <v>18</v>
      </c>
      <c r="B66" t="n">
        <v>107870118</v>
      </c>
      <c r="C66" s="11" t="n">
        <v>45568.63541666666</v>
      </c>
      <c r="D66" t="inlineStr">
        <is>
          <t>ANGLE</t>
        </is>
      </c>
      <c r="E66" t="inlineStr">
        <is>
          <t>$</t>
        </is>
      </c>
      <c r="F66" t="n">
        <v>16000</v>
      </c>
      <c r="G66" t="n">
        <v>0</v>
      </c>
      <c r="H66" t="n">
        <v>0</v>
      </c>
      <c r="I66" t="n">
        <v>0</v>
      </c>
      <c r="J66" t="n">
        <v>0</v>
      </c>
      <c r="K66" t="n">
        <v>1</v>
      </c>
      <c r="L66" t="n">
        <v>1</v>
      </c>
      <c r="M66" t="n">
        <v>1</v>
      </c>
      <c r="N66" t="n">
        <v>1</v>
      </c>
      <c r="O66" t="n">
        <v>0</v>
      </c>
      <c r="P66" t="n">
        <v>1</v>
      </c>
      <c r="Q66" t="n">
        <v>1</v>
      </c>
    </row>
    <row r="67">
      <c r="A67" t="inlineStr">
        <is>
          <t>Unit</t>
        </is>
      </c>
      <c r="B67" t="n">
        <v>1</v>
      </c>
      <c r="C67" t="inlineStr">
        <is>
          <t>:</t>
        </is>
      </c>
      <c r="D67" t="n">
        <v>4</v>
      </c>
      <c r="E67" t="inlineStr">
        <is>
          <t>Alchl/Drgs:</t>
        </is>
      </c>
      <c r="F67" t="n">
        <v>0</v>
      </c>
      <c r="G67" t="inlineStr">
        <is>
          <t>Speed:</t>
        </is>
      </c>
      <c r="H67" t="n">
        <v>25</v>
      </c>
      <c r="I67" t="inlineStr">
        <is>
          <t>MPH</t>
        </is>
      </c>
      <c r="J67" t="inlineStr">
        <is>
          <t>Dir:</t>
        </is>
      </c>
      <c r="K67" t="inlineStr">
        <is>
          <t>N</t>
        </is>
      </c>
      <c r="L67" t="inlineStr">
        <is>
          <t>Veh Mnvr / Ped Actn:</t>
        </is>
      </c>
      <c r="M67" t="n">
        <v>4</v>
      </c>
      <c r="N67" t="inlineStr">
        <is>
          <t>Obj Strk:</t>
        </is>
      </c>
    </row>
    <row r="68">
      <c r="A68" t="inlineStr">
        <is>
          <t>Unit</t>
        </is>
      </c>
      <c r="B68" t="n">
        <v>2</v>
      </c>
      <c r="C68" t="inlineStr">
        <is>
          <t>:</t>
        </is>
      </c>
      <c r="D68" t="n">
        <v>5</v>
      </c>
      <c r="E68" t="inlineStr">
        <is>
          <t>Alchl/Drgs:</t>
        </is>
      </c>
      <c r="F68" t="n">
        <v>0</v>
      </c>
      <c r="G68" t="inlineStr">
        <is>
          <t>Speed:</t>
        </is>
      </c>
      <c r="H68" t="n">
        <v>10</v>
      </c>
      <c r="I68" t="inlineStr">
        <is>
          <t>MPH</t>
        </is>
      </c>
      <c r="J68" t="inlineStr">
        <is>
          <t>Dir:</t>
        </is>
      </c>
      <c r="K68" t="inlineStr">
        <is>
          <t>E</t>
        </is>
      </c>
      <c r="L68" t="inlineStr">
        <is>
          <t>Veh Mnvr / Ped Actn:</t>
        </is>
      </c>
      <c r="M68" t="n">
        <v>4</v>
      </c>
      <c r="N68" t="inlineStr">
        <is>
          <t>Obj Strk:</t>
        </is>
      </c>
    </row>
    <row r="69">
      <c r="A69" t="n">
        <v>19</v>
      </c>
      <c r="B69" t="n">
        <v>107902086</v>
      </c>
      <c r="C69" s="11" t="n">
        <v>45593.75763888889</v>
      </c>
      <c r="D69" t="inlineStr">
        <is>
          <t>ANGLE</t>
        </is>
      </c>
      <c r="E69" t="inlineStr">
        <is>
          <t>$</t>
        </is>
      </c>
      <c r="F69" t="n">
        <v>6000</v>
      </c>
      <c r="G69" t="n">
        <v>0</v>
      </c>
      <c r="H69" t="n">
        <v>0</v>
      </c>
      <c r="I69" t="n">
        <v>0</v>
      </c>
      <c r="J69" t="n">
        <v>0</v>
      </c>
      <c r="K69" t="n">
        <v>1</v>
      </c>
      <c r="L69" t="n">
        <v>1</v>
      </c>
      <c r="M69" t="n">
        <v>1</v>
      </c>
      <c r="N69" t="n">
        <v>1</v>
      </c>
      <c r="O69" t="n">
        <v>0</v>
      </c>
      <c r="P69" t="n">
        <v>1</v>
      </c>
      <c r="Q69" t="n">
        <v>1</v>
      </c>
    </row>
    <row r="70">
      <c r="A70" t="inlineStr">
        <is>
          <t>Unit</t>
        </is>
      </c>
      <c r="B70" t="n">
        <v>1</v>
      </c>
      <c r="C70" t="inlineStr">
        <is>
          <t>:</t>
        </is>
      </c>
      <c r="D70" t="n">
        <v>4</v>
      </c>
      <c r="E70" t="inlineStr">
        <is>
          <t>Alchl/Drgs:</t>
        </is>
      </c>
      <c r="F70" t="n">
        <v>0</v>
      </c>
      <c r="G70" t="inlineStr">
        <is>
          <t>Speed:</t>
        </is>
      </c>
      <c r="H70" t="n">
        <v>0</v>
      </c>
      <c r="I70" t="inlineStr">
        <is>
          <t>MPH</t>
        </is>
      </c>
      <c r="J70" t="inlineStr">
        <is>
          <t>Dir:</t>
        </is>
      </c>
      <c r="K70" t="inlineStr">
        <is>
          <t>N</t>
        </is>
      </c>
      <c r="L70" t="inlineStr">
        <is>
          <t>Veh Mnvr / Ped Actn:</t>
        </is>
      </c>
      <c r="M70" t="n">
        <v>4</v>
      </c>
      <c r="N70" t="inlineStr">
        <is>
          <t>Obj Strk:</t>
        </is>
      </c>
    </row>
    <row r="71">
      <c r="A71" t="inlineStr">
        <is>
          <t>Unit</t>
        </is>
      </c>
      <c r="B71" t="n">
        <v>2</v>
      </c>
      <c r="C71" t="inlineStr">
        <is>
          <t>:</t>
        </is>
      </c>
      <c r="D71" t="n">
        <v>1</v>
      </c>
      <c r="E71" t="inlineStr">
        <is>
          <t>Alchl/Drgs:</t>
        </is>
      </c>
      <c r="F71" t="n">
        <v>0</v>
      </c>
      <c r="G71" t="inlineStr">
        <is>
          <t>Speed:</t>
        </is>
      </c>
      <c r="H71" t="n">
        <v>0</v>
      </c>
      <c r="I71" t="inlineStr">
        <is>
          <t>MPH</t>
        </is>
      </c>
      <c r="J71" t="inlineStr">
        <is>
          <t>Dir:</t>
        </is>
      </c>
      <c r="K71" t="inlineStr">
        <is>
          <t>E</t>
        </is>
      </c>
      <c r="L71" t="inlineStr">
        <is>
          <t>Veh Mnvr / Ped Actn:</t>
        </is>
      </c>
      <c r="M71" t="n">
        <v>4</v>
      </c>
      <c r="N71" t="inlineStr">
        <is>
          <t>Obj Strk:</t>
        </is>
      </c>
    </row>
    <row r="72">
      <c r="A72" t="n">
        <v>20</v>
      </c>
      <c r="B72" t="n">
        <v>107945637</v>
      </c>
      <c r="C72" s="11" t="n">
        <v>45630.64583333334</v>
      </c>
      <c r="D72" t="inlineStr">
        <is>
          <t>REAR END, SLOW OR STOP</t>
        </is>
      </c>
      <c r="E72" t="inlineStr">
        <is>
          <t>$</t>
        </is>
      </c>
      <c r="F72" t="n">
        <v>1800</v>
      </c>
      <c r="G72" t="n">
        <v>0</v>
      </c>
      <c r="H72" t="n">
        <v>0</v>
      </c>
      <c r="I72" t="n">
        <v>0</v>
      </c>
      <c r="J72" t="n">
        <v>1</v>
      </c>
      <c r="K72" t="n">
        <v>1</v>
      </c>
      <c r="L72" t="n">
        <v>1</v>
      </c>
      <c r="M72" t="n">
        <v>1</v>
      </c>
      <c r="N72" t="n">
        <v>1</v>
      </c>
      <c r="O72" t="n">
        <v>0</v>
      </c>
      <c r="P72" t="n">
        <v>1</v>
      </c>
      <c r="Q72" t="n">
        <v>1</v>
      </c>
    </row>
    <row r="73">
      <c r="A73" t="inlineStr">
        <is>
          <t>Unit</t>
        </is>
      </c>
      <c r="B73" t="n">
        <v>1</v>
      </c>
      <c r="C73" t="inlineStr">
        <is>
          <t>:</t>
        </is>
      </c>
      <c r="D73" t="n">
        <v>1</v>
      </c>
      <c r="E73" t="inlineStr">
        <is>
          <t>Alchl/Drgs:</t>
        </is>
      </c>
      <c r="F73" t="n">
        <v>0</v>
      </c>
      <c r="G73" t="inlineStr">
        <is>
          <t>Speed:</t>
        </is>
      </c>
      <c r="H73" t="n">
        <v>35</v>
      </c>
      <c r="I73" t="inlineStr">
        <is>
          <t>MPH</t>
        </is>
      </c>
      <c r="J73" t="inlineStr">
        <is>
          <t>Dir:</t>
        </is>
      </c>
      <c r="K73" t="inlineStr">
        <is>
          <t>S</t>
        </is>
      </c>
      <c r="L73" t="inlineStr">
        <is>
          <t>Veh Mnvr / Ped Actn:</t>
        </is>
      </c>
      <c r="M73" t="n">
        <v>4</v>
      </c>
      <c r="N73" t="inlineStr">
        <is>
          <t>Obj Strk:</t>
        </is>
      </c>
    </row>
    <row r="74">
      <c r="A74" t="inlineStr">
        <is>
          <t>Unit</t>
        </is>
      </c>
      <c r="B74" t="n">
        <v>2</v>
      </c>
      <c r="C74" t="inlineStr">
        <is>
          <t>:</t>
        </is>
      </c>
      <c r="D74" t="n">
        <v>1</v>
      </c>
      <c r="E74" t="inlineStr">
        <is>
          <t>Alchl/Drgs:</t>
        </is>
      </c>
      <c r="F74" t="n">
        <v>0</v>
      </c>
      <c r="G74" t="inlineStr">
        <is>
          <t>Speed:</t>
        </is>
      </c>
      <c r="H74" t="n">
        <v>0</v>
      </c>
      <c r="I74" t="inlineStr">
        <is>
          <t>MPH</t>
        </is>
      </c>
      <c r="J74" t="inlineStr">
        <is>
          <t>Dir:</t>
        </is>
      </c>
      <c r="K74" t="inlineStr">
        <is>
          <t>S</t>
        </is>
      </c>
      <c r="L74" t="inlineStr">
        <is>
          <t>Veh Mnvr / Ped Actn:</t>
        </is>
      </c>
      <c r="M74" t="n">
        <v>1</v>
      </c>
      <c r="N74" t="inlineStr">
        <is>
          <t>Obj Strk:</t>
        </is>
      </c>
    </row>
    <row r="75">
      <c r="A75" t="n">
        <v>21</v>
      </c>
      <c r="B75" t="n">
        <v>108250468</v>
      </c>
      <c r="C75" s="11" t="n">
        <v>45931.83680555555</v>
      </c>
      <c r="D75" t="inlineStr">
        <is>
          <t>ANGLE</t>
        </is>
      </c>
      <c r="E75" t="inlineStr">
        <is>
          <t>$</t>
        </is>
      </c>
      <c r="F75" t="n">
        <v>5500</v>
      </c>
      <c r="G75" t="n">
        <v>0</v>
      </c>
      <c r="H75" t="n">
        <v>0</v>
      </c>
      <c r="I75" t="n">
        <v>0</v>
      </c>
      <c r="J75" t="n">
        <v>0</v>
      </c>
      <c r="K75" t="n">
        <v>1</v>
      </c>
      <c r="L75" t="n">
        <v>5</v>
      </c>
      <c r="M75" t="n">
        <v>1</v>
      </c>
      <c r="N75" t="n">
        <v>1</v>
      </c>
      <c r="O75" t="n">
        <v>0</v>
      </c>
      <c r="P75" t="n">
        <v>1</v>
      </c>
      <c r="Q75" t="n">
        <v>1</v>
      </c>
    </row>
    <row r="76">
      <c r="A76" t="inlineStr">
        <is>
          <t>Unit</t>
        </is>
      </c>
      <c r="B76" t="n">
        <v>1</v>
      </c>
      <c r="C76" t="inlineStr">
        <is>
          <t>:</t>
        </is>
      </c>
      <c r="D76" t="n">
        <v>4</v>
      </c>
      <c r="E76" t="inlineStr">
        <is>
          <t>Alchl/Drgs:</t>
        </is>
      </c>
      <c r="F76" t="n">
        <v>0</v>
      </c>
      <c r="G76" t="inlineStr">
        <is>
          <t>Speed:</t>
        </is>
      </c>
      <c r="H76" t="n">
        <v>0</v>
      </c>
      <c r="I76" t="inlineStr">
        <is>
          <t>MPH</t>
        </is>
      </c>
      <c r="J76" t="inlineStr">
        <is>
          <t>Dir:</t>
        </is>
      </c>
      <c r="K76" t="inlineStr">
        <is>
          <t>E</t>
        </is>
      </c>
      <c r="L76" t="inlineStr">
        <is>
          <t>Veh Mnvr / Ped Actn:</t>
        </is>
      </c>
      <c r="M76" t="n">
        <v>4</v>
      </c>
      <c r="N76" t="inlineStr">
        <is>
          <t>Obj Strk:</t>
        </is>
      </c>
    </row>
    <row r="77">
      <c r="A77" t="inlineStr">
        <is>
          <t>Unit</t>
        </is>
      </c>
      <c r="B77" t="n">
        <v>2</v>
      </c>
      <c r="C77" t="inlineStr">
        <is>
          <t>:</t>
        </is>
      </c>
      <c r="D77" t="n">
        <v>1</v>
      </c>
      <c r="E77" t="inlineStr">
        <is>
          <t>Alchl/Drgs:</t>
        </is>
      </c>
      <c r="F77" t="n">
        <v>0</v>
      </c>
      <c r="G77" t="inlineStr">
        <is>
          <t>Speed:</t>
        </is>
      </c>
      <c r="H77" t="n">
        <v>0</v>
      </c>
      <c r="I77" t="inlineStr">
        <is>
          <t>MPH</t>
        </is>
      </c>
      <c r="J77" t="inlineStr">
        <is>
          <t>Dir:</t>
        </is>
      </c>
      <c r="K77" t="inlineStr">
        <is>
          <t>S</t>
        </is>
      </c>
      <c r="L77" t="inlineStr">
        <is>
          <t>Veh Mnvr / Ped Actn:</t>
        </is>
      </c>
      <c r="M77" t="n">
        <v>4</v>
      </c>
      <c r="N77" t="inlineStr">
        <is>
          <t>Obj Strk:</t>
        </is>
      </c>
    </row>
    <row r="78">
      <c r="A78" t="n">
        <v>22</v>
      </c>
      <c r="B78" t="n">
        <v>108279485</v>
      </c>
      <c r="C78" s="11" t="n">
        <v>45953.53680555556</v>
      </c>
      <c r="D78" t="inlineStr">
        <is>
          <t>ANGLE</t>
        </is>
      </c>
      <c r="E78" t="inlineStr">
        <is>
          <t>$</t>
        </is>
      </c>
      <c r="F78" t="n">
        <v>2000</v>
      </c>
      <c r="G78" t="n">
        <v>0</v>
      </c>
      <c r="H78" t="n">
        <v>0</v>
      </c>
      <c r="I78" t="n">
        <v>0</v>
      </c>
      <c r="J78" t="n">
        <v>1</v>
      </c>
      <c r="K78" t="n">
        <v>1</v>
      </c>
      <c r="L78" t="n">
        <v>1</v>
      </c>
      <c r="M78" t="n">
        <v>1</v>
      </c>
      <c r="N78" t="n">
        <v>1</v>
      </c>
      <c r="O78" t="n">
        <v>0</v>
      </c>
      <c r="P78" t="n">
        <v>1</v>
      </c>
      <c r="Q78" t="n">
        <v>1</v>
      </c>
    </row>
    <row r="79">
      <c r="A79" t="inlineStr">
        <is>
          <t>Unit</t>
        </is>
      </c>
      <c r="B79" t="n">
        <v>1</v>
      </c>
      <c r="C79" t="inlineStr">
        <is>
          <t>:</t>
        </is>
      </c>
      <c r="D79" t="n">
        <v>4</v>
      </c>
      <c r="E79" t="inlineStr">
        <is>
          <t>Alchl/Drgs:</t>
        </is>
      </c>
      <c r="F79" t="n">
        <v>0</v>
      </c>
      <c r="G79" t="inlineStr">
        <is>
          <t>Speed:</t>
        </is>
      </c>
      <c r="H79" t="n">
        <v>45</v>
      </c>
      <c r="I79" t="inlineStr">
        <is>
          <t>MPH</t>
        </is>
      </c>
      <c r="J79" t="inlineStr">
        <is>
          <t>Dir:</t>
        </is>
      </c>
      <c r="K79" t="inlineStr">
        <is>
          <t>E</t>
        </is>
      </c>
      <c r="L79" t="inlineStr">
        <is>
          <t>Veh Mnvr / Ped Actn:</t>
        </is>
      </c>
      <c r="M79" t="n">
        <v>4</v>
      </c>
      <c r="N79" t="inlineStr">
        <is>
          <t>Obj Strk:</t>
        </is>
      </c>
    </row>
    <row r="80">
      <c r="A80" t="inlineStr">
        <is>
          <t>Unit</t>
        </is>
      </c>
      <c r="B80" t="n">
        <v>2</v>
      </c>
      <c r="C80" t="inlineStr">
        <is>
          <t>:</t>
        </is>
      </c>
      <c r="D80" t="n">
        <v>2</v>
      </c>
      <c r="E80" t="inlineStr">
        <is>
          <t>Alchl/Drgs:</t>
        </is>
      </c>
      <c r="F80" t="n">
        <v>0</v>
      </c>
      <c r="G80" t="inlineStr">
        <is>
          <t>Speed:</t>
        </is>
      </c>
      <c r="H80" t="n">
        <v>0</v>
      </c>
      <c r="I80" t="inlineStr">
        <is>
          <t>MPH</t>
        </is>
      </c>
      <c r="J80" t="inlineStr">
        <is>
          <t>Dir:</t>
        </is>
      </c>
      <c r="K80" t="inlineStr">
        <is>
          <t>N</t>
        </is>
      </c>
      <c r="L80" t="inlineStr">
        <is>
          <t>Veh Mnvr / Ped Actn:</t>
        </is>
      </c>
      <c r="M80" t="n">
        <v>4</v>
      </c>
      <c r="N80" t="inlineStr">
        <is>
          <t>Obj Strk:</t>
        </is>
      </c>
    </row>
    <row r="81">
      <c r="A81" t="inlineStr">
        <is>
          <t>Legend for Report Details:</t>
        </is>
      </c>
      <c r="B81" s="5" t="inlineStr">
        <is>
          <t>Acc No - Accident Number
Injuries: F - Fatal, A - Class A, B - Class B, C - Class C
Condition: R - Road Surface, L - Ambient Light, W - Weather
Rd Ch - Road Character
Rd Ci - Roadway Contributing Circumstances
Trfc Ctl - Traffic Control: Dv - Device, Op - Operating
Alchl/Drgs - Alcohol Drugs Suspected
Veh Mnvr/Ped Actn - Vehicle Maneuver/Pedestrian Action
Obj Strk - Object Struck</t>
        </is>
      </c>
    </row>
    <row r="82">
      <c r="B82" s="11" t="n">
        <v>46254</v>
      </c>
      <c r="C82" s="5"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D82" t="inlineStr">
        <is>
          <t>-3-</t>
        </is>
      </c>
    </row>
    <row r="83">
      <c r="B83" s="5" t="inlineStr">
        <is>
          <t>North Carolina Department of Transportation
Traffic Engineering Accident Analysis System
Intersection Analysis Report</t>
        </is>
      </c>
    </row>
    <row r="84">
      <c r="A84" t="inlineStr">
        <is>
          <t>Summary Statistics</t>
        </is>
      </c>
    </row>
    <row r="85">
      <c r="A85" t="inlineStr">
        <is>
          <t>High Level Crash Summary</t>
        </is>
      </c>
    </row>
    <row r="86">
      <c r="A86" t="inlineStr">
        <is>
          <t>Crash Type</t>
        </is>
      </c>
      <c r="B86" s="5" t="inlineStr">
        <is>
          <t>Number of
Crashes</t>
        </is>
      </c>
      <c r="C86" s="5" t="inlineStr">
        <is>
          <t>Percent
of Total</t>
        </is>
      </c>
    </row>
    <row r="87">
      <c r="A87" t="inlineStr">
        <is>
          <t>Total Crashes</t>
        </is>
      </c>
      <c r="B87" t="n">
        <v>22</v>
      </c>
      <c r="C87" t="n">
        <v>100</v>
      </c>
    </row>
    <row r="88">
      <c r="A88" t="inlineStr">
        <is>
          <t>Fatal Crashes</t>
        </is>
      </c>
      <c r="B88" t="n">
        <v>0</v>
      </c>
      <c r="C88" t="n">
        <v>0</v>
      </c>
    </row>
    <row r="89">
      <c r="A89" t="inlineStr">
        <is>
          <t>Non-Fatal Injury Crashes</t>
        </is>
      </c>
      <c r="B89" t="n">
        <v>9</v>
      </c>
      <c r="C89" t="n">
        <v>40.91</v>
      </c>
    </row>
    <row r="90">
      <c r="A90" t="inlineStr">
        <is>
          <t>Total Injury Crashes</t>
        </is>
      </c>
      <c r="B90" t="n">
        <v>9</v>
      </c>
      <c r="C90" t="n">
        <v>40.91</v>
      </c>
    </row>
    <row r="91">
      <c r="A91" t="inlineStr">
        <is>
          <t>Property Damage Only Crashes</t>
        </is>
      </c>
      <c r="B91" t="n">
        <v>13</v>
      </c>
      <c r="C91" t="n">
        <v>59.09</v>
      </c>
    </row>
    <row r="92">
      <c r="A92" t="inlineStr">
        <is>
          <t>Night Crashes</t>
        </is>
      </c>
      <c r="B92" t="n">
        <v>2</v>
      </c>
      <c r="C92" t="n">
        <v>9.09</v>
      </c>
    </row>
    <row r="93">
      <c r="A93" t="inlineStr">
        <is>
          <t>Wet Crashes</t>
        </is>
      </c>
      <c r="B93" t="n">
        <v>4</v>
      </c>
      <c r="C93" t="n">
        <v>18.18</v>
      </c>
    </row>
    <row r="94">
      <c r="A94" t="inlineStr">
        <is>
          <t>Alcohol/Drugs Involvement Crashes</t>
        </is>
      </c>
      <c r="B94" t="n">
        <v>0</v>
      </c>
      <c r="C94" t="n">
        <v>0</v>
      </c>
    </row>
    <row r="95">
      <c r="A95" t="inlineStr">
        <is>
          <t>Crash Severity Summary</t>
        </is>
      </c>
    </row>
    <row r="96">
      <c r="A96" t="inlineStr">
        <is>
          <t>Crash Type</t>
        </is>
      </c>
      <c r="B96" s="5" t="inlineStr">
        <is>
          <t>Number of
Crashes</t>
        </is>
      </c>
      <c r="C96" s="5" t="inlineStr">
        <is>
          <t>Percent 
of Total</t>
        </is>
      </c>
    </row>
    <row r="97">
      <c r="A97" t="inlineStr">
        <is>
          <t>Total Crashes</t>
        </is>
      </c>
      <c r="B97" t="n">
        <v>22</v>
      </c>
      <c r="C97" t="n">
        <v>100</v>
      </c>
    </row>
    <row r="98">
      <c r="A98" t="inlineStr">
        <is>
          <t>Fatal Crashes</t>
        </is>
      </c>
      <c r="B98" t="n">
        <v>0</v>
      </c>
      <c r="C98" t="n">
        <v>0</v>
      </c>
    </row>
    <row r="99">
      <c r="A99" t="inlineStr">
        <is>
          <t>Class A Crashes</t>
        </is>
      </c>
      <c r="B99" t="n">
        <v>1</v>
      </c>
      <c r="C99" t="n">
        <v>4.55</v>
      </c>
    </row>
    <row r="100">
      <c r="A100" t="inlineStr">
        <is>
          <t>Class B Crashes</t>
        </is>
      </c>
      <c r="B100" t="n">
        <v>3</v>
      </c>
      <c r="C100" t="n">
        <v>13.64</v>
      </c>
    </row>
    <row r="101">
      <c r="A101" t="inlineStr">
        <is>
          <t>Class C Crashes</t>
        </is>
      </c>
      <c r="B101" t="n">
        <v>5</v>
      </c>
      <c r="C101" t="n">
        <v>22.73</v>
      </c>
    </row>
    <row r="102">
      <c r="A102" t="inlineStr">
        <is>
          <t>Property Damage Only Crashes</t>
        </is>
      </c>
      <c r="B102" t="n">
        <v>13</v>
      </c>
      <c r="C102" t="n">
        <v>59.09</v>
      </c>
    </row>
    <row r="103">
      <c r="A103" t="inlineStr">
        <is>
          <t>Vehicle Exposure Statistics</t>
        </is>
      </c>
    </row>
    <row r="104">
      <c r="A104" t="inlineStr">
        <is>
          <t>Annual ADT =</t>
        </is>
      </c>
      <c r="B104" t="n">
        <v>5100</v>
      </c>
    </row>
    <row r="105">
      <c r="A105" t="inlineStr">
        <is>
          <t>Total Vehicle Exposure =</t>
        </is>
      </c>
      <c r="B105" t="inlineStr">
        <is>
          <t>19.09 (MEV)</t>
        </is>
      </c>
    </row>
    <row r="106">
      <c r="A106" t="inlineStr">
        <is>
          <t>Crash Rate</t>
        </is>
      </c>
      <c r="B106" s="5" t="inlineStr">
        <is>
          <t>Crashes Per 100 Million
Vehicles Entered</t>
        </is>
      </c>
    </row>
    <row r="107">
      <c r="A107" t="inlineStr">
        <is>
          <t>Total Crash Rate</t>
        </is>
      </c>
      <c r="B107" t="n">
        <v>115.25</v>
      </c>
    </row>
    <row r="108">
      <c r="A108" t="inlineStr">
        <is>
          <t>Fatal Crash Rate</t>
        </is>
      </c>
      <c r="B108" t="n">
        <v>0</v>
      </c>
    </row>
    <row r="109">
      <c r="A109" t="inlineStr">
        <is>
          <t>Non Fatal Crash Rate</t>
        </is>
      </c>
      <c r="B109" t="n">
        <v>47.15</v>
      </c>
    </row>
    <row r="110">
      <c r="A110" t="inlineStr">
        <is>
          <t>Night Crash Rate</t>
        </is>
      </c>
      <c r="B110" t="n">
        <v>10.48</v>
      </c>
    </row>
    <row r="111">
      <c r="A111" t="inlineStr">
        <is>
          <t>Wet Crash Rate</t>
        </is>
      </c>
      <c r="B111" t="n">
        <v>20.95</v>
      </c>
    </row>
    <row r="112">
      <c r="A112" t="inlineStr">
        <is>
          <t>EPDO Rate</t>
        </is>
      </c>
      <c r="B112" t="n">
        <v>822.45</v>
      </c>
    </row>
    <row r="113">
      <c r="B113" s="11" t="n">
        <v>46254</v>
      </c>
      <c r="C113" s="5"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D113" t="inlineStr">
        <is>
          <t>-4-</t>
        </is>
      </c>
    </row>
    <row r="114">
      <c r="B114" s="5" t="inlineStr">
        <is>
          <t>North Carolina Department of Transportation
Traffic Engineering Accident Analysis System
Intersection Analysis Report</t>
        </is>
      </c>
    </row>
    <row r="115">
      <c r="A115" t="inlineStr">
        <is>
          <t>Miscellaneous Statistics</t>
        </is>
      </c>
    </row>
    <row r="116">
      <c r="A116" t="inlineStr">
        <is>
          <t>Severity Index =</t>
        </is>
      </c>
      <c r="B116" t="n">
        <v>7.14</v>
      </c>
    </row>
    <row r="117">
      <c r="A117" t="inlineStr">
        <is>
          <t>EPDO Crash Index =</t>
        </is>
      </c>
      <c r="B117" t="n">
        <v>157</v>
      </c>
    </row>
    <row r="118">
      <c r="A118" t="inlineStr">
        <is>
          <t>Estimated Property Damage Total = $</t>
        </is>
      </c>
      <c r="B118" t="n">
        <v>176285</v>
      </c>
    </row>
    <row r="119">
      <c r="A119" t="inlineStr">
        <is>
          <t>Accident Type Summary</t>
        </is>
      </c>
    </row>
    <row r="120">
      <c r="A120" t="inlineStr">
        <is>
          <t>Accident Type</t>
        </is>
      </c>
      <c r="B120" s="5" t="inlineStr">
        <is>
          <t>Number of
Crashes</t>
        </is>
      </c>
      <c r="C120" s="5" t="inlineStr">
        <is>
          <t>Percent
of Total</t>
        </is>
      </c>
    </row>
    <row r="121">
      <c r="A121" t="inlineStr">
        <is>
          <t>ANGLE</t>
        </is>
      </c>
      <c r="B121" t="n">
        <v>17</v>
      </c>
      <c r="C121" t="n">
        <v>77.27</v>
      </c>
    </row>
    <row r="122">
      <c r="A122" t="inlineStr">
        <is>
          <t>FIXED OBJECT</t>
        </is>
      </c>
      <c r="B122" t="n">
        <v>1</v>
      </c>
      <c r="C122" t="n">
        <v>4.55</v>
      </c>
    </row>
    <row r="123">
      <c r="A123" t="inlineStr">
        <is>
          <t>MOVABLE OBJECT</t>
        </is>
      </c>
      <c r="B123" t="n">
        <v>1</v>
      </c>
      <c r="C123" t="n">
        <v>4.55</v>
      </c>
    </row>
    <row r="124">
      <c r="A124" t="inlineStr">
        <is>
          <t>REAR END, SLOW OR STOP</t>
        </is>
      </c>
      <c r="B124" t="n">
        <v>2</v>
      </c>
      <c r="C124" t="n">
        <v>9.09</v>
      </c>
    </row>
    <row r="125">
      <c r="A125" t="inlineStr">
        <is>
          <t>SIDESWIPE, OPPOSITE DIRECTION</t>
        </is>
      </c>
      <c r="B125" t="n">
        <v>1</v>
      </c>
      <c r="C125" t="n">
        <v>4.55</v>
      </c>
    </row>
    <row r="126">
      <c r="A126" t="inlineStr">
        <is>
          <t>Injury Summary</t>
        </is>
      </c>
    </row>
    <row r="127">
      <c r="A127" t="inlineStr">
        <is>
          <t>Injury Type</t>
        </is>
      </c>
      <c r="B127" s="5" t="inlineStr">
        <is>
          <t>Number of
Injuries</t>
        </is>
      </c>
      <c r="C127" s="5" t="inlineStr">
        <is>
          <t>Percent
of Total</t>
        </is>
      </c>
    </row>
    <row r="128">
      <c r="A128" t="inlineStr">
        <is>
          <t>Fatal Injuries</t>
        </is>
      </c>
      <c r="B128" t="n">
        <v>0</v>
      </c>
      <c r="C128" t="n">
        <v>0</v>
      </c>
    </row>
    <row r="129">
      <c r="A129" t="inlineStr">
        <is>
          <t>Class A Injuries</t>
        </is>
      </c>
      <c r="B129" t="n">
        <v>1</v>
      </c>
      <c r="C129" t="n">
        <v>4.55</v>
      </c>
    </row>
    <row r="130">
      <c r="A130" t="inlineStr">
        <is>
          <t>Class B Injuries</t>
        </is>
      </c>
      <c r="B130" t="n">
        <v>7</v>
      </c>
      <c r="C130" t="n">
        <v>31.82</v>
      </c>
    </row>
    <row r="131">
      <c r="A131" t="inlineStr">
        <is>
          <t>Class C Injuries</t>
        </is>
      </c>
      <c r="B131" t="n">
        <v>14</v>
      </c>
      <c r="C131" t="n">
        <v>63.64</v>
      </c>
    </row>
    <row r="132">
      <c r="A132" t="inlineStr">
        <is>
          <t>Total Non-Fatal Injuries</t>
        </is>
      </c>
      <c r="B132" t="n">
        <v>22</v>
      </c>
      <c r="C132" t="n">
        <v>100</v>
      </c>
    </row>
    <row r="133">
      <c r="A133" t="inlineStr">
        <is>
          <t>Total Injuries</t>
        </is>
      </c>
      <c r="B133" t="n">
        <v>22</v>
      </c>
      <c r="C133" t="n">
        <v>100</v>
      </c>
    </row>
    <row r="134">
      <c r="B134" s="11" t="n">
        <v>46254</v>
      </c>
      <c r="C134" s="5"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D134" t="inlineStr">
        <is>
          <t>-5-</t>
        </is>
      </c>
    </row>
    <row r="135">
      <c r="B135" s="5" t="inlineStr">
        <is>
          <t>North Carolina Department of Transportation
Traffic Engineering Accident Analysis System
Intersection Analysis Report</t>
        </is>
      </c>
    </row>
    <row r="136">
      <c r="A136" t="inlineStr">
        <is>
          <t>Monthly Summary</t>
        </is>
      </c>
    </row>
    <row r="137">
      <c r="A137" t="inlineStr">
        <is>
          <t>Month</t>
        </is>
      </c>
      <c r="B137" s="5" t="inlineStr">
        <is>
          <t>Number of
Crashes</t>
        </is>
      </c>
      <c r="C137" s="5" t="inlineStr">
        <is>
          <t>Percent
of Total</t>
        </is>
      </c>
    </row>
    <row r="138">
      <c r="A138" t="inlineStr">
        <is>
          <t>Jan</t>
        </is>
      </c>
      <c r="B138" t="n">
        <v>4</v>
      </c>
      <c r="C138" t="n">
        <v>18.18</v>
      </c>
    </row>
    <row r="139">
      <c r="A139" t="inlineStr">
        <is>
          <t>Feb</t>
        </is>
      </c>
      <c r="B139" t="n">
        <v>0</v>
      </c>
      <c r="C139" t="n">
        <v>0</v>
      </c>
    </row>
    <row r="140">
      <c r="A140" t="inlineStr">
        <is>
          <t>Mar</t>
        </is>
      </c>
      <c r="B140" t="n">
        <v>0</v>
      </c>
      <c r="C140" t="n">
        <v>0</v>
      </c>
    </row>
    <row r="141">
      <c r="A141" t="inlineStr">
        <is>
          <t>Apr</t>
        </is>
      </c>
      <c r="B141" t="n">
        <v>1</v>
      </c>
      <c r="C141" t="n">
        <v>4.55</v>
      </c>
    </row>
    <row r="142">
      <c r="A142" t="inlineStr">
        <is>
          <t>May</t>
        </is>
      </c>
      <c r="B142" t="n">
        <v>0</v>
      </c>
      <c r="C142" t="n">
        <v>0</v>
      </c>
    </row>
    <row r="143">
      <c r="A143" t="inlineStr">
        <is>
          <t>Jun</t>
        </is>
      </c>
      <c r="B143" t="n">
        <v>2</v>
      </c>
      <c r="C143" t="n">
        <v>9.09</v>
      </c>
    </row>
    <row r="144">
      <c r="A144" t="inlineStr">
        <is>
          <t>Jul</t>
        </is>
      </c>
      <c r="B144" t="n">
        <v>3</v>
      </c>
      <c r="C144" t="n">
        <v>13.64</v>
      </c>
    </row>
    <row r="145">
      <c r="A145" t="inlineStr">
        <is>
          <t>Aug</t>
        </is>
      </c>
      <c r="B145" t="n">
        <v>1</v>
      </c>
      <c r="C145" t="n">
        <v>4.55</v>
      </c>
    </row>
    <row r="146">
      <c r="A146" t="inlineStr">
        <is>
          <t>Sep</t>
        </is>
      </c>
      <c r="B146" t="n">
        <v>0</v>
      </c>
      <c r="C146" t="n">
        <v>0</v>
      </c>
    </row>
    <row r="147">
      <c r="A147" t="inlineStr">
        <is>
          <t>Oct</t>
        </is>
      </c>
      <c r="B147" t="n">
        <v>6</v>
      </c>
      <c r="C147" t="n">
        <v>27.27</v>
      </c>
    </row>
    <row r="148">
      <c r="A148" t="inlineStr">
        <is>
          <t>Nov</t>
        </is>
      </c>
      <c r="B148" t="n">
        <v>2</v>
      </c>
      <c r="C148" t="n">
        <v>9.09</v>
      </c>
    </row>
    <row r="149">
      <c r="A149" t="inlineStr">
        <is>
          <t>Dec</t>
        </is>
      </c>
      <c r="B149" t="n">
        <v>3</v>
      </c>
      <c r="C149" t="n">
        <v>13.64</v>
      </c>
    </row>
    <row r="150">
      <c r="A150" t="inlineStr">
        <is>
          <t>Daily Summary</t>
        </is>
      </c>
    </row>
    <row r="151">
      <c r="A151" t="inlineStr">
        <is>
          <t>Day</t>
        </is>
      </c>
      <c r="B151" s="5" t="inlineStr">
        <is>
          <t>Number of
Crashes</t>
        </is>
      </c>
      <c r="C151" s="5" t="inlineStr">
        <is>
          <t>Percent
of Total</t>
        </is>
      </c>
    </row>
    <row r="152">
      <c r="A152" t="inlineStr">
        <is>
          <t>Mon</t>
        </is>
      </c>
      <c r="B152" t="n">
        <v>6</v>
      </c>
      <c r="C152" t="n">
        <v>27.27</v>
      </c>
    </row>
    <row r="153">
      <c r="A153" t="inlineStr">
        <is>
          <t>Tue</t>
        </is>
      </c>
      <c r="B153" t="n">
        <v>2</v>
      </c>
      <c r="C153" t="n">
        <v>9.09</v>
      </c>
    </row>
    <row r="154">
      <c r="A154" t="inlineStr">
        <is>
          <t>Wed</t>
        </is>
      </c>
      <c r="B154" t="n">
        <v>7</v>
      </c>
      <c r="C154" t="n">
        <v>31.82</v>
      </c>
    </row>
    <row r="155">
      <c r="A155" t="inlineStr">
        <is>
          <t>Thu</t>
        </is>
      </c>
      <c r="B155" t="n">
        <v>4</v>
      </c>
      <c r="C155" t="n">
        <v>18.18</v>
      </c>
    </row>
    <row r="156">
      <c r="A156" t="inlineStr">
        <is>
          <t>Fri</t>
        </is>
      </c>
      <c r="B156" t="n">
        <v>1</v>
      </c>
      <c r="C156" t="n">
        <v>4.55</v>
      </c>
    </row>
    <row r="157">
      <c r="A157" t="inlineStr">
        <is>
          <t>Sat</t>
        </is>
      </c>
      <c r="B157" t="n">
        <v>2</v>
      </c>
      <c r="C157" t="n">
        <v>9.09</v>
      </c>
    </row>
    <row r="158">
      <c r="A158" t="inlineStr">
        <is>
          <t>Sun</t>
        </is>
      </c>
      <c r="B158" t="n">
        <v>0</v>
      </c>
      <c r="C158" t="n">
        <v>0</v>
      </c>
    </row>
    <row r="159">
      <c r="B159" s="11" t="n">
        <v>46254</v>
      </c>
      <c r="C159" s="5"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D159" t="inlineStr">
        <is>
          <t>-6-</t>
        </is>
      </c>
    </row>
    <row r="160">
      <c r="B160" s="5" t="inlineStr">
        <is>
          <t>North Carolina Department of Transportation
Traffic Engineering Accident Analysis System
Intersection Analysis Report</t>
        </is>
      </c>
    </row>
    <row r="161">
      <c r="A161" t="inlineStr">
        <is>
          <t>Hourly Summary</t>
        </is>
      </c>
    </row>
    <row r="162">
      <c r="A162" t="inlineStr">
        <is>
          <t>Hour</t>
        </is>
      </c>
      <c r="B162" s="5" t="inlineStr">
        <is>
          <t>Number of
Crashes</t>
        </is>
      </c>
      <c r="C162" s="5" t="inlineStr">
        <is>
          <t>Percent
of Total</t>
        </is>
      </c>
    </row>
    <row r="163">
      <c r="A163" t="inlineStr">
        <is>
          <t>0000-0059</t>
        </is>
      </c>
      <c r="B163" t="n">
        <v>0</v>
      </c>
      <c r="C163" t="n">
        <v>0</v>
      </c>
    </row>
    <row r="164">
      <c r="A164" t="inlineStr">
        <is>
          <t>0100-0159</t>
        </is>
      </c>
      <c r="B164" t="n">
        <v>0</v>
      </c>
      <c r="C164" t="n">
        <v>0</v>
      </c>
    </row>
    <row r="165">
      <c r="A165" t="inlineStr">
        <is>
          <t>0200-0259</t>
        </is>
      </c>
      <c r="B165" t="n">
        <v>0</v>
      </c>
      <c r="C165" t="n">
        <v>0</v>
      </c>
    </row>
    <row r="166">
      <c r="A166" t="inlineStr">
        <is>
          <t>0300-0359</t>
        </is>
      </c>
      <c r="B166" t="n">
        <v>0</v>
      </c>
      <c r="C166" t="n">
        <v>0</v>
      </c>
    </row>
    <row r="167">
      <c r="A167" t="inlineStr">
        <is>
          <t>0400-0459</t>
        </is>
      </c>
      <c r="B167" t="n">
        <v>0</v>
      </c>
      <c r="C167" t="n">
        <v>0</v>
      </c>
    </row>
    <row r="168">
      <c r="A168" t="inlineStr">
        <is>
          <t>0500-0559</t>
        </is>
      </c>
      <c r="B168" t="n">
        <v>0</v>
      </c>
      <c r="C168" t="n">
        <v>0</v>
      </c>
    </row>
    <row r="169">
      <c r="A169" t="inlineStr">
        <is>
          <t>0600-0659</t>
        </is>
      </c>
      <c r="B169" t="n">
        <v>0</v>
      </c>
      <c r="C169" t="n">
        <v>0</v>
      </c>
    </row>
    <row r="170">
      <c r="A170" t="inlineStr">
        <is>
          <t>0700-0759</t>
        </is>
      </c>
      <c r="B170" t="n">
        <v>2</v>
      </c>
      <c r="C170" t="n">
        <v>9.09</v>
      </c>
    </row>
    <row r="171">
      <c r="A171" t="inlineStr">
        <is>
          <t>0800-0859</t>
        </is>
      </c>
      <c r="B171" t="n">
        <v>6</v>
      </c>
      <c r="C171" t="n">
        <v>27.27</v>
      </c>
    </row>
    <row r="172">
      <c r="A172" t="inlineStr">
        <is>
          <t>0900-0959</t>
        </is>
      </c>
      <c r="B172" t="n">
        <v>0</v>
      </c>
      <c r="C172" t="n">
        <v>0</v>
      </c>
    </row>
    <row r="173">
      <c r="A173" t="inlineStr">
        <is>
          <t>1000-1059</t>
        </is>
      </c>
      <c r="B173" t="n">
        <v>1</v>
      </c>
      <c r="C173" t="n">
        <v>4.55</v>
      </c>
    </row>
    <row r="174">
      <c r="A174" t="inlineStr">
        <is>
          <t>1100-1159</t>
        </is>
      </c>
      <c r="B174" t="n">
        <v>1</v>
      </c>
      <c r="C174" t="n">
        <v>4.55</v>
      </c>
    </row>
    <row r="175">
      <c r="A175" t="inlineStr">
        <is>
          <t>1200-1259</t>
        </is>
      </c>
      <c r="B175" t="n">
        <v>1</v>
      </c>
      <c r="C175" t="n">
        <v>4.55</v>
      </c>
    </row>
    <row r="176">
      <c r="A176" t="inlineStr">
        <is>
          <t>1300-1359</t>
        </is>
      </c>
      <c r="B176" t="n">
        <v>2</v>
      </c>
      <c r="C176" t="n">
        <v>9.09</v>
      </c>
    </row>
    <row r="177">
      <c r="A177" t="inlineStr">
        <is>
          <t>1400-1459</t>
        </is>
      </c>
      <c r="B177" t="n">
        <v>0</v>
      </c>
      <c r="C177" t="n">
        <v>0</v>
      </c>
    </row>
    <row r="178">
      <c r="A178" t="inlineStr">
        <is>
          <t>1500-1559</t>
        </is>
      </c>
      <c r="B178" t="n">
        <v>2</v>
      </c>
      <c r="C178" t="n">
        <v>9.09</v>
      </c>
    </row>
    <row r="179">
      <c r="A179" t="inlineStr">
        <is>
          <t>1600-1659</t>
        </is>
      </c>
      <c r="B179" t="n">
        <v>1</v>
      </c>
      <c r="C179" t="n">
        <v>4.55</v>
      </c>
    </row>
    <row r="180">
      <c r="A180" t="inlineStr">
        <is>
          <t>1700-1759</t>
        </is>
      </c>
      <c r="B180" t="n">
        <v>0</v>
      </c>
      <c r="C180" t="n">
        <v>0</v>
      </c>
    </row>
    <row r="181">
      <c r="A181" t="inlineStr">
        <is>
          <t>1800-1859</t>
        </is>
      </c>
      <c r="B181" t="n">
        <v>1</v>
      </c>
      <c r="C181" t="n">
        <v>4.55</v>
      </c>
    </row>
    <row r="182">
      <c r="A182" t="inlineStr">
        <is>
          <t>1900-1959</t>
        </is>
      </c>
      <c r="B182" t="n">
        <v>4</v>
      </c>
      <c r="C182" t="n">
        <v>18.18</v>
      </c>
    </row>
    <row r="183">
      <c r="A183" t="inlineStr">
        <is>
          <t>2000-2059</t>
        </is>
      </c>
      <c r="B183" t="n">
        <v>1</v>
      </c>
      <c r="C183" t="n">
        <v>4.55</v>
      </c>
    </row>
    <row r="184">
      <c r="A184" t="inlineStr">
        <is>
          <t>2100-2159</t>
        </is>
      </c>
      <c r="B184" t="n">
        <v>0</v>
      </c>
      <c r="C184" t="n">
        <v>0</v>
      </c>
    </row>
    <row r="185">
      <c r="A185" t="inlineStr">
        <is>
          <t>2200-2259</t>
        </is>
      </c>
      <c r="B185" t="n">
        <v>0</v>
      </c>
      <c r="C185" t="n">
        <v>0</v>
      </c>
    </row>
    <row r="186">
      <c r="A186" t="inlineStr">
        <is>
          <t>2300-2359</t>
        </is>
      </c>
      <c r="B186" t="n">
        <v>0</v>
      </c>
      <c r="C186" t="n">
        <v>0</v>
      </c>
    </row>
    <row r="187">
      <c r="B187" s="11" t="n">
        <v>46254</v>
      </c>
      <c r="C187" s="5"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D187" t="inlineStr">
        <is>
          <t>-7-</t>
        </is>
      </c>
    </row>
    <row r="188">
      <c r="B188" s="5" t="inlineStr">
        <is>
          <t>North Carolina Department of Transportation
Traffic Engineering Accident Analysis System
Intersection Analysis Report</t>
        </is>
      </c>
    </row>
    <row r="189">
      <c r="A189" t="inlineStr">
        <is>
          <t>Light and Road Conditions Summary</t>
        </is>
      </c>
    </row>
    <row r="190">
      <c r="A190" t="inlineStr">
        <is>
          <t>Condition</t>
        </is>
      </c>
      <c r="B190" t="inlineStr">
        <is>
          <t>Dry</t>
        </is>
      </c>
      <c r="C190" t="inlineStr">
        <is>
          <t>Wet</t>
        </is>
      </c>
      <c r="D190" t="inlineStr">
        <is>
          <t>Other</t>
        </is>
      </c>
      <c r="E190" t="inlineStr">
        <is>
          <t>Total</t>
        </is>
      </c>
    </row>
    <row r="191">
      <c r="A191" t="inlineStr">
        <is>
          <t>Day</t>
        </is>
      </c>
      <c r="B191" t="n">
        <v>16</v>
      </c>
      <c r="C191" t="n">
        <v>4</v>
      </c>
      <c r="D191" t="n">
        <v>0</v>
      </c>
      <c r="E191" t="n">
        <v>20</v>
      </c>
    </row>
    <row r="192">
      <c r="A192" t="inlineStr">
        <is>
          <t>Dark</t>
        </is>
      </c>
      <c r="B192" t="n">
        <v>2</v>
      </c>
      <c r="C192" t="n">
        <v>0</v>
      </c>
      <c r="D192" t="n">
        <v>0</v>
      </c>
      <c r="E192" t="n">
        <v>2</v>
      </c>
    </row>
    <row r="193">
      <c r="A193" t="inlineStr">
        <is>
          <t>Other</t>
        </is>
      </c>
      <c r="B193" t="n">
        <v>0</v>
      </c>
      <c r="C193" t="n">
        <v>0</v>
      </c>
      <c r="D193" t="n">
        <v>0</v>
      </c>
      <c r="E193" t="n">
        <v>0</v>
      </c>
    </row>
    <row r="194">
      <c r="A194" t="inlineStr">
        <is>
          <t>Total</t>
        </is>
      </c>
      <c r="B194" t="n">
        <v>18</v>
      </c>
      <c r="C194" t="n">
        <v>4</v>
      </c>
      <c r="D194" t="n">
        <v>0</v>
      </c>
      <c r="E194" t="n">
        <v>22</v>
      </c>
    </row>
    <row r="195">
      <c r="A195" t="inlineStr">
        <is>
          <t>Object Struck Summary</t>
        </is>
      </c>
    </row>
    <row r="196">
      <c r="A196" t="inlineStr">
        <is>
          <t>Object Type</t>
        </is>
      </c>
      <c r="B196" s="5" t="inlineStr">
        <is>
          <t>Times
Struck</t>
        </is>
      </c>
      <c r="C196" s="5" t="inlineStr">
        <is>
          <t>Percent
of Total</t>
        </is>
      </c>
    </row>
    <row r="197">
      <c r="A197" t="inlineStr">
        <is>
          <t>DITCH</t>
        </is>
      </c>
      <c r="B197" t="n">
        <v>2</v>
      </c>
      <c r="C197" t="n">
        <v>40</v>
      </c>
    </row>
    <row r="198">
      <c r="A198" t="inlineStr">
        <is>
          <t>MAILBOX</t>
        </is>
      </c>
      <c r="B198" t="n">
        <v>1</v>
      </c>
      <c r="C198" t="n">
        <v>20</v>
      </c>
    </row>
    <row r="199">
      <c r="A199" t="inlineStr">
        <is>
          <t>MOVABLE OBJECT</t>
        </is>
      </c>
      <c r="B199" t="n">
        <v>1</v>
      </c>
      <c r="C199" t="n">
        <v>20</v>
      </c>
    </row>
    <row r="200">
      <c r="A200" t="inlineStr">
        <is>
          <t>OTHER FIXED OBJECT</t>
        </is>
      </c>
      <c r="B200" t="n">
        <v>1</v>
      </c>
      <c r="C200" t="n">
        <v>20</v>
      </c>
    </row>
    <row r="201">
      <c r="A201" t="inlineStr">
        <is>
          <t>Vehicle Type Summary</t>
        </is>
      </c>
    </row>
    <row r="202">
      <c r="A202" t="inlineStr">
        <is>
          <t>Vehicle Type</t>
        </is>
      </c>
      <c r="B202" s="5" t="inlineStr">
        <is>
          <t>Number
Involved</t>
        </is>
      </c>
      <c r="C202" s="5" t="inlineStr">
        <is>
          <t>Percent
of Total</t>
        </is>
      </c>
    </row>
    <row r="203">
      <c r="A203" t="inlineStr">
        <is>
          <t>PASSENGER CAR</t>
        </is>
      </c>
      <c r="B203" t="n">
        <v>19</v>
      </c>
      <c r="C203" t="n">
        <v>42.22</v>
      </c>
    </row>
    <row r="204">
      <c r="A204" t="inlineStr">
        <is>
          <t>PICKUP</t>
        </is>
      </c>
      <c r="B204" t="n">
        <v>8</v>
      </c>
      <c r="C204" t="n">
        <v>17.78</v>
      </c>
    </row>
    <row r="205">
      <c r="A205" t="inlineStr">
        <is>
          <t>SCHOOL BUS</t>
        </is>
      </c>
      <c r="B205" t="n">
        <v>1</v>
      </c>
      <c r="C205" t="n">
        <v>2.22</v>
      </c>
    </row>
    <row r="206">
      <c r="A206" t="inlineStr">
        <is>
          <t>SPORT UTILITY</t>
        </is>
      </c>
      <c r="B206" t="n">
        <v>13</v>
      </c>
      <c r="C206" t="n">
        <v>28.89</v>
      </c>
    </row>
    <row r="207">
      <c r="A207" t="inlineStr">
        <is>
          <t>TRACTOR/SEMI-TRAILER</t>
        </is>
      </c>
      <c r="B207" t="n">
        <v>1</v>
      </c>
      <c r="C207" t="n">
        <v>2.22</v>
      </c>
    </row>
    <row r="208">
      <c r="A208" t="inlineStr">
        <is>
          <t>UNKNOWN</t>
        </is>
      </c>
      <c r="B208" t="n">
        <v>1</v>
      </c>
      <c r="C208" t="n">
        <v>2.22</v>
      </c>
    </row>
    <row r="209">
      <c r="A209" t="inlineStr">
        <is>
          <t>VAN</t>
        </is>
      </c>
      <c r="B209" t="n">
        <v>2</v>
      </c>
      <c r="C209" t="n">
        <v>4.44</v>
      </c>
    </row>
    <row r="210">
      <c r="B210" s="11" t="n">
        <v>46254</v>
      </c>
      <c r="C210" s="5"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D210" t="inlineStr">
        <is>
          <t>-8-</t>
        </is>
      </c>
    </row>
    <row r="211">
      <c r="B211" s="5" t="inlineStr">
        <is>
          <t>North Carolina Department of Transportation
Traffic Engineering Accident Analysis System
Intersection Analysis Report</t>
        </is>
      </c>
    </row>
    <row r="212">
      <c r="A212" t="inlineStr">
        <is>
          <t>Yearly Totals Summary</t>
        </is>
      </c>
    </row>
    <row r="213">
      <c r="A213" t="inlineStr">
        <is>
          <t>Accident Totals</t>
        </is>
      </c>
    </row>
    <row r="214">
      <c r="A214" t="inlineStr">
        <is>
          <t>Year</t>
        </is>
      </c>
      <c r="B214" s="5" t="inlineStr">
        <is>
          <t>Total
Accidents</t>
        </is>
      </c>
      <c r="C214" s="5" t="inlineStr">
        <is>
          <t>Fatal
Accidents</t>
        </is>
      </c>
      <c r="D214" s="5" t="inlineStr">
        <is>
          <t>Injury
Accidents</t>
        </is>
      </c>
      <c r="E214" s="5" t="inlineStr">
        <is>
          <t>Property Damage
Only Accidents</t>
        </is>
      </c>
    </row>
    <row r="215">
      <c r="A215" t="n">
        <v>2016</v>
      </c>
      <c r="B215" t="n">
        <v>4</v>
      </c>
      <c r="C215" t="n">
        <v>0</v>
      </c>
      <c r="D215" t="n">
        <v>2</v>
      </c>
      <c r="E215" t="n">
        <v>2</v>
      </c>
    </row>
    <row r="216">
      <c r="A216" t="n">
        <v>2017</v>
      </c>
      <c r="B216" t="n">
        <v>3</v>
      </c>
      <c r="C216" t="n">
        <v>0</v>
      </c>
      <c r="D216" t="n">
        <v>3</v>
      </c>
      <c r="E216" t="n">
        <v>0</v>
      </c>
    </row>
    <row r="217">
      <c r="A217" t="n">
        <v>2018</v>
      </c>
      <c r="B217" t="n">
        <v>3</v>
      </c>
      <c r="C217" t="n">
        <v>0</v>
      </c>
      <c r="D217" t="n">
        <v>1</v>
      </c>
      <c r="E217" t="n">
        <v>2</v>
      </c>
    </row>
    <row r="218">
      <c r="A218" t="n">
        <v>2019</v>
      </c>
      <c r="B218" t="n">
        <v>1</v>
      </c>
      <c r="C218" t="n">
        <v>0</v>
      </c>
      <c r="D218" t="n">
        <v>0</v>
      </c>
      <c r="E218" t="n">
        <v>1</v>
      </c>
    </row>
    <row r="219">
      <c r="A219" t="n">
        <v>2020</v>
      </c>
      <c r="B219" t="n">
        <v>3</v>
      </c>
      <c r="C219" t="n">
        <v>0</v>
      </c>
      <c r="D219" t="n">
        <v>1</v>
      </c>
      <c r="E219" t="n">
        <v>2</v>
      </c>
    </row>
    <row r="220">
      <c r="A220" t="n">
        <v>2021</v>
      </c>
      <c r="B220" t="n">
        <v>2</v>
      </c>
      <c r="C220" t="n">
        <v>0</v>
      </c>
      <c r="D220" t="n">
        <v>0</v>
      </c>
      <c r="E220" t="n">
        <v>2</v>
      </c>
    </row>
    <row r="221">
      <c r="A221" t="n">
        <v>2022</v>
      </c>
      <c r="B221" t="n">
        <v>0</v>
      </c>
      <c r="C221" t="n">
        <v>0</v>
      </c>
      <c r="D221" t="n">
        <v>0</v>
      </c>
      <c r="E221" t="n">
        <v>0</v>
      </c>
    </row>
    <row r="222">
      <c r="A222" t="n">
        <v>2023</v>
      </c>
      <c r="B222" t="n">
        <v>0</v>
      </c>
      <c r="C222" t="n">
        <v>0</v>
      </c>
      <c r="D222" t="n">
        <v>0</v>
      </c>
      <c r="E222" t="n">
        <v>0</v>
      </c>
    </row>
    <row r="223">
      <c r="A223" t="n">
        <v>2024</v>
      </c>
      <c r="B223" t="n">
        <v>4</v>
      </c>
      <c r="C223" t="n">
        <v>0</v>
      </c>
      <c r="D223" t="n">
        <v>1</v>
      </c>
      <c r="E223" t="n">
        <v>3</v>
      </c>
    </row>
    <row r="224">
      <c r="A224" t="n">
        <v>2025</v>
      </c>
      <c r="B224" t="n">
        <v>2</v>
      </c>
      <c r="C224" t="n">
        <v>0</v>
      </c>
      <c r="D224" t="n">
        <v>1</v>
      </c>
      <c r="E224" t="n">
        <v>1</v>
      </c>
    </row>
    <row r="225">
      <c r="A225" t="n">
        <v>2026</v>
      </c>
      <c r="B225" t="n">
        <v>0</v>
      </c>
      <c r="C225" t="n">
        <v>0</v>
      </c>
      <c r="D225" t="n">
        <v>0</v>
      </c>
      <c r="E225" t="n">
        <v>0</v>
      </c>
    </row>
    <row r="226">
      <c r="A226" t="inlineStr">
        <is>
          <t>Total</t>
        </is>
      </c>
      <c r="B226" t="n">
        <v>22</v>
      </c>
      <c r="C226" t="n">
        <v>0</v>
      </c>
      <c r="D226" t="n">
        <v>9</v>
      </c>
      <c r="E226" t="n">
        <v>13</v>
      </c>
    </row>
    <row r="227">
      <c r="A227" t="inlineStr">
        <is>
          <t>Injury Totals</t>
        </is>
      </c>
    </row>
    <row r="228">
      <c r="A228" t="inlineStr">
        <is>
          <t>Year</t>
        </is>
      </c>
      <c r="B228" t="inlineStr">
        <is>
          <t>Fatal Injuries</t>
        </is>
      </c>
      <c r="C228" s="5" t="inlineStr">
        <is>
          <t>Class A, B,
or C Injuries</t>
        </is>
      </c>
    </row>
    <row r="229">
      <c r="A229" t="n">
        <v>2016</v>
      </c>
      <c r="B229" t="n">
        <v>0</v>
      </c>
      <c r="C229" t="n">
        <v>4</v>
      </c>
    </row>
    <row r="230">
      <c r="A230" t="n">
        <v>2017</v>
      </c>
      <c r="B230" t="n">
        <v>0</v>
      </c>
      <c r="C230" t="n">
        <v>10</v>
      </c>
    </row>
    <row r="231">
      <c r="A231" t="n">
        <v>2018</v>
      </c>
      <c r="B231" t="n">
        <v>0</v>
      </c>
      <c r="C231" t="n">
        <v>2</v>
      </c>
    </row>
    <row r="232">
      <c r="A232" t="n">
        <v>2019</v>
      </c>
      <c r="B232" t="n">
        <v>0</v>
      </c>
      <c r="C232" t="n">
        <v>0</v>
      </c>
    </row>
    <row r="233">
      <c r="A233" t="n">
        <v>2020</v>
      </c>
      <c r="B233" t="n">
        <v>0</v>
      </c>
      <c r="C233" t="n">
        <v>4</v>
      </c>
    </row>
    <row r="234">
      <c r="A234" t="n">
        <v>2021</v>
      </c>
      <c r="B234" t="n">
        <v>0</v>
      </c>
      <c r="C234" t="n">
        <v>0</v>
      </c>
    </row>
    <row r="235">
      <c r="A235" t="n">
        <v>2022</v>
      </c>
      <c r="B235" t="n">
        <v>0</v>
      </c>
      <c r="C235" t="n">
        <v>0</v>
      </c>
    </row>
    <row r="236">
      <c r="A236" t="n">
        <v>2023</v>
      </c>
      <c r="B236" t="n">
        <v>0</v>
      </c>
      <c r="C236" t="n">
        <v>0</v>
      </c>
    </row>
    <row r="237">
      <c r="A237" t="n">
        <v>2024</v>
      </c>
      <c r="B237" t="n">
        <v>0</v>
      </c>
      <c r="C237" t="n">
        <v>1</v>
      </c>
    </row>
    <row r="238">
      <c r="A238" t="n">
        <v>2025</v>
      </c>
      <c r="B238" t="n">
        <v>0</v>
      </c>
      <c r="C238" t="n">
        <v>1</v>
      </c>
    </row>
    <row r="239">
      <c r="A239" t="n">
        <v>2026</v>
      </c>
      <c r="B239" t="n">
        <v>0</v>
      </c>
      <c r="C239" t="n">
        <v>0</v>
      </c>
    </row>
    <row r="240">
      <c r="A240" t="inlineStr">
        <is>
          <t>Total</t>
        </is>
      </c>
      <c r="B240" t="n">
        <v>0</v>
      </c>
      <c r="C240" t="n">
        <v>22</v>
      </c>
    </row>
    <row r="241">
      <c r="A241" t="inlineStr">
        <is>
          <t>Miscellaneous Totals</t>
        </is>
      </c>
    </row>
    <row r="242">
      <c r="A242" t="inlineStr">
        <is>
          <t>Year</t>
        </is>
      </c>
      <c r="B242" t="inlineStr">
        <is>
          <t>Property Damage</t>
        </is>
      </c>
      <c r="C242" t="inlineStr">
        <is>
          <t>EPDO Index</t>
        </is>
      </c>
    </row>
    <row r="243">
      <c r="A243" t="n">
        <v>2016</v>
      </c>
      <c r="B243" t="inlineStr">
        <is>
          <t>$</t>
        </is>
      </c>
      <c r="C243" t="n">
        <v>36160</v>
      </c>
      <c r="D243" t="n">
        <v>18.8</v>
      </c>
    </row>
    <row r="244">
      <c r="A244" t="n">
        <v>2017</v>
      </c>
      <c r="B244" t="inlineStr">
        <is>
          <t>$</t>
        </is>
      </c>
      <c r="C244" t="n">
        <v>35075</v>
      </c>
      <c r="D244" t="n">
        <v>93.59999999999999</v>
      </c>
    </row>
    <row r="245">
      <c r="B245" s="11" t="n">
        <v>46254</v>
      </c>
      <c r="C245" s="5"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D245" t="inlineStr">
        <is>
          <t>-9-</t>
        </is>
      </c>
    </row>
    <row r="246">
      <c r="B246" s="5" t="inlineStr">
        <is>
          <t>North Carolina Department of Transportation
Traffic Engineering Accident Analysis System
Intersection Analysis Report</t>
        </is>
      </c>
    </row>
    <row r="247">
      <c r="A247" t="inlineStr">
        <is>
          <t>Year</t>
        </is>
      </c>
      <c r="B247" t="inlineStr">
        <is>
          <t>Property Damage</t>
        </is>
      </c>
      <c r="C247" t="inlineStr">
        <is>
          <t>EPDO Index</t>
        </is>
      </c>
    </row>
    <row r="248">
      <c r="A248" t="n">
        <v>2018</v>
      </c>
      <c r="B248" t="inlineStr">
        <is>
          <t>$</t>
        </is>
      </c>
      <c r="C248" t="n">
        <v>30150</v>
      </c>
      <c r="D248" t="n">
        <v>10.4</v>
      </c>
    </row>
    <row r="249">
      <c r="A249" t="n">
        <v>2019</v>
      </c>
      <c r="B249" t="inlineStr">
        <is>
          <t>$</t>
        </is>
      </c>
      <c r="C249" t="n">
        <v>500</v>
      </c>
      <c r="D249" t="n">
        <v>1</v>
      </c>
    </row>
    <row r="250">
      <c r="A250" t="n">
        <v>2020</v>
      </c>
      <c r="B250" t="inlineStr">
        <is>
          <t>$</t>
        </is>
      </c>
      <c r="C250" t="n">
        <v>28000</v>
      </c>
      <c r="D250" t="n">
        <v>10.4</v>
      </c>
    </row>
    <row r="251">
      <c r="A251" t="n">
        <v>2021</v>
      </c>
      <c r="B251" t="inlineStr">
        <is>
          <t>$</t>
        </is>
      </c>
      <c r="C251" t="n">
        <v>11600</v>
      </c>
      <c r="D251" t="n">
        <v>2</v>
      </c>
    </row>
    <row r="252">
      <c r="A252" t="n">
        <v>2022</v>
      </c>
      <c r="B252" t="inlineStr">
        <is>
          <t>$</t>
        </is>
      </c>
      <c r="C252" t="n">
        <v>0</v>
      </c>
      <c r="D252" t="n">
        <v>0</v>
      </c>
    </row>
    <row r="253">
      <c r="A253" t="n">
        <v>2023</v>
      </c>
      <c r="B253" t="inlineStr">
        <is>
          <t>$</t>
        </is>
      </c>
      <c r="C253" t="n">
        <v>0</v>
      </c>
      <c r="D253" t="n">
        <v>0</v>
      </c>
    </row>
    <row r="254">
      <c r="A254" t="n">
        <v>2024</v>
      </c>
      <c r="B254" t="inlineStr">
        <is>
          <t>$</t>
        </is>
      </c>
      <c r="C254" t="n">
        <v>27300</v>
      </c>
      <c r="D254" t="n">
        <v>11.4</v>
      </c>
    </row>
    <row r="255">
      <c r="A255" t="n">
        <v>2025</v>
      </c>
      <c r="B255" t="inlineStr">
        <is>
          <t>$</t>
        </is>
      </c>
      <c r="C255" t="n">
        <v>7500</v>
      </c>
      <c r="D255" t="n">
        <v>9.4</v>
      </c>
    </row>
    <row r="256">
      <c r="A256" t="n">
        <v>2026</v>
      </c>
      <c r="B256" t="inlineStr">
        <is>
          <t>$</t>
        </is>
      </c>
      <c r="C256" t="n">
        <v>0</v>
      </c>
      <c r="D256" t="n">
        <v>0</v>
      </c>
    </row>
    <row r="257">
      <c r="A257" t="inlineStr">
        <is>
          <t>Total</t>
        </is>
      </c>
      <c r="B257" t="inlineStr">
        <is>
          <t>$</t>
        </is>
      </c>
      <c r="C257" t="n">
        <v>176285</v>
      </c>
      <c r="D257" t="n">
        <v>157</v>
      </c>
    </row>
    <row r="258">
      <c r="A258" t="inlineStr">
        <is>
          <t>Type of Accident Totals</t>
        </is>
      </c>
    </row>
    <row r="259">
      <c r="A259" t="inlineStr">
        <is>
          <t>Year</t>
        </is>
      </c>
      <c r="B259" t="inlineStr">
        <is>
          <t>Left Turn</t>
        </is>
      </c>
      <c r="C259" t="inlineStr">
        <is>
          <t>Right Turn</t>
        </is>
      </c>
      <c r="D259" t="inlineStr">
        <is>
          <t>Rear End</t>
        </is>
      </c>
      <c r="E259" s="5" t="inlineStr">
        <is>
          <t>Run Off Road &amp;
Fixed Object</t>
        </is>
      </c>
      <c r="F259" t="inlineStr">
        <is>
          <t>Angle</t>
        </is>
      </c>
      <c r="G259" t="inlineStr">
        <is>
          <t>Side Swipe</t>
        </is>
      </c>
      <c r="H259" t="inlineStr">
        <is>
          <t>Other</t>
        </is>
      </c>
    </row>
    <row r="260">
      <c r="A260" t="n">
        <v>2016</v>
      </c>
      <c r="B260" t="n">
        <v>0</v>
      </c>
      <c r="C260" t="n">
        <v>0</v>
      </c>
      <c r="D260" t="n">
        <v>0</v>
      </c>
      <c r="E260" t="n">
        <v>0</v>
      </c>
      <c r="F260" t="n">
        <v>4</v>
      </c>
      <c r="G260" t="n">
        <v>0</v>
      </c>
      <c r="H260" t="n">
        <v>0</v>
      </c>
    </row>
    <row r="261">
      <c r="A261" t="n">
        <v>2017</v>
      </c>
      <c r="B261" t="n">
        <v>0</v>
      </c>
      <c r="C261" t="n">
        <v>0</v>
      </c>
      <c r="D261" t="n">
        <v>0</v>
      </c>
      <c r="E261" t="n">
        <v>0</v>
      </c>
      <c r="F261" t="n">
        <v>3</v>
      </c>
      <c r="G261" t="n">
        <v>0</v>
      </c>
      <c r="H261" t="n">
        <v>0</v>
      </c>
    </row>
    <row r="262">
      <c r="A262" t="n">
        <v>2018</v>
      </c>
      <c r="B262" t="n">
        <v>0</v>
      </c>
      <c r="C262" t="n">
        <v>0</v>
      </c>
      <c r="D262" t="n">
        <v>0</v>
      </c>
      <c r="E262" t="n">
        <v>1</v>
      </c>
      <c r="F262" t="n">
        <v>1</v>
      </c>
      <c r="G262" t="n">
        <v>0</v>
      </c>
      <c r="H262" t="n">
        <v>1</v>
      </c>
    </row>
    <row r="263">
      <c r="A263" t="n">
        <v>2019</v>
      </c>
      <c r="B263" t="n">
        <v>0</v>
      </c>
      <c r="C263" t="n">
        <v>0</v>
      </c>
      <c r="D263" t="n">
        <v>0</v>
      </c>
      <c r="E263" t="n">
        <v>0</v>
      </c>
      <c r="F263" t="n">
        <v>0</v>
      </c>
      <c r="G263" t="n">
        <v>1</v>
      </c>
      <c r="H263" t="n">
        <v>0</v>
      </c>
    </row>
    <row r="264">
      <c r="A264" t="n">
        <v>2020</v>
      </c>
      <c r="B264" t="n">
        <v>0</v>
      </c>
      <c r="C264" t="n">
        <v>0</v>
      </c>
      <c r="D264" t="n">
        <v>1</v>
      </c>
      <c r="E264" t="n">
        <v>0</v>
      </c>
      <c r="F264" t="n">
        <v>2</v>
      </c>
      <c r="G264" t="n">
        <v>0</v>
      </c>
      <c r="H264" t="n">
        <v>0</v>
      </c>
    </row>
    <row r="265">
      <c r="A265" t="n">
        <v>2021</v>
      </c>
      <c r="B265" t="n">
        <v>0</v>
      </c>
      <c r="C265" t="n">
        <v>0</v>
      </c>
      <c r="D265" t="n">
        <v>0</v>
      </c>
      <c r="E265" t="n">
        <v>0</v>
      </c>
      <c r="F265" t="n">
        <v>2</v>
      </c>
      <c r="G265" t="n">
        <v>0</v>
      </c>
      <c r="H265" t="n">
        <v>0</v>
      </c>
    </row>
    <row r="266">
      <c r="A266" t="n">
        <v>2022</v>
      </c>
      <c r="B266" t="n">
        <v>0</v>
      </c>
      <c r="C266" t="n">
        <v>0</v>
      </c>
      <c r="D266" t="n">
        <v>0</v>
      </c>
      <c r="E266" t="n">
        <v>0</v>
      </c>
      <c r="F266" t="n">
        <v>0</v>
      </c>
      <c r="G266" t="n">
        <v>0</v>
      </c>
      <c r="H266" t="n">
        <v>0</v>
      </c>
    </row>
    <row r="267">
      <c r="A267" t="n">
        <v>2023</v>
      </c>
      <c r="B267" t="n">
        <v>0</v>
      </c>
      <c r="C267" t="n">
        <v>0</v>
      </c>
      <c r="D267" t="n">
        <v>0</v>
      </c>
      <c r="E267" t="n">
        <v>0</v>
      </c>
      <c r="F267" t="n">
        <v>0</v>
      </c>
      <c r="G267" t="n">
        <v>0</v>
      </c>
      <c r="H267" t="n">
        <v>0</v>
      </c>
    </row>
    <row r="268">
      <c r="A268" t="n">
        <v>2024</v>
      </c>
      <c r="B268" t="n">
        <v>0</v>
      </c>
      <c r="C268" t="n">
        <v>0</v>
      </c>
      <c r="D268" t="n">
        <v>1</v>
      </c>
      <c r="E268" t="n">
        <v>0</v>
      </c>
      <c r="F268" t="n">
        <v>3</v>
      </c>
      <c r="G268" t="n">
        <v>0</v>
      </c>
      <c r="H268" t="n">
        <v>0</v>
      </c>
    </row>
    <row r="269">
      <c r="A269" t="n">
        <v>2025</v>
      </c>
      <c r="B269" t="n">
        <v>0</v>
      </c>
      <c r="C269" t="n">
        <v>0</v>
      </c>
      <c r="D269" t="n">
        <v>0</v>
      </c>
      <c r="E269" t="n">
        <v>0</v>
      </c>
      <c r="F269" t="n">
        <v>2</v>
      </c>
      <c r="G269" t="n">
        <v>0</v>
      </c>
      <c r="H269" t="n">
        <v>0</v>
      </c>
    </row>
    <row r="270">
      <c r="A270" t="n">
        <v>2026</v>
      </c>
      <c r="B270" t="n">
        <v>0</v>
      </c>
      <c r="C270" t="n">
        <v>0</v>
      </c>
      <c r="D270" t="n">
        <v>0</v>
      </c>
      <c r="E270" t="n">
        <v>0</v>
      </c>
      <c r="F270" t="n">
        <v>0</v>
      </c>
      <c r="G270" t="n">
        <v>0</v>
      </c>
      <c r="H270" t="n">
        <v>0</v>
      </c>
    </row>
    <row r="271">
      <c r="A271" t="inlineStr">
        <is>
          <t>Total</t>
        </is>
      </c>
      <c r="B271" t="n">
        <v>0</v>
      </c>
      <c r="C271" t="n">
        <v>0</v>
      </c>
      <c r="D271" t="n">
        <v>2</v>
      </c>
      <c r="E271" t="n">
        <v>1</v>
      </c>
      <c r="F271" t="n">
        <v>17</v>
      </c>
      <c r="G271" t="n">
        <v>1</v>
      </c>
      <c r="H271" t="n">
        <v>1</v>
      </c>
    </row>
    <row r="272">
      <c r="B272" s="11" t="n">
        <v>46254</v>
      </c>
      <c r="C272" s="5"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D272" t="inlineStr">
        <is>
          <t>-10-</t>
        </is>
      </c>
    </row>
    <row r="273">
      <c r="B273" s="5" t="inlineStr">
        <is>
          <t>North Carolina Department of Transportation
Traffic Engineering Accident Analysis System
Intersection Analysis Report</t>
        </is>
      </c>
    </row>
    <row r="274">
      <c r="A274" t="inlineStr">
        <is>
          <t>Study Criteria</t>
        </is>
      </c>
    </row>
    <row r="275">
      <c r="A275" t="inlineStr">
        <is>
          <t>Study Name</t>
        </is>
      </c>
      <c r="B275" t="inlineStr">
        <is>
          <t>Log No.</t>
        </is>
      </c>
      <c r="C275" t="inlineStr">
        <is>
          <t>PH No.</t>
        </is>
      </c>
      <c r="D275" t="inlineStr">
        <is>
          <t>TIP No.</t>
        </is>
      </c>
      <c r="E275" t="inlineStr">
        <is>
          <t>K/A Cf.</t>
        </is>
      </c>
      <c r="F275" t="inlineStr">
        <is>
          <t>B/C Cf.</t>
        </is>
      </c>
      <c r="G275" t="inlineStr">
        <is>
          <t>ADT</t>
        </is>
      </c>
      <c r="H275" t="inlineStr">
        <is>
          <t>ADT Route</t>
        </is>
      </c>
    </row>
    <row r="276">
      <c r="B276" t="n">
        <v>41000076160</v>
      </c>
      <c r="F276" t="n">
        <v>76.8</v>
      </c>
      <c r="G276" t="n">
        <v>8.4</v>
      </c>
      <c r="H276" t="n">
        <v>5100</v>
      </c>
    </row>
    <row r="277">
      <c r="A277" t="inlineStr">
        <is>
          <t>Request Date</t>
        </is>
      </c>
      <c r="B277" t="inlineStr">
        <is>
          <t>Courier Service</t>
        </is>
      </c>
      <c r="C277" t="inlineStr">
        <is>
          <t>Phone No.</t>
        </is>
      </c>
      <c r="D277" t="inlineStr">
        <is>
          <t>Ext.</t>
        </is>
      </c>
      <c r="E277" t="inlineStr">
        <is>
          <t>Fax No.</t>
        </is>
      </c>
    </row>
    <row r="279">
      <c r="A279" t="inlineStr">
        <is>
          <t>County</t>
        </is>
      </c>
      <c r="B279" t="inlineStr">
        <is>
          <t>Municipality</t>
        </is>
      </c>
    </row>
    <row r="280">
      <c r="B280" t="inlineStr">
        <is>
          <t>Name</t>
        </is>
      </c>
      <c r="C280" t="inlineStr">
        <is>
          <t>Code</t>
        </is>
      </c>
      <c r="D280" t="inlineStr">
        <is>
          <t>Div.</t>
        </is>
      </c>
      <c r="E280" t="inlineStr">
        <is>
          <t>Name</t>
        </is>
      </c>
      <c r="F280" t="inlineStr">
        <is>
          <t>Code</t>
        </is>
      </c>
      <c r="G280" t="inlineStr">
        <is>
          <t>Y-Line Ft.</t>
        </is>
      </c>
      <c r="H280" t="inlineStr">
        <is>
          <t>Begin Date</t>
        </is>
      </c>
      <c r="I280" t="inlineStr">
        <is>
          <t>End Date</t>
        </is>
      </c>
      <c r="J280" t="inlineStr">
        <is>
          <t>Years</t>
        </is>
      </c>
    </row>
    <row r="281">
      <c r="B281" t="inlineStr">
        <is>
          <t>UNION</t>
        </is>
      </c>
      <c r="C281" t="n">
        <v>90</v>
      </c>
      <c r="D281" t="n">
        <v>10</v>
      </c>
      <c r="E281" t="inlineStr">
        <is>
          <t>All and Rural</t>
        </is>
      </c>
      <c r="G281" t="n">
        <v>150</v>
      </c>
      <c r="H281" s="11" t="n">
        <v>42461</v>
      </c>
      <c r="I281" s="11" t="n">
        <v>46203</v>
      </c>
      <c r="J281" t="n">
        <v>10.25</v>
      </c>
    </row>
    <row r="282">
      <c r="A282" t="inlineStr">
        <is>
          <t>Location Text</t>
        </is>
      </c>
      <c r="B282" t="inlineStr">
        <is>
          <t>Requestor</t>
        </is>
      </c>
    </row>
    <row r="283">
      <c r="A283" t="inlineStr">
        <is>
          <t>SR 1001 (Sikes Mill Road) at SR 1617 (Tom Boyd Road)</t>
        </is>
      </c>
    </row>
    <row r="284">
      <c r="A284" t="inlineStr">
        <is>
          <t>Fiche Roads</t>
        </is>
      </c>
    </row>
    <row r="285">
      <c r="A285" t="inlineStr">
        <is>
          <t>Name</t>
        </is>
      </c>
      <c r="B285" t="inlineStr">
        <is>
          <t>Code</t>
        </is>
      </c>
    </row>
    <row r="286">
      <c r="A286" t="inlineStr">
        <is>
          <t>SR 1001</t>
        </is>
      </c>
      <c r="B286" t="n">
        <v>40001001</v>
      </c>
    </row>
    <row r="287">
      <c r="A287" t="inlineStr">
        <is>
          <t>SR 1617</t>
        </is>
      </c>
      <c r="B287" t="n">
        <v>40001617</v>
      </c>
    </row>
    <row r="288">
      <c r="A288" t="inlineStr">
        <is>
          <t>SIKES MILL</t>
        </is>
      </c>
      <c r="B288" t="n">
        <v>50028131</v>
      </c>
    </row>
    <row r="289">
      <c r="A289" t="inlineStr">
        <is>
          <t>TOM BOYD</t>
        </is>
      </c>
      <c r="B289" t="n">
        <v>50043323</v>
      </c>
    </row>
    <row r="290">
      <c r="A290" t="inlineStr">
        <is>
          <t>SR 1619</t>
        </is>
      </c>
      <c r="B290" t="n">
        <v>40001619</v>
      </c>
    </row>
    <row r="291">
      <c r="A291" t="inlineStr">
        <is>
          <t>SR 1606</t>
        </is>
      </c>
      <c r="B291" t="n">
        <v>40001606</v>
      </c>
    </row>
    <row r="292">
      <c r="A292" t="inlineStr">
        <is>
          <t>LOVE MILL</t>
        </is>
      </c>
      <c r="B292" t="n">
        <v>50018268</v>
      </c>
    </row>
    <row r="293">
      <c r="A293" t="inlineStr">
        <is>
          <t>Intersection Road Combinations</t>
        </is>
      </c>
    </row>
    <row r="294">
      <c r="A294" t="inlineStr">
        <is>
          <t>Name</t>
        </is>
      </c>
      <c r="B294" t="inlineStr">
        <is>
          <t>Code</t>
        </is>
      </c>
      <c r="C294" t="inlineStr">
        <is>
          <t>Code</t>
        </is>
      </c>
      <c r="D294" t="inlineStr">
        <is>
          <t>Name</t>
        </is>
      </c>
    </row>
    <row r="295">
      <c r="A295" t="inlineStr">
        <is>
          <t>SR 1001</t>
        </is>
      </c>
      <c r="B295" t="n">
        <v>40001001</v>
      </c>
      <c r="C295" t="n">
        <v>40001617</v>
      </c>
      <c r="D295" t="inlineStr">
        <is>
          <t>SR 1617</t>
        </is>
      </c>
    </row>
    <row r="296">
      <c r="A296" t="inlineStr">
        <is>
          <t>SR 1001</t>
        </is>
      </c>
      <c r="B296" t="n">
        <v>40001001</v>
      </c>
      <c r="C296" t="n">
        <v>50043323</v>
      </c>
      <c r="D296" t="inlineStr">
        <is>
          <t>TOM BOYD</t>
        </is>
      </c>
    </row>
    <row r="297">
      <c r="A297" t="inlineStr">
        <is>
          <t>SIKES MILL</t>
        </is>
      </c>
      <c r="B297" t="n">
        <v>50028131</v>
      </c>
      <c r="C297" t="n">
        <v>40001617</v>
      </c>
      <c r="D297" t="inlineStr">
        <is>
          <t>SR 1617</t>
        </is>
      </c>
    </row>
    <row r="298">
      <c r="A298" t="inlineStr">
        <is>
          <t>SIKES MILL</t>
        </is>
      </c>
      <c r="B298" t="n">
        <v>50028131</v>
      </c>
      <c r="C298" t="n">
        <v>50043323</v>
      </c>
      <c r="D298" t="inlineStr">
        <is>
          <t>TOM BOYD</t>
        </is>
      </c>
    </row>
    <row r="299">
      <c r="B299" s="11" t="n">
        <v>46254</v>
      </c>
      <c r="C299" s="5"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D299" t="inlineStr">
        <is>
          <t>-11-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88"/>
  <sheetViews>
    <sheetView workbookViewId="0">
      <selection activeCell="A1" sqref="A1"/>
    </sheetView>
  </sheetViews>
  <sheetFormatPr baseColWidth="8" defaultRowHeight="15"/>
  <sheetData>
    <row r="1">
      <c r="A1" t="inlineStr">
        <is>
          <t>Municipality</t>
        </is>
      </c>
      <c r="B1" t="inlineStr">
        <is>
          <t>On Road</t>
        </is>
      </c>
      <c r="C1" t="inlineStr">
        <is>
          <t>Miles</t>
        </is>
      </c>
      <c r="D1" t="inlineStr">
        <is>
          <t>Dir From</t>
        </is>
      </c>
      <c r="E1" t="inlineStr">
        <is>
          <t>From Road</t>
        </is>
      </c>
      <c r="F1" t="inlineStr">
        <is>
          <t>Toward Road</t>
        </is>
      </c>
      <c r="G1" t="inlineStr">
        <is>
          <t>Milepost Road</t>
        </is>
      </c>
      <c r="H1" t="inlineStr">
        <is>
          <t>MP</t>
        </is>
      </c>
      <c r="I1" t="inlineStr">
        <is>
          <t>MA</t>
        </is>
      </c>
      <c r="J1" t="inlineStr">
        <is>
          <t>Crash ID</t>
        </is>
      </c>
      <c r="K1" t="inlineStr">
        <is>
          <t>Date</t>
        </is>
      </c>
      <c r="L1" t="inlineStr">
        <is>
          <t>T</t>
        </is>
      </c>
      <c r="M1" t="inlineStr">
        <is>
          <t>C</t>
        </is>
      </c>
      <c r="N1" t="inlineStr">
        <is>
          <t>F</t>
        </is>
      </c>
      <c r="O1" t="inlineStr">
        <is>
          <t>L</t>
        </is>
      </c>
      <c r="P1" t="inlineStr">
        <is>
          <t>S</t>
        </is>
      </c>
      <c r="Q1" t="inlineStr">
        <is>
          <t>Latitude</t>
        </is>
      </c>
      <c r="R1" t="inlineStr">
        <is>
          <t>Longitude</t>
        </is>
      </c>
      <c r="S1" t="inlineStr">
        <is>
          <t>Source</t>
        </is>
      </c>
    </row>
    <row r="2">
      <c r="A2" t="inlineStr">
        <is>
          <t>NEW SALEM</t>
        </is>
      </c>
      <c r="B2" t="inlineStr">
        <is>
          <t>LOVE MILL</t>
        </is>
      </c>
      <c r="C2" t="n">
        <v>0.026</v>
      </c>
      <c r="D2" t="inlineStr">
        <is>
          <t>S</t>
        </is>
      </c>
      <c r="E2" t="inlineStr">
        <is>
          <t>GREEN</t>
        </is>
      </c>
      <c r="F2" t="inlineStr">
        <is>
          <t>SANTA CLAUS</t>
        </is>
      </c>
      <c r="G2" t="inlineStr">
        <is>
          <t>SR 1001</t>
        </is>
      </c>
      <c r="H2" t="n">
        <v>8.622999999999999</v>
      </c>
      <c r="J2" t="n">
        <v>106457925</v>
      </c>
      <c r="K2" s="11" t="n">
        <v>44203</v>
      </c>
      <c r="L2" t="n">
        <v>5</v>
      </c>
      <c r="M2" t="n">
        <v>1</v>
      </c>
      <c r="N2" t="n">
        <v>0</v>
      </c>
      <c r="O2" t="n">
        <v>1</v>
      </c>
      <c r="P2" t="inlineStr">
        <is>
          <t>C</t>
        </is>
      </c>
    </row>
    <row r="3">
      <c r="A3" t="inlineStr">
        <is>
          <t>UNIONVILLE</t>
        </is>
      </c>
      <c r="B3" t="inlineStr">
        <is>
          <t>SR 1619</t>
        </is>
      </c>
      <c r="C3" t="n">
        <v>0</v>
      </c>
      <c r="E3" t="inlineStr">
        <is>
          <t>SR 1681</t>
        </is>
      </c>
      <c r="G3" t="inlineStr">
        <is>
          <t>SR 1619</t>
        </is>
      </c>
      <c r="H3" t="n">
        <v>0.573</v>
      </c>
      <c r="J3" t="n">
        <v>107533157</v>
      </c>
      <c r="K3" s="11" t="n">
        <v>45249</v>
      </c>
      <c r="L3" t="n">
        <v>19</v>
      </c>
      <c r="M3" t="n">
        <v>1</v>
      </c>
      <c r="N3" t="n">
        <v>8</v>
      </c>
      <c r="O3" t="n">
        <v>1</v>
      </c>
      <c r="P3" t="inlineStr">
        <is>
          <t>O</t>
        </is>
      </c>
      <c r="Q3" t="n">
        <v>35.07597</v>
      </c>
      <c r="R3" t="n">
        <v>-80.49265</v>
      </c>
      <c r="S3" t="inlineStr">
        <is>
          <t>DMV349CLEANED</t>
        </is>
      </c>
    </row>
    <row r="4">
      <c r="A4" t="inlineStr">
        <is>
          <t>UNIONVILLE</t>
        </is>
      </c>
      <c r="B4" t="inlineStr">
        <is>
          <t>SIKES MILL</t>
        </is>
      </c>
      <c r="C4" t="n">
        <v>0.17</v>
      </c>
      <c r="D4" t="inlineStr">
        <is>
          <t>S</t>
        </is>
      </c>
      <c r="E4" t="inlineStr">
        <is>
          <t>HAIGLER BAUCOM</t>
        </is>
      </c>
      <c r="F4" t="inlineStr">
        <is>
          <t>PIEDMONT SCHOOL</t>
        </is>
      </c>
      <c r="G4" t="inlineStr">
        <is>
          <t>SIKES MILL</t>
        </is>
      </c>
      <c r="H4" t="n">
        <v>999.999</v>
      </c>
      <c r="J4" t="n">
        <v>106479132</v>
      </c>
      <c r="K4" s="11" t="n">
        <v>44230</v>
      </c>
      <c r="L4" t="n">
        <v>19</v>
      </c>
      <c r="M4" t="n">
        <v>1</v>
      </c>
      <c r="N4" t="n">
        <v>0</v>
      </c>
      <c r="O4" t="n">
        <v>1</v>
      </c>
      <c r="P4" t="inlineStr">
        <is>
          <t>C</t>
        </is>
      </c>
    </row>
    <row r="5">
      <c r="A5" t="inlineStr">
        <is>
          <t>UNIONVILLE</t>
        </is>
      </c>
      <c r="B5" t="inlineStr">
        <is>
          <t>SIKES MILL</t>
        </is>
      </c>
      <c r="C5" t="n">
        <v>0</v>
      </c>
      <c r="E5" t="inlineStr">
        <is>
          <t>TOM BOYD</t>
        </is>
      </c>
      <c r="F5" t="inlineStr">
        <is>
          <t>LAWYERS</t>
        </is>
      </c>
      <c r="G5" t="inlineStr">
        <is>
          <t>SR 1001</t>
        </is>
      </c>
      <c r="H5" t="n">
        <v>3.461</v>
      </c>
      <c r="J5" t="n">
        <v>106133705</v>
      </c>
      <c r="K5" s="11" t="n">
        <v>43853</v>
      </c>
      <c r="L5" t="n">
        <v>30</v>
      </c>
      <c r="M5" t="n">
        <v>1</v>
      </c>
      <c r="N5" t="n">
        <v>7</v>
      </c>
      <c r="O5" t="n">
        <v>1</v>
      </c>
      <c r="P5" t="inlineStr">
        <is>
          <t>O</t>
        </is>
      </c>
    </row>
    <row r="6">
      <c r="A6" t="inlineStr">
        <is>
          <t>UNIONVILLE</t>
        </is>
      </c>
      <c r="B6" t="inlineStr">
        <is>
          <t>SIKES MILL</t>
        </is>
      </c>
      <c r="C6" t="n">
        <v>0.26</v>
      </c>
      <c r="D6" t="inlineStr">
        <is>
          <t>S</t>
        </is>
      </c>
      <c r="E6" t="inlineStr">
        <is>
          <t>BAUCOM</t>
        </is>
      </c>
      <c r="F6" t="inlineStr">
        <is>
          <t>US 601</t>
        </is>
      </c>
      <c r="G6" t="inlineStr">
        <is>
          <t>SR 1001</t>
        </is>
      </c>
      <c r="H6" t="n">
        <v>1.092</v>
      </c>
      <c r="J6" t="n">
        <v>105898128</v>
      </c>
      <c r="K6" s="11" t="n">
        <v>43629</v>
      </c>
      <c r="L6" t="n">
        <v>17</v>
      </c>
      <c r="M6" t="n">
        <v>1</v>
      </c>
      <c r="N6" t="n">
        <v>0</v>
      </c>
      <c r="O6" t="n">
        <v>5</v>
      </c>
      <c r="P6" t="inlineStr">
        <is>
          <t>O</t>
        </is>
      </c>
    </row>
    <row r="7">
      <c r="A7" t="inlineStr">
        <is>
          <t>UNIONVILLE</t>
        </is>
      </c>
      <c r="B7" t="inlineStr">
        <is>
          <t>SIKES MILL</t>
        </is>
      </c>
      <c r="C7" t="n">
        <v>0</v>
      </c>
      <c r="E7" t="inlineStr">
        <is>
          <t>TOM HELMS</t>
        </is>
      </c>
      <c r="F7" t="inlineStr">
        <is>
          <t>PIEDMONT SCHOOL</t>
        </is>
      </c>
      <c r="G7" t="inlineStr">
        <is>
          <t>SR 1001</t>
        </is>
      </c>
      <c r="H7" t="n">
        <v>4.094</v>
      </c>
      <c r="J7" t="n">
        <v>107101493</v>
      </c>
      <c r="K7" s="11" t="n">
        <v>44840</v>
      </c>
      <c r="L7" t="n">
        <v>28</v>
      </c>
      <c r="M7" t="n">
        <v>1</v>
      </c>
      <c r="N7" t="n">
        <v>10</v>
      </c>
      <c r="O7" t="n">
        <v>1</v>
      </c>
      <c r="P7" t="inlineStr">
        <is>
          <t>O</t>
        </is>
      </c>
    </row>
    <row r="8">
      <c r="A8" t="inlineStr">
        <is>
          <t>UNIONVILLE</t>
        </is>
      </c>
      <c r="B8" t="inlineStr">
        <is>
          <t>SR 1001</t>
        </is>
      </c>
      <c r="C8" t="n">
        <v>0.5</v>
      </c>
      <c r="D8" t="inlineStr">
        <is>
          <t>E</t>
        </is>
      </c>
      <c r="E8" t="inlineStr">
        <is>
          <t>US 601</t>
        </is>
      </c>
      <c r="F8" t="inlineStr">
        <is>
          <t>SPRING LAKE</t>
        </is>
      </c>
      <c r="G8" t="inlineStr">
        <is>
          <t>SR 1001</t>
        </is>
      </c>
      <c r="H8" t="n">
        <v>0.5</v>
      </c>
      <c r="J8" t="n">
        <v>108339974</v>
      </c>
      <c r="K8" s="11" t="n">
        <v>45993</v>
      </c>
      <c r="L8" t="n">
        <v>17</v>
      </c>
      <c r="M8" t="n">
        <v>2</v>
      </c>
      <c r="N8" t="n">
        <v>0</v>
      </c>
      <c r="O8" t="n">
        <v>1</v>
      </c>
      <c r="P8" t="inlineStr">
        <is>
          <t>O</t>
        </is>
      </c>
      <c r="Q8" t="n">
        <v>35.03374</v>
      </c>
      <c r="R8" t="n">
        <v>-80.53659</v>
      </c>
      <c r="S8" t="inlineStr">
        <is>
          <t>DMV349CLEANED</t>
        </is>
      </c>
    </row>
    <row r="9">
      <c r="A9" t="inlineStr">
        <is>
          <t>RURAL</t>
        </is>
      </c>
      <c r="B9" t="inlineStr">
        <is>
          <t>SIKES MILL</t>
        </is>
      </c>
      <c r="C9" t="n">
        <v>0.002</v>
      </c>
      <c r="D9" t="inlineStr">
        <is>
          <t>S</t>
        </is>
      </c>
      <c r="E9" t="inlineStr">
        <is>
          <t>SPRING LAKE</t>
        </is>
      </c>
      <c r="F9" t="inlineStr">
        <is>
          <t>US 601</t>
        </is>
      </c>
      <c r="G9" t="inlineStr">
        <is>
          <t>SR 1001</t>
        </is>
      </c>
      <c r="H9" t="n">
        <v>0.883</v>
      </c>
      <c r="J9" t="n">
        <v>106059402</v>
      </c>
      <c r="K9" s="11" t="n">
        <v>43777</v>
      </c>
      <c r="L9" t="n">
        <v>19</v>
      </c>
      <c r="M9" t="n">
        <v>2</v>
      </c>
      <c r="N9" t="n">
        <v>0</v>
      </c>
      <c r="O9" t="n">
        <v>4</v>
      </c>
      <c r="P9" t="inlineStr">
        <is>
          <t>B</t>
        </is>
      </c>
    </row>
    <row r="10">
      <c r="A10" t="inlineStr">
        <is>
          <t>RURAL</t>
        </is>
      </c>
      <c r="B10" t="inlineStr">
        <is>
          <t>SIKES MILL</t>
        </is>
      </c>
      <c r="C10" t="n">
        <v>0</v>
      </c>
      <c r="E10" t="inlineStr">
        <is>
          <t>NC 218</t>
        </is>
      </c>
      <c r="F10" t="inlineStr">
        <is>
          <t>*LCL OLD FISH RD</t>
        </is>
      </c>
      <c r="G10" t="inlineStr">
        <is>
          <t>SIKES MILL</t>
        </is>
      </c>
      <c r="H10" t="n">
        <v>999.999</v>
      </c>
      <c r="J10" t="n">
        <v>106882446</v>
      </c>
      <c r="K10" s="11" t="n">
        <v>44619</v>
      </c>
      <c r="L10" t="n">
        <v>21</v>
      </c>
      <c r="M10" t="n">
        <v>2</v>
      </c>
      <c r="N10" t="n">
        <v>7</v>
      </c>
      <c r="O10" t="n">
        <v>1</v>
      </c>
      <c r="P10" t="inlineStr">
        <is>
          <t>O</t>
        </is>
      </c>
    </row>
    <row r="11">
      <c r="A11" t="inlineStr">
        <is>
          <t>UNIONVILLE</t>
        </is>
      </c>
      <c r="B11" t="inlineStr">
        <is>
          <t>SR 1619</t>
        </is>
      </c>
      <c r="C11" t="n">
        <v>0.095</v>
      </c>
      <c r="D11" t="inlineStr">
        <is>
          <t>E</t>
        </is>
      </c>
      <c r="E11" t="inlineStr">
        <is>
          <t>SR 1001</t>
        </is>
      </c>
      <c r="F11" t="inlineStr">
        <is>
          <t>SR 1606</t>
        </is>
      </c>
      <c r="G11" t="inlineStr">
        <is>
          <t>SR 1619</t>
        </is>
      </c>
      <c r="H11" t="n">
        <v>0.095</v>
      </c>
      <c r="J11" t="n">
        <v>107771302</v>
      </c>
      <c r="K11" s="11" t="n">
        <v>45468</v>
      </c>
      <c r="L11" t="n">
        <v>17</v>
      </c>
      <c r="M11" t="n">
        <v>1</v>
      </c>
      <c r="N11" t="n">
        <v>0</v>
      </c>
      <c r="O11" t="n">
        <v>5</v>
      </c>
      <c r="P11" t="inlineStr">
        <is>
          <t>O</t>
        </is>
      </c>
      <c r="Q11" t="n">
        <v>35.0802</v>
      </c>
      <c r="R11" t="n">
        <v>-80.49869</v>
      </c>
      <c r="S11" t="inlineStr">
        <is>
          <t>DMV349CLEANED</t>
        </is>
      </c>
    </row>
    <row r="12">
      <c r="A12" t="inlineStr">
        <is>
          <t>UNIONVILLE</t>
        </is>
      </c>
      <c r="B12" t="inlineStr">
        <is>
          <t>SIKES MILL</t>
        </is>
      </c>
      <c r="C12" t="n">
        <v>0.008999999999999999</v>
      </c>
      <c r="D12" t="inlineStr">
        <is>
          <t>N</t>
        </is>
      </c>
      <c r="E12" t="inlineStr">
        <is>
          <t>BAUCOM</t>
        </is>
      </c>
      <c r="F12" t="inlineStr">
        <is>
          <t>CHANEY</t>
        </is>
      </c>
      <c r="G12" t="inlineStr">
        <is>
          <t>SR 1001</t>
        </is>
      </c>
      <c r="H12" t="n">
        <v>1.361</v>
      </c>
      <c r="J12" t="n">
        <v>104780506</v>
      </c>
      <c r="K12" s="11" t="n">
        <v>42553</v>
      </c>
      <c r="L12" t="n">
        <v>21</v>
      </c>
      <c r="M12" t="n">
        <v>1</v>
      </c>
      <c r="N12" t="n">
        <v>8</v>
      </c>
      <c r="O12" t="n">
        <v>1</v>
      </c>
      <c r="P12" t="inlineStr">
        <is>
          <t>O</t>
        </is>
      </c>
    </row>
    <row r="13">
      <c r="A13" t="inlineStr">
        <is>
          <t>UNIONVILLE</t>
        </is>
      </c>
      <c r="B13" t="inlineStr">
        <is>
          <t>US 601</t>
        </is>
      </c>
      <c r="C13" t="n">
        <v>0</v>
      </c>
      <c r="E13" t="inlineStr">
        <is>
          <t>SIKES MILL</t>
        </is>
      </c>
      <c r="F13" t="inlineStr">
        <is>
          <t>BAUCOM DEESE</t>
        </is>
      </c>
      <c r="G13" t="inlineStr">
        <is>
          <t>US 601</t>
        </is>
      </c>
      <c r="H13" t="n">
        <v>18.007</v>
      </c>
      <c r="J13" t="n">
        <v>107221390</v>
      </c>
      <c r="K13" s="11" t="n">
        <v>44946</v>
      </c>
      <c r="L13" t="n">
        <v>24</v>
      </c>
      <c r="M13" t="n">
        <v>1</v>
      </c>
      <c r="N13" t="n">
        <v>8</v>
      </c>
      <c r="O13" t="n">
        <v>1</v>
      </c>
      <c r="P13" t="inlineStr">
        <is>
          <t>O</t>
        </is>
      </c>
    </row>
    <row r="14">
      <c r="A14" t="inlineStr">
        <is>
          <t>FAIRVIEW</t>
        </is>
      </c>
      <c r="B14" t="inlineStr">
        <is>
          <t>SR 1606</t>
        </is>
      </c>
      <c r="C14" t="n">
        <v>0.18</v>
      </c>
      <c r="D14" t="inlineStr">
        <is>
          <t>N</t>
        </is>
      </c>
      <c r="E14" t="inlineStr">
        <is>
          <t>SR 1547</t>
        </is>
      </c>
      <c r="F14" t="inlineStr">
        <is>
          <t>SR 1607</t>
        </is>
      </c>
      <c r="G14" t="inlineStr">
        <is>
          <t>SR 1606</t>
        </is>
      </c>
      <c r="H14" t="n">
        <v>1.407</v>
      </c>
      <c r="J14" t="n">
        <v>108377689</v>
      </c>
      <c r="K14" s="11" t="n">
        <v>46031</v>
      </c>
      <c r="L14" t="n">
        <v>19</v>
      </c>
      <c r="M14" t="n">
        <v>1</v>
      </c>
      <c r="N14" t="n">
        <v>5</v>
      </c>
      <c r="O14" t="n">
        <v>5</v>
      </c>
      <c r="P14" t="inlineStr">
        <is>
          <t>K</t>
        </is>
      </c>
      <c r="Q14" t="n">
        <v>35.150173</v>
      </c>
      <c r="R14" t="n">
        <v>-80.47355</v>
      </c>
      <c r="S14" t="inlineStr">
        <is>
          <t>DMV349CLEANED</t>
        </is>
      </c>
    </row>
    <row r="15">
      <c r="A15" t="inlineStr">
        <is>
          <t>UNIONVILLE</t>
        </is>
      </c>
      <c r="B15" t="inlineStr">
        <is>
          <t>SIKES MILL</t>
        </is>
      </c>
      <c r="C15" t="n">
        <v>0.3</v>
      </c>
      <c r="D15" t="inlineStr">
        <is>
          <t>N</t>
        </is>
      </c>
      <c r="E15" t="inlineStr">
        <is>
          <t>TOM BOYD</t>
        </is>
      </c>
      <c r="F15" t="inlineStr">
        <is>
          <t>TOM HELMS</t>
        </is>
      </c>
      <c r="G15" t="inlineStr">
        <is>
          <t>SR 1001</t>
        </is>
      </c>
      <c r="H15" t="n">
        <v>3.761</v>
      </c>
      <c r="J15" t="n">
        <v>107879671</v>
      </c>
      <c r="K15" s="11" t="n">
        <v>45576</v>
      </c>
      <c r="L15" t="n">
        <v>21</v>
      </c>
      <c r="M15" t="n">
        <v>1</v>
      </c>
      <c r="N15" t="n">
        <v>0</v>
      </c>
      <c r="O15" t="n">
        <v>1</v>
      </c>
      <c r="P15" t="inlineStr">
        <is>
          <t>O</t>
        </is>
      </c>
    </row>
    <row r="16">
      <c r="A16" t="inlineStr">
        <is>
          <t>UNIONVILLE</t>
        </is>
      </c>
      <c r="B16" t="inlineStr">
        <is>
          <t>LOVE MILL</t>
        </is>
      </c>
      <c r="C16" t="n">
        <v>0.19</v>
      </c>
      <c r="D16" t="inlineStr">
        <is>
          <t>NE</t>
        </is>
      </c>
      <c r="E16" t="inlineStr">
        <is>
          <t>SIKES MILL</t>
        </is>
      </c>
      <c r="F16" t="inlineStr">
        <is>
          <t>PIEDMONT SCHOOL</t>
        </is>
      </c>
      <c r="G16" t="inlineStr">
        <is>
          <t>LOVE MILL</t>
        </is>
      </c>
      <c r="H16" t="n">
        <v>999.999</v>
      </c>
      <c r="J16" t="n">
        <v>107148213</v>
      </c>
      <c r="K16" s="11" t="n">
        <v>44881</v>
      </c>
      <c r="L16" t="n">
        <v>21</v>
      </c>
      <c r="M16" t="n">
        <v>1</v>
      </c>
      <c r="N16" t="n">
        <v>0</v>
      </c>
      <c r="O16" t="n">
        <v>1</v>
      </c>
      <c r="P16" t="inlineStr">
        <is>
          <t>O</t>
        </is>
      </c>
    </row>
    <row r="17">
      <c r="A17" t="inlineStr">
        <is>
          <t>RURAL</t>
        </is>
      </c>
      <c r="B17" t="inlineStr">
        <is>
          <t>SR 1001</t>
        </is>
      </c>
      <c r="C17" t="n">
        <v>0.2</v>
      </c>
      <c r="D17" t="inlineStr">
        <is>
          <t>S</t>
        </is>
      </c>
      <c r="E17" t="inlineStr">
        <is>
          <t>SR 1619</t>
        </is>
      </c>
      <c r="F17" t="inlineStr">
        <is>
          <t>SR 1615</t>
        </is>
      </c>
      <c r="G17" t="inlineStr">
        <is>
          <t>SR 1001</t>
        </is>
      </c>
      <c r="H17" t="n">
        <v>3.261</v>
      </c>
      <c r="J17" t="n">
        <v>107272200</v>
      </c>
      <c r="K17" s="11" t="n">
        <v>44999</v>
      </c>
      <c r="L17" t="n">
        <v>17</v>
      </c>
      <c r="M17" t="n">
        <v>1</v>
      </c>
      <c r="N17" t="n">
        <v>0</v>
      </c>
      <c r="O17" t="n">
        <v>5</v>
      </c>
      <c r="P17" t="inlineStr">
        <is>
          <t>O</t>
        </is>
      </c>
    </row>
    <row r="18">
      <c r="A18" t="inlineStr">
        <is>
          <t>UNIONVILLE</t>
        </is>
      </c>
      <c r="B18" t="inlineStr">
        <is>
          <t>SR 1606</t>
        </is>
      </c>
      <c r="C18" t="n">
        <v>0.079</v>
      </c>
      <c r="D18" t="inlineStr">
        <is>
          <t>S</t>
        </is>
      </c>
      <c r="E18" t="inlineStr">
        <is>
          <t>SR 1638</t>
        </is>
      </c>
      <c r="F18" t="inlineStr">
        <is>
          <t>SR 1678</t>
        </is>
      </c>
      <c r="G18" t="inlineStr">
        <is>
          <t>SR 1606</t>
        </is>
      </c>
      <c r="H18" t="n">
        <v>5.095</v>
      </c>
      <c r="J18" t="n">
        <v>107321031</v>
      </c>
      <c r="K18" s="11" t="n">
        <v>45036</v>
      </c>
      <c r="L18" t="n">
        <v>22</v>
      </c>
      <c r="M18" t="n">
        <v>1</v>
      </c>
      <c r="N18" t="n">
        <v>0</v>
      </c>
      <c r="O18" t="n">
        <v>1</v>
      </c>
      <c r="P18" t="inlineStr">
        <is>
          <t>K</t>
        </is>
      </c>
    </row>
    <row r="19">
      <c r="A19" t="inlineStr">
        <is>
          <t>RURAL</t>
        </is>
      </c>
      <c r="B19" t="inlineStr">
        <is>
          <t>SIKES MILL</t>
        </is>
      </c>
      <c r="C19" t="n">
        <v>2</v>
      </c>
      <c r="D19" t="inlineStr">
        <is>
          <t>N</t>
        </is>
      </c>
      <c r="E19" t="inlineStr">
        <is>
          <t>CHANEY</t>
        </is>
      </c>
      <c r="F19" t="inlineStr">
        <is>
          <t>UNIONVILLE</t>
        </is>
      </c>
      <c r="G19" t="inlineStr">
        <is>
          <t>SR 1001</t>
        </is>
      </c>
      <c r="H19" t="n">
        <v>4.11</v>
      </c>
      <c r="J19" t="n">
        <v>108420506</v>
      </c>
      <c r="K19" s="11" t="n">
        <v>46080</v>
      </c>
      <c r="L19" t="n">
        <v>29</v>
      </c>
      <c r="M19" t="n">
        <v>2</v>
      </c>
      <c r="N19" t="n">
        <v>0</v>
      </c>
      <c r="O19" t="n">
        <v>5</v>
      </c>
      <c r="P19" t="inlineStr">
        <is>
          <t>O</t>
        </is>
      </c>
    </row>
    <row r="20">
      <c r="A20" t="inlineStr">
        <is>
          <t>RURAL</t>
        </is>
      </c>
      <c r="B20" t="inlineStr">
        <is>
          <t>LOVE MILL</t>
        </is>
      </c>
      <c r="C20" t="n">
        <v>0.14</v>
      </c>
      <c r="D20" t="inlineStr">
        <is>
          <t>S</t>
        </is>
      </c>
      <c r="E20" t="inlineStr">
        <is>
          <t>BRASSWELL RUSHING</t>
        </is>
      </c>
      <c r="F20" t="inlineStr">
        <is>
          <t>HAIGLER BAUCOM</t>
        </is>
      </c>
      <c r="G20" t="inlineStr">
        <is>
          <t>SR 1001</t>
        </is>
      </c>
      <c r="H20" t="n">
        <v>5.825</v>
      </c>
      <c r="J20" t="n">
        <v>106148368</v>
      </c>
      <c r="K20" s="11" t="n">
        <v>43867</v>
      </c>
      <c r="L20" t="n">
        <v>19</v>
      </c>
      <c r="M20" t="n">
        <v>2</v>
      </c>
      <c r="N20" t="n">
        <v>0</v>
      </c>
      <c r="O20" t="n">
        <v>1</v>
      </c>
      <c r="P20" t="inlineStr">
        <is>
          <t>O</t>
        </is>
      </c>
    </row>
    <row r="21">
      <c r="A21" t="inlineStr">
        <is>
          <t>UNIONVILLE</t>
        </is>
      </c>
      <c r="B21" t="inlineStr">
        <is>
          <t>LOVE MILL</t>
        </is>
      </c>
      <c r="C21" t="n">
        <v>0.058</v>
      </c>
      <c r="D21" t="inlineStr">
        <is>
          <t>N</t>
        </is>
      </c>
      <c r="E21" t="inlineStr">
        <is>
          <t>ZEBULON WILLIAMS</t>
        </is>
      </c>
      <c r="F21" t="inlineStr">
        <is>
          <t>HAGLER</t>
        </is>
      </c>
      <c r="G21" t="inlineStr">
        <is>
          <t>SR 1001</t>
        </is>
      </c>
      <c r="H21" t="n">
        <v>6.748</v>
      </c>
      <c r="J21" t="n">
        <v>107006747</v>
      </c>
      <c r="K21" s="11" t="n">
        <v>44747</v>
      </c>
      <c r="L21" t="n">
        <v>29</v>
      </c>
      <c r="M21" t="n">
        <v>1</v>
      </c>
      <c r="N21" t="n">
        <v>0</v>
      </c>
      <c r="O21" t="n">
        <v>1</v>
      </c>
      <c r="P21" t="inlineStr">
        <is>
          <t>C</t>
        </is>
      </c>
    </row>
    <row r="22">
      <c r="A22" t="inlineStr">
        <is>
          <t>FAIRVIEW</t>
        </is>
      </c>
      <c r="B22" t="inlineStr">
        <is>
          <t>SR 1606</t>
        </is>
      </c>
      <c r="C22" t="n">
        <v>0</v>
      </c>
      <c r="E22" t="inlineStr">
        <is>
          <t>SR 1547</t>
        </is>
      </c>
      <c r="F22" t="inlineStr">
        <is>
          <t>NC 218</t>
        </is>
      </c>
      <c r="G22" t="inlineStr">
        <is>
          <t>SR 1606</t>
        </is>
      </c>
      <c r="H22" t="n">
        <v>1.587</v>
      </c>
      <c r="J22" t="n">
        <v>107701512</v>
      </c>
      <c r="K22" s="11" t="n">
        <v>45409</v>
      </c>
      <c r="L22" t="n">
        <v>30</v>
      </c>
      <c r="M22" t="n">
        <v>1</v>
      </c>
      <c r="N22" t="n">
        <v>8</v>
      </c>
      <c r="O22" t="n">
        <v>1</v>
      </c>
      <c r="P22" t="inlineStr">
        <is>
          <t>O</t>
        </is>
      </c>
      <c r="Q22" t="n">
        <v>35.15793</v>
      </c>
      <c r="R22" t="n">
        <v>-80.47559</v>
      </c>
      <c r="S22" t="inlineStr">
        <is>
          <t>DMV349CLEANED</t>
        </is>
      </c>
    </row>
    <row r="23">
      <c r="A23" t="inlineStr">
        <is>
          <t>RURAL</t>
        </is>
      </c>
      <c r="B23" t="inlineStr">
        <is>
          <t>SIKES MILL</t>
        </is>
      </c>
      <c r="C23" t="n">
        <v>1.1</v>
      </c>
      <c r="D23" t="inlineStr">
        <is>
          <t>N</t>
        </is>
      </c>
      <c r="E23" t="inlineStr">
        <is>
          <t>CONCORD</t>
        </is>
      </c>
      <c r="F23" t="inlineStr">
        <is>
          <t>BAUCOM</t>
        </is>
      </c>
      <c r="G23" t="inlineStr">
        <is>
          <t>SR 1001</t>
        </is>
      </c>
      <c r="H23" t="n">
        <v>1.1</v>
      </c>
      <c r="J23" t="n">
        <v>106028073</v>
      </c>
      <c r="K23" s="11" t="n">
        <v>43756</v>
      </c>
      <c r="L23" t="n">
        <v>17</v>
      </c>
      <c r="M23" t="n">
        <v>1</v>
      </c>
      <c r="N23" t="n">
        <v>0</v>
      </c>
      <c r="O23" t="n">
        <v>5</v>
      </c>
      <c r="P23" t="inlineStr">
        <is>
          <t>O</t>
        </is>
      </c>
    </row>
    <row r="24">
      <c r="A24" t="inlineStr">
        <is>
          <t>UNIONVILLE</t>
        </is>
      </c>
      <c r="B24" t="inlineStr">
        <is>
          <t>SIKES MILL</t>
        </is>
      </c>
      <c r="C24" t="n">
        <v>0.23</v>
      </c>
      <c r="D24" t="inlineStr">
        <is>
          <t>NE</t>
        </is>
      </c>
      <c r="E24" t="inlineStr">
        <is>
          <t>TOM BOYD</t>
        </is>
      </c>
      <c r="F24" t="inlineStr">
        <is>
          <t>LAWYERS</t>
        </is>
      </c>
      <c r="G24" t="inlineStr">
        <is>
          <t>SR 1001</t>
        </is>
      </c>
      <c r="H24" t="n">
        <v>3.691</v>
      </c>
      <c r="J24" t="n">
        <v>106477388</v>
      </c>
      <c r="K24" s="11" t="n">
        <v>44222</v>
      </c>
      <c r="L24" t="n">
        <v>17</v>
      </c>
      <c r="M24" t="n">
        <v>2</v>
      </c>
      <c r="N24" t="n">
        <v>0</v>
      </c>
      <c r="O24" t="n">
        <v>5</v>
      </c>
      <c r="P24" t="inlineStr">
        <is>
          <t>O</t>
        </is>
      </c>
    </row>
    <row r="25">
      <c r="A25" t="inlineStr">
        <is>
          <t>UNIONVILLE</t>
        </is>
      </c>
      <c r="B25" t="inlineStr">
        <is>
          <t>SIKES MILL</t>
        </is>
      </c>
      <c r="C25" t="n">
        <v>0.019</v>
      </c>
      <c r="D25" t="inlineStr">
        <is>
          <t>S</t>
        </is>
      </c>
      <c r="E25" t="inlineStr">
        <is>
          <t>BAUCOM</t>
        </is>
      </c>
      <c r="F25" t="inlineStr">
        <is>
          <t>US 601</t>
        </is>
      </c>
      <c r="G25" t="inlineStr">
        <is>
          <t>SR 1001</t>
        </is>
      </c>
      <c r="H25" t="n">
        <v>1.333</v>
      </c>
      <c r="J25" t="n">
        <v>108314414</v>
      </c>
      <c r="K25" s="11" t="n">
        <v>45982</v>
      </c>
      <c r="L25" t="n">
        <v>21</v>
      </c>
      <c r="M25" t="n">
        <v>2</v>
      </c>
      <c r="N25" t="n">
        <v>0</v>
      </c>
      <c r="O25" t="n">
        <v>1</v>
      </c>
      <c r="P25" t="inlineStr">
        <is>
          <t>O</t>
        </is>
      </c>
    </row>
    <row r="26">
      <c r="A26" t="inlineStr">
        <is>
          <t>UNIONVILLE</t>
        </is>
      </c>
      <c r="B26" t="inlineStr">
        <is>
          <t>SR 1615</t>
        </is>
      </c>
      <c r="C26" t="n">
        <v>0.02</v>
      </c>
      <c r="D26" t="inlineStr">
        <is>
          <t>S</t>
        </is>
      </c>
      <c r="E26" t="inlineStr">
        <is>
          <t>SR 1617</t>
        </is>
      </c>
      <c r="F26" t="inlineStr">
        <is>
          <t>SR 1001</t>
        </is>
      </c>
      <c r="G26" t="inlineStr">
        <is>
          <t>SR 1615</t>
        </is>
      </c>
      <c r="H26" t="n">
        <v>2.204</v>
      </c>
      <c r="J26" t="n">
        <v>107082068</v>
      </c>
      <c r="K26" s="11" t="n">
        <v>44812</v>
      </c>
      <c r="L26" t="n">
        <v>19</v>
      </c>
      <c r="M26" t="n">
        <v>2</v>
      </c>
      <c r="N26" t="n">
        <v>0</v>
      </c>
      <c r="O26" t="n">
        <v>5</v>
      </c>
      <c r="P26" t="inlineStr">
        <is>
          <t>B</t>
        </is>
      </c>
    </row>
    <row r="27">
      <c r="A27" t="inlineStr">
        <is>
          <t>RURAL</t>
        </is>
      </c>
      <c r="B27" t="inlineStr">
        <is>
          <t>SR 1606</t>
        </is>
      </c>
      <c r="C27" t="n">
        <v>0</v>
      </c>
      <c r="E27" t="inlineStr">
        <is>
          <t>SR 1547</t>
        </is>
      </c>
      <c r="F27" t="inlineStr">
        <is>
          <t>SR 1607</t>
        </is>
      </c>
      <c r="G27" t="inlineStr">
        <is>
          <t>SR 1606</t>
        </is>
      </c>
      <c r="H27" t="n">
        <v>1.587</v>
      </c>
      <c r="J27" t="n">
        <v>107960659</v>
      </c>
      <c r="K27" s="11" t="n">
        <v>45641</v>
      </c>
      <c r="L27" t="n">
        <v>30</v>
      </c>
      <c r="M27" t="n">
        <v>1</v>
      </c>
      <c r="N27" t="n">
        <v>7</v>
      </c>
      <c r="O27" t="n">
        <v>5</v>
      </c>
      <c r="P27" t="inlineStr">
        <is>
          <t>C</t>
        </is>
      </c>
      <c r="Q27" t="n">
        <v>35.147841</v>
      </c>
      <c r="R27" t="n">
        <v>-80.47553000000001</v>
      </c>
      <c r="S27" t="inlineStr">
        <is>
          <t>DMV349CLEANED</t>
        </is>
      </c>
    </row>
    <row r="28">
      <c r="A28" t="inlineStr">
        <is>
          <t>UNIONVILLE</t>
        </is>
      </c>
      <c r="B28" t="inlineStr">
        <is>
          <t>SIKES MILL</t>
        </is>
      </c>
      <c r="C28" t="n">
        <v>0.19</v>
      </c>
      <c r="D28" t="inlineStr">
        <is>
          <t>S</t>
        </is>
      </c>
      <c r="E28" t="inlineStr">
        <is>
          <t>SPRING LAKE</t>
        </is>
      </c>
      <c r="F28" t="inlineStr">
        <is>
          <t>US 601</t>
        </is>
      </c>
      <c r="G28" t="inlineStr">
        <is>
          <t>SR 1001</t>
        </is>
      </c>
      <c r="H28" t="n">
        <v>0.695</v>
      </c>
      <c r="J28" t="n">
        <v>107653448</v>
      </c>
      <c r="K28" s="11" t="n">
        <v>45363</v>
      </c>
      <c r="L28" t="n">
        <v>29</v>
      </c>
      <c r="M28" t="n">
        <v>1</v>
      </c>
      <c r="N28" t="n">
        <v>0</v>
      </c>
      <c r="O28" t="n">
        <v>5</v>
      </c>
      <c r="P28" t="inlineStr">
        <is>
          <t>O</t>
        </is>
      </c>
    </row>
    <row r="29">
      <c r="A29" t="inlineStr">
        <is>
          <t>UNIONVILLE</t>
        </is>
      </c>
      <c r="B29" t="inlineStr">
        <is>
          <t>SR 1606</t>
        </is>
      </c>
      <c r="C29" t="n">
        <v>0.3</v>
      </c>
      <c r="D29" t="inlineStr">
        <is>
          <t>S</t>
        </is>
      </c>
      <c r="E29" t="inlineStr">
        <is>
          <t>SR 1638</t>
        </is>
      </c>
      <c r="F29" t="inlineStr">
        <is>
          <t>SR 1001</t>
        </is>
      </c>
      <c r="G29" t="inlineStr">
        <is>
          <t>SR 1606</t>
        </is>
      </c>
      <c r="H29" t="n">
        <v>5.316</v>
      </c>
      <c r="J29" t="n">
        <v>108460445</v>
      </c>
      <c r="K29" s="11" t="n">
        <v>46120</v>
      </c>
      <c r="L29" t="n">
        <v>23</v>
      </c>
      <c r="M29" t="n">
        <v>1</v>
      </c>
      <c r="N29" t="n">
        <v>5</v>
      </c>
      <c r="O29" t="n">
        <v>1</v>
      </c>
      <c r="P29" t="inlineStr">
        <is>
          <t>O</t>
        </is>
      </c>
      <c r="Q29" t="n">
        <v>35.099553</v>
      </c>
      <c r="R29" t="n">
        <v>-80.49195</v>
      </c>
      <c r="S29" t="inlineStr">
        <is>
          <t>DMV349</t>
        </is>
      </c>
    </row>
    <row r="30">
      <c r="A30" t="inlineStr">
        <is>
          <t>RURAL</t>
        </is>
      </c>
      <c r="B30" t="inlineStr">
        <is>
          <t>SR 1001</t>
        </is>
      </c>
      <c r="C30" t="n">
        <v>0.2</v>
      </c>
      <c r="D30" t="inlineStr">
        <is>
          <t>S</t>
        </is>
      </c>
      <c r="E30" t="inlineStr">
        <is>
          <t>SR 1664</t>
        </is>
      </c>
      <c r="F30" t="inlineStr">
        <is>
          <t>SR 1663</t>
        </is>
      </c>
      <c r="G30" t="inlineStr">
        <is>
          <t>SR 1001</t>
        </is>
      </c>
      <c r="H30" t="n">
        <v>9.445</v>
      </c>
      <c r="J30" t="n">
        <v>108045760</v>
      </c>
      <c r="K30" s="11" t="n">
        <v>45728</v>
      </c>
      <c r="L30" t="n">
        <v>17</v>
      </c>
      <c r="M30" t="n">
        <v>1</v>
      </c>
      <c r="N30" t="n">
        <v>0</v>
      </c>
      <c r="O30" t="n">
        <v>1</v>
      </c>
      <c r="P30" t="inlineStr">
        <is>
          <t>O</t>
        </is>
      </c>
      <c r="Q30" t="n">
        <v>35.147788</v>
      </c>
      <c r="R30" t="n">
        <v>-80.43850999999999</v>
      </c>
      <c r="S30" t="inlineStr">
        <is>
          <t>DMV349CLEANED</t>
        </is>
      </c>
    </row>
    <row r="31">
      <c r="A31" t="inlineStr">
        <is>
          <t>UNIONVILLE</t>
        </is>
      </c>
      <c r="B31" t="inlineStr">
        <is>
          <t>HAIGLER BAUCOM</t>
        </is>
      </c>
      <c r="C31" t="n">
        <v>0.005</v>
      </c>
      <c r="D31" t="inlineStr">
        <is>
          <t>E</t>
        </is>
      </c>
      <c r="E31" t="inlineStr">
        <is>
          <t>SIKES MILL</t>
        </is>
      </c>
      <c r="F31" t="inlineStr">
        <is>
          <t>LOVE MILL</t>
        </is>
      </c>
      <c r="H31" t="n">
        <v>999.999</v>
      </c>
      <c r="J31" t="n">
        <v>107442545</v>
      </c>
      <c r="K31" s="11" t="n">
        <v>45168</v>
      </c>
      <c r="L31" t="n">
        <v>21</v>
      </c>
      <c r="M31" t="n">
        <v>2</v>
      </c>
      <c r="N31" t="n">
        <v>8</v>
      </c>
      <c r="O31" t="n">
        <v>1</v>
      </c>
      <c r="P31" t="inlineStr">
        <is>
          <t>O</t>
        </is>
      </c>
    </row>
    <row r="32">
      <c r="A32" t="inlineStr">
        <is>
          <t>UNIONVILLE</t>
        </is>
      </c>
      <c r="B32" t="inlineStr">
        <is>
          <t>SIKES MILL</t>
        </is>
      </c>
      <c r="C32" t="n">
        <v>0</v>
      </c>
      <c r="E32" t="inlineStr">
        <is>
          <t>TOM BOYD</t>
        </is>
      </c>
      <c r="F32" t="inlineStr">
        <is>
          <t>LOVE MILL</t>
        </is>
      </c>
      <c r="G32" t="inlineStr">
        <is>
          <t>SR 1001</t>
        </is>
      </c>
      <c r="H32" t="n">
        <v>3.461</v>
      </c>
      <c r="J32" t="n">
        <v>107870118</v>
      </c>
      <c r="K32" s="11" t="n">
        <v>45568</v>
      </c>
      <c r="L32" t="n">
        <v>30</v>
      </c>
      <c r="M32" t="n">
        <v>1</v>
      </c>
      <c r="N32" t="n">
        <v>7</v>
      </c>
      <c r="O32" t="n">
        <v>1</v>
      </c>
      <c r="P32" t="inlineStr">
        <is>
          <t>O</t>
        </is>
      </c>
    </row>
    <row r="33">
      <c r="A33" t="inlineStr">
        <is>
          <t>UNIONVILLE</t>
        </is>
      </c>
      <c r="B33" t="inlineStr">
        <is>
          <t>SR 1001</t>
        </is>
      </c>
      <c r="C33" t="n">
        <v>0.4</v>
      </c>
      <c r="D33" t="inlineStr">
        <is>
          <t>SE</t>
        </is>
      </c>
      <c r="E33" t="inlineStr">
        <is>
          <t>SR 1665</t>
        </is>
      </c>
      <c r="F33" t="inlineStr">
        <is>
          <t>SR 1620</t>
        </is>
      </c>
      <c r="G33" t="inlineStr">
        <is>
          <t>SR 1001</t>
        </is>
      </c>
      <c r="H33" t="n">
        <v>1.815</v>
      </c>
      <c r="J33" t="n">
        <v>107984794</v>
      </c>
      <c r="K33" s="11" t="n">
        <v>45664</v>
      </c>
      <c r="L33" t="n">
        <v>18</v>
      </c>
      <c r="M33" t="n">
        <v>1</v>
      </c>
      <c r="N33" t="n">
        <v>0</v>
      </c>
      <c r="O33" t="n">
        <v>5</v>
      </c>
      <c r="P33" t="inlineStr">
        <is>
          <t>O</t>
        </is>
      </c>
      <c r="Q33" t="n">
        <v>35.064187</v>
      </c>
      <c r="R33" t="n">
        <v>-80.51922</v>
      </c>
      <c r="S33" t="inlineStr">
        <is>
          <t>DMV349CLEANED</t>
        </is>
      </c>
    </row>
    <row r="34">
      <c r="A34" t="inlineStr">
        <is>
          <t>RURAL</t>
        </is>
      </c>
      <c r="B34" t="inlineStr">
        <is>
          <t>SR 1001</t>
        </is>
      </c>
      <c r="C34" t="n">
        <v>0</v>
      </c>
      <c r="E34" t="inlineStr">
        <is>
          <t>NC 218</t>
        </is>
      </c>
      <c r="F34" t="inlineStr">
        <is>
          <t>SR 1547</t>
        </is>
      </c>
      <c r="G34" t="inlineStr">
        <is>
          <t>SR 1001</t>
        </is>
      </c>
      <c r="H34" t="n">
        <v>8.137</v>
      </c>
      <c r="J34" t="n">
        <v>107456725</v>
      </c>
      <c r="K34" s="11" t="n">
        <v>45181</v>
      </c>
      <c r="L34" t="n">
        <v>30</v>
      </c>
      <c r="M34" t="n">
        <v>1</v>
      </c>
      <c r="N34" t="n">
        <v>7</v>
      </c>
      <c r="O34" t="n">
        <v>1</v>
      </c>
      <c r="P34" t="inlineStr">
        <is>
          <t>C</t>
        </is>
      </c>
    </row>
    <row r="35">
      <c r="A35" t="inlineStr">
        <is>
          <t>UNIONVILLE</t>
        </is>
      </c>
      <c r="B35" t="inlineStr">
        <is>
          <t>LOVE MILL</t>
        </is>
      </c>
      <c r="C35" t="n">
        <v>0</v>
      </c>
      <c r="E35" t="inlineStr">
        <is>
          <t>*LCL PIEDMONT SCH DR</t>
        </is>
      </c>
      <c r="F35" t="inlineStr">
        <is>
          <t>SIKES MILL</t>
        </is>
      </c>
      <c r="H35" t="n">
        <v>999.999</v>
      </c>
      <c r="J35" t="n">
        <v>108397947</v>
      </c>
      <c r="K35" s="11" t="n">
        <v>46063</v>
      </c>
      <c r="L35" t="n">
        <v>26</v>
      </c>
      <c r="M35" t="n">
        <v>1</v>
      </c>
      <c r="N35" t="n">
        <v>8</v>
      </c>
      <c r="O35" t="n">
        <v>1</v>
      </c>
      <c r="P35" t="inlineStr">
        <is>
          <t>O</t>
        </is>
      </c>
    </row>
    <row r="36">
      <c r="A36" t="inlineStr">
        <is>
          <t>UNIONVILLE</t>
        </is>
      </c>
      <c r="B36" t="inlineStr">
        <is>
          <t>PVA PIEDMONT MIDDLE</t>
        </is>
      </c>
      <c r="C36" t="n">
        <v>0</v>
      </c>
      <c r="E36" t="inlineStr">
        <is>
          <t>SR 1001</t>
        </is>
      </c>
      <c r="F36" t="inlineStr">
        <is>
          <t>DEAD END</t>
        </is>
      </c>
      <c r="H36" t="n">
        <v>999.999</v>
      </c>
      <c r="J36" t="n">
        <v>105740561</v>
      </c>
      <c r="K36" s="11" t="n">
        <v>43472</v>
      </c>
      <c r="L36" t="n">
        <v>21</v>
      </c>
      <c r="M36" t="n">
        <v>1</v>
      </c>
      <c r="N36" t="n">
        <v>8</v>
      </c>
      <c r="O36" t="n">
        <v>1</v>
      </c>
      <c r="P36" t="inlineStr">
        <is>
          <t>O</t>
        </is>
      </c>
    </row>
    <row r="37">
      <c r="A37" t="inlineStr">
        <is>
          <t>RURAL</t>
        </is>
      </c>
      <c r="B37" t="inlineStr">
        <is>
          <t>SR 1001</t>
        </is>
      </c>
      <c r="C37" t="n">
        <v>0.8</v>
      </c>
      <c r="D37" t="inlineStr">
        <is>
          <t>S</t>
        </is>
      </c>
      <c r="E37" t="inlineStr">
        <is>
          <t>SR 1664</t>
        </is>
      </c>
      <c r="F37" t="inlineStr">
        <is>
          <t>SR 1663</t>
        </is>
      </c>
      <c r="G37" t="inlineStr">
        <is>
          <t>SR 1001</t>
        </is>
      </c>
      <c r="H37" t="n">
        <v>8.845000000000001</v>
      </c>
      <c r="J37" t="n">
        <v>106283239</v>
      </c>
      <c r="K37" s="11" t="n">
        <v>44033</v>
      </c>
      <c r="L37" t="n">
        <v>29</v>
      </c>
      <c r="M37" t="n">
        <v>1</v>
      </c>
      <c r="N37" t="n">
        <v>0</v>
      </c>
      <c r="O37" t="n">
        <v>1</v>
      </c>
      <c r="P37" t="inlineStr">
        <is>
          <t>O</t>
        </is>
      </c>
    </row>
    <row r="38">
      <c r="A38" t="inlineStr">
        <is>
          <t>RURAL</t>
        </is>
      </c>
      <c r="B38" t="inlineStr">
        <is>
          <t>SR 1001</t>
        </is>
      </c>
      <c r="C38" t="n">
        <v>0</v>
      </c>
      <c r="E38" t="inlineStr">
        <is>
          <t>SR 1620</t>
        </is>
      </c>
      <c r="F38" t="inlineStr">
        <is>
          <t>SR 1615</t>
        </is>
      </c>
      <c r="G38" t="inlineStr">
        <is>
          <t>SR 1001</t>
        </is>
      </c>
      <c r="H38" t="n">
        <v>1.352</v>
      </c>
      <c r="J38" t="n">
        <v>106971893</v>
      </c>
      <c r="K38" s="11" t="n">
        <v>44709</v>
      </c>
      <c r="L38" t="n">
        <v>23</v>
      </c>
      <c r="M38" t="n">
        <v>1</v>
      </c>
      <c r="N38" t="n">
        <v>8</v>
      </c>
      <c r="O38" t="n">
        <v>1</v>
      </c>
      <c r="P38" t="inlineStr">
        <is>
          <t>O</t>
        </is>
      </c>
    </row>
    <row r="39">
      <c r="A39" t="inlineStr">
        <is>
          <t>FAIRVIEW</t>
        </is>
      </c>
      <c r="B39" t="inlineStr">
        <is>
          <t>SIKES MILL</t>
        </is>
      </c>
      <c r="C39" t="n">
        <v>0.095</v>
      </c>
      <c r="D39" t="inlineStr">
        <is>
          <t>N</t>
        </is>
      </c>
      <c r="E39" t="inlineStr">
        <is>
          <t>BRIEF</t>
        </is>
      </c>
      <c r="F39" t="inlineStr">
        <is>
          <t>OLD FERRY</t>
        </is>
      </c>
      <c r="G39" t="inlineStr">
        <is>
          <t>SIKES MILL</t>
        </is>
      </c>
      <c r="H39" t="n">
        <v>999.999</v>
      </c>
      <c r="J39" t="n">
        <v>105713579</v>
      </c>
      <c r="K39" s="11" t="n">
        <v>43452</v>
      </c>
      <c r="L39" t="n">
        <v>17</v>
      </c>
      <c r="M39" t="n">
        <v>1</v>
      </c>
      <c r="N39" t="n">
        <v>0</v>
      </c>
      <c r="O39" t="n">
        <v>1</v>
      </c>
      <c r="P39" t="inlineStr">
        <is>
          <t>O</t>
        </is>
      </c>
    </row>
    <row r="40">
      <c r="A40" t="inlineStr">
        <is>
          <t>RURAL</t>
        </is>
      </c>
      <c r="B40" t="inlineStr">
        <is>
          <t>US 601</t>
        </is>
      </c>
      <c r="C40" t="n">
        <v>0.008999999999999999</v>
      </c>
      <c r="D40" t="inlineStr">
        <is>
          <t>N</t>
        </is>
      </c>
      <c r="E40" t="inlineStr">
        <is>
          <t>SR 1001</t>
        </is>
      </c>
      <c r="F40" t="inlineStr">
        <is>
          <t>SR 1505</t>
        </is>
      </c>
      <c r="G40" t="inlineStr">
        <is>
          <t>US 601</t>
        </is>
      </c>
      <c r="H40" t="n">
        <v>18.016</v>
      </c>
      <c r="J40" t="n">
        <v>107232412</v>
      </c>
      <c r="K40" s="11" t="n">
        <v>44959</v>
      </c>
      <c r="L40" t="n">
        <v>21</v>
      </c>
      <c r="M40" t="n">
        <v>2</v>
      </c>
      <c r="N40" t="n">
        <v>0</v>
      </c>
      <c r="O40" t="n">
        <v>1</v>
      </c>
      <c r="P40" t="inlineStr">
        <is>
          <t>O</t>
        </is>
      </c>
    </row>
    <row r="41">
      <c r="A41" t="inlineStr">
        <is>
          <t>UNIONVILLE</t>
        </is>
      </c>
      <c r="B41" t="inlineStr">
        <is>
          <t>SIKES MILL</t>
        </is>
      </c>
      <c r="C41" t="n">
        <v>0.18</v>
      </c>
      <c r="D41" t="inlineStr">
        <is>
          <t>S</t>
        </is>
      </c>
      <c r="E41" t="inlineStr">
        <is>
          <t>TOM BOYD</t>
        </is>
      </c>
      <c r="F41" t="inlineStr">
        <is>
          <t>UNIONVILLE</t>
        </is>
      </c>
      <c r="G41" t="inlineStr">
        <is>
          <t>SR 1001</t>
        </is>
      </c>
      <c r="H41" t="n">
        <v>3.281</v>
      </c>
      <c r="J41" t="n">
        <v>107631164</v>
      </c>
      <c r="K41" s="11" t="n">
        <v>45344</v>
      </c>
      <c r="L41" t="n">
        <v>17</v>
      </c>
      <c r="M41" t="n">
        <v>1</v>
      </c>
      <c r="N41" t="n">
        <v>0</v>
      </c>
      <c r="O41" t="n">
        <v>3</v>
      </c>
      <c r="P41" t="inlineStr">
        <is>
          <t>O</t>
        </is>
      </c>
    </row>
    <row r="42">
      <c r="A42" t="inlineStr">
        <is>
          <t>UNIONVILLE</t>
        </is>
      </c>
      <c r="B42" t="inlineStr">
        <is>
          <t>LOVE MILL</t>
        </is>
      </c>
      <c r="C42" t="n">
        <v>0.095</v>
      </c>
      <c r="D42" t="inlineStr">
        <is>
          <t>NE</t>
        </is>
      </c>
      <c r="E42" t="inlineStr">
        <is>
          <t>PIEDMONT SCHOOL</t>
        </is>
      </c>
      <c r="F42" t="inlineStr">
        <is>
          <t>*LCL PURSER RUSHING RD</t>
        </is>
      </c>
      <c r="G42" t="inlineStr">
        <is>
          <t>SR 1001</t>
        </is>
      </c>
      <c r="H42" t="n">
        <v>4.699</v>
      </c>
      <c r="J42" t="n">
        <v>106705523</v>
      </c>
      <c r="K42" s="11" t="n">
        <v>44462</v>
      </c>
      <c r="L42" t="n">
        <v>21</v>
      </c>
      <c r="M42" t="n">
        <v>1</v>
      </c>
      <c r="N42" t="n">
        <v>0</v>
      </c>
      <c r="O42" t="n">
        <v>1</v>
      </c>
      <c r="P42" t="inlineStr">
        <is>
          <t>O</t>
        </is>
      </c>
    </row>
    <row r="43">
      <c r="A43" t="inlineStr">
        <is>
          <t>RURAL</t>
        </is>
      </c>
      <c r="B43" t="inlineStr">
        <is>
          <t>LOVE MILL</t>
        </is>
      </c>
      <c r="C43" t="n">
        <v>0</v>
      </c>
      <c r="E43" t="inlineStr">
        <is>
          <t>NC 218</t>
        </is>
      </c>
      <c r="G43" t="inlineStr">
        <is>
          <t>SR 1001</t>
        </is>
      </c>
      <c r="H43" t="n">
        <v>8.137</v>
      </c>
      <c r="J43" t="n">
        <v>106117028</v>
      </c>
      <c r="K43" s="11" t="n">
        <v>43833</v>
      </c>
      <c r="L43" t="n">
        <v>30</v>
      </c>
      <c r="M43" t="n">
        <v>2</v>
      </c>
      <c r="N43" t="n">
        <v>7</v>
      </c>
      <c r="O43" t="n">
        <v>1</v>
      </c>
      <c r="P43" t="inlineStr">
        <is>
          <t>C</t>
        </is>
      </c>
    </row>
    <row r="44">
      <c r="A44" t="inlineStr">
        <is>
          <t>RURAL</t>
        </is>
      </c>
      <c r="B44" t="inlineStr">
        <is>
          <t>SIKES MILL</t>
        </is>
      </c>
      <c r="C44" t="n">
        <v>0.74</v>
      </c>
      <c r="D44" t="inlineStr">
        <is>
          <t>SW</t>
        </is>
      </c>
      <c r="E44" t="inlineStr">
        <is>
          <t>SPRING LAKE</t>
        </is>
      </c>
      <c r="F44" t="inlineStr">
        <is>
          <t>US 601</t>
        </is>
      </c>
      <c r="G44" t="inlineStr">
        <is>
          <t>SR 1001</t>
        </is>
      </c>
      <c r="H44" t="n">
        <v>0.145</v>
      </c>
      <c r="J44" t="n">
        <v>104717808</v>
      </c>
      <c r="K44" s="11" t="n">
        <v>42486</v>
      </c>
      <c r="L44" t="n">
        <v>21</v>
      </c>
      <c r="M44" t="n">
        <v>1</v>
      </c>
      <c r="N44" t="n">
        <v>12</v>
      </c>
      <c r="O44" t="n">
        <v>1</v>
      </c>
      <c r="P44" t="inlineStr">
        <is>
          <t>O</t>
        </is>
      </c>
    </row>
    <row r="45">
      <c r="A45" t="inlineStr">
        <is>
          <t>RURAL</t>
        </is>
      </c>
      <c r="B45" t="inlineStr">
        <is>
          <t>SR 1606</t>
        </is>
      </c>
      <c r="C45" t="n">
        <v>0.04</v>
      </c>
      <c r="D45" t="inlineStr">
        <is>
          <t>N</t>
        </is>
      </c>
      <c r="E45" t="inlineStr">
        <is>
          <t>SR 1654</t>
        </is>
      </c>
      <c r="F45" t="inlineStr">
        <is>
          <t>SR 1610</t>
        </is>
      </c>
      <c r="G45" t="inlineStr">
        <is>
          <t>SR 1606</t>
        </is>
      </c>
      <c r="H45" t="n">
        <v>3.539</v>
      </c>
      <c r="J45" t="n">
        <v>107733744</v>
      </c>
      <c r="K45" s="11" t="n">
        <v>45439</v>
      </c>
      <c r="L45" t="n">
        <v>19</v>
      </c>
      <c r="M45" t="n">
        <v>1</v>
      </c>
      <c r="N45" t="n">
        <v>0</v>
      </c>
      <c r="O45" t="n">
        <v>1</v>
      </c>
      <c r="P45" t="inlineStr">
        <is>
          <t>O</t>
        </is>
      </c>
      <c r="Q45" t="n">
        <v>35.12204</v>
      </c>
      <c r="R45" t="n">
        <v>-80.47924999999999</v>
      </c>
      <c r="S45" t="inlineStr">
        <is>
          <t>DMV349CLEANED</t>
        </is>
      </c>
    </row>
    <row r="46">
      <c r="A46" t="inlineStr">
        <is>
          <t>UNIONVILLE</t>
        </is>
      </c>
      <c r="B46" t="inlineStr">
        <is>
          <t>SR 1606</t>
        </is>
      </c>
      <c r="C46" t="n">
        <v>0.3</v>
      </c>
      <c r="D46" t="inlineStr">
        <is>
          <t>E</t>
        </is>
      </c>
      <c r="E46" t="inlineStr">
        <is>
          <t>SR 1619</t>
        </is>
      </c>
      <c r="F46" t="inlineStr">
        <is>
          <t>NC 200</t>
        </is>
      </c>
      <c r="G46" t="inlineStr">
        <is>
          <t>SR 1606</t>
        </is>
      </c>
      <c r="H46" t="n">
        <v>999.999</v>
      </c>
      <c r="J46" t="n">
        <v>107329736</v>
      </c>
      <c r="K46" s="11" t="n">
        <v>45053</v>
      </c>
      <c r="L46" t="n">
        <v>19</v>
      </c>
      <c r="M46" t="n">
        <v>1</v>
      </c>
      <c r="N46" t="n">
        <v>0</v>
      </c>
      <c r="O46" t="n">
        <v>5</v>
      </c>
      <c r="P46" t="inlineStr">
        <is>
          <t>A</t>
        </is>
      </c>
      <c r="Q46" t="n">
        <v>35.063101</v>
      </c>
      <c r="R46" t="n">
        <v>-80.489374</v>
      </c>
      <c r="S46" t="inlineStr">
        <is>
          <t>NCDOT_TSU</t>
        </is>
      </c>
    </row>
    <row r="47">
      <c r="A47" t="inlineStr">
        <is>
          <t>UNIONVILLE</t>
        </is>
      </c>
      <c r="B47" t="inlineStr">
        <is>
          <t>SIKES MILL</t>
        </is>
      </c>
      <c r="C47" t="n">
        <v>0.005</v>
      </c>
      <c r="D47" t="inlineStr">
        <is>
          <t>N</t>
        </is>
      </c>
      <c r="E47" t="inlineStr">
        <is>
          <t>TOM BOYD</t>
        </is>
      </c>
      <c r="F47" t="inlineStr">
        <is>
          <t>LOVE MILL</t>
        </is>
      </c>
      <c r="G47" t="inlineStr">
        <is>
          <t>SR 1001</t>
        </is>
      </c>
      <c r="H47" t="n">
        <v>3.466</v>
      </c>
      <c r="J47" t="n">
        <v>107945637</v>
      </c>
      <c r="K47" s="11" t="n">
        <v>45630</v>
      </c>
      <c r="L47" t="n">
        <v>21</v>
      </c>
      <c r="M47" t="n">
        <v>1</v>
      </c>
      <c r="N47" t="n">
        <v>7</v>
      </c>
      <c r="O47" t="n">
        <v>1</v>
      </c>
      <c r="P47" t="inlineStr">
        <is>
          <t>C</t>
        </is>
      </c>
    </row>
    <row r="48">
      <c r="A48" t="inlineStr">
        <is>
          <t>UNIONVILLE</t>
        </is>
      </c>
      <c r="B48" t="inlineStr">
        <is>
          <t>SIKES MILL</t>
        </is>
      </c>
      <c r="C48" t="n">
        <v>0.21</v>
      </c>
      <c r="D48" t="inlineStr">
        <is>
          <t>N</t>
        </is>
      </c>
      <c r="E48" t="inlineStr">
        <is>
          <t>UNIONVILLE</t>
        </is>
      </c>
      <c r="F48" t="inlineStr">
        <is>
          <t>TOM BOYD</t>
        </is>
      </c>
      <c r="G48" t="inlineStr">
        <is>
          <t>SR 1001</t>
        </is>
      </c>
      <c r="H48" t="n">
        <v>3.081</v>
      </c>
      <c r="J48" t="n">
        <v>107483858</v>
      </c>
      <c r="K48" s="11" t="n">
        <v>45205</v>
      </c>
      <c r="L48" t="n">
        <v>17</v>
      </c>
      <c r="M48" t="n">
        <v>1</v>
      </c>
      <c r="N48" t="n">
        <v>0</v>
      </c>
      <c r="O48" t="n">
        <v>2</v>
      </c>
      <c r="P48" t="inlineStr">
        <is>
          <t>O</t>
        </is>
      </c>
    </row>
    <row r="49">
      <c r="A49" t="inlineStr">
        <is>
          <t>UNIONVILLE</t>
        </is>
      </c>
      <c r="B49" t="inlineStr">
        <is>
          <t>SIKES MILL</t>
        </is>
      </c>
      <c r="C49" t="n">
        <v>0.003</v>
      </c>
      <c r="D49" t="inlineStr">
        <is>
          <t>N</t>
        </is>
      </c>
      <c r="E49" t="inlineStr">
        <is>
          <t>LAWYERS</t>
        </is>
      </c>
      <c r="F49" t="inlineStr">
        <is>
          <t>LOVE MILL</t>
        </is>
      </c>
      <c r="G49" t="inlineStr">
        <is>
          <t>SR 1001</t>
        </is>
      </c>
      <c r="H49" t="n">
        <v>4.11</v>
      </c>
      <c r="J49" t="n">
        <v>107472572</v>
      </c>
      <c r="K49" s="11" t="n">
        <v>45198</v>
      </c>
      <c r="L49" t="n">
        <v>28</v>
      </c>
      <c r="M49" t="n">
        <v>1</v>
      </c>
      <c r="N49" t="n">
        <v>10</v>
      </c>
      <c r="O49" t="n">
        <v>1</v>
      </c>
      <c r="P49" t="inlineStr">
        <is>
          <t>O</t>
        </is>
      </c>
    </row>
    <row r="50">
      <c r="A50" t="inlineStr">
        <is>
          <t>UNIONVILLE</t>
        </is>
      </c>
      <c r="B50" t="inlineStr">
        <is>
          <t>PVA 3006 SIKES MILL RD</t>
        </is>
      </c>
      <c r="C50" t="n">
        <v>0.018</v>
      </c>
      <c r="D50" t="inlineStr">
        <is>
          <t>E</t>
        </is>
      </c>
      <c r="E50" t="inlineStr">
        <is>
          <t>SR 1606</t>
        </is>
      </c>
      <c r="F50" t="inlineStr">
        <is>
          <t>SR 1001</t>
        </is>
      </c>
      <c r="H50" t="n">
        <v>999.999</v>
      </c>
      <c r="J50" t="n">
        <v>107844251</v>
      </c>
      <c r="K50" s="11" t="n">
        <v>45540</v>
      </c>
      <c r="L50" t="n">
        <v>31</v>
      </c>
      <c r="M50" t="n">
        <v>1</v>
      </c>
      <c r="N50" t="n">
        <v>0</v>
      </c>
      <c r="O50" t="n">
        <v>1</v>
      </c>
      <c r="P50" t="inlineStr">
        <is>
          <t>O</t>
        </is>
      </c>
      <c r="Q50" t="n">
        <v>35.09455</v>
      </c>
      <c r="R50" t="n">
        <v>-80.4927</v>
      </c>
      <c r="S50" t="inlineStr">
        <is>
          <t>DMV349</t>
        </is>
      </c>
    </row>
    <row r="51">
      <c r="A51" t="inlineStr">
        <is>
          <t>UNIONVILLE</t>
        </is>
      </c>
      <c r="B51" t="inlineStr">
        <is>
          <t>SR 1619</t>
        </is>
      </c>
      <c r="C51" t="n">
        <v>0.008999999999999999</v>
      </c>
      <c r="D51" t="inlineStr">
        <is>
          <t>E</t>
        </is>
      </c>
      <c r="E51" t="inlineStr">
        <is>
          <t>SR 2116</t>
        </is>
      </c>
      <c r="F51" t="inlineStr">
        <is>
          <t>SR 1681</t>
        </is>
      </c>
      <c r="G51" t="inlineStr">
        <is>
          <t>SR 1619</t>
        </is>
      </c>
      <c r="H51" t="n">
        <v>999.999</v>
      </c>
      <c r="J51" t="n">
        <v>107278206</v>
      </c>
      <c r="K51" s="11" t="n">
        <v>45006</v>
      </c>
      <c r="L51" t="n">
        <v>29</v>
      </c>
      <c r="M51" t="n">
        <v>1</v>
      </c>
      <c r="N51" t="n">
        <v>0</v>
      </c>
      <c r="O51" t="n">
        <v>1</v>
      </c>
      <c r="P51" t="inlineStr">
        <is>
          <t>O</t>
        </is>
      </c>
      <c r="Q51" t="n">
        <v>35.079021</v>
      </c>
      <c r="R51" t="n">
        <v>-80.49750400000001</v>
      </c>
      <c r="S51" t="inlineStr">
        <is>
          <t>ITRE_CMV</t>
        </is>
      </c>
    </row>
    <row r="52">
      <c r="A52" t="inlineStr">
        <is>
          <t>RURAL</t>
        </is>
      </c>
      <c r="B52" t="inlineStr">
        <is>
          <t>SR 1001</t>
        </is>
      </c>
      <c r="C52" t="n">
        <v>0.5</v>
      </c>
      <c r="D52" t="inlineStr">
        <is>
          <t>N</t>
        </is>
      </c>
      <c r="E52" t="inlineStr">
        <is>
          <t>SR 2713</t>
        </is>
      </c>
      <c r="F52" t="inlineStr">
        <is>
          <t>SR 1615</t>
        </is>
      </c>
      <c r="G52" t="inlineStr">
        <is>
          <t>SR 1001</t>
        </is>
      </c>
      <c r="H52" t="n">
        <v>3.025</v>
      </c>
      <c r="J52" t="n">
        <v>104716998</v>
      </c>
      <c r="K52" s="11" t="n">
        <v>42482</v>
      </c>
      <c r="L52" t="n">
        <v>17</v>
      </c>
      <c r="M52" t="n">
        <v>1</v>
      </c>
      <c r="N52" t="n">
        <v>0</v>
      </c>
      <c r="O52" t="n">
        <v>5</v>
      </c>
      <c r="P52" t="inlineStr">
        <is>
          <t>O</t>
        </is>
      </c>
    </row>
    <row r="53">
      <c r="A53" t="inlineStr">
        <is>
          <t>UNIONVILLE</t>
        </is>
      </c>
      <c r="B53" t="inlineStr">
        <is>
          <t>SR 1606</t>
        </is>
      </c>
      <c r="C53" t="n">
        <v>0</v>
      </c>
      <c r="E53" t="inlineStr">
        <is>
          <t>SR 1606</t>
        </is>
      </c>
      <c r="G53" t="inlineStr">
        <is>
          <t>SR 1606</t>
        </is>
      </c>
      <c r="H53" t="n">
        <v>999.999</v>
      </c>
      <c r="J53" t="n">
        <v>104720551</v>
      </c>
      <c r="K53" s="11" t="n">
        <v>42491</v>
      </c>
      <c r="L53" t="n">
        <v>30</v>
      </c>
      <c r="M53" t="n">
        <v>1</v>
      </c>
      <c r="N53" t="n">
        <v>7</v>
      </c>
      <c r="O53" t="n">
        <v>1</v>
      </c>
      <c r="P53" t="inlineStr">
        <is>
          <t>O</t>
        </is>
      </c>
    </row>
    <row r="54">
      <c r="A54" t="inlineStr">
        <is>
          <t>UNIONVILLE</t>
        </is>
      </c>
      <c r="B54" t="inlineStr">
        <is>
          <t>SR 1001</t>
        </is>
      </c>
      <c r="C54" t="n">
        <v>0.1</v>
      </c>
      <c r="D54" t="inlineStr">
        <is>
          <t>S</t>
        </is>
      </c>
      <c r="E54" t="inlineStr">
        <is>
          <t>SR 1675</t>
        </is>
      </c>
      <c r="F54" t="inlineStr">
        <is>
          <t>SR 1638</t>
        </is>
      </c>
      <c r="G54" t="inlineStr">
        <is>
          <t>SR 1001</t>
        </is>
      </c>
      <c r="H54" t="n">
        <v>5.865</v>
      </c>
      <c r="J54" t="n">
        <v>105877759</v>
      </c>
      <c r="K54" s="11" t="n">
        <v>43608</v>
      </c>
      <c r="L54" t="n">
        <v>28</v>
      </c>
      <c r="M54" t="n">
        <v>1</v>
      </c>
      <c r="N54" t="n">
        <v>0</v>
      </c>
      <c r="O54" t="n">
        <v>1</v>
      </c>
      <c r="P54" t="inlineStr">
        <is>
          <t>O</t>
        </is>
      </c>
    </row>
    <row r="55">
      <c r="A55" t="inlineStr">
        <is>
          <t>UNIONVILLE</t>
        </is>
      </c>
      <c r="B55" t="inlineStr">
        <is>
          <t>SR 1606</t>
        </is>
      </c>
      <c r="C55" t="n">
        <v>0.2</v>
      </c>
      <c r="D55" t="inlineStr">
        <is>
          <t>S</t>
        </is>
      </c>
      <c r="E55" t="inlineStr">
        <is>
          <t>SR 1605</t>
        </is>
      </c>
      <c r="F55" t="inlineStr">
        <is>
          <t>SR 1638</t>
        </is>
      </c>
      <c r="G55" t="inlineStr">
        <is>
          <t>SR 1606</t>
        </is>
      </c>
      <c r="H55" t="n">
        <v>999.999</v>
      </c>
      <c r="J55" t="n">
        <v>104772437</v>
      </c>
      <c r="K55" s="11" t="n">
        <v>42543</v>
      </c>
      <c r="L55" t="n">
        <v>17</v>
      </c>
      <c r="M55" t="n">
        <v>1</v>
      </c>
      <c r="N55" t="n">
        <v>0</v>
      </c>
      <c r="O55" t="n">
        <v>5</v>
      </c>
      <c r="P55" t="inlineStr">
        <is>
          <t>O</t>
        </is>
      </c>
    </row>
    <row r="56">
      <c r="A56" t="inlineStr">
        <is>
          <t>UNIONVILLE</t>
        </is>
      </c>
      <c r="B56" t="inlineStr">
        <is>
          <t>SR 1638</t>
        </is>
      </c>
      <c r="C56" t="n">
        <v>0</v>
      </c>
      <c r="E56" t="inlineStr">
        <is>
          <t>SR 1001</t>
        </is>
      </c>
      <c r="F56" t="inlineStr">
        <is>
          <t>SR 1638</t>
        </is>
      </c>
      <c r="G56" t="inlineStr">
        <is>
          <t>SR 1638</t>
        </is>
      </c>
      <c r="H56" t="n">
        <v>1.556</v>
      </c>
      <c r="J56" t="n">
        <v>104762571</v>
      </c>
      <c r="K56" s="11" t="n">
        <v>42529</v>
      </c>
      <c r="L56" t="n">
        <v>30</v>
      </c>
      <c r="M56" t="n">
        <v>1</v>
      </c>
      <c r="N56" t="n">
        <v>7</v>
      </c>
      <c r="O56" t="n">
        <v>1</v>
      </c>
      <c r="P56" t="inlineStr">
        <is>
          <t>O</t>
        </is>
      </c>
    </row>
    <row r="57">
      <c r="A57" t="inlineStr">
        <is>
          <t>UNIONVILLE</t>
        </is>
      </c>
      <c r="B57" t="inlineStr">
        <is>
          <t>SR 1617</t>
        </is>
      </c>
      <c r="C57" t="n">
        <v>0</v>
      </c>
      <c r="E57" t="inlineStr">
        <is>
          <t>SR 1001</t>
        </is>
      </c>
      <c r="G57" t="inlineStr">
        <is>
          <t>SR 1617</t>
        </is>
      </c>
      <c r="H57" t="n">
        <v>0.54</v>
      </c>
      <c r="J57" t="n">
        <v>104716467</v>
      </c>
      <c r="K57" s="11" t="n">
        <v>42487</v>
      </c>
      <c r="L57" t="n">
        <v>30</v>
      </c>
      <c r="M57" t="n">
        <v>1</v>
      </c>
      <c r="N57" t="n">
        <v>7</v>
      </c>
      <c r="O57" t="n">
        <v>1</v>
      </c>
      <c r="P57" t="inlineStr">
        <is>
          <t>O</t>
        </is>
      </c>
    </row>
    <row r="58">
      <c r="A58" t="inlineStr">
        <is>
          <t>FAIRVIEW</t>
        </is>
      </c>
      <c r="B58" t="inlineStr">
        <is>
          <t>SR 1606</t>
        </is>
      </c>
      <c r="C58" t="n">
        <v>0.004</v>
      </c>
      <c r="D58" t="inlineStr">
        <is>
          <t>N</t>
        </is>
      </c>
      <c r="E58" t="inlineStr">
        <is>
          <t>NC 218</t>
        </is>
      </c>
      <c r="F58" t="inlineStr">
        <is>
          <t>SR 1547</t>
        </is>
      </c>
      <c r="G58" t="inlineStr">
        <is>
          <t>SR 1606</t>
        </is>
      </c>
      <c r="H58" t="n">
        <v>2.937</v>
      </c>
      <c r="J58" t="n">
        <v>104726358</v>
      </c>
      <c r="K58" s="11" t="n">
        <v>42497</v>
      </c>
      <c r="L58" t="n">
        <v>19</v>
      </c>
      <c r="M58" t="n">
        <v>1</v>
      </c>
      <c r="N58" t="n">
        <v>0</v>
      </c>
      <c r="O58" t="n">
        <v>5</v>
      </c>
      <c r="P58" t="inlineStr">
        <is>
          <t>C</t>
        </is>
      </c>
    </row>
    <row r="59">
      <c r="A59" t="inlineStr">
        <is>
          <t>RURAL</t>
        </is>
      </c>
      <c r="B59" t="inlineStr">
        <is>
          <t>NC 218</t>
        </is>
      </c>
      <c r="C59" t="n">
        <v>0</v>
      </c>
      <c r="E59" t="inlineStr">
        <is>
          <t>SR 1606</t>
        </is>
      </c>
      <c r="F59" t="inlineStr">
        <is>
          <t>SR 1001</t>
        </is>
      </c>
      <c r="G59" t="inlineStr">
        <is>
          <t>NC 218</t>
        </is>
      </c>
      <c r="H59" t="n">
        <v>8.082000000000001</v>
      </c>
      <c r="J59" t="n">
        <v>104805272</v>
      </c>
      <c r="K59" s="11" t="n">
        <v>42581</v>
      </c>
      <c r="L59" t="n">
        <v>30</v>
      </c>
      <c r="M59" t="n">
        <v>1</v>
      </c>
      <c r="N59" t="n">
        <v>7</v>
      </c>
      <c r="O59" t="n">
        <v>1</v>
      </c>
      <c r="P59" t="inlineStr">
        <is>
          <t>C</t>
        </is>
      </c>
    </row>
    <row r="60">
      <c r="A60" t="inlineStr">
        <is>
          <t>UNIONVILLE</t>
        </is>
      </c>
      <c r="B60" t="inlineStr">
        <is>
          <t>SR 1001</t>
        </is>
      </c>
      <c r="C60" t="n">
        <v>0.1</v>
      </c>
      <c r="D60" t="inlineStr">
        <is>
          <t>S</t>
        </is>
      </c>
      <c r="E60" t="inlineStr">
        <is>
          <t>SR 1619</t>
        </is>
      </c>
      <c r="F60" t="inlineStr">
        <is>
          <t>SR 1615</t>
        </is>
      </c>
      <c r="G60" t="inlineStr">
        <is>
          <t>SR 1001</t>
        </is>
      </c>
      <c r="H60" t="n">
        <v>3.361</v>
      </c>
      <c r="J60" t="n">
        <v>104793661</v>
      </c>
      <c r="K60" s="11" t="n">
        <v>42563</v>
      </c>
      <c r="L60" t="n">
        <v>19</v>
      </c>
      <c r="M60" t="n">
        <v>1</v>
      </c>
      <c r="N60" t="n">
        <v>0</v>
      </c>
      <c r="O60" t="n">
        <v>1</v>
      </c>
      <c r="P60" t="inlineStr">
        <is>
          <t>B</t>
        </is>
      </c>
    </row>
    <row r="61">
      <c r="A61" t="inlineStr">
        <is>
          <t>RURAL</t>
        </is>
      </c>
      <c r="B61" t="inlineStr">
        <is>
          <t>SR 1001</t>
        </is>
      </c>
      <c r="C61" t="n">
        <v>0.23</v>
      </c>
      <c r="D61" t="inlineStr">
        <is>
          <t>N</t>
        </is>
      </c>
      <c r="E61" t="inlineStr">
        <is>
          <t>SR 1654</t>
        </is>
      </c>
      <c r="F61" t="inlineStr">
        <is>
          <t>SR 1658</t>
        </is>
      </c>
      <c r="G61" t="inlineStr">
        <is>
          <t>SR 1001</t>
        </is>
      </c>
      <c r="H61" t="n">
        <v>6.461</v>
      </c>
      <c r="J61" t="n">
        <v>105156270</v>
      </c>
      <c r="K61" s="11" t="n">
        <v>42917</v>
      </c>
      <c r="L61" t="n">
        <v>18</v>
      </c>
      <c r="M61" t="n">
        <v>1</v>
      </c>
      <c r="N61" t="n">
        <v>0</v>
      </c>
      <c r="O61" t="n">
        <v>3</v>
      </c>
      <c r="P61" t="inlineStr">
        <is>
          <t>C</t>
        </is>
      </c>
    </row>
    <row r="62">
      <c r="A62" t="inlineStr">
        <is>
          <t>UNIONVILLE</t>
        </is>
      </c>
      <c r="B62" t="inlineStr">
        <is>
          <t>SR 1611</t>
        </is>
      </c>
      <c r="C62" t="n">
        <v>0.019</v>
      </c>
      <c r="D62" t="inlineStr">
        <is>
          <t>SW</t>
        </is>
      </c>
      <c r="E62" t="inlineStr">
        <is>
          <t>SR 1001</t>
        </is>
      </c>
      <c r="F62" t="inlineStr">
        <is>
          <t>SR 1640</t>
        </is>
      </c>
      <c r="G62" t="inlineStr">
        <is>
          <t>SR 1611</t>
        </is>
      </c>
      <c r="H62" t="n">
        <v>999.999</v>
      </c>
      <c r="J62" t="n">
        <v>104711866</v>
      </c>
      <c r="K62" s="11" t="n">
        <v>42484</v>
      </c>
      <c r="L62" t="n">
        <v>17</v>
      </c>
      <c r="M62" t="n">
        <v>1</v>
      </c>
      <c r="O62" t="n">
        <v>5</v>
      </c>
      <c r="P62" t="inlineStr">
        <is>
          <t>O</t>
        </is>
      </c>
    </row>
    <row r="63">
      <c r="A63" t="inlineStr">
        <is>
          <t>UNIONVILLE</t>
        </is>
      </c>
      <c r="B63" t="inlineStr">
        <is>
          <t>*PP 1518 TOM BOYD RD</t>
        </is>
      </c>
      <c r="C63" t="n">
        <v>0.014</v>
      </c>
      <c r="D63" t="inlineStr">
        <is>
          <t>W</t>
        </is>
      </c>
      <c r="E63" t="inlineStr">
        <is>
          <t>SR 1619</t>
        </is>
      </c>
      <c r="F63" t="inlineStr">
        <is>
          <t>*LCL -</t>
        </is>
      </c>
      <c r="H63" t="n">
        <v>999.999</v>
      </c>
      <c r="J63" t="n">
        <v>104698395</v>
      </c>
      <c r="K63" s="11" t="n">
        <v>42469</v>
      </c>
      <c r="L63" t="n">
        <v>31</v>
      </c>
      <c r="M63" t="n">
        <v>1</v>
      </c>
      <c r="N63" t="n">
        <v>5</v>
      </c>
      <c r="O63" t="n">
        <v>5</v>
      </c>
      <c r="P63" t="inlineStr">
        <is>
          <t>O</t>
        </is>
      </c>
    </row>
    <row r="64">
      <c r="A64" t="inlineStr">
        <is>
          <t>UNIONVILLE</t>
        </is>
      </c>
      <c r="B64" t="inlineStr">
        <is>
          <t>TOM BOYD</t>
        </is>
      </c>
      <c r="C64" t="n">
        <v>0.024</v>
      </c>
      <c r="D64" t="inlineStr">
        <is>
          <t>SE</t>
        </is>
      </c>
      <c r="E64" t="inlineStr">
        <is>
          <t>*LCL LATHAN WOODS DR</t>
        </is>
      </c>
      <c r="F64" t="inlineStr">
        <is>
          <t>OLD CAMDEN</t>
        </is>
      </c>
      <c r="H64" t="n">
        <v>999.999</v>
      </c>
      <c r="J64" t="n">
        <v>104734401</v>
      </c>
      <c r="K64" s="11" t="n">
        <v>42502</v>
      </c>
      <c r="L64" t="n">
        <v>21</v>
      </c>
      <c r="M64" t="n">
        <v>2</v>
      </c>
      <c r="N64" t="n">
        <v>5</v>
      </c>
      <c r="O64" t="n">
        <v>5</v>
      </c>
      <c r="P64" t="inlineStr">
        <is>
          <t>O</t>
        </is>
      </c>
    </row>
    <row r="65">
      <c r="A65" t="inlineStr">
        <is>
          <t>FAIRVIEW</t>
        </is>
      </c>
      <c r="B65" t="inlineStr">
        <is>
          <t>SIKES MILL</t>
        </is>
      </c>
      <c r="C65" t="n">
        <v>0.019</v>
      </c>
      <c r="D65" t="inlineStr">
        <is>
          <t>S</t>
        </is>
      </c>
      <c r="E65" t="inlineStr">
        <is>
          <t>OLD FERRY</t>
        </is>
      </c>
      <c r="F65" t="inlineStr">
        <is>
          <t>BRIEF</t>
        </is>
      </c>
      <c r="G65" t="inlineStr">
        <is>
          <t>SIKES MILL</t>
        </is>
      </c>
      <c r="H65" t="n">
        <v>999.999</v>
      </c>
      <c r="J65" t="n">
        <v>106029162</v>
      </c>
      <c r="K65" s="11" t="n">
        <v>43756</v>
      </c>
      <c r="L65" t="n">
        <v>29</v>
      </c>
      <c r="M65" t="n">
        <v>1</v>
      </c>
      <c r="N65" t="n">
        <v>0</v>
      </c>
      <c r="O65" t="n">
        <v>3</v>
      </c>
      <c r="P65" t="inlineStr">
        <is>
          <t>C</t>
        </is>
      </c>
    </row>
    <row r="66">
      <c r="A66" t="inlineStr">
        <is>
          <t>UNIONVILLE</t>
        </is>
      </c>
      <c r="B66" t="inlineStr">
        <is>
          <t>SIKES MILL</t>
        </is>
      </c>
      <c r="C66" t="n">
        <v>0.19</v>
      </c>
      <c r="D66" t="inlineStr">
        <is>
          <t>S</t>
        </is>
      </c>
      <c r="E66" t="inlineStr">
        <is>
          <t>HENRY SMITH</t>
        </is>
      </c>
      <c r="F66" t="inlineStr">
        <is>
          <t>TOM HELMS</t>
        </is>
      </c>
      <c r="G66" t="inlineStr">
        <is>
          <t>SIKES MILL</t>
        </is>
      </c>
      <c r="H66" t="n">
        <v>999.999</v>
      </c>
      <c r="J66" t="n">
        <v>106612846</v>
      </c>
      <c r="K66" s="11" t="n">
        <v>44377</v>
      </c>
      <c r="L66" t="n">
        <v>21</v>
      </c>
      <c r="M66" t="n">
        <v>1</v>
      </c>
      <c r="N66" t="n">
        <v>0</v>
      </c>
      <c r="O66" t="n">
        <v>1</v>
      </c>
      <c r="P66" t="inlineStr">
        <is>
          <t>C</t>
        </is>
      </c>
    </row>
    <row r="67">
      <c r="A67" t="inlineStr">
        <is>
          <t>FAIRVIEW</t>
        </is>
      </c>
      <c r="B67" t="inlineStr">
        <is>
          <t>NC 218</t>
        </is>
      </c>
      <c r="C67" t="n">
        <v>0</v>
      </c>
      <c r="E67" t="inlineStr">
        <is>
          <t>SR 1606</t>
        </is>
      </c>
      <c r="F67" t="inlineStr">
        <is>
          <t>SR 1547</t>
        </is>
      </c>
      <c r="G67" t="inlineStr">
        <is>
          <t>NC 218</t>
        </is>
      </c>
      <c r="H67" t="n">
        <v>8.082000000000001</v>
      </c>
      <c r="J67" t="n">
        <v>104866502</v>
      </c>
      <c r="K67" s="11" t="n">
        <v>42643</v>
      </c>
      <c r="L67" t="n">
        <v>24</v>
      </c>
      <c r="M67" t="n">
        <v>1</v>
      </c>
      <c r="N67" t="n">
        <v>7</v>
      </c>
      <c r="O67" t="n">
        <v>5</v>
      </c>
      <c r="P67" t="inlineStr">
        <is>
          <t>A</t>
        </is>
      </c>
    </row>
    <row r="68">
      <c r="A68" t="inlineStr">
        <is>
          <t>RURAL</t>
        </is>
      </c>
      <c r="B68" t="inlineStr">
        <is>
          <t>SR 1001</t>
        </is>
      </c>
      <c r="C68" t="n">
        <v>0.008</v>
      </c>
      <c r="D68" t="inlineStr">
        <is>
          <t>N</t>
        </is>
      </c>
      <c r="E68" t="inlineStr">
        <is>
          <t>US 601</t>
        </is>
      </c>
      <c r="F68" t="inlineStr">
        <is>
          <t>SR 1620</t>
        </is>
      </c>
      <c r="G68" t="inlineStr">
        <is>
          <t>SR 1001</t>
        </is>
      </c>
      <c r="H68" t="n">
        <v>0.008</v>
      </c>
      <c r="J68" t="n">
        <v>104867496</v>
      </c>
      <c r="K68" s="11" t="n">
        <v>42643</v>
      </c>
      <c r="L68" t="n">
        <v>19</v>
      </c>
      <c r="M68" t="n">
        <v>1</v>
      </c>
      <c r="N68" t="n">
        <v>8</v>
      </c>
      <c r="O68" t="n">
        <v>5</v>
      </c>
      <c r="P68" t="inlineStr">
        <is>
          <t>O</t>
        </is>
      </c>
    </row>
    <row r="69">
      <c r="A69" t="inlineStr">
        <is>
          <t>UNIONVILLE</t>
        </is>
      </c>
      <c r="B69" t="inlineStr">
        <is>
          <t>PVA PIEDMONT HIGH SCHOOL</t>
        </is>
      </c>
      <c r="C69" t="n">
        <v>0.017</v>
      </c>
      <c r="D69" t="inlineStr">
        <is>
          <t>W</t>
        </is>
      </c>
      <c r="E69" t="inlineStr">
        <is>
          <t>SR 1001</t>
        </is>
      </c>
      <c r="F69" t="inlineStr">
        <is>
          <t>DEAD END</t>
        </is>
      </c>
      <c r="H69" t="n">
        <v>999.999</v>
      </c>
      <c r="J69" t="n">
        <v>104950470</v>
      </c>
      <c r="K69" s="11" t="n">
        <v>42716</v>
      </c>
      <c r="L69" t="n">
        <v>21</v>
      </c>
      <c r="M69" t="n">
        <v>1</v>
      </c>
      <c r="N69" t="n">
        <v>4</v>
      </c>
      <c r="O69" t="n">
        <v>1</v>
      </c>
      <c r="P69" t="inlineStr">
        <is>
          <t>O</t>
        </is>
      </c>
    </row>
    <row r="70">
      <c r="A70" t="inlineStr">
        <is>
          <t>UNIONVILLE</t>
        </is>
      </c>
      <c r="B70" t="inlineStr">
        <is>
          <t>SR 1606</t>
        </is>
      </c>
      <c r="C70" t="n">
        <v>0.002</v>
      </c>
      <c r="D70" t="inlineStr">
        <is>
          <t>S</t>
        </is>
      </c>
      <c r="E70" t="inlineStr">
        <is>
          <t>SR 1611</t>
        </is>
      </c>
      <c r="F70" t="inlineStr">
        <is>
          <t>SR 1615</t>
        </is>
      </c>
      <c r="G70" t="inlineStr">
        <is>
          <t>SR 1606</t>
        </is>
      </c>
      <c r="H70" t="n">
        <v>4.011</v>
      </c>
      <c r="J70" t="n">
        <v>104963318</v>
      </c>
      <c r="K70" s="11" t="n">
        <v>42731</v>
      </c>
      <c r="L70" t="n">
        <v>21</v>
      </c>
      <c r="M70" t="n">
        <v>1</v>
      </c>
      <c r="N70" t="n">
        <v>8</v>
      </c>
      <c r="O70" t="n">
        <v>1</v>
      </c>
      <c r="P70" t="inlineStr">
        <is>
          <t>A</t>
        </is>
      </c>
    </row>
    <row r="71">
      <c r="A71" t="inlineStr">
        <is>
          <t>FAIRVIEW</t>
        </is>
      </c>
      <c r="B71" t="inlineStr">
        <is>
          <t>NC 218</t>
        </is>
      </c>
      <c r="C71" t="n">
        <v>0</v>
      </c>
      <c r="E71" t="inlineStr">
        <is>
          <t>SR 1606</t>
        </is>
      </c>
      <c r="F71" t="inlineStr">
        <is>
          <t>SR 1609</t>
        </is>
      </c>
      <c r="G71" t="inlineStr">
        <is>
          <t>NC 218</t>
        </is>
      </c>
      <c r="H71" t="n">
        <v>8.082000000000001</v>
      </c>
      <c r="J71" t="n">
        <v>104984617</v>
      </c>
      <c r="K71" s="11" t="n">
        <v>42758</v>
      </c>
      <c r="L71" t="n">
        <v>30</v>
      </c>
      <c r="M71" t="n">
        <v>1</v>
      </c>
      <c r="N71" t="n">
        <v>7</v>
      </c>
      <c r="O71" t="n">
        <v>1</v>
      </c>
      <c r="P71" t="inlineStr">
        <is>
          <t>C</t>
        </is>
      </c>
    </row>
    <row r="72">
      <c r="A72" t="inlineStr">
        <is>
          <t>RURAL</t>
        </is>
      </c>
      <c r="B72" t="inlineStr">
        <is>
          <t>SR 1606</t>
        </is>
      </c>
      <c r="C72" t="n">
        <v>0.5</v>
      </c>
      <c r="D72" t="inlineStr">
        <is>
          <t>N</t>
        </is>
      </c>
      <c r="E72" t="inlineStr">
        <is>
          <t>SR 1006</t>
        </is>
      </c>
      <c r="F72" t="inlineStr">
        <is>
          <t>SR 1627</t>
        </is>
      </c>
      <c r="G72" t="inlineStr">
        <is>
          <t>SR 1606</t>
        </is>
      </c>
      <c r="H72" t="n">
        <v>999.999</v>
      </c>
      <c r="J72" t="n">
        <v>104914987</v>
      </c>
      <c r="K72" s="11" t="n">
        <v>42686</v>
      </c>
      <c r="L72" t="n">
        <v>19</v>
      </c>
      <c r="M72" t="n">
        <v>1</v>
      </c>
      <c r="N72" t="n">
        <v>0</v>
      </c>
      <c r="O72" t="n">
        <v>5</v>
      </c>
      <c r="P72" t="inlineStr">
        <is>
          <t>A</t>
        </is>
      </c>
      <c r="Q72" t="n">
        <v>35.038986</v>
      </c>
      <c r="R72" t="n">
        <v>-80.476556</v>
      </c>
      <c r="S72" t="inlineStr">
        <is>
          <t>ITRE_SEVEREINJURY</t>
        </is>
      </c>
    </row>
    <row r="73">
      <c r="A73" t="inlineStr">
        <is>
          <t>UNIONVILLE</t>
        </is>
      </c>
      <c r="B73" t="inlineStr">
        <is>
          <t>SR 1606</t>
        </is>
      </c>
      <c r="C73" t="n">
        <v>0</v>
      </c>
      <c r="E73" t="inlineStr">
        <is>
          <t>SR 1618</t>
        </is>
      </c>
      <c r="F73" t="inlineStr">
        <is>
          <t>SR 1606</t>
        </is>
      </c>
      <c r="G73" t="inlineStr">
        <is>
          <t>SR 1606</t>
        </is>
      </c>
      <c r="H73" t="n">
        <v>6.066</v>
      </c>
      <c r="J73" t="n">
        <v>104942525</v>
      </c>
      <c r="K73" s="11" t="n">
        <v>42713</v>
      </c>
      <c r="L73" t="n">
        <v>26</v>
      </c>
      <c r="M73" t="n">
        <v>1</v>
      </c>
      <c r="N73" t="n">
        <v>10</v>
      </c>
      <c r="O73" t="n">
        <v>1</v>
      </c>
      <c r="P73" t="inlineStr">
        <is>
          <t>C</t>
        </is>
      </c>
    </row>
    <row r="74">
      <c r="A74" t="inlineStr">
        <is>
          <t>NEW SALEM</t>
        </is>
      </c>
      <c r="B74" t="inlineStr">
        <is>
          <t>NC 218</t>
        </is>
      </c>
      <c r="C74" t="n">
        <v>0.028</v>
      </c>
      <c r="D74" t="inlineStr">
        <is>
          <t>E</t>
        </is>
      </c>
      <c r="E74" t="inlineStr">
        <is>
          <t>SR 1001</t>
        </is>
      </c>
      <c r="F74" t="inlineStr">
        <is>
          <t>NC 200</t>
        </is>
      </c>
      <c r="G74" t="inlineStr">
        <is>
          <t>NC 218</t>
        </is>
      </c>
      <c r="H74" t="n">
        <v>9.814</v>
      </c>
      <c r="J74" t="n">
        <v>104859857</v>
      </c>
      <c r="K74" s="11" t="n">
        <v>42633</v>
      </c>
      <c r="L74" t="n">
        <v>21</v>
      </c>
      <c r="M74" t="n">
        <v>1</v>
      </c>
      <c r="N74" t="n">
        <v>0</v>
      </c>
      <c r="O74" t="n">
        <v>1</v>
      </c>
      <c r="P74" t="inlineStr">
        <is>
          <t>O</t>
        </is>
      </c>
    </row>
    <row r="75">
      <c r="A75" t="inlineStr">
        <is>
          <t>RURAL</t>
        </is>
      </c>
      <c r="B75" t="inlineStr">
        <is>
          <t>SR 1001</t>
        </is>
      </c>
      <c r="C75" t="n">
        <v>0.003</v>
      </c>
      <c r="D75" t="inlineStr">
        <is>
          <t>E</t>
        </is>
      </c>
      <c r="E75" t="inlineStr">
        <is>
          <t>US 601</t>
        </is>
      </c>
      <c r="F75" t="inlineStr">
        <is>
          <t>SR 1620</t>
        </is>
      </c>
      <c r="G75" t="inlineStr">
        <is>
          <t>SR 1001</t>
        </is>
      </c>
      <c r="H75" t="n">
        <v>0.003</v>
      </c>
      <c r="J75" t="n">
        <v>105007511</v>
      </c>
      <c r="K75" s="11" t="n">
        <v>42777</v>
      </c>
      <c r="L75" t="n">
        <v>27</v>
      </c>
      <c r="M75" t="n">
        <v>1</v>
      </c>
      <c r="N75" t="n">
        <v>8</v>
      </c>
      <c r="O75" t="n">
        <v>5</v>
      </c>
      <c r="P75" t="inlineStr">
        <is>
          <t>B</t>
        </is>
      </c>
    </row>
    <row r="76">
      <c r="A76" t="inlineStr">
        <is>
          <t>RURAL</t>
        </is>
      </c>
      <c r="B76" t="inlineStr">
        <is>
          <t>SR 1001</t>
        </is>
      </c>
      <c r="C76" t="n">
        <v>0.4</v>
      </c>
      <c r="D76" t="inlineStr">
        <is>
          <t>S</t>
        </is>
      </c>
      <c r="E76" t="inlineStr">
        <is>
          <t>SR 1615</t>
        </is>
      </c>
      <c r="F76" t="inlineStr">
        <is>
          <t>SR 1638</t>
        </is>
      </c>
      <c r="G76" t="inlineStr">
        <is>
          <t>SR 1001</t>
        </is>
      </c>
      <c r="H76" t="n">
        <v>2.471</v>
      </c>
      <c r="J76" t="n">
        <v>104946035</v>
      </c>
      <c r="K76" s="11" t="n">
        <v>42714</v>
      </c>
      <c r="L76" t="n">
        <v>21</v>
      </c>
      <c r="M76" t="n">
        <v>1</v>
      </c>
      <c r="N76" t="n">
        <v>0</v>
      </c>
      <c r="O76" t="n">
        <v>5</v>
      </c>
      <c r="P76" t="inlineStr">
        <is>
          <t>C</t>
        </is>
      </c>
    </row>
    <row r="77">
      <c r="A77" t="inlineStr">
        <is>
          <t>UNIONVILLE</t>
        </is>
      </c>
      <c r="B77" t="inlineStr">
        <is>
          <t>SR 1619</t>
        </is>
      </c>
      <c r="C77" t="n">
        <v>0</v>
      </c>
      <c r="E77" t="inlineStr">
        <is>
          <t>SR 1001</t>
        </is>
      </c>
      <c r="F77" t="inlineStr">
        <is>
          <t>SR 1606</t>
        </is>
      </c>
      <c r="G77" t="inlineStr">
        <is>
          <t>SR 1619</t>
        </is>
      </c>
      <c r="H77" t="n">
        <v>0</v>
      </c>
      <c r="J77" t="n">
        <v>104898405</v>
      </c>
      <c r="K77" s="11" t="n">
        <v>42674</v>
      </c>
      <c r="L77" t="n">
        <v>30</v>
      </c>
      <c r="M77" t="n">
        <v>1</v>
      </c>
      <c r="N77" t="n">
        <v>7</v>
      </c>
      <c r="O77" t="n">
        <v>1</v>
      </c>
      <c r="P77" t="inlineStr">
        <is>
          <t>C</t>
        </is>
      </c>
    </row>
    <row r="78">
      <c r="A78" t="inlineStr">
        <is>
          <t>UNIONVILLE</t>
        </is>
      </c>
      <c r="B78" t="inlineStr">
        <is>
          <t>SR 1618</t>
        </is>
      </c>
      <c r="C78" t="n">
        <v>0.014</v>
      </c>
      <c r="D78" t="inlineStr">
        <is>
          <t>W</t>
        </is>
      </c>
      <c r="E78" t="inlineStr">
        <is>
          <t>SR 1606</t>
        </is>
      </c>
      <c r="F78" t="inlineStr">
        <is>
          <t>SR 2776</t>
        </is>
      </c>
      <c r="G78" t="inlineStr">
        <is>
          <t>SR 1618</t>
        </is>
      </c>
      <c r="H78" t="n">
        <v>0.014</v>
      </c>
      <c r="J78" t="n">
        <v>105139371</v>
      </c>
      <c r="K78" s="11" t="n">
        <v>42898</v>
      </c>
      <c r="L78" t="n">
        <v>19</v>
      </c>
      <c r="M78" t="n">
        <v>1</v>
      </c>
      <c r="N78" t="n">
        <v>10</v>
      </c>
      <c r="O78" t="n">
        <v>1</v>
      </c>
      <c r="P78" t="inlineStr">
        <is>
          <t>O</t>
        </is>
      </c>
    </row>
    <row r="79">
      <c r="A79" t="inlineStr">
        <is>
          <t>UNIONVILLE</t>
        </is>
      </c>
      <c r="B79" t="inlineStr">
        <is>
          <t>SR 1001</t>
        </is>
      </c>
      <c r="C79" t="n">
        <v>0</v>
      </c>
      <c r="E79" t="inlineStr">
        <is>
          <t>SR 1637</t>
        </is>
      </c>
      <c r="F79" t="inlineStr">
        <is>
          <t>SR 1001</t>
        </is>
      </c>
      <c r="G79" t="inlineStr">
        <is>
          <t>SR 1001</t>
        </is>
      </c>
      <c r="H79" t="n">
        <v>4.11</v>
      </c>
      <c r="J79" t="n">
        <v>107563521</v>
      </c>
      <c r="K79" s="11" t="n">
        <v>45273</v>
      </c>
      <c r="L79" t="n">
        <v>28</v>
      </c>
      <c r="M79" t="n">
        <v>1</v>
      </c>
      <c r="N79" t="n">
        <v>10</v>
      </c>
      <c r="O79" t="n">
        <v>5</v>
      </c>
      <c r="P79" t="inlineStr">
        <is>
          <t>O</t>
        </is>
      </c>
      <c r="Q79" t="n">
        <v>35.08894</v>
      </c>
      <c r="R79" t="n">
        <v>-80.49375000000001</v>
      </c>
      <c r="S79" t="inlineStr">
        <is>
          <t>DMV349CLEANED</t>
        </is>
      </c>
    </row>
    <row r="80">
      <c r="A80" t="inlineStr">
        <is>
          <t>RURAL</t>
        </is>
      </c>
      <c r="B80" t="inlineStr">
        <is>
          <t>SR 1001</t>
        </is>
      </c>
      <c r="C80" t="n">
        <v>0</v>
      </c>
      <c r="E80" t="inlineStr">
        <is>
          <t>SR 1617</t>
        </is>
      </c>
      <c r="F80" t="inlineStr">
        <is>
          <t>SR 1615</t>
        </is>
      </c>
      <c r="G80" t="inlineStr">
        <is>
          <t>SR 1001</t>
        </is>
      </c>
      <c r="H80" t="n">
        <v>3.461</v>
      </c>
      <c r="J80" t="n">
        <v>104942804</v>
      </c>
      <c r="K80" s="11" t="n">
        <v>42712</v>
      </c>
      <c r="L80" t="n">
        <v>30</v>
      </c>
      <c r="M80" t="n">
        <v>1</v>
      </c>
      <c r="N80" t="n">
        <v>7</v>
      </c>
      <c r="O80" t="n">
        <v>1</v>
      </c>
      <c r="P80" t="inlineStr">
        <is>
          <t>B</t>
        </is>
      </c>
    </row>
    <row r="81">
      <c r="A81" t="inlineStr">
        <is>
          <t>UNIONVILLE</t>
        </is>
      </c>
      <c r="B81" t="inlineStr">
        <is>
          <t>SR 1001</t>
        </is>
      </c>
      <c r="C81" t="n">
        <v>0</v>
      </c>
      <c r="E81" t="inlineStr">
        <is>
          <t>SR 1617</t>
        </is>
      </c>
      <c r="F81" t="inlineStr">
        <is>
          <t>SR 1615</t>
        </is>
      </c>
      <c r="G81" t="inlineStr">
        <is>
          <t>SR 1001</t>
        </is>
      </c>
      <c r="H81" t="n">
        <v>3.461</v>
      </c>
      <c r="J81" t="n">
        <v>104987740</v>
      </c>
      <c r="K81" s="11" t="n">
        <v>42760</v>
      </c>
      <c r="L81" t="n">
        <v>30</v>
      </c>
      <c r="M81" t="n">
        <v>1</v>
      </c>
      <c r="N81" t="n">
        <v>7</v>
      </c>
      <c r="O81" t="n">
        <v>1</v>
      </c>
      <c r="P81" t="inlineStr">
        <is>
          <t>B</t>
        </is>
      </c>
    </row>
    <row r="82">
      <c r="A82" t="inlineStr">
        <is>
          <t>FAIRVIEW</t>
        </is>
      </c>
      <c r="B82" t="inlineStr">
        <is>
          <t>NC 218</t>
        </is>
      </c>
      <c r="C82" t="n">
        <v>0</v>
      </c>
      <c r="E82" t="inlineStr">
        <is>
          <t>SR 1606</t>
        </is>
      </c>
      <c r="F82" t="inlineStr">
        <is>
          <t>SR 1657</t>
        </is>
      </c>
      <c r="G82" t="inlineStr">
        <is>
          <t>NC 218</t>
        </is>
      </c>
      <c r="H82" t="n">
        <v>8.082000000000001</v>
      </c>
      <c r="J82" t="n">
        <v>104997979</v>
      </c>
      <c r="K82" s="11" t="n">
        <v>42767</v>
      </c>
      <c r="L82" t="n">
        <v>30</v>
      </c>
      <c r="M82" t="n">
        <v>1</v>
      </c>
      <c r="N82" t="n">
        <v>7</v>
      </c>
      <c r="O82" t="n">
        <v>5</v>
      </c>
      <c r="P82" t="inlineStr">
        <is>
          <t>B</t>
        </is>
      </c>
    </row>
    <row r="83">
      <c r="A83" t="inlineStr">
        <is>
          <t>RURAL</t>
        </is>
      </c>
      <c r="B83" t="inlineStr">
        <is>
          <t>SR 1001</t>
        </is>
      </c>
      <c r="C83" t="n">
        <v>0.1</v>
      </c>
      <c r="D83" t="inlineStr">
        <is>
          <t>N</t>
        </is>
      </c>
      <c r="E83" t="inlineStr">
        <is>
          <t>SR 1665</t>
        </is>
      </c>
      <c r="F83" t="inlineStr">
        <is>
          <t>SR 2713</t>
        </is>
      </c>
      <c r="G83" t="inlineStr">
        <is>
          <t>SR 1001</t>
        </is>
      </c>
      <c r="H83" t="n">
        <v>2.315</v>
      </c>
      <c r="J83" t="n">
        <v>104942809</v>
      </c>
      <c r="K83" s="11" t="n">
        <v>42711</v>
      </c>
      <c r="L83" t="n">
        <v>1</v>
      </c>
      <c r="M83" t="n">
        <v>1</v>
      </c>
      <c r="N83" t="n">
        <v>5</v>
      </c>
      <c r="O83" t="n">
        <v>5</v>
      </c>
      <c r="P83" t="inlineStr">
        <is>
          <t>O</t>
        </is>
      </c>
    </row>
    <row r="84">
      <c r="A84" t="inlineStr">
        <is>
          <t>UNIONVILLE</t>
        </is>
      </c>
      <c r="B84" t="inlineStr">
        <is>
          <t>SR 1606</t>
        </is>
      </c>
      <c r="C84" t="n">
        <v>0.008999999999999999</v>
      </c>
      <c r="D84" t="inlineStr">
        <is>
          <t>N</t>
        </is>
      </c>
      <c r="E84" t="inlineStr">
        <is>
          <t>SR 1615</t>
        </is>
      </c>
      <c r="F84" t="inlineStr">
        <is>
          <t>SR 1611</t>
        </is>
      </c>
      <c r="G84" t="inlineStr">
        <is>
          <t>SR 1606</t>
        </is>
      </c>
      <c r="H84" t="n">
        <v>4.582</v>
      </c>
      <c r="J84" t="n">
        <v>105132992</v>
      </c>
      <c r="K84" s="11" t="n">
        <v>42897</v>
      </c>
      <c r="L84" t="n">
        <v>17</v>
      </c>
      <c r="M84" t="n">
        <v>1</v>
      </c>
      <c r="N84" t="n">
        <v>0</v>
      </c>
      <c r="O84" t="n">
        <v>5</v>
      </c>
      <c r="P84" t="inlineStr">
        <is>
          <t>O</t>
        </is>
      </c>
    </row>
    <row r="85">
      <c r="A85" t="inlineStr">
        <is>
          <t>FAIRVIEW</t>
        </is>
      </c>
      <c r="B85" t="inlineStr">
        <is>
          <t>NC 218</t>
        </is>
      </c>
      <c r="C85" t="n">
        <v>0.008999999999999999</v>
      </c>
      <c r="D85" t="inlineStr">
        <is>
          <t>E</t>
        </is>
      </c>
      <c r="E85" t="inlineStr">
        <is>
          <t>SR 1606</t>
        </is>
      </c>
      <c r="F85" t="inlineStr">
        <is>
          <t>SR 1547</t>
        </is>
      </c>
      <c r="G85" t="inlineStr">
        <is>
          <t>NC 218</t>
        </is>
      </c>
      <c r="H85" t="n">
        <v>8.090999999999999</v>
      </c>
      <c r="J85" t="n">
        <v>105152445</v>
      </c>
      <c r="K85" s="11" t="n">
        <v>42922</v>
      </c>
      <c r="L85" t="n">
        <v>21</v>
      </c>
      <c r="M85" t="n">
        <v>1</v>
      </c>
      <c r="N85" t="n">
        <v>7</v>
      </c>
      <c r="O85" t="n">
        <v>1</v>
      </c>
      <c r="P85" t="inlineStr">
        <is>
          <t>O</t>
        </is>
      </c>
    </row>
    <row r="86">
      <c r="A86" t="inlineStr">
        <is>
          <t>FAIRVIEW</t>
        </is>
      </c>
      <c r="B86" t="inlineStr">
        <is>
          <t>SR 1606</t>
        </is>
      </c>
      <c r="C86" t="n">
        <v>0</v>
      </c>
      <c r="E86" t="inlineStr">
        <is>
          <t>NC 218</t>
        </is>
      </c>
      <c r="F86" t="inlineStr">
        <is>
          <t>SR 1609</t>
        </is>
      </c>
      <c r="G86" t="inlineStr">
        <is>
          <t>SR 1606</t>
        </is>
      </c>
      <c r="H86" t="n">
        <v>2.941</v>
      </c>
      <c r="J86" t="n">
        <v>105168368</v>
      </c>
      <c r="K86" s="11" t="n">
        <v>42937</v>
      </c>
      <c r="L86" t="n">
        <v>30</v>
      </c>
      <c r="M86" t="n">
        <v>1</v>
      </c>
      <c r="N86" t="n">
        <v>7</v>
      </c>
      <c r="O86" t="n">
        <v>1</v>
      </c>
      <c r="P86" t="inlineStr">
        <is>
          <t>O</t>
        </is>
      </c>
    </row>
    <row r="87">
      <c r="A87" t="inlineStr">
        <is>
          <t>UNIONVILLE</t>
        </is>
      </c>
      <c r="B87" t="inlineStr">
        <is>
          <t>SR 1001</t>
        </is>
      </c>
      <c r="C87" t="n">
        <v>0</v>
      </c>
      <c r="E87" t="inlineStr">
        <is>
          <t>SR 1617</t>
        </is>
      </c>
      <c r="F87" t="inlineStr">
        <is>
          <t>SR 1618</t>
        </is>
      </c>
      <c r="G87" t="inlineStr">
        <is>
          <t>SR 1001</t>
        </is>
      </c>
      <c r="H87" t="n">
        <v>3.461</v>
      </c>
      <c r="J87" t="n">
        <v>104901954</v>
      </c>
      <c r="K87" s="11" t="n">
        <v>42676</v>
      </c>
      <c r="L87" t="n">
        <v>30</v>
      </c>
      <c r="M87" t="n">
        <v>1</v>
      </c>
      <c r="N87" t="n">
        <v>7</v>
      </c>
      <c r="O87" t="n">
        <v>1</v>
      </c>
      <c r="P87" t="inlineStr">
        <is>
          <t>O</t>
        </is>
      </c>
    </row>
    <row r="88">
      <c r="A88" t="inlineStr">
        <is>
          <t>UNIONVILLE</t>
        </is>
      </c>
      <c r="B88" t="inlineStr">
        <is>
          <t>SR 1001</t>
        </is>
      </c>
      <c r="C88" t="n">
        <v>0</v>
      </c>
      <c r="E88" t="inlineStr">
        <is>
          <t>SR 1617</t>
        </is>
      </c>
      <c r="F88" t="inlineStr">
        <is>
          <t>SR 1615</t>
        </is>
      </c>
      <c r="G88" t="inlineStr">
        <is>
          <t>SR 1001</t>
        </is>
      </c>
      <c r="H88" t="n">
        <v>3.461</v>
      </c>
      <c r="J88" t="n">
        <v>104890928</v>
      </c>
      <c r="K88" s="11" t="n">
        <v>42653</v>
      </c>
      <c r="L88" t="n">
        <v>30</v>
      </c>
      <c r="M88" t="n">
        <v>1</v>
      </c>
      <c r="N88" t="n">
        <v>7</v>
      </c>
      <c r="O88" t="n">
        <v>1</v>
      </c>
      <c r="P88" t="inlineStr">
        <is>
          <t>C</t>
        </is>
      </c>
    </row>
    <row r="89">
      <c r="A89" t="inlineStr">
        <is>
          <t>FAIRVIEW</t>
        </is>
      </c>
      <c r="B89" t="inlineStr">
        <is>
          <t>NC 218</t>
        </is>
      </c>
      <c r="C89" t="n">
        <v>0.001</v>
      </c>
      <c r="D89" t="inlineStr">
        <is>
          <t>W</t>
        </is>
      </c>
      <c r="E89" t="inlineStr">
        <is>
          <t>SR 1606</t>
        </is>
      </c>
      <c r="F89" t="inlineStr">
        <is>
          <t>SR 1609</t>
        </is>
      </c>
      <c r="G89" t="inlineStr">
        <is>
          <t>NC 218</t>
        </is>
      </c>
      <c r="H89" t="n">
        <v>8.081</v>
      </c>
      <c r="J89" t="n">
        <v>104866396</v>
      </c>
      <c r="K89" s="11" t="n">
        <v>42643</v>
      </c>
      <c r="L89" t="n">
        <v>32</v>
      </c>
      <c r="M89" t="n">
        <v>1</v>
      </c>
      <c r="N89" t="n">
        <v>7</v>
      </c>
      <c r="O89" t="n">
        <v>5</v>
      </c>
      <c r="P89" t="inlineStr">
        <is>
          <t>O</t>
        </is>
      </c>
    </row>
    <row r="90">
      <c r="A90" t="inlineStr">
        <is>
          <t>RURAL</t>
        </is>
      </c>
      <c r="B90" t="inlineStr">
        <is>
          <t>SR 1606</t>
        </is>
      </c>
      <c r="C90" t="n">
        <v>0.5</v>
      </c>
      <c r="D90" t="inlineStr">
        <is>
          <t>W</t>
        </is>
      </c>
      <c r="E90" t="inlineStr">
        <is>
          <t>SR 1627</t>
        </is>
      </c>
      <c r="F90" t="inlineStr">
        <is>
          <t>NC 200</t>
        </is>
      </c>
      <c r="G90" t="inlineStr">
        <is>
          <t>SR 1606</t>
        </is>
      </c>
      <c r="H90" t="n">
        <v>999.999</v>
      </c>
      <c r="J90" t="n">
        <v>104877259</v>
      </c>
      <c r="K90" s="11" t="n">
        <v>42655</v>
      </c>
      <c r="L90" t="n">
        <v>29</v>
      </c>
      <c r="M90" t="n">
        <v>1</v>
      </c>
      <c r="N90" t="n">
        <v>0</v>
      </c>
      <c r="O90" t="n">
        <v>1</v>
      </c>
      <c r="P90" t="inlineStr">
        <is>
          <t>O</t>
        </is>
      </c>
    </row>
    <row r="91">
      <c r="A91" t="inlineStr">
        <is>
          <t>UNIONVILLE</t>
        </is>
      </c>
      <c r="B91" t="inlineStr">
        <is>
          <t>NC 218</t>
        </is>
      </c>
      <c r="C91" t="n">
        <v>0</v>
      </c>
      <c r="E91" t="inlineStr">
        <is>
          <t>SR 1606</t>
        </is>
      </c>
      <c r="F91" t="inlineStr">
        <is>
          <t>SR 1111</t>
        </is>
      </c>
      <c r="G91" t="inlineStr">
        <is>
          <t>NC 218</t>
        </is>
      </c>
      <c r="H91" t="n">
        <v>8.082000000000001</v>
      </c>
      <c r="J91" t="n">
        <v>104905109</v>
      </c>
      <c r="K91" s="11" t="n">
        <v>42680</v>
      </c>
      <c r="L91" t="n">
        <v>30</v>
      </c>
      <c r="M91" t="n">
        <v>1</v>
      </c>
      <c r="N91" t="n">
        <v>7</v>
      </c>
      <c r="O91" t="n">
        <v>1</v>
      </c>
      <c r="P91" t="inlineStr">
        <is>
          <t>C</t>
        </is>
      </c>
    </row>
    <row r="92">
      <c r="A92" t="inlineStr">
        <is>
          <t>UNIONVILLE</t>
        </is>
      </c>
      <c r="B92" t="inlineStr">
        <is>
          <t>NC 218</t>
        </is>
      </c>
      <c r="C92" t="n">
        <v>0</v>
      </c>
      <c r="E92" t="inlineStr">
        <is>
          <t>SR 1606</t>
        </is>
      </c>
      <c r="F92" t="inlineStr">
        <is>
          <t>SR 1547</t>
        </is>
      </c>
      <c r="G92" t="inlineStr">
        <is>
          <t>NC 218</t>
        </is>
      </c>
      <c r="H92" t="n">
        <v>8.082000000000001</v>
      </c>
      <c r="J92" t="n">
        <v>105178395</v>
      </c>
      <c r="K92" s="11" t="n">
        <v>42945</v>
      </c>
      <c r="L92" t="n">
        <v>30</v>
      </c>
      <c r="M92" t="n">
        <v>1</v>
      </c>
      <c r="N92" t="n">
        <v>7</v>
      </c>
      <c r="O92" t="n">
        <v>5</v>
      </c>
      <c r="P92" t="inlineStr">
        <is>
          <t>O</t>
        </is>
      </c>
    </row>
    <row r="93">
      <c r="A93" t="inlineStr">
        <is>
          <t>UNIONVILLE</t>
        </is>
      </c>
      <c r="B93" t="inlineStr">
        <is>
          <t>SR 1001</t>
        </is>
      </c>
      <c r="C93" t="n">
        <v>0.19</v>
      </c>
      <c r="D93" t="inlineStr">
        <is>
          <t>S</t>
        </is>
      </c>
      <c r="E93" t="inlineStr">
        <is>
          <t>SR 1617</t>
        </is>
      </c>
      <c r="F93" t="inlineStr">
        <is>
          <t>SR 1615</t>
        </is>
      </c>
      <c r="G93" t="inlineStr">
        <is>
          <t>SR 1001</t>
        </is>
      </c>
      <c r="H93" t="n">
        <v>3.271</v>
      </c>
      <c r="J93" t="n">
        <v>105178491</v>
      </c>
      <c r="K93" s="11" t="n">
        <v>42948</v>
      </c>
      <c r="L93" t="n">
        <v>18</v>
      </c>
      <c r="M93" t="n">
        <v>1</v>
      </c>
      <c r="N93" t="n">
        <v>0</v>
      </c>
      <c r="O93" t="n">
        <v>1</v>
      </c>
      <c r="P93" t="inlineStr">
        <is>
          <t>B</t>
        </is>
      </c>
    </row>
    <row r="94">
      <c r="A94" t="inlineStr">
        <is>
          <t>UNIONVILLE</t>
        </is>
      </c>
      <c r="B94" t="inlineStr">
        <is>
          <t>SR 1606</t>
        </is>
      </c>
      <c r="C94" t="n">
        <v>0.1</v>
      </c>
      <c r="D94" t="inlineStr">
        <is>
          <t>S</t>
        </is>
      </c>
      <c r="E94" t="inlineStr">
        <is>
          <t>SR 1654</t>
        </is>
      </c>
      <c r="F94" t="inlineStr">
        <is>
          <t>SR 1675</t>
        </is>
      </c>
      <c r="G94" t="inlineStr">
        <is>
          <t>SR 1606</t>
        </is>
      </c>
      <c r="H94" t="n">
        <v>3.679</v>
      </c>
      <c r="J94" t="n">
        <v>105220541</v>
      </c>
      <c r="K94" s="11" t="n">
        <v>42989</v>
      </c>
      <c r="L94" t="n">
        <v>19</v>
      </c>
      <c r="M94" t="n">
        <v>2</v>
      </c>
      <c r="N94" t="n">
        <v>0</v>
      </c>
      <c r="O94" t="n">
        <v>5</v>
      </c>
      <c r="P94" t="inlineStr">
        <is>
          <t>O</t>
        </is>
      </c>
    </row>
    <row r="95">
      <c r="A95" t="inlineStr">
        <is>
          <t>RURAL</t>
        </is>
      </c>
      <c r="B95" t="inlineStr">
        <is>
          <t>SR 1606</t>
        </is>
      </c>
      <c r="C95" t="n">
        <v>0.1</v>
      </c>
      <c r="D95" t="inlineStr">
        <is>
          <t>N</t>
        </is>
      </c>
      <c r="E95" t="inlineStr">
        <is>
          <t>NC 218</t>
        </is>
      </c>
      <c r="F95" t="inlineStr">
        <is>
          <t>SR 1547</t>
        </is>
      </c>
      <c r="G95" t="inlineStr">
        <is>
          <t>SR 1606</t>
        </is>
      </c>
      <c r="H95" t="n">
        <v>2.841</v>
      </c>
      <c r="J95" t="n">
        <v>105201844</v>
      </c>
      <c r="K95" s="11" t="n">
        <v>42969</v>
      </c>
      <c r="L95" t="n">
        <v>29</v>
      </c>
      <c r="M95" t="n">
        <v>1</v>
      </c>
      <c r="N95" t="n">
        <v>0</v>
      </c>
      <c r="O95" t="n">
        <v>1</v>
      </c>
      <c r="P95" t="inlineStr">
        <is>
          <t>O</t>
        </is>
      </c>
    </row>
    <row r="96">
      <c r="A96" t="inlineStr">
        <is>
          <t>UNIONVILLE</t>
        </is>
      </c>
      <c r="B96" t="inlineStr">
        <is>
          <t>SR 1001</t>
        </is>
      </c>
      <c r="C96" t="n">
        <v>0.03</v>
      </c>
      <c r="D96" t="inlineStr">
        <is>
          <t>S</t>
        </is>
      </c>
      <c r="E96" t="inlineStr">
        <is>
          <t>SR 1617</t>
        </is>
      </c>
      <c r="F96" t="inlineStr">
        <is>
          <t>SR 1615</t>
        </is>
      </c>
      <c r="G96" t="inlineStr">
        <is>
          <t>SR 1001</t>
        </is>
      </c>
      <c r="H96" t="n">
        <v>3.431</v>
      </c>
      <c r="J96" t="n">
        <v>105208918</v>
      </c>
      <c r="K96" s="11" t="n">
        <v>42979</v>
      </c>
      <c r="L96" t="n">
        <v>27</v>
      </c>
      <c r="M96" t="n">
        <v>3</v>
      </c>
      <c r="N96" t="n">
        <v>0</v>
      </c>
      <c r="O96" t="n">
        <v>1</v>
      </c>
      <c r="P96" t="inlineStr">
        <is>
          <t>C</t>
        </is>
      </c>
    </row>
    <row r="97">
      <c r="A97" t="inlineStr">
        <is>
          <t>NEW SALEM</t>
        </is>
      </c>
      <c r="B97" t="inlineStr">
        <is>
          <t>NC 218</t>
        </is>
      </c>
      <c r="C97" t="n">
        <v>0</v>
      </c>
      <c r="E97" t="inlineStr">
        <is>
          <t>SR 1001</t>
        </is>
      </c>
      <c r="F97" t="inlineStr">
        <is>
          <t>CYRUS LEE</t>
        </is>
      </c>
      <c r="G97" t="inlineStr">
        <is>
          <t>NC 218</t>
        </is>
      </c>
      <c r="H97" t="n">
        <v>9.786</v>
      </c>
      <c r="J97" t="n">
        <v>105125636</v>
      </c>
      <c r="K97" s="11" t="n">
        <v>42890</v>
      </c>
      <c r="L97" t="n">
        <v>21</v>
      </c>
      <c r="M97" t="n">
        <v>1</v>
      </c>
      <c r="N97" t="n">
        <v>12</v>
      </c>
      <c r="O97" t="n">
        <v>1</v>
      </c>
      <c r="P97" t="inlineStr">
        <is>
          <t>O</t>
        </is>
      </c>
    </row>
    <row r="98">
      <c r="A98" t="inlineStr">
        <is>
          <t>FAIRVIEW</t>
        </is>
      </c>
      <c r="B98" t="inlineStr">
        <is>
          <t>NC 218</t>
        </is>
      </c>
      <c r="C98" t="n">
        <v>0.014</v>
      </c>
      <c r="D98" t="inlineStr">
        <is>
          <t>W</t>
        </is>
      </c>
      <c r="E98" t="inlineStr">
        <is>
          <t>SR 1001</t>
        </is>
      </c>
      <c r="F98" t="inlineStr">
        <is>
          <t>SR 1609</t>
        </is>
      </c>
      <c r="G98" t="inlineStr">
        <is>
          <t>NC 218</t>
        </is>
      </c>
      <c r="H98" t="n">
        <v>9.772</v>
      </c>
      <c r="J98" t="n">
        <v>105062907</v>
      </c>
      <c r="K98" s="11" t="n">
        <v>42828</v>
      </c>
      <c r="L98" t="n">
        <v>23</v>
      </c>
      <c r="M98" t="n">
        <v>1</v>
      </c>
      <c r="N98" t="n">
        <v>0</v>
      </c>
      <c r="O98" t="n">
        <v>1</v>
      </c>
      <c r="P98" t="inlineStr">
        <is>
          <t>O</t>
        </is>
      </c>
    </row>
    <row r="99">
      <c r="A99" t="inlineStr">
        <is>
          <t>RURAL</t>
        </is>
      </c>
      <c r="B99" t="inlineStr">
        <is>
          <t>SR 1606</t>
        </is>
      </c>
      <c r="C99" t="n">
        <v>0.1</v>
      </c>
      <c r="D99" t="inlineStr">
        <is>
          <t>S</t>
        </is>
      </c>
      <c r="E99" t="inlineStr">
        <is>
          <t>SR 1617</t>
        </is>
      </c>
      <c r="F99" t="inlineStr">
        <is>
          <t>SR 1634</t>
        </is>
      </c>
      <c r="G99" t="inlineStr">
        <is>
          <t>SR 1606</t>
        </is>
      </c>
      <c r="H99" t="n">
        <v>999.999</v>
      </c>
      <c r="J99" t="n">
        <v>104922359</v>
      </c>
      <c r="K99" s="11" t="n">
        <v>42691</v>
      </c>
      <c r="L99" t="n">
        <v>17</v>
      </c>
      <c r="M99" t="n">
        <v>1</v>
      </c>
      <c r="N99" t="n">
        <v>0</v>
      </c>
      <c r="O99" t="n">
        <v>5</v>
      </c>
      <c r="P99" t="inlineStr">
        <is>
          <t>O</t>
        </is>
      </c>
    </row>
    <row r="100">
      <c r="A100" t="inlineStr">
        <is>
          <t>UNIONVILLE</t>
        </is>
      </c>
      <c r="B100" t="inlineStr">
        <is>
          <t>SR 1001</t>
        </is>
      </c>
      <c r="C100" t="n">
        <v>0</v>
      </c>
      <c r="E100" t="inlineStr">
        <is>
          <t>SR 1665</t>
        </is>
      </c>
      <c r="F100" t="inlineStr">
        <is>
          <t>SR 1615</t>
        </is>
      </c>
      <c r="G100" t="inlineStr">
        <is>
          <t>SR 1001</t>
        </is>
      </c>
      <c r="H100" t="n">
        <v>2.215</v>
      </c>
      <c r="J100" t="n">
        <v>105137812</v>
      </c>
      <c r="K100" s="11" t="n">
        <v>42905</v>
      </c>
      <c r="L100" t="n">
        <v>19</v>
      </c>
      <c r="M100" t="n">
        <v>1</v>
      </c>
      <c r="N100" t="n">
        <v>8</v>
      </c>
      <c r="O100" t="n">
        <v>1</v>
      </c>
      <c r="P100" t="inlineStr">
        <is>
          <t>O</t>
        </is>
      </c>
    </row>
    <row r="101">
      <c r="A101" t="inlineStr">
        <is>
          <t>RURAL</t>
        </is>
      </c>
      <c r="B101" t="inlineStr">
        <is>
          <t>SR 1606</t>
        </is>
      </c>
      <c r="C101" t="n">
        <v>0.2</v>
      </c>
      <c r="D101" t="inlineStr">
        <is>
          <t>S</t>
        </is>
      </c>
      <c r="E101" t="inlineStr">
        <is>
          <t>SR 1547</t>
        </is>
      </c>
      <c r="F101" t="inlineStr">
        <is>
          <t>SR 1607</t>
        </is>
      </c>
      <c r="G101" t="inlineStr">
        <is>
          <t>SR 1606</t>
        </is>
      </c>
      <c r="H101" t="n">
        <v>1.787</v>
      </c>
      <c r="J101" t="n">
        <v>104980363</v>
      </c>
      <c r="K101" s="11" t="n">
        <v>42753</v>
      </c>
      <c r="L101" t="n">
        <v>29</v>
      </c>
      <c r="M101" t="n">
        <v>1</v>
      </c>
      <c r="N101" t="n">
        <v>0</v>
      </c>
      <c r="O101" t="n">
        <v>1</v>
      </c>
      <c r="P101" t="inlineStr">
        <is>
          <t>A</t>
        </is>
      </c>
    </row>
    <row r="102">
      <c r="A102" t="inlineStr">
        <is>
          <t>RURAL</t>
        </is>
      </c>
      <c r="B102" t="inlineStr">
        <is>
          <t>NC 218</t>
        </is>
      </c>
      <c r="C102" t="n">
        <v>0</v>
      </c>
      <c r="E102" t="inlineStr">
        <is>
          <t>SR 1606</t>
        </is>
      </c>
      <c r="F102" t="inlineStr">
        <is>
          <t>NC 200</t>
        </is>
      </c>
      <c r="G102" t="inlineStr">
        <is>
          <t>NC 218</t>
        </is>
      </c>
      <c r="H102" t="n">
        <v>8.082000000000001</v>
      </c>
      <c r="J102" t="n">
        <v>105098258</v>
      </c>
      <c r="K102" s="11" t="n">
        <v>42867</v>
      </c>
      <c r="L102" t="n">
        <v>30</v>
      </c>
      <c r="M102" t="n">
        <v>1</v>
      </c>
      <c r="N102" t="n">
        <v>7</v>
      </c>
      <c r="O102" t="n">
        <v>1</v>
      </c>
      <c r="P102" t="inlineStr">
        <is>
          <t>O</t>
        </is>
      </c>
    </row>
    <row r="103">
      <c r="A103" t="inlineStr">
        <is>
          <t>FAIRVIEW</t>
        </is>
      </c>
      <c r="B103" t="inlineStr">
        <is>
          <t>NC 218</t>
        </is>
      </c>
      <c r="C103" t="n">
        <v>0.004</v>
      </c>
      <c r="D103" t="inlineStr">
        <is>
          <t>W</t>
        </is>
      </c>
      <c r="E103" t="inlineStr">
        <is>
          <t>SR 1001</t>
        </is>
      </c>
      <c r="F103" t="inlineStr">
        <is>
          <t>SR 1609</t>
        </is>
      </c>
      <c r="G103" t="inlineStr">
        <is>
          <t>NC 218</t>
        </is>
      </c>
      <c r="H103" t="n">
        <v>9.782</v>
      </c>
      <c r="J103" t="n">
        <v>105067787</v>
      </c>
      <c r="K103" s="11" t="n">
        <v>42828</v>
      </c>
      <c r="L103" t="n">
        <v>22</v>
      </c>
      <c r="M103" t="n">
        <v>2</v>
      </c>
      <c r="N103" t="n">
        <v>7</v>
      </c>
      <c r="O103" t="n">
        <v>1</v>
      </c>
      <c r="P103" t="inlineStr">
        <is>
          <t>O</t>
        </is>
      </c>
    </row>
    <row r="104">
      <c r="A104" t="inlineStr">
        <is>
          <t>RURAL</t>
        </is>
      </c>
      <c r="B104" t="inlineStr">
        <is>
          <t>NC 218</t>
        </is>
      </c>
      <c r="C104" t="n">
        <v>0</v>
      </c>
      <c r="E104" t="inlineStr">
        <is>
          <t>SR 1001</t>
        </is>
      </c>
      <c r="F104" t="inlineStr">
        <is>
          <t>SR 1547</t>
        </is>
      </c>
      <c r="G104" t="inlineStr">
        <is>
          <t>NC 218</t>
        </is>
      </c>
      <c r="H104" t="n">
        <v>9.786</v>
      </c>
      <c r="J104" t="n">
        <v>105127353</v>
      </c>
      <c r="K104" s="11" t="n">
        <v>42894</v>
      </c>
      <c r="L104" t="n">
        <v>21</v>
      </c>
      <c r="M104" t="n">
        <v>1</v>
      </c>
      <c r="N104" t="n">
        <v>7</v>
      </c>
      <c r="O104" t="n">
        <v>1</v>
      </c>
      <c r="P104" t="inlineStr">
        <is>
          <t>B</t>
        </is>
      </c>
    </row>
    <row r="105">
      <c r="A105" t="inlineStr">
        <is>
          <t>UNIONVILLE</t>
        </is>
      </c>
      <c r="B105" t="inlineStr">
        <is>
          <t>PVA PIEDMONT HIGH SCHOOL</t>
        </is>
      </c>
      <c r="C105" t="n">
        <v>0.017</v>
      </c>
      <c r="D105" t="inlineStr">
        <is>
          <t>W</t>
        </is>
      </c>
      <c r="E105" t="inlineStr">
        <is>
          <t>SR 1001</t>
        </is>
      </c>
      <c r="F105" t="inlineStr">
        <is>
          <t>DEAD END</t>
        </is>
      </c>
      <c r="H105" t="n">
        <v>999.999</v>
      </c>
      <c r="J105" t="n">
        <v>104945962</v>
      </c>
      <c r="K105" s="11" t="n">
        <v>42716</v>
      </c>
      <c r="L105" t="n">
        <v>21</v>
      </c>
      <c r="M105" t="n">
        <v>1</v>
      </c>
      <c r="N105" t="n">
        <v>4</v>
      </c>
      <c r="O105" t="n">
        <v>1</v>
      </c>
      <c r="P105" t="inlineStr">
        <is>
          <t>O</t>
        </is>
      </c>
    </row>
    <row r="106">
      <c r="A106" t="inlineStr">
        <is>
          <t>RURAL</t>
        </is>
      </c>
      <c r="B106" t="inlineStr">
        <is>
          <t>NC 218</t>
        </is>
      </c>
      <c r="C106" t="n">
        <v>0.005</v>
      </c>
      <c r="D106" t="inlineStr">
        <is>
          <t>W</t>
        </is>
      </c>
      <c r="E106" t="inlineStr">
        <is>
          <t>SR 1001</t>
        </is>
      </c>
      <c r="F106" t="inlineStr">
        <is>
          <t>SR 1547</t>
        </is>
      </c>
      <c r="G106" t="inlineStr">
        <is>
          <t>NC 218</t>
        </is>
      </c>
      <c r="H106" t="n">
        <v>9.781000000000001</v>
      </c>
      <c r="J106" t="n">
        <v>105103445</v>
      </c>
      <c r="K106" s="11" t="n">
        <v>42872</v>
      </c>
      <c r="L106" t="n">
        <v>23</v>
      </c>
      <c r="M106" t="n">
        <v>1</v>
      </c>
      <c r="N106" t="n">
        <v>7</v>
      </c>
      <c r="O106" t="n">
        <v>1</v>
      </c>
      <c r="P106" t="inlineStr">
        <is>
          <t>B</t>
        </is>
      </c>
    </row>
    <row r="107">
      <c r="A107" t="inlineStr">
        <is>
          <t>RURAL</t>
        </is>
      </c>
      <c r="B107" t="inlineStr">
        <is>
          <t>SR 1606</t>
        </is>
      </c>
      <c r="C107" t="n">
        <v>0.2</v>
      </c>
      <c r="D107" t="inlineStr">
        <is>
          <t>N</t>
        </is>
      </c>
      <c r="E107" t="inlineStr">
        <is>
          <t>SR 1006</t>
        </is>
      </c>
      <c r="F107" t="inlineStr">
        <is>
          <t>SR 1001</t>
        </is>
      </c>
      <c r="G107" t="inlineStr">
        <is>
          <t>SR 1606</t>
        </is>
      </c>
      <c r="H107" t="n">
        <v>999.999</v>
      </c>
      <c r="J107" t="n">
        <v>105161843</v>
      </c>
      <c r="K107" s="11" t="n">
        <v>42929</v>
      </c>
      <c r="L107" t="n">
        <v>29</v>
      </c>
      <c r="M107" t="n">
        <v>1</v>
      </c>
      <c r="N107" t="n">
        <v>0</v>
      </c>
      <c r="O107" t="n">
        <v>1</v>
      </c>
      <c r="P107" t="inlineStr">
        <is>
          <t>O</t>
        </is>
      </c>
    </row>
    <row r="108">
      <c r="A108" t="inlineStr">
        <is>
          <t>UNIONVILLE</t>
        </is>
      </c>
      <c r="B108" t="inlineStr">
        <is>
          <t>LOVE MILL</t>
        </is>
      </c>
      <c r="C108" t="n">
        <v>0.005</v>
      </c>
      <c r="D108" t="inlineStr">
        <is>
          <t>E</t>
        </is>
      </c>
      <c r="E108" t="inlineStr">
        <is>
          <t>SIKES MILL</t>
        </is>
      </c>
      <c r="F108" t="inlineStr">
        <is>
          <t>PIEDMONT SCHOOL</t>
        </is>
      </c>
      <c r="G108" t="inlineStr">
        <is>
          <t>LOVE MILL</t>
        </is>
      </c>
      <c r="H108" t="n">
        <v>999.999</v>
      </c>
      <c r="J108" t="n">
        <v>107319671</v>
      </c>
      <c r="K108" s="11" t="n">
        <v>45035</v>
      </c>
      <c r="L108" t="n">
        <v>21</v>
      </c>
      <c r="M108" t="n">
        <v>1</v>
      </c>
      <c r="N108" t="n">
        <v>10</v>
      </c>
      <c r="O108" t="n">
        <v>1</v>
      </c>
      <c r="P108" t="inlineStr">
        <is>
          <t>O</t>
        </is>
      </c>
    </row>
    <row r="109">
      <c r="A109" t="inlineStr">
        <is>
          <t>UNIONVILLE</t>
        </is>
      </c>
      <c r="B109" t="inlineStr">
        <is>
          <t>PVA MARATHON GAS STATION</t>
        </is>
      </c>
      <c r="C109" t="n">
        <v>0.014</v>
      </c>
      <c r="D109" t="inlineStr">
        <is>
          <t>W</t>
        </is>
      </c>
      <c r="E109" t="inlineStr">
        <is>
          <t>SR 1606</t>
        </is>
      </c>
      <c r="F109" t="inlineStr">
        <is>
          <t>SR 1001</t>
        </is>
      </c>
      <c r="H109" t="n">
        <v>999.999</v>
      </c>
      <c r="J109" t="n">
        <v>105060300</v>
      </c>
      <c r="K109" s="11" t="n">
        <v>42814</v>
      </c>
      <c r="L109" t="n">
        <v>31</v>
      </c>
      <c r="M109" t="n">
        <v>1</v>
      </c>
      <c r="N109" t="n">
        <v>4</v>
      </c>
      <c r="O109" t="n">
        <v>1</v>
      </c>
      <c r="P109" t="inlineStr">
        <is>
          <t>O</t>
        </is>
      </c>
    </row>
    <row r="110">
      <c r="A110" t="inlineStr">
        <is>
          <t>UNIONVILLE</t>
        </is>
      </c>
      <c r="B110" t="inlineStr">
        <is>
          <t>SIKES MILL</t>
        </is>
      </c>
      <c r="C110" t="n">
        <v>0.057</v>
      </c>
      <c r="D110" t="inlineStr">
        <is>
          <t>N</t>
        </is>
      </c>
      <c r="E110" t="inlineStr">
        <is>
          <t>HENRY SMITH</t>
        </is>
      </c>
      <c r="F110" t="inlineStr">
        <is>
          <t>*LCL TOM HELMS ROAD</t>
        </is>
      </c>
      <c r="G110" t="inlineStr">
        <is>
          <t>SIKES MILL</t>
        </is>
      </c>
      <c r="H110" t="n">
        <v>999.999</v>
      </c>
      <c r="J110" t="n">
        <v>106910959</v>
      </c>
      <c r="K110" s="11" t="n">
        <v>44652</v>
      </c>
      <c r="L110" t="n">
        <v>24</v>
      </c>
      <c r="M110" t="n">
        <v>1</v>
      </c>
      <c r="N110" t="n">
        <v>4</v>
      </c>
      <c r="O110" t="n">
        <v>1</v>
      </c>
      <c r="P110" t="inlineStr">
        <is>
          <t>O</t>
        </is>
      </c>
    </row>
    <row r="111">
      <c r="A111" t="inlineStr">
        <is>
          <t>FAIRVIEW</t>
        </is>
      </c>
      <c r="B111" t="inlineStr">
        <is>
          <t>SR 1606</t>
        </is>
      </c>
      <c r="C111" t="n">
        <v>0.2</v>
      </c>
      <c r="D111" t="inlineStr">
        <is>
          <t>S</t>
        </is>
      </c>
      <c r="E111" t="inlineStr">
        <is>
          <t>SR 1547</t>
        </is>
      </c>
      <c r="F111" t="inlineStr">
        <is>
          <t>NC 218</t>
        </is>
      </c>
      <c r="G111" t="inlineStr">
        <is>
          <t>SR 1606</t>
        </is>
      </c>
      <c r="H111" t="n">
        <v>1.787</v>
      </c>
      <c r="J111" t="n">
        <v>105043332</v>
      </c>
      <c r="K111" s="11" t="n">
        <v>42810</v>
      </c>
      <c r="L111" t="n">
        <v>29</v>
      </c>
      <c r="M111" t="n">
        <v>1</v>
      </c>
      <c r="N111" t="n">
        <v>0</v>
      </c>
      <c r="O111" t="n">
        <v>1</v>
      </c>
      <c r="P111" t="inlineStr">
        <is>
          <t>O</t>
        </is>
      </c>
    </row>
    <row r="112">
      <c r="A112" t="inlineStr">
        <is>
          <t>UNIONVILLE</t>
        </is>
      </c>
      <c r="B112" t="inlineStr">
        <is>
          <t>NC 218</t>
        </is>
      </c>
      <c r="C112" t="n">
        <v>0</v>
      </c>
      <c r="E112" t="inlineStr">
        <is>
          <t>SR 1001</t>
        </is>
      </c>
      <c r="F112" t="inlineStr">
        <is>
          <t>NC 200</t>
        </is>
      </c>
      <c r="G112" t="inlineStr">
        <is>
          <t>NC 218</t>
        </is>
      </c>
      <c r="H112" t="n">
        <v>9.786</v>
      </c>
      <c r="J112" t="n">
        <v>105085947</v>
      </c>
      <c r="K112" s="11" t="n">
        <v>42845</v>
      </c>
      <c r="L112" t="n">
        <v>21</v>
      </c>
      <c r="M112" t="n">
        <v>1</v>
      </c>
      <c r="N112" t="n">
        <v>7</v>
      </c>
      <c r="O112" t="n">
        <v>1</v>
      </c>
      <c r="P112" t="inlineStr">
        <is>
          <t>C</t>
        </is>
      </c>
    </row>
    <row r="113">
      <c r="A113" t="inlineStr">
        <is>
          <t>UNIONVILLE</t>
        </is>
      </c>
      <c r="B113" t="inlineStr">
        <is>
          <t>SR 1001</t>
        </is>
      </c>
      <c r="C113" t="n">
        <v>0.006</v>
      </c>
      <c r="D113" t="inlineStr">
        <is>
          <t>S</t>
        </is>
      </c>
      <c r="E113" t="inlineStr">
        <is>
          <t>SR 2713</t>
        </is>
      </c>
      <c r="F113" t="inlineStr">
        <is>
          <t>SR 1665</t>
        </is>
      </c>
      <c r="G113" t="inlineStr">
        <is>
          <t>SR 1001</t>
        </is>
      </c>
      <c r="H113" t="n">
        <v>2.519</v>
      </c>
      <c r="J113" t="n">
        <v>108208937</v>
      </c>
      <c r="K113" s="11" t="n">
        <v>45883</v>
      </c>
      <c r="L113" t="n">
        <v>19</v>
      </c>
      <c r="M113" t="n">
        <v>1</v>
      </c>
      <c r="N113" t="n">
        <v>0</v>
      </c>
      <c r="O113" t="n">
        <v>1</v>
      </c>
      <c r="P113" t="inlineStr">
        <is>
          <t>A</t>
        </is>
      </c>
      <c r="Q113" t="n">
        <v>35.072535</v>
      </c>
      <c r="R113" t="n">
        <v>-80.51289</v>
      </c>
      <c r="S113" t="inlineStr">
        <is>
          <t>DMV349CLEANED</t>
        </is>
      </c>
    </row>
    <row r="114">
      <c r="A114" t="inlineStr">
        <is>
          <t>UNIONVILLE</t>
        </is>
      </c>
      <c r="B114" t="inlineStr">
        <is>
          <t>SR 1001</t>
        </is>
      </c>
      <c r="C114" t="n">
        <v>0</v>
      </c>
      <c r="E114" t="inlineStr">
        <is>
          <t>SR 1617</t>
        </is>
      </c>
      <c r="F114" t="inlineStr">
        <is>
          <t>SR 1615</t>
        </is>
      </c>
      <c r="G114" t="inlineStr">
        <is>
          <t>SR 1001</t>
        </is>
      </c>
      <c r="H114" t="n">
        <v>3.461</v>
      </c>
      <c r="J114" t="n">
        <v>105210461</v>
      </c>
      <c r="K114" s="11" t="n">
        <v>42977</v>
      </c>
      <c r="L114" t="n">
        <v>30</v>
      </c>
      <c r="M114" t="n">
        <v>1</v>
      </c>
      <c r="N114" t="n">
        <v>7</v>
      </c>
      <c r="O114" t="n">
        <v>1</v>
      </c>
      <c r="P114" t="inlineStr">
        <is>
          <t>C</t>
        </is>
      </c>
    </row>
    <row r="115">
      <c r="A115" t="inlineStr">
        <is>
          <t>UNIONVILLE</t>
        </is>
      </c>
      <c r="B115" t="inlineStr">
        <is>
          <t>PVA PIEDMONT HIGH SCHOOL</t>
        </is>
      </c>
      <c r="C115" t="n">
        <v>0.008999999999999999</v>
      </c>
      <c r="D115" t="inlineStr">
        <is>
          <t>W</t>
        </is>
      </c>
      <c r="E115" t="inlineStr">
        <is>
          <t>SR 1001</t>
        </is>
      </c>
      <c r="F115" t="inlineStr">
        <is>
          <t>*LCL -</t>
        </is>
      </c>
      <c r="H115" t="n">
        <v>999.999</v>
      </c>
      <c r="J115" t="n">
        <v>104865813</v>
      </c>
      <c r="K115" s="11" t="n">
        <v>42642</v>
      </c>
      <c r="L115" t="n">
        <v>21</v>
      </c>
      <c r="M115" t="n">
        <v>2</v>
      </c>
      <c r="N115" t="n">
        <v>4</v>
      </c>
      <c r="O115" t="n">
        <v>1</v>
      </c>
      <c r="P115" t="inlineStr">
        <is>
          <t>C</t>
        </is>
      </c>
    </row>
    <row r="116">
      <c r="A116" t="inlineStr">
        <is>
          <t>UNIONVILLE</t>
        </is>
      </c>
      <c r="B116" t="inlineStr">
        <is>
          <t>SR 1001</t>
        </is>
      </c>
      <c r="C116" t="n">
        <v>0.1</v>
      </c>
      <c r="D116" t="inlineStr">
        <is>
          <t>N</t>
        </is>
      </c>
      <c r="E116" t="inlineStr">
        <is>
          <t>SR 1665</t>
        </is>
      </c>
      <c r="F116" t="inlineStr">
        <is>
          <t>SR 2713</t>
        </is>
      </c>
      <c r="G116" t="inlineStr">
        <is>
          <t>SR 1001</t>
        </is>
      </c>
      <c r="H116" t="n">
        <v>2.315</v>
      </c>
      <c r="J116" t="n">
        <v>105183265</v>
      </c>
      <c r="K116" s="11" t="n">
        <v>42954</v>
      </c>
      <c r="L116" t="n">
        <v>23</v>
      </c>
      <c r="M116" t="n">
        <v>1</v>
      </c>
      <c r="N116" t="n">
        <v>0</v>
      </c>
      <c r="O116" t="n">
        <v>1</v>
      </c>
      <c r="P116" t="inlineStr">
        <is>
          <t>B</t>
        </is>
      </c>
    </row>
    <row r="117">
      <c r="A117" t="inlineStr">
        <is>
          <t>UNIONVILLE</t>
        </is>
      </c>
      <c r="B117" t="inlineStr">
        <is>
          <t>TOM BOYD</t>
        </is>
      </c>
      <c r="C117" t="n">
        <v>0.011</v>
      </c>
      <c r="D117" t="inlineStr">
        <is>
          <t>S</t>
        </is>
      </c>
      <c r="E117" t="inlineStr">
        <is>
          <t>UNIONVILLE</t>
        </is>
      </c>
      <c r="F117" t="inlineStr">
        <is>
          <t>SIKES MILL</t>
        </is>
      </c>
      <c r="H117" t="n">
        <v>999.999</v>
      </c>
      <c r="J117" t="n">
        <v>105230136</v>
      </c>
      <c r="K117" s="11" t="n">
        <v>42997</v>
      </c>
      <c r="L117" t="n">
        <v>13</v>
      </c>
      <c r="M117" t="n">
        <v>1</v>
      </c>
      <c r="N117" t="n">
        <v>8</v>
      </c>
      <c r="O117" t="n">
        <v>1</v>
      </c>
      <c r="P117" t="inlineStr">
        <is>
          <t>O</t>
        </is>
      </c>
    </row>
    <row r="118">
      <c r="A118" t="inlineStr">
        <is>
          <t>RURAL</t>
        </is>
      </c>
      <c r="B118" t="inlineStr">
        <is>
          <t>SR 1606</t>
        </is>
      </c>
      <c r="C118" t="n">
        <v>0</v>
      </c>
      <c r="E118" t="inlineStr">
        <is>
          <t>SR 1607</t>
        </is>
      </c>
      <c r="F118" t="inlineStr">
        <is>
          <t>CL-STANLY</t>
        </is>
      </c>
      <c r="G118" t="inlineStr">
        <is>
          <t>SR 1606</t>
        </is>
      </c>
      <c r="H118" t="n">
        <v>1.084</v>
      </c>
      <c r="J118" t="n">
        <v>105199689</v>
      </c>
      <c r="K118" s="11" t="n">
        <v>42968</v>
      </c>
      <c r="L118" t="n">
        <v>26</v>
      </c>
      <c r="M118" t="n">
        <v>1</v>
      </c>
      <c r="N118" t="n">
        <v>7</v>
      </c>
      <c r="O118" t="n">
        <v>1</v>
      </c>
      <c r="P118" t="inlineStr">
        <is>
          <t>O</t>
        </is>
      </c>
    </row>
    <row r="119">
      <c r="A119" t="inlineStr">
        <is>
          <t>UNIONVILLE</t>
        </is>
      </c>
      <c r="B119" t="inlineStr">
        <is>
          <t>PVA PIEDMONT MIDDLE SCHOOL</t>
        </is>
      </c>
      <c r="C119" t="n">
        <v>0.019</v>
      </c>
      <c r="D119" t="inlineStr">
        <is>
          <t>E</t>
        </is>
      </c>
      <c r="E119" t="inlineStr">
        <is>
          <t>SR 1606</t>
        </is>
      </c>
      <c r="F119" t="inlineStr">
        <is>
          <t>DEAD END</t>
        </is>
      </c>
      <c r="H119" t="n">
        <v>999.999</v>
      </c>
      <c r="J119" t="n">
        <v>105226618</v>
      </c>
      <c r="K119" s="11" t="n">
        <v>42998</v>
      </c>
      <c r="L119" t="n">
        <v>21</v>
      </c>
      <c r="M119" t="n">
        <v>1</v>
      </c>
      <c r="N119" t="n">
        <v>8</v>
      </c>
      <c r="O119" t="n">
        <v>1</v>
      </c>
      <c r="P119" t="inlineStr">
        <is>
          <t>O</t>
        </is>
      </c>
    </row>
    <row r="120">
      <c r="A120" t="inlineStr">
        <is>
          <t>UNIONVILLE</t>
        </is>
      </c>
      <c r="B120" t="inlineStr">
        <is>
          <t>SR 1001</t>
        </is>
      </c>
      <c r="C120" t="n">
        <v>0.2</v>
      </c>
      <c r="D120" t="inlineStr">
        <is>
          <t>N</t>
        </is>
      </c>
      <c r="E120" t="inlineStr">
        <is>
          <t>SR 1617</t>
        </is>
      </c>
      <c r="F120" t="inlineStr">
        <is>
          <t>SR 1637</t>
        </is>
      </c>
      <c r="G120" t="inlineStr">
        <is>
          <t>SR 1001</t>
        </is>
      </c>
      <c r="H120" t="n">
        <v>3.661</v>
      </c>
      <c r="J120" t="n">
        <v>105191883</v>
      </c>
      <c r="K120" s="11" t="n">
        <v>42961</v>
      </c>
      <c r="L120" t="n">
        <v>24</v>
      </c>
      <c r="M120" t="n">
        <v>1</v>
      </c>
      <c r="N120" t="n">
        <v>4</v>
      </c>
      <c r="O120" t="n">
        <v>1</v>
      </c>
      <c r="P120" t="inlineStr">
        <is>
          <t>O</t>
        </is>
      </c>
    </row>
    <row r="121">
      <c r="A121" t="inlineStr">
        <is>
          <t>FAIRVIEW</t>
        </is>
      </c>
      <c r="B121" t="inlineStr">
        <is>
          <t>NC 218</t>
        </is>
      </c>
      <c r="C121" t="n">
        <v>0</v>
      </c>
      <c r="E121" t="inlineStr">
        <is>
          <t>SR 1606</t>
        </is>
      </c>
      <c r="F121" t="inlineStr">
        <is>
          <t>SR 1609</t>
        </is>
      </c>
      <c r="G121" t="inlineStr">
        <is>
          <t>NC 218</t>
        </is>
      </c>
      <c r="H121" t="n">
        <v>8.082000000000001</v>
      </c>
      <c r="J121" t="n">
        <v>105184681</v>
      </c>
      <c r="K121" s="11" t="n">
        <v>42955</v>
      </c>
      <c r="L121" t="n">
        <v>30</v>
      </c>
      <c r="M121" t="n">
        <v>2</v>
      </c>
      <c r="N121" t="n">
        <v>7</v>
      </c>
      <c r="O121" t="n">
        <v>1</v>
      </c>
      <c r="P121" t="inlineStr">
        <is>
          <t>C</t>
        </is>
      </c>
    </row>
    <row r="122">
      <c r="A122" t="inlineStr">
        <is>
          <t>UNIONVILLE</t>
        </is>
      </c>
      <c r="B122" t="inlineStr">
        <is>
          <t>SR 1606</t>
        </is>
      </c>
      <c r="C122" t="n">
        <v>0.008999999999999999</v>
      </c>
      <c r="D122" t="inlineStr">
        <is>
          <t>E</t>
        </is>
      </c>
      <c r="E122" t="inlineStr">
        <is>
          <t>SR 1618</t>
        </is>
      </c>
      <c r="F122" t="inlineStr">
        <is>
          <t>SR 1001</t>
        </is>
      </c>
      <c r="G122" t="inlineStr">
        <is>
          <t>SR 1606</t>
        </is>
      </c>
      <c r="H122" t="n">
        <v>6.057</v>
      </c>
      <c r="J122" t="n">
        <v>105225441</v>
      </c>
      <c r="K122" s="11" t="n">
        <v>42997</v>
      </c>
      <c r="L122" t="n">
        <v>30</v>
      </c>
      <c r="M122" t="n">
        <v>1</v>
      </c>
      <c r="N122" t="n">
        <v>10</v>
      </c>
      <c r="O122" t="n">
        <v>1</v>
      </c>
      <c r="P122" t="inlineStr">
        <is>
          <t>O</t>
        </is>
      </c>
    </row>
    <row r="123">
      <c r="A123" t="inlineStr">
        <is>
          <t>UNIONVILLE</t>
        </is>
      </c>
      <c r="B123" t="inlineStr">
        <is>
          <t>SR 1001</t>
        </is>
      </c>
      <c r="C123" t="n">
        <v>0.2</v>
      </c>
      <c r="D123" t="inlineStr">
        <is>
          <t>N</t>
        </is>
      </c>
      <c r="E123" t="inlineStr">
        <is>
          <t>SR 1615</t>
        </is>
      </c>
      <c r="F123" t="inlineStr">
        <is>
          <t>SR 1617</t>
        </is>
      </c>
      <c r="G123" t="inlineStr">
        <is>
          <t>SR 1001</t>
        </is>
      </c>
      <c r="H123" t="n">
        <v>3.071</v>
      </c>
      <c r="J123" t="n">
        <v>105257437</v>
      </c>
      <c r="K123" s="11" t="n">
        <v>43024</v>
      </c>
      <c r="L123" t="n">
        <v>17</v>
      </c>
      <c r="M123" t="n">
        <v>1</v>
      </c>
      <c r="N123" t="n">
        <v>0</v>
      </c>
      <c r="O123" t="n">
        <v>5</v>
      </c>
      <c r="P123" t="inlineStr">
        <is>
          <t>O</t>
        </is>
      </c>
    </row>
    <row r="124">
      <c r="A124" t="inlineStr">
        <is>
          <t>UNIONVILLE</t>
        </is>
      </c>
      <c r="B124" t="inlineStr">
        <is>
          <t>SR 1001</t>
        </is>
      </c>
      <c r="C124" t="n">
        <v>0.2</v>
      </c>
      <c r="D124" t="inlineStr">
        <is>
          <t>N</t>
        </is>
      </c>
      <c r="E124" t="inlineStr">
        <is>
          <t>SR 1615</t>
        </is>
      </c>
      <c r="F124" t="inlineStr">
        <is>
          <t>SR 1617</t>
        </is>
      </c>
      <c r="G124" t="inlineStr">
        <is>
          <t>SR 1001</t>
        </is>
      </c>
      <c r="H124" t="n">
        <v>3.071</v>
      </c>
      <c r="J124" t="n">
        <v>105245689</v>
      </c>
      <c r="K124" s="11" t="n">
        <v>43015</v>
      </c>
      <c r="L124" t="n">
        <v>17</v>
      </c>
      <c r="M124" t="n">
        <v>2</v>
      </c>
      <c r="O124" t="n">
        <v>1</v>
      </c>
      <c r="P124" t="inlineStr">
        <is>
          <t>O</t>
        </is>
      </c>
    </row>
    <row r="125">
      <c r="A125" t="inlineStr">
        <is>
          <t>NEW SALEM</t>
        </is>
      </c>
      <c r="B125" t="inlineStr">
        <is>
          <t>NC 218</t>
        </is>
      </c>
      <c r="C125" t="n">
        <v>0</v>
      </c>
      <c r="E125" t="inlineStr">
        <is>
          <t>SR 1001</t>
        </is>
      </c>
      <c r="F125" t="inlineStr">
        <is>
          <t>SR 1547</t>
        </is>
      </c>
      <c r="G125" t="inlineStr">
        <is>
          <t>NC 218</t>
        </is>
      </c>
      <c r="H125" t="n">
        <v>9.786</v>
      </c>
      <c r="J125" t="n">
        <v>105326336</v>
      </c>
      <c r="K125" s="11" t="n">
        <v>43082</v>
      </c>
      <c r="L125" t="n">
        <v>21</v>
      </c>
      <c r="M125" t="n">
        <v>1</v>
      </c>
      <c r="N125" t="n">
        <v>7</v>
      </c>
      <c r="O125" t="n">
        <v>1</v>
      </c>
      <c r="P125" t="inlineStr">
        <is>
          <t>B</t>
        </is>
      </c>
    </row>
    <row r="126">
      <c r="A126" t="inlineStr">
        <is>
          <t>UNIONVILLE</t>
        </is>
      </c>
      <c r="B126" t="inlineStr">
        <is>
          <t>SR 1611</t>
        </is>
      </c>
      <c r="C126" t="n">
        <v>0.006</v>
      </c>
      <c r="D126" t="inlineStr">
        <is>
          <t>W</t>
        </is>
      </c>
      <c r="E126" t="inlineStr">
        <is>
          <t>SR 1606</t>
        </is>
      </c>
      <c r="F126" t="inlineStr">
        <is>
          <t>SR 1640</t>
        </is>
      </c>
      <c r="G126" t="inlineStr">
        <is>
          <t>SR 1611</t>
        </is>
      </c>
      <c r="H126" t="n">
        <v>3.361</v>
      </c>
      <c r="J126" t="n">
        <v>105387651</v>
      </c>
      <c r="K126" s="11" t="n">
        <v>43149</v>
      </c>
      <c r="L126" t="n">
        <v>18</v>
      </c>
      <c r="M126" t="n">
        <v>1</v>
      </c>
      <c r="N126" t="n">
        <v>0</v>
      </c>
      <c r="O126" t="n">
        <v>1</v>
      </c>
      <c r="P126" t="inlineStr">
        <is>
          <t>O</t>
        </is>
      </c>
    </row>
    <row r="127">
      <c r="A127" t="inlineStr">
        <is>
          <t>UNIONVILLE</t>
        </is>
      </c>
      <c r="B127" t="inlineStr">
        <is>
          <t>SR 1619</t>
        </is>
      </c>
      <c r="C127" t="n">
        <v>0.095</v>
      </c>
      <c r="D127" t="inlineStr">
        <is>
          <t>E</t>
        </is>
      </c>
      <c r="E127" t="inlineStr">
        <is>
          <t>SR 1001</t>
        </is>
      </c>
      <c r="F127" t="inlineStr">
        <is>
          <t>SR 1606</t>
        </is>
      </c>
      <c r="G127" t="inlineStr">
        <is>
          <t>SR 1619</t>
        </is>
      </c>
      <c r="H127" t="n">
        <v>0.095</v>
      </c>
      <c r="J127" t="n">
        <v>105344181</v>
      </c>
      <c r="K127" s="11" t="n">
        <v>43104</v>
      </c>
      <c r="L127" t="n">
        <v>29</v>
      </c>
      <c r="M127" t="n">
        <v>1</v>
      </c>
      <c r="N127" t="n">
        <v>0</v>
      </c>
      <c r="O127" t="n">
        <v>1</v>
      </c>
      <c r="P127" t="inlineStr">
        <is>
          <t>O</t>
        </is>
      </c>
    </row>
    <row r="128">
      <c r="A128" t="inlineStr">
        <is>
          <t>UNIONVILLE</t>
        </is>
      </c>
      <c r="B128" t="inlineStr">
        <is>
          <t>SR 1617</t>
        </is>
      </c>
      <c r="C128" t="n">
        <v>0.1</v>
      </c>
      <c r="D128" t="inlineStr">
        <is>
          <t>E</t>
        </is>
      </c>
      <c r="E128" t="inlineStr">
        <is>
          <t>SR 1615</t>
        </is>
      </c>
      <c r="F128" t="inlineStr">
        <is>
          <t>SR 1001</t>
        </is>
      </c>
      <c r="G128" t="inlineStr">
        <is>
          <t>SR 1617</t>
        </is>
      </c>
      <c r="H128" t="n">
        <v>0.1</v>
      </c>
      <c r="J128" t="n">
        <v>105356713</v>
      </c>
      <c r="K128" s="11" t="n">
        <v>43119</v>
      </c>
      <c r="L128" t="n">
        <v>19</v>
      </c>
      <c r="M128" t="n">
        <v>4</v>
      </c>
      <c r="N128" t="n">
        <v>0</v>
      </c>
      <c r="O128" t="n">
        <v>5</v>
      </c>
      <c r="P128" t="inlineStr">
        <is>
          <t>O</t>
        </is>
      </c>
    </row>
    <row r="129">
      <c r="A129" t="inlineStr">
        <is>
          <t>UNIONVILLE</t>
        </is>
      </c>
      <c r="B129" t="inlineStr">
        <is>
          <t>TOM BOYD</t>
        </is>
      </c>
      <c r="C129" t="n">
        <v>0</v>
      </c>
      <c r="E129" t="inlineStr">
        <is>
          <t>OLD CAMDEN</t>
        </is>
      </c>
      <c r="F129" t="inlineStr">
        <is>
          <t>SIKES MILL</t>
        </is>
      </c>
      <c r="H129" t="n">
        <v>999.999</v>
      </c>
      <c r="J129" t="n">
        <v>105415127</v>
      </c>
      <c r="K129" s="11" t="n">
        <v>43171</v>
      </c>
      <c r="L129" t="n">
        <v>30</v>
      </c>
      <c r="M129" t="n">
        <v>2</v>
      </c>
      <c r="N129" t="n">
        <v>7</v>
      </c>
      <c r="O129" t="n">
        <v>1</v>
      </c>
      <c r="P129" t="inlineStr">
        <is>
          <t>C</t>
        </is>
      </c>
    </row>
    <row r="130">
      <c r="A130" t="inlineStr">
        <is>
          <t>RURAL</t>
        </is>
      </c>
      <c r="B130" t="inlineStr">
        <is>
          <t>SR 1001</t>
        </is>
      </c>
      <c r="C130" t="n">
        <v>0.002</v>
      </c>
      <c r="D130" t="inlineStr">
        <is>
          <t>NE</t>
        </is>
      </c>
      <c r="E130" t="inlineStr">
        <is>
          <t>US 601</t>
        </is>
      </c>
      <c r="F130" t="inlineStr">
        <is>
          <t>SPRING LAKE</t>
        </is>
      </c>
      <c r="G130" t="inlineStr">
        <is>
          <t>SR 1001</t>
        </is>
      </c>
      <c r="H130" t="n">
        <v>0.002</v>
      </c>
      <c r="J130" t="n">
        <v>105326274</v>
      </c>
      <c r="K130" s="11" t="n">
        <v>43064</v>
      </c>
      <c r="L130" t="n">
        <v>21</v>
      </c>
      <c r="M130" t="n">
        <v>1</v>
      </c>
      <c r="N130" t="n">
        <v>9</v>
      </c>
      <c r="O130" t="n">
        <v>1</v>
      </c>
      <c r="P130" t="inlineStr">
        <is>
          <t>O</t>
        </is>
      </c>
    </row>
    <row r="131">
      <c r="A131" t="inlineStr">
        <is>
          <t>UNIONVILLE</t>
        </is>
      </c>
      <c r="B131" t="inlineStr">
        <is>
          <t>SIKES MILL</t>
        </is>
      </c>
      <c r="C131" t="n">
        <v>0.28</v>
      </c>
      <c r="D131" t="inlineStr">
        <is>
          <t>S</t>
        </is>
      </c>
      <c r="E131" t="inlineStr">
        <is>
          <t>CHANEY</t>
        </is>
      </c>
      <c r="F131" t="inlineStr">
        <is>
          <t>BAUCOM</t>
        </is>
      </c>
      <c r="G131" t="inlineStr">
        <is>
          <t>SR 1001</t>
        </is>
      </c>
      <c r="H131" t="n">
        <v>1.935</v>
      </c>
      <c r="J131" t="n">
        <v>106961419</v>
      </c>
      <c r="K131" s="11" t="n">
        <v>44700</v>
      </c>
      <c r="L131" t="n">
        <v>21</v>
      </c>
      <c r="M131" t="n">
        <v>1</v>
      </c>
      <c r="N131" t="n">
        <v>0</v>
      </c>
      <c r="O131" t="n">
        <v>1</v>
      </c>
      <c r="P131" t="inlineStr">
        <is>
          <t>O</t>
        </is>
      </c>
    </row>
    <row r="132">
      <c r="A132" t="inlineStr">
        <is>
          <t>UNIONVILLE</t>
        </is>
      </c>
      <c r="B132" t="inlineStr">
        <is>
          <t>SR 1001</t>
        </is>
      </c>
      <c r="C132" t="n">
        <v>0</v>
      </c>
      <c r="E132" t="inlineStr">
        <is>
          <t>SR 1619</t>
        </is>
      </c>
      <c r="F132" t="inlineStr">
        <is>
          <t>SR 1618</t>
        </is>
      </c>
      <c r="G132" t="inlineStr">
        <is>
          <t>SR 1001</t>
        </is>
      </c>
      <c r="H132" t="n">
        <v>3.461</v>
      </c>
      <c r="J132" t="n">
        <v>105363964</v>
      </c>
      <c r="K132" s="11" t="n">
        <v>43126</v>
      </c>
      <c r="L132" t="n">
        <v>30</v>
      </c>
      <c r="M132" t="n">
        <v>1</v>
      </c>
      <c r="N132" t="n">
        <v>7</v>
      </c>
      <c r="O132" t="n">
        <v>5</v>
      </c>
      <c r="P132" t="inlineStr">
        <is>
          <t>C</t>
        </is>
      </c>
    </row>
    <row r="133">
      <c r="A133" t="inlineStr">
        <is>
          <t>UNIONVILLE</t>
        </is>
      </c>
      <c r="B133" t="inlineStr">
        <is>
          <t>SR 1606</t>
        </is>
      </c>
      <c r="C133" t="n">
        <v>0.002</v>
      </c>
      <c r="D133" t="inlineStr">
        <is>
          <t>E</t>
        </is>
      </c>
      <c r="E133" t="inlineStr">
        <is>
          <t>NC 200</t>
        </is>
      </c>
      <c r="F133" t="inlineStr">
        <is>
          <t>SR 1673</t>
        </is>
      </c>
      <c r="G133" t="inlineStr">
        <is>
          <t>SR 1606</t>
        </is>
      </c>
      <c r="H133" t="n">
        <v>999.999</v>
      </c>
      <c r="J133" t="n">
        <v>105391943</v>
      </c>
      <c r="K133" s="11" t="n">
        <v>43154</v>
      </c>
      <c r="L133" t="n">
        <v>30</v>
      </c>
      <c r="M133" t="n">
        <v>1</v>
      </c>
      <c r="N133" t="n">
        <v>7</v>
      </c>
      <c r="O133" t="n">
        <v>1</v>
      </c>
      <c r="P133" t="inlineStr">
        <is>
          <t>O</t>
        </is>
      </c>
    </row>
    <row r="134">
      <c r="A134" t="inlineStr">
        <is>
          <t>UNIONVILLE</t>
        </is>
      </c>
      <c r="B134" t="inlineStr">
        <is>
          <t>SR 1618</t>
        </is>
      </c>
      <c r="C134" t="n">
        <v>0.019</v>
      </c>
      <c r="D134" t="inlineStr">
        <is>
          <t>W</t>
        </is>
      </c>
      <c r="E134" t="inlineStr">
        <is>
          <t>SR 1001</t>
        </is>
      </c>
      <c r="F134" t="inlineStr">
        <is>
          <t>SR 1615</t>
        </is>
      </c>
      <c r="G134" t="inlineStr">
        <is>
          <t>SR 1618</t>
        </is>
      </c>
      <c r="H134" t="n">
        <v>0.019</v>
      </c>
      <c r="J134" t="n">
        <v>105283816</v>
      </c>
      <c r="K134" s="11" t="n">
        <v>43046</v>
      </c>
      <c r="L134" t="n">
        <v>21</v>
      </c>
      <c r="M134" t="n">
        <v>1</v>
      </c>
      <c r="N134" t="n">
        <v>0</v>
      </c>
      <c r="O134" t="n">
        <v>1</v>
      </c>
      <c r="P134" t="inlineStr">
        <is>
          <t>C</t>
        </is>
      </c>
    </row>
    <row r="135">
      <c r="A135" t="inlineStr">
        <is>
          <t>UNIONVILLE</t>
        </is>
      </c>
      <c r="B135" t="inlineStr">
        <is>
          <t>SR 1001</t>
        </is>
      </c>
      <c r="C135" t="n">
        <v>0.1</v>
      </c>
      <c r="D135" t="inlineStr">
        <is>
          <t>S</t>
        </is>
      </c>
      <c r="E135" t="inlineStr">
        <is>
          <t>SR 1615</t>
        </is>
      </c>
      <c r="F135" t="inlineStr">
        <is>
          <t>SR 1638</t>
        </is>
      </c>
      <c r="G135" t="inlineStr">
        <is>
          <t>SR 1001</t>
        </is>
      </c>
      <c r="H135" t="n">
        <v>2.771</v>
      </c>
      <c r="J135" t="n">
        <v>105353604</v>
      </c>
      <c r="K135" s="11" t="n">
        <v>43116</v>
      </c>
      <c r="L135" t="n">
        <v>23</v>
      </c>
      <c r="M135" t="n">
        <v>1</v>
      </c>
      <c r="N135" t="n">
        <v>5</v>
      </c>
      <c r="O135" t="n">
        <v>1</v>
      </c>
      <c r="P135" t="inlineStr">
        <is>
          <t>O</t>
        </is>
      </c>
    </row>
    <row r="136">
      <c r="A136" t="inlineStr">
        <is>
          <t>UNIONVILLE</t>
        </is>
      </c>
      <c r="B136" t="inlineStr">
        <is>
          <t>SR 1001</t>
        </is>
      </c>
      <c r="C136" t="n">
        <v>0.6</v>
      </c>
      <c r="D136" t="inlineStr">
        <is>
          <t>N</t>
        </is>
      </c>
      <c r="E136" t="inlineStr">
        <is>
          <t>SR 1617</t>
        </is>
      </c>
      <c r="F136" t="inlineStr">
        <is>
          <t>SR 1637</t>
        </is>
      </c>
      <c r="G136" t="inlineStr">
        <is>
          <t>SR 1001</t>
        </is>
      </c>
      <c r="H136" t="n">
        <v>4.061</v>
      </c>
      <c r="J136" t="n">
        <v>105317973</v>
      </c>
      <c r="K136" s="11" t="n">
        <v>43073</v>
      </c>
      <c r="L136" t="n">
        <v>19</v>
      </c>
      <c r="M136" t="n">
        <v>1</v>
      </c>
      <c r="N136" t="n">
        <v>0</v>
      </c>
      <c r="O136" t="n">
        <v>1</v>
      </c>
      <c r="P136" t="inlineStr">
        <is>
          <t>O</t>
        </is>
      </c>
    </row>
    <row r="137">
      <c r="A137" t="inlineStr">
        <is>
          <t>FAIRVIEW</t>
        </is>
      </c>
      <c r="B137" t="inlineStr">
        <is>
          <t>SR 1606</t>
        </is>
      </c>
      <c r="C137" t="n">
        <v>0</v>
      </c>
      <c r="E137" t="inlineStr">
        <is>
          <t>SR 1547</t>
        </is>
      </c>
      <c r="F137" t="inlineStr">
        <is>
          <t>NC 218</t>
        </is>
      </c>
      <c r="G137" t="inlineStr">
        <is>
          <t>SR 1606</t>
        </is>
      </c>
      <c r="H137" t="n">
        <v>1.587</v>
      </c>
      <c r="J137" t="n">
        <v>105289308</v>
      </c>
      <c r="K137" s="11" t="n">
        <v>43050</v>
      </c>
      <c r="L137" t="n">
        <v>30</v>
      </c>
      <c r="M137" t="n">
        <v>1</v>
      </c>
      <c r="N137" t="n">
        <v>7</v>
      </c>
      <c r="O137" t="n">
        <v>1</v>
      </c>
      <c r="P137" t="inlineStr">
        <is>
          <t>B</t>
        </is>
      </c>
    </row>
    <row r="138">
      <c r="A138" t="inlineStr">
        <is>
          <t>FAIRVIEW</t>
        </is>
      </c>
      <c r="B138" t="inlineStr">
        <is>
          <t>SR 1606</t>
        </is>
      </c>
      <c r="C138" t="n">
        <v>1.5</v>
      </c>
      <c r="D138" t="inlineStr">
        <is>
          <t>N</t>
        </is>
      </c>
      <c r="E138" t="inlineStr">
        <is>
          <t>SR 1547</t>
        </is>
      </c>
      <c r="F138" t="inlineStr">
        <is>
          <t>SR 1607</t>
        </is>
      </c>
      <c r="G138" t="inlineStr">
        <is>
          <t>SR 1606</t>
        </is>
      </c>
      <c r="H138" t="n">
        <v>0.08699999999999999</v>
      </c>
      <c r="J138" t="n">
        <v>105318190</v>
      </c>
      <c r="K138" s="11" t="n">
        <v>43078</v>
      </c>
      <c r="L138" t="n">
        <v>18</v>
      </c>
      <c r="M138" t="n">
        <v>2</v>
      </c>
      <c r="N138" t="n">
        <v>0</v>
      </c>
      <c r="O138" t="n">
        <v>1</v>
      </c>
      <c r="P138" t="inlineStr">
        <is>
          <t>O</t>
        </is>
      </c>
    </row>
    <row r="139">
      <c r="A139" t="inlineStr">
        <is>
          <t>FAIRVIEW</t>
        </is>
      </c>
      <c r="B139" t="inlineStr">
        <is>
          <t>NC 218</t>
        </is>
      </c>
      <c r="C139" t="n">
        <v>0.003</v>
      </c>
      <c r="D139" t="inlineStr">
        <is>
          <t>W</t>
        </is>
      </c>
      <c r="E139" t="inlineStr">
        <is>
          <t>SIKES MILL</t>
        </is>
      </c>
      <c r="F139" t="inlineStr">
        <is>
          <t>CROOKED CRK CH</t>
        </is>
      </c>
      <c r="G139" t="inlineStr">
        <is>
          <t>NC 218</t>
        </is>
      </c>
      <c r="H139" t="n">
        <v>8.079000000000001</v>
      </c>
      <c r="J139" t="n">
        <v>107321738</v>
      </c>
      <c r="K139" s="11" t="n">
        <v>45047</v>
      </c>
      <c r="L139" t="n">
        <v>21</v>
      </c>
      <c r="M139" t="n">
        <v>1</v>
      </c>
      <c r="N139" t="n">
        <v>7</v>
      </c>
      <c r="O139" t="n">
        <v>1</v>
      </c>
      <c r="P139" t="inlineStr">
        <is>
          <t>C</t>
        </is>
      </c>
    </row>
    <row r="140">
      <c r="A140" t="inlineStr">
        <is>
          <t>FAIRVIEW</t>
        </is>
      </c>
      <c r="B140" t="inlineStr">
        <is>
          <t>NC 218</t>
        </is>
      </c>
      <c r="C140" t="n">
        <v>0</v>
      </c>
      <c r="E140" t="inlineStr">
        <is>
          <t>SR 1606</t>
        </is>
      </c>
      <c r="F140" t="inlineStr">
        <is>
          <t>SR 1547</t>
        </is>
      </c>
      <c r="G140" t="inlineStr">
        <is>
          <t>NC 218</t>
        </is>
      </c>
      <c r="H140" t="n">
        <v>8.082000000000001</v>
      </c>
      <c r="J140" t="n">
        <v>105344309</v>
      </c>
      <c r="K140" s="11" t="n">
        <v>43106</v>
      </c>
      <c r="L140" t="n">
        <v>30</v>
      </c>
      <c r="M140" t="n">
        <v>1</v>
      </c>
      <c r="N140" t="n">
        <v>7</v>
      </c>
      <c r="O140" t="n">
        <v>1</v>
      </c>
      <c r="P140" t="inlineStr">
        <is>
          <t>B</t>
        </is>
      </c>
    </row>
    <row r="141">
      <c r="A141" t="inlineStr">
        <is>
          <t>UNIONVILLE</t>
        </is>
      </c>
      <c r="B141" t="inlineStr">
        <is>
          <t>SR 1001</t>
        </is>
      </c>
      <c r="C141" t="n">
        <v>0.2</v>
      </c>
      <c r="D141" t="inlineStr">
        <is>
          <t>S</t>
        </is>
      </c>
      <c r="E141" t="inlineStr">
        <is>
          <t>SR 1619</t>
        </is>
      </c>
      <c r="F141" t="inlineStr">
        <is>
          <t>SR 1617</t>
        </is>
      </c>
      <c r="G141" t="inlineStr">
        <is>
          <t>SR 1001</t>
        </is>
      </c>
      <c r="H141" t="n">
        <v>3.261</v>
      </c>
      <c r="J141" t="n">
        <v>105360672</v>
      </c>
      <c r="K141" s="11" t="n">
        <v>43123</v>
      </c>
      <c r="L141" t="n">
        <v>17</v>
      </c>
      <c r="M141" t="n">
        <v>1</v>
      </c>
      <c r="O141" t="n">
        <v>5</v>
      </c>
      <c r="P141" t="inlineStr">
        <is>
          <t>O</t>
        </is>
      </c>
    </row>
    <row r="142">
      <c r="A142" t="inlineStr">
        <is>
          <t>UNIONVILLE</t>
        </is>
      </c>
      <c r="B142" t="inlineStr">
        <is>
          <t>SR 1637</t>
        </is>
      </c>
      <c r="C142" t="n">
        <v>0</v>
      </c>
      <c r="E142" t="inlineStr">
        <is>
          <t>SR 1001</t>
        </is>
      </c>
      <c r="F142" t="inlineStr">
        <is>
          <t>SR 1606</t>
        </is>
      </c>
      <c r="G142" t="inlineStr">
        <is>
          <t>SR 1637</t>
        </is>
      </c>
      <c r="H142" t="n">
        <v>1.444</v>
      </c>
      <c r="J142" t="n">
        <v>105301886</v>
      </c>
      <c r="K142" s="11" t="n">
        <v>43066</v>
      </c>
      <c r="L142" t="n">
        <v>28</v>
      </c>
      <c r="M142" t="n">
        <v>1</v>
      </c>
      <c r="N142" t="n">
        <v>10</v>
      </c>
      <c r="O142" t="n">
        <v>5</v>
      </c>
      <c r="P142" t="inlineStr">
        <is>
          <t>O</t>
        </is>
      </c>
    </row>
    <row r="143">
      <c r="A143" t="inlineStr">
        <is>
          <t>UNIONVILLE</t>
        </is>
      </c>
      <c r="B143" t="inlineStr">
        <is>
          <t>SR 1001</t>
        </is>
      </c>
      <c r="C143" t="n">
        <v>0</v>
      </c>
      <c r="E143" t="inlineStr">
        <is>
          <t>SR 1617</t>
        </is>
      </c>
      <c r="F143" t="inlineStr">
        <is>
          <t>SR 1681</t>
        </is>
      </c>
      <c r="G143" t="inlineStr">
        <is>
          <t>SR 1001</t>
        </is>
      </c>
      <c r="H143" t="n">
        <v>3.461</v>
      </c>
      <c r="J143" t="n">
        <v>105326435</v>
      </c>
      <c r="K143" s="11" t="n">
        <v>43085</v>
      </c>
      <c r="L143" t="n">
        <v>30</v>
      </c>
      <c r="M143" t="n">
        <v>1</v>
      </c>
      <c r="N143" t="n">
        <v>7</v>
      </c>
      <c r="O143" t="n">
        <v>1</v>
      </c>
      <c r="P143" t="inlineStr">
        <is>
          <t>A</t>
        </is>
      </c>
    </row>
    <row r="144">
      <c r="A144" t="inlineStr">
        <is>
          <t>UNIONVILLE</t>
        </is>
      </c>
      <c r="B144" t="inlineStr">
        <is>
          <t>SR 1001</t>
        </is>
      </c>
      <c r="C144" t="n">
        <v>0.1</v>
      </c>
      <c r="D144" t="inlineStr">
        <is>
          <t>S</t>
        </is>
      </c>
      <c r="E144" t="inlineStr">
        <is>
          <t>SR 1617</t>
        </is>
      </c>
      <c r="F144" t="inlineStr">
        <is>
          <t>SR 1615</t>
        </is>
      </c>
      <c r="G144" t="inlineStr">
        <is>
          <t>SR 1001</t>
        </is>
      </c>
      <c r="H144" t="n">
        <v>3.361</v>
      </c>
      <c r="J144" t="n">
        <v>105324665</v>
      </c>
      <c r="K144" s="11" t="n">
        <v>43082</v>
      </c>
      <c r="L144" t="n">
        <v>17</v>
      </c>
      <c r="M144" t="n">
        <v>1</v>
      </c>
      <c r="N144" t="n">
        <v>0</v>
      </c>
      <c r="O144" t="n">
        <v>5</v>
      </c>
      <c r="P144" t="inlineStr">
        <is>
          <t>O</t>
        </is>
      </c>
    </row>
    <row r="145">
      <c r="A145" t="inlineStr">
        <is>
          <t>UNIONVILLE</t>
        </is>
      </c>
      <c r="B145" t="inlineStr">
        <is>
          <t>SR 1627</t>
        </is>
      </c>
      <c r="C145" t="n">
        <v>0</v>
      </c>
      <c r="E145" t="inlineStr">
        <is>
          <t>SR 1606</t>
        </is>
      </c>
      <c r="F145" t="inlineStr">
        <is>
          <t>NC 200</t>
        </is>
      </c>
      <c r="G145" t="inlineStr">
        <is>
          <t>SR 1627</t>
        </is>
      </c>
      <c r="H145" t="n">
        <v>1.256</v>
      </c>
      <c r="J145" t="n">
        <v>105331514</v>
      </c>
      <c r="K145" s="11" t="n">
        <v>43088</v>
      </c>
      <c r="L145" t="n">
        <v>30</v>
      </c>
      <c r="M145" t="n">
        <v>1</v>
      </c>
      <c r="N145" t="n">
        <v>7</v>
      </c>
      <c r="O145" t="n">
        <v>1</v>
      </c>
      <c r="P145" t="inlineStr">
        <is>
          <t>A</t>
        </is>
      </c>
    </row>
    <row r="146">
      <c r="A146" t="inlineStr">
        <is>
          <t>FAIRVIEW</t>
        </is>
      </c>
      <c r="B146" t="inlineStr">
        <is>
          <t>SIKES MILL</t>
        </is>
      </c>
      <c r="C146" t="n">
        <v>0.08500000000000001</v>
      </c>
      <c r="D146" t="inlineStr">
        <is>
          <t>N</t>
        </is>
      </c>
      <c r="E146" t="inlineStr">
        <is>
          <t>OLD FERRY</t>
        </is>
      </c>
      <c r="F146" t="inlineStr">
        <is>
          <t>*LCL BIGGERS CEMETRY RD</t>
        </is>
      </c>
      <c r="G146" t="inlineStr">
        <is>
          <t>SIKES MILL</t>
        </is>
      </c>
      <c r="H146" t="n">
        <v>999.999</v>
      </c>
      <c r="J146" t="n">
        <v>108310676</v>
      </c>
      <c r="K146" s="11" t="n">
        <v>45979</v>
      </c>
      <c r="L146" t="n">
        <v>19</v>
      </c>
      <c r="M146" t="n">
        <v>1</v>
      </c>
      <c r="N146" t="n">
        <v>0</v>
      </c>
      <c r="O146" t="n">
        <v>1</v>
      </c>
      <c r="P146" t="inlineStr">
        <is>
          <t>O</t>
        </is>
      </c>
    </row>
    <row r="147">
      <c r="A147" t="inlineStr">
        <is>
          <t>UNIONVILLE</t>
        </is>
      </c>
      <c r="B147" t="inlineStr">
        <is>
          <t>SR 1606</t>
        </is>
      </c>
      <c r="C147" t="n">
        <v>0</v>
      </c>
      <c r="E147" t="inlineStr">
        <is>
          <t>SR 1001</t>
        </is>
      </c>
      <c r="F147" t="inlineStr">
        <is>
          <t>SR 1678</t>
        </is>
      </c>
      <c r="G147" t="inlineStr">
        <is>
          <t>SR 1606</t>
        </is>
      </c>
      <c r="H147" t="n">
        <v>6.066</v>
      </c>
      <c r="J147" t="n">
        <v>105404553</v>
      </c>
      <c r="K147" s="11" t="n">
        <v>43165</v>
      </c>
      <c r="L147" t="n">
        <v>30</v>
      </c>
      <c r="M147" t="n">
        <v>2</v>
      </c>
      <c r="N147" t="n">
        <v>0</v>
      </c>
      <c r="O147" t="n">
        <v>1</v>
      </c>
      <c r="P147" t="inlineStr">
        <is>
          <t>C</t>
        </is>
      </c>
    </row>
    <row r="148">
      <c r="A148" t="inlineStr">
        <is>
          <t>FAIRVIEW</t>
        </is>
      </c>
      <c r="B148" t="inlineStr">
        <is>
          <t>NC 218</t>
        </is>
      </c>
      <c r="C148" t="n">
        <v>0.002</v>
      </c>
      <c r="D148" t="inlineStr">
        <is>
          <t>E</t>
        </is>
      </c>
      <c r="E148" t="inlineStr">
        <is>
          <t>SR 1606</t>
        </is>
      </c>
      <c r="F148" t="inlineStr">
        <is>
          <t>SR 1547</t>
        </is>
      </c>
      <c r="G148" t="inlineStr">
        <is>
          <t>NC 218</t>
        </is>
      </c>
      <c r="H148" t="n">
        <v>8.084</v>
      </c>
      <c r="J148" t="n">
        <v>105301818</v>
      </c>
      <c r="K148" s="11" t="n">
        <v>43065</v>
      </c>
      <c r="L148" t="n">
        <v>21</v>
      </c>
      <c r="M148" t="n">
        <v>1</v>
      </c>
      <c r="N148" t="n">
        <v>0</v>
      </c>
      <c r="O148" t="n">
        <v>5</v>
      </c>
      <c r="P148" t="inlineStr">
        <is>
          <t>C</t>
        </is>
      </c>
    </row>
    <row r="149">
      <c r="A149" t="inlineStr">
        <is>
          <t>UNIONVILLE</t>
        </is>
      </c>
      <c r="B149" t="inlineStr">
        <is>
          <t>LOVE MILL</t>
        </is>
      </c>
      <c r="C149" t="n">
        <v>0.15</v>
      </c>
      <c r="D149" t="inlineStr">
        <is>
          <t>W</t>
        </is>
      </c>
      <c r="E149" t="inlineStr">
        <is>
          <t>PIEDMONT SCHOOL</t>
        </is>
      </c>
      <c r="F149" t="inlineStr">
        <is>
          <t>SIKES MILL</t>
        </is>
      </c>
      <c r="G149" t="inlineStr">
        <is>
          <t>SR 1001</t>
        </is>
      </c>
      <c r="H149" t="n">
        <v>4.454</v>
      </c>
      <c r="J149" t="n">
        <v>107442543</v>
      </c>
      <c r="K149" s="11" t="n">
        <v>45168</v>
      </c>
      <c r="L149" t="n">
        <v>21</v>
      </c>
      <c r="M149" t="n">
        <v>2</v>
      </c>
      <c r="N149" t="n">
        <v>0</v>
      </c>
      <c r="O149" t="n">
        <v>1</v>
      </c>
      <c r="P149" t="inlineStr">
        <is>
          <t>O</t>
        </is>
      </c>
    </row>
    <row r="150">
      <c r="A150" t="inlineStr">
        <is>
          <t>INDIAN TRAIL</t>
        </is>
      </c>
      <c r="B150" t="inlineStr">
        <is>
          <t>US 74</t>
        </is>
      </c>
      <c r="C150" t="n">
        <v>0.019</v>
      </c>
      <c r="D150" t="inlineStr">
        <is>
          <t>E</t>
        </is>
      </c>
      <c r="E150" t="inlineStr">
        <is>
          <t>SR 1001</t>
        </is>
      </c>
      <c r="F150" t="inlineStr">
        <is>
          <t>TECHNOLOGY</t>
        </is>
      </c>
      <c r="G150" t="inlineStr">
        <is>
          <t>US 74</t>
        </is>
      </c>
      <c r="H150" t="n">
        <v>999.999</v>
      </c>
      <c r="J150" t="n">
        <v>105387411</v>
      </c>
      <c r="K150" s="11" t="n">
        <v>43146</v>
      </c>
      <c r="L150" t="n">
        <v>28</v>
      </c>
      <c r="M150" t="n">
        <v>1</v>
      </c>
      <c r="N150" t="n">
        <v>0</v>
      </c>
      <c r="O150" t="n">
        <v>5</v>
      </c>
      <c r="P150" t="inlineStr">
        <is>
          <t>O</t>
        </is>
      </c>
    </row>
    <row r="151">
      <c r="A151" t="inlineStr">
        <is>
          <t>UNIONVILLE</t>
        </is>
      </c>
      <c r="B151" t="inlineStr">
        <is>
          <t>SR 1606</t>
        </is>
      </c>
      <c r="C151" t="n">
        <v>0</v>
      </c>
      <c r="E151" t="inlineStr">
        <is>
          <t>SR 1638</t>
        </is>
      </c>
      <c r="F151" t="inlineStr">
        <is>
          <t>SR 1678</t>
        </is>
      </c>
      <c r="G151" t="inlineStr">
        <is>
          <t>SR 1606</t>
        </is>
      </c>
      <c r="H151" t="n">
        <v>5.016</v>
      </c>
      <c r="J151" t="n">
        <v>105600736</v>
      </c>
      <c r="K151" s="11" t="n">
        <v>43353</v>
      </c>
      <c r="L151" t="n">
        <v>19</v>
      </c>
      <c r="M151" t="n">
        <v>2</v>
      </c>
      <c r="N151" t="n">
        <v>8</v>
      </c>
      <c r="O151" t="n">
        <v>1</v>
      </c>
      <c r="P151" t="inlineStr">
        <is>
          <t>C</t>
        </is>
      </c>
    </row>
    <row r="152">
      <c r="A152" t="inlineStr">
        <is>
          <t>RURAL</t>
        </is>
      </c>
      <c r="B152" t="inlineStr">
        <is>
          <t>SR 1606</t>
        </is>
      </c>
      <c r="C152" t="n">
        <v>0.8</v>
      </c>
      <c r="D152" t="inlineStr">
        <is>
          <t>N</t>
        </is>
      </c>
      <c r="E152" t="inlineStr">
        <is>
          <t>NC 218</t>
        </is>
      </c>
      <c r="F152" t="inlineStr">
        <is>
          <t>SR 1547</t>
        </is>
      </c>
      <c r="G152" t="inlineStr">
        <is>
          <t>SR 1606</t>
        </is>
      </c>
      <c r="H152" t="n">
        <v>2.141</v>
      </c>
      <c r="J152" t="n">
        <v>105380811</v>
      </c>
      <c r="K152" s="11" t="n">
        <v>43132</v>
      </c>
      <c r="L152" t="n">
        <v>28</v>
      </c>
      <c r="M152" t="n">
        <v>1</v>
      </c>
      <c r="N152" t="n">
        <v>0</v>
      </c>
      <c r="O152" t="n">
        <v>5</v>
      </c>
      <c r="P152" t="inlineStr">
        <is>
          <t>O</t>
        </is>
      </c>
    </row>
    <row r="153">
      <c r="A153" t="inlineStr">
        <is>
          <t>RURAL</t>
        </is>
      </c>
      <c r="B153" t="inlineStr">
        <is>
          <t>NC 218</t>
        </is>
      </c>
      <c r="C153" t="n">
        <v>0</v>
      </c>
      <c r="E153" t="inlineStr">
        <is>
          <t>SR 1001</t>
        </is>
      </c>
      <c r="F153" t="inlineStr">
        <is>
          <t>NC 200</t>
        </is>
      </c>
      <c r="G153" t="inlineStr">
        <is>
          <t>NC 218</t>
        </is>
      </c>
      <c r="H153" t="n">
        <v>9.786</v>
      </c>
      <c r="J153" t="n">
        <v>105283709</v>
      </c>
      <c r="K153" s="11" t="n">
        <v>43042</v>
      </c>
      <c r="L153" t="n">
        <v>28</v>
      </c>
      <c r="M153" t="n">
        <v>1</v>
      </c>
      <c r="N153" t="n">
        <v>0</v>
      </c>
      <c r="O153" t="n">
        <v>1</v>
      </c>
      <c r="P153" t="inlineStr">
        <is>
          <t>O</t>
        </is>
      </c>
    </row>
    <row r="154">
      <c r="A154" t="inlineStr">
        <is>
          <t>UNIONVILLE</t>
        </is>
      </c>
      <c r="B154" t="inlineStr">
        <is>
          <t>SR 1001</t>
        </is>
      </c>
      <c r="C154" t="n">
        <v>0.2</v>
      </c>
      <c r="D154" t="inlineStr">
        <is>
          <t>S</t>
        </is>
      </c>
      <c r="E154" t="inlineStr">
        <is>
          <t>SR 1619</t>
        </is>
      </c>
      <c r="F154" t="inlineStr">
        <is>
          <t>SR 1615</t>
        </is>
      </c>
      <c r="G154" t="inlineStr">
        <is>
          <t>SR 1001</t>
        </is>
      </c>
      <c r="H154" t="n">
        <v>3.261</v>
      </c>
      <c r="J154" t="n">
        <v>105276432</v>
      </c>
      <c r="K154" s="11" t="n">
        <v>43039</v>
      </c>
      <c r="L154" t="n">
        <v>17</v>
      </c>
      <c r="M154" t="n">
        <v>1</v>
      </c>
      <c r="N154" t="n">
        <v>0</v>
      </c>
      <c r="O154" t="n">
        <v>5</v>
      </c>
      <c r="P154" t="inlineStr">
        <is>
          <t>O</t>
        </is>
      </c>
    </row>
    <row r="155">
      <c r="A155" t="inlineStr">
        <is>
          <t>UNIONVILLE</t>
        </is>
      </c>
      <c r="B155" t="inlineStr">
        <is>
          <t>SR 1001</t>
        </is>
      </c>
      <c r="C155" t="n">
        <v>0.005</v>
      </c>
      <c r="D155" t="inlineStr">
        <is>
          <t>S</t>
        </is>
      </c>
      <c r="E155" t="inlineStr">
        <is>
          <t>SR 1620</t>
        </is>
      </c>
      <c r="F155" t="inlineStr">
        <is>
          <t>SPRING LAKE</t>
        </is>
      </c>
      <c r="G155" t="inlineStr">
        <is>
          <t>SR 1001</t>
        </is>
      </c>
      <c r="H155" t="n">
        <v>1.347</v>
      </c>
      <c r="J155" t="n">
        <v>105596512</v>
      </c>
      <c r="K155" s="11" t="n">
        <v>43327</v>
      </c>
      <c r="L155" t="n">
        <v>19</v>
      </c>
      <c r="M155" t="n">
        <v>1</v>
      </c>
      <c r="N155" t="n">
        <v>0</v>
      </c>
      <c r="O155" t="n">
        <v>1</v>
      </c>
      <c r="P155" t="inlineStr">
        <is>
          <t>O</t>
        </is>
      </c>
    </row>
    <row r="156">
      <c r="A156" t="inlineStr">
        <is>
          <t>UNIONVILLE</t>
        </is>
      </c>
      <c r="B156" t="inlineStr">
        <is>
          <t>SR 1604</t>
        </is>
      </c>
      <c r="C156" t="n">
        <v>0</v>
      </c>
      <c r="E156" t="inlineStr">
        <is>
          <t>SR 1606</t>
        </is>
      </c>
      <c r="F156" t="inlineStr">
        <is>
          <t>SR 1666</t>
        </is>
      </c>
      <c r="G156" t="inlineStr">
        <is>
          <t>SR 1604</t>
        </is>
      </c>
      <c r="H156" t="n">
        <v>0</v>
      </c>
      <c r="J156" t="n">
        <v>105337660</v>
      </c>
      <c r="K156" s="11" t="n">
        <v>43089</v>
      </c>
      <c r="L156" t="n">
        <v>3</v>
      </c>
      <c r="M156" t="n">
        <v>2</v>
      </c>
      <c r="N156" t="n">
        <v>8</v>
      </c>
      <c r="O156" t="n">
        <v>5</v>
      </c>
      <c r="P156" t="inlineStr">
        <is>
          <t>O</t>
        </is>
      </c>
    </row>
    <row r="157">
      <c r="A157" t="inlineStr">
        <is>
          <t>RURAL</t>
        </is>
      </c>
      <c r="B157" t="inlineStr">
        <is>
          <t>SR 1627</t>
        </is>
      </c>
      <c r="C157" t="n">
        <v>0</v>
      </c>
      <c r="E157" t="inlineStr">
        <is>
          <t>SR 1606</t>
        </is>
      </c>
      <c r="F157" t="inlineStr">
        <is>
          <t>NC 200</t>
        </is>
      </c>
      <c r="G157" t="inlineStr">
        <is>
          <t>SR 1627</t>
        </is>
      </c>
      <c r="H157" t="n">
        <v>1.256</v>
      </c>
      <c r="J157" t="n">
        <v>105624868</v>
      </c>
      <c r="K157" s="11" t="n">
        <v>43375</v>
      </c>
      <c r="L157" t="n">
        <v>30</v>
      </c>
      <c r="M157" t="n">
        <v>1</v>
      </c>
      <c r="N157" t="n">
        <v>7</v>
      </c>
      <c r="O157" t="n">
        <v>1</v>
      </c>
      <c r="P157" t="inlineStr">
        <is>
          <t>O</t>
        </is>
      </c>
    </row>
    <row r="158">
      <c r="A158" t="inlineStr">
        <is>
          <t>RURAL</t>
        </is>
      </c>
      <c r="B158" t="inlineStr">
        <is>
          <t>NC 218</t>
        </is>
      </c>
      <c r="C158" t="n">
        <v>0</v>
      </c>
      <c r="E158" t="inlineStr">
        <is>
          <t>SR 1001</t>
        </is>
      </c>
      <c r="F158" t="inlineStr">
        <is>
          <t>SR 1547</t>
        </is>
      </c>
      <c r="G158" t="inlineStr">
        <is>
          <t>NC 218</t>
        </is>
      </c>
      <c r="H158" t="n">
        <v>9.786</v>
      </c>
      <c r="J158" t="n">
        <v>105452058</v>
      </c>
      <c r="K158" s="11" t="n">
        <v>43208</v>
      </c>
      <c r="L158" t="n">
        <v>21</v>
      </c>
      <c r="M158" t="n">
        <v>1</v>
      </c>
      <c r="N158" t="n">
        <v>7</v>
      </c>
      <c r="O158" t="n">
        <v>1</v>
      </c>
      <c r="P158" t="inlineStr">
        <is>
          <t>O</t>
        </is>
      </c>
    </row>
    <row r="159">
      <c r="A159" t="inlineStr">
        <is>
          <t>UNIONVILLE</t>
        </is>
      </c>
      <c r="B159" t="inlineStr">
        <is>
          <t>NC 218</t>
        </is>
      </c>
      <c r="C159" t="n">
        <v>0</v>
      </c>
      <c r="E159" t="inlineStr">
        <is>
          <t>SR 1001</t>
        </is>
      </c>
      <c r="F159" t="inlineStr">
        <is>
          <t>SR 1547</t>
        </is>
      </c>
      <c r="G159" t="inlineStr">
        <is>
          <t>NC 218</t>
        </is>
      </c>
      <c r="H159" t="n">
        <v>9.786</v>
      </c>
      <c r="J159" t="n">
        <v>105502400</v>
      </c>
      <c r="K159" s="11" t="n">
        <v>43257</v>
      </c>
      <c r="L159" t="n">
        <v>22</v>
      </c>
      <c r="M159" t="n">
        <v>1</v>
      </c>
      <c r="N159" t="n">
        <v>7</v>
      </c>
      <c r="O159" t="n">
        <v>1</v>
      </c>
      <c r="P159" t="inlineStr">
        <is>
          <t>O</t>
        </is>
      </c>
    </row>
    <row r="160">
      <c r="A160" t="inlineStr">
        <is>
          <t>UNIONVILLE</t>
        </is>
      </c>
      <c r="B160" t="inlineStr">
        <is>
          <t>SR 1619</t>
        </is>
      </c>
      <c r="C160" t="n">
        <v>0.1</v>
      </c>
      <c r="D160" t="inlineStr">
        <is>
          <t>E</t>
        </is>
      </c>
      <c r="E160" t="inlineStr">
        <is>
          <t>SR 1001</t>
        </is>
      </c>
      <c r="F160" t="inlineStr">
        <is>
          <t>SR 1681</t>
        </is>
      </c>
      <c r="G160" t="inlineStr">
        <is>
          <t>SR 1619</t>
        </is>
      </c>
      <c r="H160" t="n">
        <v>0.1</v>
      </c>
      <c r="J160" t="n">
        <v>105517517</v>
      </c>
      <c r="K160" s="11" t="n">
        <v>43267</v>
      </c>
      <c r="L160" t="n">
        <v>17</v>
      </c>
      <c r="M160" t="n">
        <v>1</v>
      </c>
      <c r="O160" t="n">
        <v>5</v>
      </c>
      <c r="P160" t="inlineStr">
        <is>
          <t>O</t>
        </is>
      </c>
    </row>
    <row r="161">
      <c r="A161" t="inlineStr">
        <is>
          <t>UNIONVILLE</t>
        </is>
      </c>
      <c r="B161" t="inlineStr">
        <is>
          <t>SR 1001</t>
        </is>
      </c>
      <c r="C161" t="n">
        <v>0.4</v>
      </c>
      <c r="D161" t="inlineStr">
        <is>
          <t>S</t>
        </is>
      </c>
      <c r="E161" t="inlineStr">
        <is>
          <t>SR 1617</t>
        </is>
      </c>
      <c r="F161" t="inlineStr">
        <is>
          <t>SR 1665</t>
        </is>
      </c>
      <c r="G161" t="inlineStr">
        <is>
          <t>SR 1001</t>
        </is>
      </c>
      <c r="H161" t="n">
        <v>3.061</v>
      </c>
      <c r="J161" t="n">
        <v>105456064</v>
      </c>
      <c r="K161" s="11" t="n">
        <v>43209</v>
      </c>
      <c r="L161" t="n">
        <v>31</v>
      </c>
      <c r="M161" t="n">
        <v>1</v>
      </c>
      <c r="N161" t="n">
        <v>0</v>
      </c>
      <c r="O161" t="n">
        <v>1</v>
      </c>
      <c r="P161" t="inlineStr">
        <is>
          <t>O</t>
        </is>
      </c>
    </row>
    <row r="162">
      <c r="A162" t="inlineStr">
        <is>
          <t>RURAL</t>
        </is>
      </c>
      <c r="B162" t="inlineStr">
        <is>
          <t>SR 1001</t>
        </is>
      </c>
      <c r="C162" t="n">
        <v>0.5</v>
      </c>
      <c r="D162" t="inlineStr">
        <is>
          <t>S</t>
        </is>
      </c>
      <c r="E162" t="inlineStr">
        <is>
          <t>SR 1665</t>
        </is>
      </c>
      <c r="F162" t="inlineStr">
        <is>
          <t>SR 1620</t>
        </is>
      </c>
      <c r="G162" t="inlineStr">
        <is>
          <t>SR 1001</t>
        </is>
      </c>
      <c r="H162" t="n">
        <v>1.715</v>
      </c>
      <c r="J162" t="n">
        <v>105554071</v>
      </c>
      <c r="K162" s="11" t="n">
        <v>43306</v>
      </c>
      <c r="L162" t="n">
        <v>19</v>
      </c>
      <c r="M162" t="n">
        <v>1</v>
      </c>
      <c r="N162" t="n">
        <v>0</v>
      </c>
      <c r="O162" t="n">
        <v>5</v>
      </c>
    </row>
    <row r="163">
      <c r="A163" t="inlineStr">
        <is>
          <t>UNIONVILLE</t>
        </is>
      </c>
      <c r="B163" t="inlineStr">
        <is>
          <t>SR 1001</t>
        </is>
      </c>
      <c r="C163" t="n">
        <v>0.2</v>
      </c>
      <c r="D163" t="inlineStr">
        <is>
          <t>NE</t>
        </is>
      </c>
      <c r="E163" t="inlineStr">
        <is>
          <t>SR 2713</t>
        </is>
      </c>
      <c r="F163" t="inlineStr">
        <is>
          <t>SR 1615</t>
        </is>
      </c>
      <c r="G163" t="inlineStr">
        <is>
          <t>SR 1001</t>
        </is>
      </c>
      <c r="H163" t="n">
        <v>2.725</v>
      </c>
      <c r="J163" t="n">
        <v>105512829</v>
      </c>
      <c r="K163" s="11" t="n">
        <v>43266</v>
      </c>
      <c r="L163" t="n">
        <v>19</v>
      </c>
      <c r="M163" t="n">
        <v>1</v>
      </c>
      <c r="N163" t="n">
        <v>0</v>
      </c>
      <c r="O163" t="n">
        <v>5</v>
      </c>
      <c r="P163" t="inlineStr">
        <is>
          <t>O</t>
        </is>
      </c>
    </row>
    <row r="164">
      <c r="A164" t="inlineStr">
        <is>
          <t>RURAL</t>
        </is>
      </c>
      <c r="B164" t="inlineStr">
        <is>
          <t>SR 1655</t>
        </is>
      </c>
      <c r="C164" t="n">
        <v>0</v>
      </c>
      <c r="E164" t="inlineStr">
        <is>
          <t>SR 1001</t>
        </is>
      </c>
      <c r="F164" t="inlineStr">
        <is>
          <t>SR 1656</t>
        </is>
      </c>
      <c r="G164" t="inlineStr">
        <is>
          <t>SR 1655</t>
        </is>
      </c>
      <c r="H164" t="n">
        <v>1.237</v>
      </c>
      <c r="J164" t="n">
        <v>105627177</v>
      </c>
      <c r="K164" s="11" t="n">
        <v>43378</v>
      </c>
      <c r="L164" t="n">
        <v>19</v>
      </c>
      <c r="M164" t="n">
        <v>1</v>
      </c>
      <c r="N164" t="n">
        <v>8</v>
      </c>
      <c r="O164" t="n">
        <v>1</v>
      </c>
      <c r="P164" t="inlineStr">
        <is>
          <t>O</t>
        </is>
      </c>
    </row>
    <row r="165">
      <c r="A165" t="inlineStr">
        <is>
          <t>RURAL</t>
        </is>
      </c>
      <c r="B165" t="inlineStr">
        <is>
          <t>SR 1001</t>
        </is>
      </c>
      <c r="C165" t="n">
        <v>0</v>
      </c>
      <c r="E165" t="inlineStr">
        <is>
          <t>SR 1617</t>
        </is>
      </c>
      <c r="F165" t="inlineStr">
        <is>
          <t>SR 1615</t>
        </is>
      </c>
      <c r="G165" t="inlineStr">
        <is>
          <t>SR 1001</t>
        </is>
      </c>
      <c r="H165" t="n">
        <v>3.461</v>
      </c>
      <c r="J165" t="n">
        <v>105535858</v>
      </c>
      <c r="K165" s="11" t="n">
        <v>43290</v>
      </c>
      <c r="L165" t="n">
        <v>30</v>
      </c>
      <c r="M165" t="n">
        <v>1</v>
      </c>
      <c r="N165" t="n">
        <v>7</v>
      </c>
      <c r="O165" t="n">
        <v>1</v>
      </c>
      <c r="P165" t="inlineStr">
        <is>
          <t>B</t>
        </is>
      </c>
    </row>
    <row r="166">
      <c r="A166" t="inlineStr">
        <is>
          <t>UNIONVILLE</t>
        </is>
      </c>
      <c r="B166" t="inlineStr">
        <is>
          <t>NC 200</t>
        </is>
      </c>
      <c r="C166" t="n">
        <v>0</v>
      </c>
      <c r="E166" t="inlineStr">
        <is>
          <t>SR 1606</t>
        </is>
      </c>
      <c r="F166" t="inlineStr">
        <is>
          <t>SR 1633</t>
        </is>
      </c>
      <c r="G166" t="inlineStr">
        <is>
          <t>NC 200</t>
        </is>
      </c>
      <c r="H166" t="n">
        <v>25.69</v>
      </c>
      <c r="J166" t="n">
        <v>105422803</v>
      </c>
      <c r="K166" s="11" t="n">
        <v>43178</v>
      </c>
      <c r="L166" t="n">
        <v>19</v>
      </c>
      <c r="M166" t="n">
        <v>1</v>
      </c>
      <c r="N166" t="n">
        <v>7</v>
      </c>
      <c r="O166" t="n">
        <v>1</v>
      </c>
      <c r="P166" t="inlineStr">
        <is>
          <t>O</t>
        </is>
      </c>
    </row>
    <row r="167">
      <c r="A167" t="inlineStr">
        <is>
          <t>RURAL</t>
        </is>
      </c>
      <c r="B167" t="inlineStr">
        <is>
          <t>SR 1001</t>
        </is>
      </c>
      <c r="C167" t="n">
        <v>0.5</v>
      </c>
      <c r="D167" t="inlineStr">
        <is>
          <t>S</t>
        </is>
      </c>
      <c r="E167" t="inlineStr">
        <is>
          <t>SR 1617</t>
        </is>
      </c>
      <c r="F167" t="inlineStr">
        <is>
          <t>SR 1615</t>
        </is>
      </c>
      <c r="G167" t="inlineStr">
        <is>
          <t>SR 1001</t>
        </is>
      </c>
      <c r="H167" t="n">
        <v>2.961</v>
      </c>
      <c r="J167" t="n">
        <v>105477494</v>
      </c>
      <c r="K167" s="11" t="n">
        <v>43232</v>
      </c>
      <c r="L167" t="n">
        <v>19</v>
      </c>
      <c r="M167" t="n">
        <v>1</v>
      </c>
      <c r="N167" t="n">
        <v>0</v>
      </c>
      <c r="O167" t="n">
        <v>5</v>
      </c>
      <c r="P167" t="inlineStr">
        <is>
          <t>A</t>
        </is>
      </c>
    </row>
    <row r="168">
      <c r="A168" t="inlineStr">
        <is>
          <t>UNIONVILLE</t>
        </is>
      </c>
      <c r="B168" t="inlineStr">
        <is>
          <t>SR 1001</t>
        </is>
      </c>
      <c r="C168" t="n">
        <v>0.019</v>
      </c>
      <c r="D168" t="inlineStr">
        <is>
          <t>S</t>
        </is>
      </c>
      <c r="E168" t="inlineStr">
        <is>
          <t>SR 1617</t>
        </is>
      </c>
      <c r="G168" t="inlineStr">
        <is>
          <t>SR 1001</t>
        </is>
      </c>
      <c r="H168" t="n">
        <v>3.442</v>
      </c>
      <c r="J168" t="n">
        <v>105520583</v>
      </c>
      <c r="K168" s="11" t="n">
        <v>43271</v>
      </c>
      <c r="L168" t="n">
        <v>19</v>
      </c>
      <c r="M168" t="n">
        <v>2</v>
      </c>
      <c r="N168" t="n">
        <v>0</v>
      </c>
      <c r="O168" t="n">
        <v>1</v>
      </c>
      <c r="P168" t="inlineStr">
        <is>
          <t>O</t>
        </is>
      </c>
    </row>
    <row r="169">
      <c r="A169" t="inlineStr">
        <is>
          <t>UNIONVILLE</t>
        </is>
      </c>
      <c r="B169" t="inlineStr">
        <is>
          <t>SR 1001</t>
        </is>
      </c>
      <c r="C169" t="n">
        <v>0.002</v>
      </c>
      <c r="D169" t="inlineStr">
        <is>
          <t>N</t>
        </is>
      </c>
      <c r="E169" t="inlineStr">
        <is>
          <t>US 601</t>
        </is>
      </c>
      <c r="F169" t="inlineStr">
        <is>
          <t>SPRING LAKE</t>
        </is>
      </c>
      <c r="G169" t="inlineStr">
        <is>
          <t>SR 1001</t>
        </is>
      </c>
      <c r="H169" t="n">
        <v>0.002</v>
      </c>
      <c r="J169" t="n">
        <v>105520586</v>
      </c>
      <c r="K169" s="11" t="n">
        <v>43243</v>
      </c>
      <c r="L169" t="n">
        <v>21</v>
      </c>
      <c r="M169" t="n">
        <v>1</v>
      </c>
      <c r="N169" t="n">
        <v>0</v>
      </c>
      <c r="O169" t="n">
        <v>1</v>
      </c>
      <c r="P169" t="inlineStr">
        <is>
          <t>O</t>
        </is>
      </c>
    </row>
    <row r="170">
      <c r="A170" t="inlineStr">
        <is>
          <t>RURAL</t>
        </is>
      </c>
      <c r="B170" t="inlineStr">
        <is>
          <t>SR 1619</t>
        </is>
      </c>
      <c r="C170" t="n">
        <v>0.038</v>
      </c>
      <c r="D170" t="inlineStr">
        <is>
          <t>W</t>
        </is>
      </c>
      <c r="E170" t="inlineStr">
        <is>
          <t>SR 1001</t>
        </is>
      </c>
      <c r="F170" t="inlineStr">
        <is>
          <t>UNIONVILLE</t>
        </is>
      </c>
      <c r="G170" t="inlineStr">
        <is>
          <t>SR 1619</t>
        </is>
      </c>
      <c r="H170" t="n">
        <v>0</v>
      </c>
      <c r="J170" t="n">
        <v>105669961</v>
      </c>
      <c r="K170" s="11" t="n">
        <v>43411</v>
      </c>
      <c r="L170" t="n">
        <v>17</v>
      </c>
      <c r="M170" t="n">
        <v>2</v>
      </c>
      <c r="N170" t="n">
        <v>0</v>
      </c>
      <c r="O170" t="n">
        <v>5</v>
      </c>
      <c r="P170" t="inlineStr">
        <is>
          <t>O</t>
        </is>
      </c>
    </row>
    <row r="171">
      <c r="A171" t="inlineStr">
        <is>
          <t>UNIONVILLE</t>
        </is>
      </c>
      <c r="B171" t="inlineStr">
        <is>
          <t>SR 1618</t>
        </is>
      </c>
      <c r="C171" t="n">
        <v>0</v>
      </c>
      <c r="D171" t="inlineStr">
        <is>
          <t>E</t>
        </is>
      </c>
      <c r="E171" t="inlineStr">
        <is>
          <t>SR 1001</t>
        </is>
      </c>
      <c r="F171" t="inlineStr">
        <is>
          <t>SR 1637</t>
        </is>
      </c>
      <c r="G171" t="inlineStr">
        <is>
          <t>SR 1618</t>
        </is>
      </c>
      <c r="H171" t="n">
        <v>0</v>
      </c>
      <c r="J171" t="n">
        <v>105670638</v>
      </c>
      <c r="K171" s="11" t="n">
        <v>43413</v>
      </c>
      <c r="L171" t="n">
        <v>26</v>
      </c>
      <c r="M171" t="n">
        <v>2</v>
      </c>
      <c r="N171" t="n">
        <v>10</v>
      </c>
      <c r="O171" t="n">
        <v>5</v>
      </c>
      <c r="P171" t="inlineStr">
        <is>
          <t>O</t>
        </is>
      </c>
    </row>
    <row r="172">
      <c r="A172" t="inlineStr">
        <is>
          <t>RURAL</t>
        </is>
      </c>
      <c r="B172" t="inlineStr">
        <is>
          <t>SR 1606</t>
        </is>
      </c>
      <c r="C172" t="n">
        <v>5</v>
      </c>
      <c r="D172" t="inlineStr">
        <is>
          <t>N</t>
        </is>
      </c>
      <c r="E172" t="inlineStr">
        <is>
          <t>SR 1678</t>
        </is>
      </c>
      <c r="F172" t="inlineStr">
        <is>
          <t>SR 1613</t>
        </is>
      </c>
      <c r="G172" t="inlineStr">
        <is>
          <t>SR 1606</t>
        </is>
      </c>
      <c r="H172" t="n">
        <v>0.796</v>
      </c>
      <c r="J172" t="n">
        <v>105613443</v>
      </c>
      <c r="K172" s="11" t="n">
        <v>43367</v>
      </c>
      <c r="L172" t="n">
        <v>22</v>
      </c>
      <c r="M172" t="n">
        <v>1</v>
      </c>
      <c r="N172" t="n">
        <v>5</v>
      </c>
      <c r="O172" t="n">
        <v>5</v>
      </c>
      <c r="P172" t="inlineStr">
        <is>
          <t>C</t>
        </is>
      </c>
    </row>
    <row r="173">
      <c r="A173" t="inlineStr">
        <is>
          <t>UNIONVILLE</t>
        </is>
      </c>
      <c r="B173" t="inlineStr">
        <is>
          <t>SR 1618</t>
        </is>
      </c>
      <c r="C173" t="n">
        <v>0.008</v>
      </c>
      <c r="D173" t="inlineStr">
        <is>
          <t>S</t>
        </is>
      </c>
      <c r="E173" t="inlineStr">
        <is>
          <t>SR 1606</t>
        </is>
      </c>
      <c r="F173" t="inlineStr">
        <is>
          <t>SR 1615</t>
        </is>
      </c>
      <c r="G173" t="inlineStr">
        <is>
          <t>SR 1618</t>
        </is>
      </c>
      <c r="H173" t="n">
        <v>0</v>
      </c>
      <c r="J173" t="n">
        <v>105669889</v>
      </c>
      <c r="K173" s="11" t="n">
        <v>43411</v>
      </c>
      <c r="L173" t="n">
        <v>21</v>
      </c>
      <c r="M173" t="n">
        <v>1</v>
      </c>
      <c r="N173" t="n">
        <v>10</v>
      </c>
      <c r="O173" t="n">
        <v>1</v>
      </c>
      <c r="P173" t="inlineStr">
        <is>
          <t>C</t>
        </is>
      </c>
    </row>
    <row r="174">
      <c r="A174" t="inlineStr">
        <is>
          <t>RURAL</t>
        </is>
      </c>
      <c r="B174" t="inlineStr">
        <is>
          <t>SR 1001</t>
        </is>
      </c>
      <c r="C174" t="n">
        <v>0</v>
      </c>
      <c r="E174" t="inlineStr">
        <is>
          <t>US 601</t>
        </is>
      </c>
      <c r="F174" t="inlineStr">
        <is>
          <t>SR 1460</t>
        </is>
      </c>
      <c r="G174" t="inlineStr">
        <is>
          <t>SR 1001</t>
        </is>
      </c>
      <c r="H174" t="n">
        <v>0</v>
      </c>
      <c r="J174" t="n">
        <v>105477289</v>
      </c>
      <c r="K174" s="11" t="n">
        <v>43231</v>
      </c>
      <c r="L174" t="n">
        <v>24</v>
      </c>
      <c r="M174" t="n">
        <v>1</v>
      </c>
      <c r="N174" t="n">
        <v>8</v>
      </c>
      <c r="O174" t="n">
        <v>5</v>
      </c>
      <c r="P174" t="inlineStr">
        <is>
          <t>C</t>
        </is>
      </c>
    </row>
    <row r="175">
      <c r="A175" t="inlineStr">
        <is>
          <t>RURAL</t>
        </is>
      </c>
      <c r="B175" t="inlineStr">
        <is>
          <t>NC 218</t>
        </is>
      </c>
      <c r="C175" t="n">
        <v>0</v>
      </c>
      <c r="E175" t="inlineStr">
        <is>
          <t>SR 1001</t>
        </is>
      </c>
      <c r="F175" t="inlineStr">
        <is>
          <t>SR 1606</t>
        </is>
      </c>
      <c r="G175" t="inlineStr">
        <is>
          <t>NC 218</t>
        </is>
      </c>
      <c r="H175" t="n">
        <v>9.786</v>
      </c>
      <c r="J175" t="n">
        <v>105644334</v>
      </c>
      <c r="K175" s="11" t="n">
        <v>43394</v>
      </c>
      <c r="L175" t="n">
        <v>19</v>
      </c>
      <c r="M175" t="n">
        <v>1</v>
      </c>
      <c r="N175" t="n">
        <v>7</v>
      </c>
      <c r="O175" t="n">
        <v>1</v>
      </c>
      <c r="P175" t="inlineStr">
        <is>
          <t>O</t>
        </is>
      </c>
    </row>
    <row r="176">
      <c r="A176" t="inlineStr">
        <is>
          <t>RURAL</t>
        </is>
      </c>
      <c r="B176" t="inlineStr">
        <is>
          <t>NC 218</t>
        </is>
      </c>
      <c r="C176" t="n">
        <v>0</v>
      </c>
      <c r="E176" t="inlineStr">
        <is>
          <t>SR 1606</t>
        </is>
      </c>
      <c r="F176" t="inlineStr">
        <is>
          <t>SR 1547</t>
        </is>
      </c>
      <c r="G176" t="inlineStr">
        <is>
          <t>NC 218</t>
        </is>
      </c>
      <c r="H176" t="n">
        <v>8.082000000000001</v>
      </c>
      <c r="J176" t="n">
        <v>105491727</v>
      </c>
      <c r="K176" s="11" t="n">
        <v>43243</v>
      </c>
      <c r="L176" t="n">
        <v>24</v>
      </c>
      <c r="M176" t="n">
        <v>1</v>
      </c>
      <c r="N176" t="n">
        <v>7</v>
      </c>
      <c r="O176" t="n">
        <v>1</v>
      </c>
      <c r="P176" t="inlineStr">
        <is>
          <t>B</t>
        </is>
      </c>
    </row>
    <row r="177">
      <c r="A177" t="inlineStr">
        <is>
          <t>UNIONVILLE</t>
        </is>
      </c>
      <c r="B177" t="inlineStr">
        <is>
          <t>PVA MARATHON GAS</t>
        </is>
      </c>
      <c r="C177" t="n">
        <v>0.014</v>
      </c>
      <c r="D177" t="inlineStr">
        <is>
          <t>W</t>
        </is>
      </c>
      <c r="E177" t="inlineStr">
        <is>
          <t>SR 1001</t>
        </is>
      </c>
      <c r="F177" t="inlineStr">
        <is>
          <t>DEAD END</t>
        </is>
      </c>
      <c r="H177" t="n">
        <v>999.999</v>
      </c>
      <c r="J177" t="n">
        <v>105790718</v>
      </c>
      <c r="K177" s="11" t="n">
        <v>43526</v>
      </c>
      <c r="L177" t="n">
        <v>31</v>
      </c>
      <c r="M177" t="n">
        <v>1</v>
      </c>
      <c r="N177" t="n">
        <v>0</v>
      </c>
      <c r="O177" t="n">
        <v>1</v>
      </c>
      <c r="P177" t="inlineStr">
        <is>
          <t>O</t>
        </is>
      </c>
    </row>
    <row r="178">
      <c r="A178" t="inlineStr">
        <is>
          <t>RURAL</t>
        </is>
      </c>
      <c r="B178" t="inlineStr">
        <is>
          <t>SR 1001</t>
        </is>
      </c>
      <c r="C178" t="n">
        <v>0</v>
      </c>
      <c r="E178" t="inlineStr">
        <is>
          <t>US 601</t>
        </is>
      </c>
      <c r="G178" t="inlineStr">
        <is>
          <t>SR 1001</t>
        </is>
      </c>
      <c r="H178" t="n">
        <v>0</v>
      </c>
      <c r="J178" t="n">
        <v>105752124</v>
      </c>
      <c r="K178" s="11" t="n">
        <v>43488</v>
      </c>
      <c r="L178" t="n">
        <v>21</v>
      </c>
      <c r="M178" t="n">
        <v>2</v>
      </c>
      <c r="N178" t="n">
        <v>8</v>
      </c>
      <c r="O178" t="n">
        <v>5</v>
      </c>
      <c r="P178" t="inlineStr">
        <is>
          <t>C</t>
        </is>
      </c>
    </row>
    <row r="179">
      <c r="A179" t="inlineStr">
        <is>
          <t>UNIONVILLE</t>
        </is>
      </c>
      <c r="B179" t="inlineStr">
        <is>
          <t>SR 1681</t>
        </is>
      </c>
      <c r="C179" t="n">
        <v>0</v>
      </c>
      <c r="E179" t="inlineStr">
        <is>
          <t>SR 1619</t>
        </is>
      </c>
      <c r="F179" t="inlineStr">
        <is>
          <t>SR 1637</t>
        </is>
      </c>
      <c r="G179" t="inlineStr">
        <is>
          <t>SR 1681</t>
        </is>
      </c>
      <c r="H179" t="n">
        <v>0.863</v>
      </c>
      <c r="J179" t="n">
        <v>108181659</v>
      </c>
      <c r="K179" s="11" t="n">
        <v>45862</v>
      </c>
      <c r="L179" t="n">
        <v>23</v>
      </c>
      <c r="M179" t="n">
        <v>1</v>
      </c>
      <c r="N179" t="n">
        <v>8</v>
      </c>
      <c r="O179" t="n">
        <v>1</v>
      </c>
      <c r="P179" t="inlineStr">
        <is>
          <t>B</t>
        </is>
      </c>
      <c r="Q179" t="n">
        <v>35.076107</v>
      </c>
      <c r="R179" t="n">
        <v>-80.49293</v>
      </c>
      <c r="S179" t="inlineStr">
        <is>
          <t>DMV349CLEANED</t>
        </is>
      </c>
    </row>
    <row r="180">
      <c r="A180" t="inlineStr">
        <is>
          <t>RURAL</t>
        </is>
      </c>
      <c r="B180" t="inlineStr">
        <is>
          <t>SR 1606</t>
        </is>
      </c>
      <c r="C180" t="n">
        <v>0</v>
      </c>
      <c r="E180" t="inlineStr">
        <is>
          <t>SR 1607</t>
        </is>
      </c>
      <c r="F180" t="inlineStr">
        <is>
          <t>SR 1547</t>
        </is>
      </c>
      <c r="G180" t="inlineStr">
        <is>
          <t>SR 1606</t>
        </is>
      </c>
      <c r="H180" t="n">
        <v>1.084</v>
      </c>
      <c r="J180" t="n">
        <v>107591326</v>
      </c>
      <c r="K180" s="11" t="n">
        <v>45301</v>
      </c>
      <c r="L180" t="n">
        <v>24</v>
      </c>
      <c r="M180" t="n">
        <v>1</v>
      </c>
      <c r="N180" t="n">
        <v>7</v>
      </c>
      <c r="O180" t="n">
        <v>1</v>
      </c>
      <c r="P180" t="inlineStr">
        <is>
          <t>C</t>
        </is>
      </c>
      <c r="Q180" t="n">
        <v>35.15454</v>
      </c>
      <c r="R180" t="n">
        <v>-80.47302000000001</v>
      </c>
      <c r="S180" t="inlineStr">
        <is>
          <t>DMV349CLEANED</t>
        </is>
      </c>
    </row>
    <row r="181">
      <c r="A181" t="inlineStr">
        <is>
          <t>UNIONVILLE</t>
        </is>
      </c>
      <c r="B181" t="inlineStr">
        <is>
          <t>*LCL CAR WASH PVA</t>
        </is>
      </c>
      <c r="C181" t="n">
        <v>0.001</v>
      </c>
      <c r="D181" t="inlineStr">
        <is>
          <t>E</t>
        </is>
      </c>
      <c r="E181" t="inlineStr">
        <is>
          <t>SR 1001</t>
        </is>
      </c>
      <c r="F181" t="inlineStr">
        <is>
          <t>DEAD END</t>
        </is>
      </c>
      <c r="H181" t="n">
        <v>999.999</v>
      </c>
      <c r="J181" t="n">
        <v>105722912</v>
      </c>
      <c r="K181" s="11" t="n">
        <v>43452</v>
      </c>
      <c r="L181" t="n">
        <v>31</v>
      </c>
      <c r="M181" t="n">
        <v>1</v>
      </c>
      <c r="N181" t="n">
        <v>0</v>
      </c>
      <c r="O181" t="n">
        <v>1</v>
      </c>
      <c r="P181" t="inlineStr">
        <is>
          <t>O</t>
        </is>
      </c>
    </row>
    <row r="182">
      <c r="A182" t="inlineStr">
        <is>
          <t>RURAL</t>
        </is>
      </c>
      <c r="B182" t="inlineStr">
        <is>
          <t>NC 218</t>
        </is>
      </c>
      <c r="C182" t="n">
        <v>0</v>
      </c>
      <c r="E182" t="inlineStr">
        <is>
          <t>SR 1001</t>
        </is>
      </c>
      <c r="F182" t="inlineStr">
        <is>
          <t>NC 200</t>
        </is>
      </c>
      <c r="G182" t="inlineStr">
        <is>
          <t>NC 218</t>
        </is>
      </c>
      <c r="H182" t="n">
        <v>9.786</v>
      </c>
      <c r="J182" t="n">
        <v>105711501</v>
      </c>
      <c r="K182" s="11" t="n">
        <v>43448</v>
      </c>
      <c r="L182" t="n">
        <v>30</v>
      </c>
      <c r="M182" t="n">
        <v>2</v>
      </c>
      <c r="N182" t="n">
        <v>7</v>
      </c>
      <c r="O182" t="n">
        <v>5</v>
      </c>
      <c r="P182" t="inlineStr">
        <is>
          <t>B</t>
        </is>
      </c>
    </row>
    <row r="183">
      <c r="A183" t="inlineStr">
        <is>
          <t>RURAL</t>
        </is>
      </c>
      <c r="B183" t="inlineStr">
        <is>
          <t>SR 1606</t>
        </is>
      </c>
      <c r="C183" t="n">
        <v>0</v>
      </c>
      <c r="D183" t="inlineStr">
        <is>
          <t>N</t>
        </is>
      </c>
      <c r="E183" t="inlineStr">
        <is>
          <t>NEW SALEM</t>
        </is>
      </c>
      <c r="F183" t="inlineStr">
        <is>
          <t>G B HILL</t>
        </is>
      </c>
      <c r="G183" t="inlineStr">
        <is>
          <t>SR 1606</t>
        </is>
      </c>
      <c r="H183" t="n">
        <v>999.999</v>
      </c>
      <c r="J183" t="n">
        <v>105775814</v>
      </c>
      <c r="K183" s="11" t="n">
        <v>43509</v>
      </c>
      <c r="L183" t="n">
        <v>30</v>
      </c>
      <c r="M183" t="n">
        <v>1</v>
      </c>
      <c r="N183" t="n">
        <v>7</v>
      </c>
      <c r="O183" t="n">
        <v>1</v>
      </c>
      <c r="P183" t="inlineStr">
        <is>
          <t>O</t>
        </is>
      </c>
    </row>
    <row r="184">
      <c r="A184" t="inlineStr">
        <is>
          <t>UNIONVILLE</t>
        </is>
      </c>
      <c r="B184" t="inlineStr">
        <is>
          <t>SR 1001</t>
        </is>
      </c>
      <c r="C184" t="n">
        <v>0.5</v>
      </c>
      <c r="D184" t="inlineStr">
        <is>
          <t>N</t>
        </is>
      </c>
      <c r="E184" t="inlineStr">
        <is>
          <t>SR 1665</t>
        </is>
      </c>
      <c r="F184" t="inlineStr">
        <is>
          <t>SR 1615</t>
        </is>
      </c>
      <c r="G184" t="inlineStr">
        <is>
          <t>SR 1001</t>
        </is>
      </c>
      <c r="H184" t="n">
        <v>2.715</v>
      </c>
      <c r="J184" t="n">
        <v>108436731</v>
      </c>
      <c r="K184" s="11" t="n">
        <v>46094</v>
      </c>
      <c r="L184" t="n">
        <v>19</v>
      </c>
      <c r="M184" t="n">
        <v>1</v>
      </c>
      <c r="N184" t="n">
        <v>0</v>
      </c>
      <c r="O184" t="n">
        <v>1</v>
      </c>
      <c r="P184" t="inlineStr">
        <is>
          <t>B</t>
        </is>
      </c>
      <c r="Q184" t="n">
        <v>35.07</v>
      </c>
      <c r="R184" t="n">
        <v>-80.51000000000001</v>
      </c>
      <c r="S184" t="inlineStr">
        <is>
          <t>DMV349</t>
        </is>
      </c>
    </row>
    <row r="185">
      <c r="A185" t="inlineStr">
        <is>
          <t>RURAL</t>
        </is>
      </c>
      <c r="B185" t="inlineStr">
        <is>
          <t>SR 1606</t>
        </is>
      </c>
      <c r="C185" t="n">
        <v>0.8</v>
      </c>
      <c r="D185" t="inlineStr">
        <is>
          <t>S</t>
        </is>
      </c>
      <c r="E185" t="inlineStr">
        <is>
          <t>SR 1617</t>
        </is>
      </c>
      <c r="F185" t="inlineStr">
        <is>
          <t>SR 1615</t>
        </is>
      </c>
      <c r="G185" t="inlineStr">
        <is>
          <t>SR 1606</t>
        </is>
      </c>
      <c r="H185" t="n">
        <v>999.999</v>
      </c>
      <c r="J185" t="n">
        <v>105825314</v>
      </c>
      <c r="K185" s="11" t="n">
        <v>43557</v>
      </c>
      <c r="L185" t="n">
        <v>19</v>
      </c>
      <c r="M185" t="n">
        <v>6</v>
      </c>
      <c r="N185" t="n">
        <v>0</v>
      </c>
      <c r="O185" t="n">
        <v>1</v>
      </c>
      <c r="P185" t="inlineStr">
        <is>
          <t>B</t>
        </is>
      </c>
    </row>
    <row r="186">
      <c r="A186" t="inlineStr">
        <is>
          <t>RURAL</t>
        </is>
      </c>
      <c r="B186" t="inlineStr">
        <is>
          <t>SR 1606</t>
        </is>
      </c>
      <c r="C186" t="n">
        <v>0.5</v>
      </c>
      <c r="D186" t="inlineStr">
        <is>
          <t>S</t>
        </is>
      </c>
      <c r="E186" t="inlineStr">
        <is>
          <t>SR 1619</t>
        </is>
      </c>
      <c r="F186" t="inlineStr">
        <is>
          <t>PRESSON FARM</t>
        </is>
      </c>
      <c r="G186" t="inlineStr">
        <is>
          <t>SR 1606</t>
        </is>
      </c>
      <c r="H186" t="n">
        <v>999.999</v>
      </c>
      <c r="J186" t="n">
        <v>105685420</v>
      </c>
      <c r="K186" s="11" t="n">
        <v>43424</v>
      </c>
      <c r="L186" t="n">
        <v>17</v>
      </c>
      <c r="M186" t="n">
        <v>1</v>
      </c>
      <c r="N186" t="n">
        <v>0</v>
      </c>
      <c r="O186" t="n">
        <v>2</v>
      </c>
      <c r="P186" t="inlineStr">
        <is>
          <t>O</t>
        </is>
      </c>
    </row>
    <row r="187">
      <c r="A187" t="inlineStr">
        <is>
          <t>UNIONVILLE</t>
        </is>
      </c>
      <c r="B187" t="inlineStr">
        <is>
          <t>SR 1606</t>
        </is>
      </c>
      <c r="C187" t="n">
        <v>0</v>
      </c>
      <c r="D187" t="inlineStr">
        <is>
          <t>S</t>
        </is>
      </c>
      <c r="E187" t="inlineStr">
        <is>
          <t>SR 1638</t>
        </is>
      </c>
      <c r="F187" t="inlineStr">
        <is>
          <t>SR 1678</t>
        </is>
      </c>
      <c r="G187" t="inlineStr">
        <is>
          <t>SR 1606</t>
        </is>
      </c>
      <c r="H187" t="n">
        <v>5.016</v>
      </c>
      <c r="J187" t="n">
        <v>105805384</v>
      </c>
      <c r="K187" s="11" t="n">
        <v>43529</v>
      </c>
      <c r="L187" t="n">
        <v>23</v>
      </c>
      <c r="M187" t="n">
        <v>1</v>
      </c>
      <c r="N187" t="n">
        <v>0</v>
      </c>
      <c r="O187" t="n">
        <v>1</v>
      </c>
      <c r="P187" t="inlineStr">
        <is>
          <t>O</t>
        </is>
      </c>
    </row>
    <row r="188">
      <c r="A188" t="inlineStr">
        <is>
          <t>UNIONVILLE</t>
        </is>
      </c>
      <c r="B188" t="inlineStr">
        <is>
          <t>SR 1001</t>
        </is>
      </c>
      <c r="C188" t="n">
        <v>0.038</v>
      </c>
      <c r="D188" t="inlineStr">
        <is>
          <t>S</t>
        </is>
      </c>
      <c r="E188" t="inlineStr">
        <is>
          <t>SR 1617</t>
        </is>
      </c>
      <c r="F188" t="inlineStr">
        <is>
          <t>US 601</t>
        </is>
      </c>
      <c r="G188" t="inlineStr">
        <is>
          <t>SR 1001</t>
        </is>
      </c>
      <c r="H188" t="n">
        <v>3.423</v>
      </c>
      <c r="J188" t="n">
        <v>105964079</v>
      </c>
      <c r="K188" s="11" t="n">
        <v>43692</v>
      </c>
      <c r="L188" t="n">
        <v>19</v>
      </c>
      <c r="M188" t="n">
        <v>2</v>
      </c>
      <c r="N188" t="n">
        <v>0</v>
      </c>
      <c r="O188" t="n">
        <v>5</v>
      </c>
      <c r="P188" t="inlineStr">
        <is>
          <t>O</t>
        </is>
      </c>
    </row>
    <row r="189">
      <c r="A189" t="inlineStr">
        <is>
          <t>RURAL</t>
        </is>
      </c>
      <c r="B189" t="inlineStr">
        <is>
          <t>NC 218</t>
        </is>
      </c>
      <c r="C189" t="n">
        <v>0</v>
      </c>
      <c r="E189" t="inlineStr">
        <is>
          <t>SR 1001</t>
        </is>
      </c>
      <c r="F189" t="inlineStr">
        <is>
          <t>SR 2732</t>
        </is>
      </c>
      <c r="G189" t="inlineStr">
        <is>
          <t>NC 218</t>
        </is>
      </c>
      <c r="H189" t="n">
        <v>9.786</v>
      </c>
      <c r="J189" t="n">
        <v>105989915</v>
      </c>
      <c r="K189" s="11" t="n">
        <v>43719</v>
      </c>
      <c r="L189" t="n">
        <v>30</v>
      </c>
      <c r="M189" t="n">
        <v>1</v>
      </c>
      <c r="N189" t="n">
        <v>7</v>
      </c>
      <c r="O189" t="n">
        <v>1</v>
      </c>
      <c r="P189" t="inlineStr">
        <is>
          <t>B</t>
        </is>
      </c>
    </row>
    <row r="190">
      <c r="A190" t="inlineStr">
        <is>
          <t>FAIRVIEW</t>
        </is>
      </c>
      <c r="B190" t="inlineStr">
        <is>
          <t>SR 1547</t>
        </is>
      </c>
      <c r="C190" t="n">
        <v>0</v>
      </c>
      <c r="E190" t="inlineStr">
        <is>
          <t>SR 1606</t>
        </is>
      </c>
      <c r="F190" t="inlineStr">
        <is>
          <t>SR 1607</t>
        </is>
      </c>
      <c r="G190" t="inlineStr">
        <is>
          <t>SR 1547</t>
        </is>
      </c>
      <c r="H190" t="n">
        <v>2.101</v>
      </c>
      <c r="J190" t="n">
        <v>105954257</v>
      </c>
      <c r="K190" s="11" t="n">
        <v>43685</v>
      </c>
      <c r="L190" t="n">
        <v>30</v>
      </c>
      <c r="M190" t="n">
        <v>1</v>
      </c>
      <c r="N190" t="n">
        <v>7</v>
      </c>
      <c r="O190" t="n">
        <v>1</v>
      </c>
      <c r="P190" t="inlineStr">
        <is>
          <t>B</t>
        </is>
      </c>
    </row>
    <row r="191">
      <c r="A191" t="inlineStr">
        <is>
          <t>FAIRVIEW</t>
        </is>
      </c>
      <c r="B191" t="inlineStr">
        <is>
          <t>SR 1606</t>
        </is>
      </c>
      <c r="C191" t="n">
        <v>1</v>
      </c>
      <c r="D191" t="inlineStr">
        <is>
          <t>S</t>
        </is>
      </c>
      <c r="E191" t="inlineStr">
        <is>
          <t>SR 1547</t>
        </is>
      </c>
      <c r="F191" t="inlineStr">
        <is>
          <t>NC 218</t>
        </is>
      </c>
      <c r="G191" t="inlineStr">
        <is>
          <t>SR 1606</t>
        </is>
      </c>
      <c r="H191" t="n">
        <v>2.587</v>
      </c>
      <c r="J191" t="n">
        <v>105685863</v>
      </c>
      <c r="K191" s="11" t="n">
        <v>43425</v>
      </c>
      <c r="L191" t="n">
        <v>17</v>
      </c>
      <c r="M191" t="n">
        <v>1</v>
      </c>
      <c r="N191" t="n">
        <v>0</v>
      </c>
      <c r="O191" t="n">
        <v>1</v>
      </c>
      <c r="P191" t="inlineStr">
        <is>
          <t>O</t>
        </is>
      </c>
    </row>
    <row r="192">
      <c r="A192" t="inlineStr">
        <is>
          <t>RURAL</t>
        </is>
      </c>
      <c r="B192" t="inlineStr">
        <is>
          <t>SR 1001</t>
        </is>
      </c>
      <c r="C192" t="n">
        <v>0.11</v>
      </c>
      <c r="D192" t="inlineStr">
        <is>
          <t>S</t>
        </is>
      </c>
      <c r="E192" t="inlineStr">
        <is>
          <t>SR 1664</t>
        </is>
      </c>
      <c r="F192" t="inlineStr">
        <is>
          <t>SR 1663</t>
        </is>
      </c>
      <c r="G192" t="inlineStr">
        <is>
          <t>SR 1001</t>
        </is>
      </c>
      <c r="H192" t="n">
        <v>9.535</v>
      </c>
      <c r="J192" t="n">
        <v>108001947</v>
      </c>
      <c r="K192" s="11" t="n">
        <v>45681</v>
      </c>
      <c r="L192" t="n">
        <v>17</v>
      </c>
      <c r="M192" t="n">
        <v>1</v>
      </c>
      <c r="N192" t="n">
        <v>0</v>
      </c>
      <c r="O192" t="n">
        <v>5</v>
      </c>
      <c r="P192" t="inlineStr">
        <is>
          <t>O</t>
        </is>
      </c>
      <c r="Q192" t="n">
        <v>35.15048</v>
      </c>
      <c r="R192" t="n">
        <v>-80.43733</v>
      </c>
      <c r="S192" t="inlineStr">
        <is>
          <t>DMV349CLEANED</t>
        </is>
      </c>
    </row>
    <row r="193">
      <c r="A193" t="inlineStr">
        <is>
          <t>UNIONVILLE</t>
        </is>
      </c>
      <c r="B193" t="inlineStr">
        <is>
          <t>SR 1001</t>
        </is>
      </c>
      <c r="C193" t="n">
        <v>0.1</v>
      </c>
      <c r="D193" t="inlineStr">
        <is>
          <t>W</t>
        </is>
      </c>
      <c r="E193" t="inlineStr">
        <is>
          <t>SR 1620</t>
        </is>
      </c>
      <c r="F193" t="inlineStr">
        <is>
          <t>NC 200</t>
        </is>
      </c>
      <c r="G193" t="inlineStr">
        <is>
          <t>SR 1001</t>
        </is>
      </c>
      <c r="H193" t="n">
        <v>1.252</v>
      </c>
      <c r="J193" t="n">
        <v>105723366</v>
      </c>
      <c r="K193" s="11" t="n">
        <v>43461</v>
      </c>
      <c r="L193" t="n">
        <v>28</v>
      </c>
      <c r="M193" t="n">
        <v>1</v>
      </c>
      <c r="N193" t="n">
        <v>0</v>
      </c>
      <c r="O193" t="n">
        <v>1</v>
      </c>
      <c r="P193" t="inlineStr">
        <is>
          <t>O</t>
        </is>
      </c>
    </row>
    <row r="194">
      <c r="A194" t="inlineStr">
        <is>
          <t>RURAL</t>
        </is>
      </c>
      <c r="B194" t="inlineStr">
        <is>
          <t>SR 1001</t>
        </is>
      </c>
      <c r="C194" t="n">
        <v>0.7</v>
      </c>
      <c r="D194" t="inlineStr">
        <is>
          <t>S</t>
        </is>
      </c>
      <c r="E194" t="inlineStr">
        <is>
          <t>SR 1665</t>
        </is>
      </c>
      <c r="F194" t="inlineStr">
        <is>
          <t>SR 1620</t>
        </is>
      </c>
      <c r="G194" t="inlineStr">
        <is>
          <t>SR 1001</t>
        </is>
      </c>
      <c r="H194" t="n">
        <v>1.515</v>
      </c>
      <c r="J194" t="n">
        <v>105713041</v>
      </c>
      <c r="K194" s="11" t="n">
        <v>43444</v>
      </c>
      <c r="L194" t="n">
        <v>29</v>
      </c>
      <c r="M194" t="n">
        <v>2</v>
      </c>
      <c r="N194" t="n">
        <v>0</v>
      </c>
      <c r="O194" t="n">
        <v>1</v>
      </c>
      <c r="P194" t="inlineStr">
        <is>
          <t>O</t>
        </is>
      </c>
    </row>
    <row r="195">
      <c r="A195" t="inlineStr">
        <is>
          <t>UNIONVILLE</t>
        </is>
      </c>
      <c r="B195" t="inlineStr">
        <is>
          <t>SR 1001</t>
        </is>
      </c>
      <c r="C195" t="n">
        <v>0.3</v>
      </c>
      <c r="D195" t="inlineStr">
        <is>
          <t>S</t>
        </is>
      </c>
      <c r="E195" t="inlineStr">
        <is>
          <t>SR 1619</t>
        </is>
      </c>
      <c r="F195" t="inlineStr">
        <is>
          <t>SR 1615</t>
        </is>
      </c>
      <c r="G195" t="inlineStr">
        <is>
          <t>SR 1001</t>
        </is>
      </c>
      <c r="H195" t="n">
        <v>3.161</v>
      </c>
      <c r="J195" t="n">
        <v>106019966</v>
      </c>
      <c r="K195" s="11" t="n">
        <v>43747</v>
      </c>
      <c r="L195" t="n">
        <v>17</v>
      </c>
      <c r="M195" t="n">
        <v>1</v>
      </c>
      <c r="N195" t="n">
        <v>0</v>
      </c>
      <c r="O195" t="n">
        <v>5</v>
      </c>
      <c r="P195" t="inlineStr">
        <is>
          <t>O</t>
        </is>
      </c>
    </row>
    <row r="196">
      <c r="A196" t="inlineStr">
        <is>
          <t>RURAL</t>
        </is>
      </c>
      <c r="B196" t="inlineStr">
        <is>
          <t>SR 1001</t>
        </is>
      </c>
      <c r="C196" t="n">
        <v>0.7</v>
      </c>
      <c r="D196" t="inlineStr">
        <is>
          <t>N</t>
        </is>
      </c>
      <c r="E196" t="inlineStr">
        <is>
          <t>SR 1663</t>
        </is>
      </c>
      <c r="F196" t="inlineStr">
        <is>
          <t>SR 1664</t>
        </is>
      </c>
      <c r="G196" t="inlineStr">
        <is>
          <t>SR 1001</t>
        </is>
      </c>
      <c r="H196" t="n">
        <v>9.349</v>
      </c>
      <c r="J196" t="n">
        <v>107665486</v>
      </c>
      <c r="K196" s="11" t="n">
        <v>45374</v>
      </c>
      <c r="L196" t="n">
        <v>17</v>
      </c>
      <c r="M196" t="n">
        <v>1</v>
      </c>
      <c r="N196" t="n">
        <v>0</v>
      </c>
      <c r="O196" t="n">
        <v>5</v>
      </c>
      <c r="P196" t="inlineStr">
        <is>
          <t>O</t>
        </is>
      </c>
      <c r="Q196" t="n">
        <v>35.14715</v>
      </c>
      <c r="R196" t="n">
        <v>-80.43895000000001</v>
      </c>
      <c r="S196" t="inlineStr">
        <is>
          <t>DMV349CLEANED</t>
        </is>
      </c>
    </row>
    <row r="197">
      <c r="A197" t="inlineStr">
        <is>
          <t>UNIONVILLE</t>
        </is>
      </c>
      <c r="B197" t="inlineStr">
        <is>
          <t>SR 1001</t>
        </is>
      </c>
      <c r="C197" t="n">
        <v>0</v>
      </c>
      <c r="E197" t="inlineStr">
        <is>
          <t>SR 1615</t>
        </is>
      </c>
      <c r="F197" t="inlineStr">
        <is>
          <t>SR 1617</t>
        </is>
      </c>
      <c r="G197" t="inlineStr">
        <is>
          <t>SR 1001</t>
        </is>
      </c>
      <c r="H197" t="n">
        <v>2.871</v>
      </c>
      <c r="J197" t="n">
        <v>106006697</v>
      </c>
      <c r="K197" s="11" t="n">
        <v>43735</v>
      </c>
      <c r="L197" t="n">
        <v>23</v>
      </c>
      <c r="M197" t="n">
        <v>1</v>
      </c>
      <c r="N197" t="n">
        <v>8</v>
      </c>
      <c r="O197" t="n">
        <v>1</v>
      </c>
      <c r="P197" t="inlineStr">
        <is>
          <t>B</t>
        </is>
      </c>
    </row>
    <row r="198">
      <c r="A198" t="inlineStr">
        <is>
          <t>UNIONVILLE</t>
        </is>
      </c>
      <c r="B198" t="inlineStr">
        <is>
          <t>SR 1001</t>
        </is>
      </c>
      <c r="C198" t="n">
        <v>0</v>
      </c>
      <c r="E198" t="inlineStr">
        <is>
          <t>SR 2713</t>
        </is>
      </c>
      <c r="F198" t="inlineStr">
        <is>
          <t>SR 1665</t>
        </is>
      </c>
      <c r="G198" t="inlineStr">
        <is>
          <t>SR 1001</t>
        </is>
      </c>
      <c r="H198" t="n">
        <v>2.525</v>
      </c>
      <c r="J198" t="n">
        <v>106017149</v>
      </c>
      <c r="K198" s="11" t="n">
        <v>43746</v>
      </c>
      <c r="L198" t="n">
        <v>24</v>
      </c>
      <c r="M198" t="n">
        <v>1</v>
      </c>
      <c r="N198" t="n">
        <v>8</v>
      </c>
      <c r="O198" t="n">
        <v>1</v>
      </c>
      <c r="P198" t="inlineStr">
        <is>
          <t>B</t>
        </is>
      </c>
    </row>
    <row r="199">
      <c r="A199" t="inlineStr">
        <is>
          <t>UNIONVILLE</t>
        </is>
      </c>
      <c r="B199" t="inlineStr">
        <is>
          <t>SR 1606</t>
        </is>
      </c>
      <c r="C199" t="n">
        <v>0.1</v>
      </c>
      <c r="D199" t="inlineStr">
        <is>
          <t>S</t>
        </is>
      </c>
      <c r="E199" t="inlineStr">
        <is>
          <t>SR 1678</t>
        </is>
      </c>
      <c r="F199" t="inlineStr">
        <is>
          <t>SR 1001</t>
        </is>
      </c>
      <c r="G199" t="inlineStr">
        <is>
          <t>SR 1606</t>
        </is>
      </c>
      <c r="H199" t="n">
        <v>5.896</v>
      </c>
      <c r="J199" t="n">
        <v>105783157</v>
      </c>
      <c r="K199" s="11" t="n">
        <v>43516</v>
      </c>
      <c r="L199" t="n">
        <v>26</v>
      </c>
      <c r="M199" t="n">
        <v>2</v>
      </c>
      <c r="N199" t="n">
        <v>0</v>
      </c>
      <c r="O199" t="n">
        <v>1</v>
      </c>
      <c r="P199" t="inlineStr">
        <is>
          <t>O</t>
        </is>
      </c>
    </row>
    <row r="200">
      <c r="A200" t="inlineStr">
        <is>
          <t>UNIONVILLE</t>
        </is>
      </c>
      <c r="B200" t="inlineStr">
        <is>
          <t>SR 1001</t>
        </is>
      </c>
      <c r="C200" t="n">
        <v>0.5</v>
      </c>
      <c r="D200" t="inlineStr">
        <is>
          <t>S</t>
        </is>
      </c>
      <c r="E200" t="inlineStr">
        <is>
          <t>SR 1665</t>
        </is>
      </c>
      <c r="F200" t="inlineStr">
        <is>
          <t>SR 1620</t>
        </is>
      </c>
      <c r="G200" t="inlineStr">
        <is>
          <t>SR 1001</t>
        </is>
      </c>
      <c r="H200" t="n">
        <v>1.715</v>
      </c>
      <c r="J200" t="n">
        <v>105778678</v>
      </c>
      <c r="K200" s="11" t="n">
        <v>43509</v>
      </c>
      <c r="L200" t="n">
        <v>17</v>
      </c>
      <c r="M200" t="n">
        <v>1</v>
      </c>
      <c r="N200" t="n">
        <v>0</v>
      </c>
      <c r="O200" t="n">
        <v>1</v>
      </c>
      <c r="P200" t="inlineStr">
        <is>
          <t>O</t>
        </is>
      </c>
    </row>
    <row r="201">
      <c r="A201" t="inlineStr">
        <is>
          <t>UNIONVILLE</t>
        </is>
      </c>
      <c r="B201" t="inlineStr">
        <is>
          <t>SR 1638</t>
        </is>
      </c>
      <c r="C201" t="n">
        <v>0</v>
      </c>
      <c r="E201" t="inlineStr">
        <is>
          <t>SR 1001</t>
        </is>
      </c>
      <c r="F201" t="inlineStr">
        <is>
          <t>SR 1606</t>
        </is>
      </c>
      <c r="G201" t="inlineStr">
        <is>
          <t>SR 1638</t>
        </is>
      </c>
      <c r="H201" t="n">
        <v>1.556</v>
      </c>
      <c r="J201" t="n">
        <v>106029698</v>
      </c>
      <c r="K201" s="11" t="n">
        <v>43752</v>
      </c>
      <c r="L201" t="n">
        <v>30</v>
      </c>
      <c r="M201" t="n">
        <v>1</v>
      </c>
      <c r="N201" t="n">
        <v>7</v>
      </c>
      <c r="O201" t="n">
        <v>1</v>
      </c>
      <c r="P201" t="inlineStr">
        <is>
          <t>O</t>
        </is>
      </c>
    </row>
    <row r="202">
      <c r="A202" t="inlineStr">
        <is>
          <t>UNIONVILLE</t>
        </is>
      </c>
      <c r="B202" t="inlineStr">
        <is>
          <t>SR 1001</t>
        </is>
      </c>
      <c r="C202" t="n">
        <v>0.3</v>
      </c>
      <c r="D202" t="inlineStr">
        <is>
          <t>N</t>
        </is>
      </c>
      <c r="E202" t="inlineStr">
        <is>
          <t>SR 1615</t>
        </is>
      </c>
      <c r="F202" t="inlineStr">
        <is>
          <t>SR 1619</t>
        </is>
      </c>
      <c r="G202" t="inlineStr">
        <is>
          <t>SR 1001</t>
        </is>
      </c>
      <c r="H202" t="n">
        <v>3.171</v>
      </c>
      <c r="J202" t="n">
        <v>106019965</v>
      </c>
      <c r="K202" s="11" t="n">
        <v>43747</v>
      </c>
      <c r="L202" t="n">
        <v>17</v>
      </c>
      <c r="M202" t="n">
        <v>1</v>
      </c>
      <c r="N202" t="n">
        <v>0</v>
      </c>
      <c r="O202" t="n">
        <v>5</v>
      </c>
      <c r="P202" t="inlineStr">
        <is>
          <t>O</t>
        </is>
      </c>
    </row>
    <row r="203">
      <c r="A203" t="inlineStr">
        <is>
          <t>UNIONVILLE</t>
        </is>
      </c>
      <c r="B203" t="inlineStr">
        <is>
          <t>SR 1001</t>
        </is>
      </c>
      <c r="C203" t="n">
        <v>0.68</v>
      </c>
      <c r="D203" t="inlineStr">
        <is>
          <t>N</t>
        </is>
      </c>
      <c r="E203" t="inlineStr">
        <is>
          <t>US 601</t>
        </is>
      </c>
      <c r="F203" t="inlineStr">
        <is>
          <t>SR 1620</t>
        </is>
      </c>
      <c r="G203" t="inlineStr">
        <is>
          <t>SR 1001</t>
        </is>
      </c>
      <c r="H203" t="n">
        <v>0.68</v>
      </c>
      <c r="J203" t="n">
        <v>105741595</v>
      </c>
      <c r="K203" s="11" t="n">
        <v>43479</v>
      </c>
      <c r="L203" t="n">
        <v>17</v>
      </c>
      <c r="M203" t="n">
        <v>1</v>
      </c>
      <c r="N203" t="n">
        <v>0</v>
      </c>
      <c r="O203" t="n">
        <v>3</v>
      </c>
      <c r="P203" t="inlineStr">
        <is>
          <t>O</t>
        </is>
      </c>
    </row>
    <row r="204">
      <c r="A204" t="inlineStr">
        <is>
          <t>UNIONVILLE</t>
        </is>
      </c>
      <c r="B204" t="inlineStr">
        <is>
          <t>SR 1001</t>
        </is>
      </c>
      <c r="C204" t="n">
        <v>0.1</v>
      </c>
      <c r="D204" t="inlineStr">
        <is>
          <t>S</t>
        </is>
      </c>
      <c r="E204" t="inlineStr">
        <is>
          <t>SR 1665</t>
        </is>
      </c>
      <c r="F204" t="inlineStr">
        <is>
          <t>US 601</t>
        </is>
      </c>
      <c r="G204" t="inlineStr">
        <is>
          <t>SR 1001</t>
        </is>
      </c>
      <c r="H204" t="n">
        <v>2.115</v>
      </c>
      <c r="J204" t="n">
        <v>105707364</v>
      </c>
      <c r="K204" s="11" t="n">
        <v>43444</v>
      </c>
      <c r="L204" t="n">
        <v>29</v>
      </c>
      <c r="M204" t="n">
        <v>4</v>
      </c>
      <c r="N204" t="n">
        <v>0</v>
      </c>
      <c r="O204" t="n">
        <v>1</v>
      </c>
      <c r="P204" t="inlineStr">
        <is>
          <t>O</t>
        </is>
      </c>
    </row>
    <row r="205">
      <c r="A205" t="inlineStr">
        <is>
          <t>UNIONVILLE</t>
        </is>
      </c>
      <c r="B205" t="inlineStr">
        <is>
          <t>SR 1001</t>
        </is>
      </c>
      <c r="C205" t="n">
        <v>0.2</v>
      </c>
      <c r="D205" t="inlineStr">
        <is>
          <t>S</t>
        </is>
      </c>
      <c r="E205" t="inlineStr">
        <is>
          <t>SR 1665</t>
        </is>
      </c>
      <c r="F205" t="inlineStr">
        <is>
          <t>SR 1620</t>
        </is>
      </c>
      <c r="G205" t="inlineStr">
        <is>
          <t>SR 1001</t>
        </is>
      </c>
      <c r="H205" t="n">
        <v>2.015</v>
      </c>
      <c r="J205" t="n">
        <v>105912752</v>
      </c>
      <c r="K205" s="11" t="n">
        <v>43646</v>
      </c>
      <c r="L205" t="n">
        <v>17</v>
      </c>
      <c r="M205" t="n">
        <v>2</v>
      </c>
      <c r="N205" t="n">
        <v>0</v>
      </c>
      <c r="O205" t="n">
        <v>5</v>
      </c>
      <c r="P205" t="inlineStr">
        <is>
          <t>O</t>
        </is>
      </c>
    </row>
    <row r="206">
      <c r="A206" t="inlineStr">
        <is>
          <t>RURAL</t>
        </is>
      </c>
      <c r="B206" t="inlineStr">
        <is>
          <t>NC 218</t>
        </is>
      </c>
      <c r="C206" t="n">
        <v>0</v>
      </c>
      <c r="E206" t="inlineStr">
        <is>
          <t>SR 1001</t>
        </is>
      </c>
      <c r="F206" t="inlineStr">
        <is>
          <t>SR 1547</t>
        </is>
      </c>
      <c r="G206" t="inlineStr">
        <is>
          <t>NC 218</t>
        </is>
      </c>
      <c r="H206" t="n">
        <v>9.786</v>
      </c>
      <c r="J206" t="n">
        <v>105842501</v>
      </c>
      <c r="K206" s="11" t="n">
        <v>43575</v>
      </c>
      <c r="L206" t="n">
        <v>21</v>
      </c>
      <c r="M206" t="n">
        <v>1</v>
      </c>
      <c r="N206" t="n">
        <v>7</v>
      </c>
      <c r="O206" t="n">
        <v>1</v>
      </c>
      <c r="P206" t="inlineStr">
        <is>
          <t>O</t>
        </is>
      </c>
    </row>
    <row r="207">
      <c r="A207" t="inlineStr">
        <is>
          <t>RURAL</t>
        </is>
      </c>
      <c r="B207" t="inlineStr">
        <is>
          <t>SR 1606</t>
        </is>
      </c>
      <c r="C207" t="n">
        <v>3</v>
      </c>
      <c r="D207" t="inlineStr">
        <is>
          <t>N</t>
        </is>
      </c>
      <c r="E207" t="inlineStr">
        <is>
          <t>SR 1006</t>
        </is>
      </c>
      <c r="F207" t="inlineStr">
        <is>
          <t>SR 1627</t>
        </is>
      </c>
      <c r="G207" t="inlineStr">
        <is>
          <t>SR 1606</t>
        </is>
      </c>
      <c r="H207" t="n">
        <v>999.999</v>
      </c>
      <c r="J207" t="n">
        <v>105850446</v>
      </c>
      <c r="K207" s="11" t="n">
        <v>43584</v>
      </c>
      <c r="L207" t="n">
        <v>19</v>
      </c>
      <c r="M207" t="n">
        <v>1</v>
      </c>
      <c r="N207" t="n">
        <v>0</v>
      </c>
      <c r="O207" t="n">
        <v>3</v>
      </c>
      <c r="P207" t="inlineStr">
        <is>
          <t>A</t>
        </is>
      </c>
      <c r="Q207" t="n">
        <v>35.038154</v>
      </c>
      <c r="R207" t="n">
        <v>-80.476569</v>
      </c>
      <c r="S207" t="inlineStr">
        <is>
          <t>NCDOT_TSU</t>
        </is>
      </c>
    </row>
    <row r="208">
      <c r="A208" t="inlineStr">
        <is>
          <t>UNIONVILLE</t>
        </is>
      </c>
      <c r="B208" t="inlineStr">
        <is>
          <t>SR 1617</t>
        </is>
      </c>
      <c r="C208" t="n">
        <v>0.028</v>
      </c>
      <c r="D208" t="inlineStr">
        <is>
          <t>W</t>
        </is>
      </c>
      <c r="E208" t="inlineStr">
        <is>
          <t>SR 1001</t>
        </is>
      </c>
      <c r="F208" t="inlineStr">
        <is>
          <t>SR 1615</t>
        </is>
      </c>
      <c r="G208" t="inlineStr">
        <is>
          <t>SR 1617</t>
        </is>
      </c>
      <c r="H208" t="n">
        <v>0.512</v>
      </c>
      <c r="J208" t="n">
        <v>105885258</v>
      </c>
      <c r="K208" s="11" t="n">
        <v>43620</v>
      </c>
      <c r="L208" t="n">
        <v>29</v>
      </c>
      <c r="M208" t="n">
        <v>1</v>
      </c>
      <c r="N208" t="n">
        <v>0</v>
      </c>
      <c r="O208" t="n">
        <v>1</v>
      </c>
      <c r="P208" t="inlineStr">
        <is>
          <t>O</t>
        </is>
      </c>
    </row>
    <row r="209">
      <c r="A209" t="inlineStr">
        <is>
          <t>UNIONVILLE</t>
        </is>
      </c>
      <c r="B209" t="inlineStr">
        <is>
          <t>NC 200</t>
        </is>
      </c>
      <c r="C209" t="n">
        <v>0</v>
      </c>
      <c r="E209" t="inlineStr">
        <is>
          <t>SR 1606</t>
        </is>
      </c>
      <c r="F209" t="inlineStr">
        <is>
          <t>SR 1633</t>
        </is>
      </c>
      <c r="G209" t="inlineStr">
        <is>
          <t>NC 200</t>
        </is>
      </c>
      <c r="H209" t="n">
        <v>25.69</v>
      </c>
      <c r="J209" t="n">
        <v>105848333</v>
      </c>
      <c r="K209" s="11" t="n">
        <v>43581</v>
      </c>
      <c r="L209" t="n">
        <v>30</v>
      </c>
      <c r="M209" t="n">
        <v>1</v>
      </c>
      <c r="N209" t="n">
        <v>7</v>
      </c>
      <c r="O209" t="n">
        <v>1</v>
      </c>
      <c r="P209" t="inlineStr">
        <is>
          <t>O</t>
        </is>
      </c>
    </row>
    <row r="210">
      <c r="A210" t="inlineStr">
        <is>
          <t>UNIONVILLE</t>
        </is>
      </c>
      <c r="B210" t="inlineStr">
        <is>
          <t>SR 1001</t>
        </is>
      </c>
      <c r="C210" t="n">
        <v>0.3</v>
      </c>
      <c r="D210" t="inlineStr">
        <is>
          <t>N</t>
        </is>
      </c>
      <c r="E210" t="inlineStr">
        <is>
          <t>SR 1617</t>
        </is>
      </c>
      <c r="F210" t="inlineStr">
        <is>
          <t>SR 1618</t>
        </is>
      </c>
      <c r="G210" t="inlineStr">
        <is>
          <t>SR 1001</t>
        </is>
      </c>
      <c r="H210" t="n">
        <v>3.761</v>
      </c>
      <c r="J210" t="n">
        <v>105867607</v>
      </c>
      <c r="K210" s="11" t="n">
        <v>43601</v>
      </c>
      <c r="L210" t="n">
        <v>21</v>
      </c>
      <c r="M210" t="n">
        <v>1</v>
      </c>
      <c r="N210" t="n">
        <v>0</v>
      </c>
      <c r="O210" t="n">
        <v>1</v>
      </c>
      <c r="P210" t="inlineStr">
        <is>
          <t>C</t>
        </is>
      </c>
    </row>
    <row r="211">
      <c r="A211" t="inlineStr">
        <is>
          <t>RURAL</t>
        </is>
      </c>
      <c r="B211" t="inlineStr">
        <is>
          <t>SR 1606</t>
        </is>
      </c>
      <c r="C211" t="n">
        <v>0.25</v>
      </c>
      <c r="D211" t="inlineStr">
        <is>
          <t>S</t>
        </is>
      </c>
      <c r="E211" t="inlineStr">
        <is>
          <t>*LCL BIGGERS CEMETERY RD</t>
        </is>
      </c>
      <c r="F211" t="inlineStr">
        <is>
          <t>OLD FERRY</t>
        </is>
      </c>
      <c r="H211" t="n">
        <v>999.999</v>
      </c>
      <c r="J211" t="n">
        <v>105935402</v>
      </c>
      <c r="K211" s="11" t="n">
        <v>43668</v>
      </c>
      <c r="L211" t="n">
        <v>29</v>
      </c>
      <c r="M211" t="n">
        <v>1</v>
      </c>
      <c r="N211" t="n">
        <v>0</v>
      </c>
      <c r="O211" t="n">
        <v>1</v>
      </c>
      <c r="P211" t="inlineStr">
        <is>
          <t>O</t>
        </is>
      </c>
    </row>
    <row r="212">
      <c r="A212" t="inlineStr">
        <is>
          <t>UNIONVILLE</t>
        </is>
      </c>
      <c r="B212" t="inlineStr">
        <is>
          <t>SR 1001</t>
        </is>
      </c>
      <c r="C212" t="n">
        <v>0.004</v>
      </c>
      <c r="D212" t="inlineStr">
        <is>
          <t>NE</t>
        </is>
      </c>
      <c r="E212" t="inlineStr">
        <is>
          <t>US 601</t>
        </is>
      </c>
      <c r="F212" t="inlineStr">
        <is>
          <t>SR 1665</t>
        </is>
      </c>
      <c r="G212" t="inlineStr">
        <is>
          <t>SR 1001</t>
        </is>
      </c>
      <c r="H212" t="n">
        <v>0.004</v>
      </c>
      <c r="J212" t="n">
        <v>106020271</v>
      </c>
      <c r="K212" s="11" t="n">
        <v>43746</v>
      </c>
      <c r="L212" t="n">
        <v>21</v>
      </c>
      <c r="M212" t="n">
        <v>1</v>
      </c>
      <c r="N212" t="n">
        <v>0</v>
      </c>
      <c r="O212" t="n">
        <v>1</v>
      </c>
      <c r="P212" t="inlineStr">
        <is>
          <t>O</t>
        </is>
      </c>
    </row>
    <row r="213">
      <c r="A213" t="inlineStr">
        <is>
          <t>RURAL</t>
        </is>
      </c>
      <c r="B213" t="inlineStr">
        <is>
          <t>SR 1655</t>
        </is>
      </c>
      <c r="C213" t="n">
        <v>0.004</v>
      </c>
      <c r="D213" t="inlineStr">
        <is>
          <t>W</t>
        </is>
      </c>
      <c r="E213" t="inlineStr">
        <is>
          <t>SR 1001</t>
        </is>
      </c>
      <c r="F213" t="inlineStr">
        <is>
          <t>SR 1547</t>
        </is>
      </c>
      <c r="G213" t="inlineStr">
        <is>
          <t>SR 1655</t>
        </is>
      </c>
      <c r="H213" t="n">
        <v>1.233</v>
      </c>
      <c r="J213" t="n">
        <v>105896304</v>
      </c>
      <c r="K213" s="11" t="n">
        <v>43630</v>
      </c>
      <c r="L213" t="n">
        <v>27</v>
      </c>
      <c r="M213" t="n">
        <v>1</v>
      </c>
      <c r="N213" t="n">
        <v>8</v>
      </c>
      <c r="O213" t="n">
        <v>1</v>
      </c>
      <c r="P213" t="inlineStr">
        <is>
          <t>O</t>
        </is>
      </c>
    </row>
    <row r="214">
      <c r="A214" t="inlineStr">
        <is>
          <t>UNIONVILLE</t>
        </is>
      </c>
      <c r="B214" t="inlineStr">
        <is>
          <t>SR 1001</t>
        </is>
      </c>
      <c r="C214" t="n">
        <v>0.35</v>
      </c>
      <c r="D214" t="inlineStr">
        <is>
          <t>N</t>
        </is>
      </c>
      <c r="E214" t="inlineStr">
        <is>
          <t>US 601</t>
        </is>
      </c>
      <c r="F214" t="inlineStr">
        <is>
          <t>SR 1620</t>
        </is>
      </c>
      <c r="G214" t="inlineStr">
        <is>
          <t>SR 1001</t>
        </is>
      </c>
      <c r="H214" t="n">
        <v>0.35</v>
      </c>
      <c r="J214" t="n">
        <v>105876758</v>
      </c>
      <c r="K214" s="11" t="n">
        <v>43612</v>
      </c>
      <c r="L214" t="n">
        <v>19</v>
      </c>
      <c r="M214" t="n">
        <v>1</v>
      </c>
      <c r="N214" t="n">
        <v>0</v>
      </c>
      <c r="O214" t="n">
        <v>1</v>
      </c>
      <c r="P214" t="inlineStr">
        <is>
          <t>A</t>
        </is>
      </c>
    </row>
    <row r="215">
      <c r="A215" t="inlineStr">
        <is>
          <t>FAIRVIEW</t>
        </is>
      </c>
      <c r="B215" t="inlineStr">
        <is>
          <t>NC 218</t>
        </is>
      </c>
      <c r="C215" t="n">
        <v>0</v>
      </c>
      <c r="E215" t="inlineStr">
        <is>
          <t>SR 1001</t>
        </is>
      </c>
      <c r="F215" t="inlineStr">
        <is>
          <t>SR 1547</t>
        </is>
      </c>
      <c r="G215" t="inlineStr">
        <is>
          <t>NC 218</t>
        </is>
      </c>
      <c r="H215" t="n">
        <v>9.786</v>
      </c>
      <c r="J215" t="n">
        <v>106062746</v>
      </c>
      <c r="K215" s="11" t="n">
        <v>43784</v>
      </c>
      <c r="L215" t="n">
        <v>30</v>
      </c>
      <c r="M215" t="n">
        <v>2</v>
      </c>
      <c r="N215" t="n">
        <v>7</v>
      </c>
      <c r="O215" t="n">
        <v>1</v>
      </c>
      <c r="P215" t="inlineStr">
        <is>
          <t>O</t>
        </is>
      </c>
    </row>
    <row r="216">
      <c r="A216" t="inlineStr">
        <is>
          <t>UNIONVILLE</t>
        </is>
      </c>
      <c r="B216" t="inlineStr">
        <is>
          <t>NC 218</t>
        </is>
      </c>
      <c r="C216" t="n">
        <v>0</v>
      </c>
      <c r="E216" t="inlineStr">
        <is>
          <t>SR 1001</t>
        </is>
      </c>
      <c r="F216" t="inlineStr">
        <is>
          <t>SR 1547</t>
        </is>
      </c>
      <c r="G216" t="inlineStr">
        <is>
          <t>NC 218</t>
        </is>
      </c>
      <c r="H216" t="n">
        <v>9.786</v>
      </c>
      <c r="J216" t="n">
        <v>106071236</v>
      </c>
      <c r="K216" s="11" t="n">
        <v>43789</v>
      </c>
      <c r="L216" t="n">
        <v>30</v>
      </c>
      <c r="M216" t="n">
        <v>1</v>
      </c>
      <c r="N216" t="n">
        <v>7</v>
      </c>
      <c r="O216" t="n">
        <v>1</v>
      </c>
      <c r="P216" t="inlineStr">
        <is>
          <t>C</t>
        </is>
      </c>
    </row>
    <row r="217">
      <c r="A217" t="inlineStr">
        <is>
          <t>RURAL</t>
        </is>
      </c>
      <c r="B217" t="inlineStr">
        <is>
          <t>SR 1606</t>
        </is>
      </c>
      <c r="C217" t="n">
        <v>0</v>
      </c>
      <c r="E217" t="inlineStr">
        <is>
          <t>SR 1547</t>
        </is>
      </c>
      <c r="F217" t="inlineStr">
        <is>
          <t>NC 218</t>
        </is>
      </c>
      <c r="G217" t="inlineStr">
        <is>
          <t>SR 1606</t>
        </is>
      </c>
      <c r="H217" t="n">
        <v>1.587</v>
      </c>
      <c r="J217" t="n">
        <v>105873568</v>
      </c>
      <c r="K217" s="11" t="n">
        <v>43603</v>
      </c>
      <c r="L217" t="n">
        <v>30</v>
      </c>
      <c r="M217" t="n">
        <v>1</v>
      </c>
      <c r="N217" t="n">
        <v>7</v>
      </c>
      <c r="O217" t="n">
        <v>1</v>
      </c>
      <c r="P217" t="inlineStr">
        <is>
          <t>O</t>
        </is>
      </c>
    </row>
    <row r="218">
      <c r="A218" t="inlineStr">
        <is>
          <t>RURAL</t>
        </is>
      </c>
      <c r="B218" t="inlineStr">
        <is>
          <t>SR 1606</t>
        </is>
      </c>
      <c r="C218" t="n">
        <v>0.1</v>
      </c>
      <c r="D218" t="inlineStr">
        <is>
          <t>N</t>
        </is>
      </c>
      <c r="E218" t="inlineStr">
        <is>
          <t>SR 1001</t>
        </is>
      </c>
      <c r="F218" t="inlineStr">
        <is>
          <t>SR 1678</t>
        </is>
      </c>
      <c r="G218" t="inlineStr">
        <is>
          <t>SR 1606</t>
        </is>
      </c>
      <c r="H218" t="n">
        <v>5.966</v>
      </c>
      <c r="J218" t="n">
        <v>106017162</v>
      </c>
      <c r="K218" s="11" t="n">
        <v>43740</v>
      </c>
      <c r="L218" t="n">
        <v>21</v>
      </c>
      <c r="M218" t="n">
        <v>1</v>
      </c>
      <c r="N218" t="n">
        <v>0</v>
      </c>
      <c r="O218" t="n">
        <v>1</v>
      </c>
      <c r="P218" t="inlineStr">
        <is>
          <t>B</t>
        </is>
      </c>
    </row>
    <row r="219">
      <c r="A219" t="inlineStr">
        <is>
          <t>RURAL</t>
        </is>
      </c>
      <c r="B219" t="inlineStr">
        <is>
          <t>SR 1001</t>
        </is>
      </c>
      <c r="C219" t="n">
        <v>0.019</v>
      </c>
      <c r="D219" t="inlineStr">
        <is>
          <t>E</t>
        </is>
      </c>
      <c r="E219" t="inlineStr">
        <is>
          <t>SR 1620</t>
        </is>
      </c>
      <c r="F219" t="inlineStr">
        <is>
          <t>US 601</t>
        </is>
      </c>
      <c r="G219" t="inlineStr">
        <is>
          <t>SR 1001</t>
        </is>
      </c>
      <c r="H219" t="n">
        <v>1.371</v>
      </c>
      <c r="J219" t="n">
        <v>106072796</v>
      </c>
      <c r="K219" s="11" t="n">
        <v>43792</v>
      </c>
      <c r="L219" t="n">
        <v>19</v>
      </c>
      <c r="M219" t="n">
        <v>1</v>
      </c>
      <c r="N219" t="n">
        <v>0</v>
      </c>
      <c r="O219" t="n">
        <v>1</v>
      </c>
      <c r="P219" t="inlineStr">
        <is>
          <t>O</t>
        </is>
      </c>
    </row>
    <row r="220">
      <c r="A220" t="inlineStr">
        <is>
          <t>UNIONVILLE</t>
        </is>
      </c>
      <c r="B220" t="inlineStr">
        <is>
          <t>PIEDMONT SCHOOL</t>
        </is>
      </c>
      <c r="C220" t="n">
        <v>0.005</v>
      </c>
      <c r="D220" t="inlineStr">
        <is>
          <t>W</t>
        </is>
      </c>
      <c r="E220" t="inlineStr">
        <is>
          <t>SR 1001</t>
        </is>
      </c>
      <c r="F220" t="inlineStr">
        <is>
          <t>*LCL -</t>
        </is>
      </c>
      <c r="H220" t="n">
        <v>999.999</v>
      </c>
      <c r="J220" t="n">
        <v>105971602</v>
      </c>
      <c r="K220" s="11" t="n">
        <v>43703</v>
      </c>
      <c r="L220" t="n">
        <v>24</v>
      </c>
      <c r="M220" t="n">
        <v>1</v>
      </c>
      <c r="N220" t="n">
        <v>4</v>
      </c>
      <c r="O220" t="n">
        <v>1</v>
      </c>
      <c r="P220" t="inlineStr">
        <is>
          <t>O</t>
        </is>
      </c>
    </row>
    <row r="221">
      <c r="A221" t="inlineStr">
        <is>
          <t>UNIONVILLE</t>
        </is>
      </c>
      <c r="B221" t="inlineStr">
        <is>
          <t>LOVE MILL</t>
        </is>
      </c>
      <c r="C221" t="n">
        <v>0</v>
      </c>
      <c r="E221" t="inlineStr">
        <is>
          <t>PIEDMONT SCHOOL</t>
        </is>
      </c>
      <c r="F221" t="inlineStr">
        <is>
          <t>SIKES MILL</t>
        </is>
      </c>
      <c r="G221" t="inlineStr">
        <is>
          <t>SR 1001</t>
        </is>
      </c>
      <c r="H221" t="n">
        <v>4.604</v>
      </c>
      <c r="J221" t="n">
        <v>106585376</v>
      </c>
      <c r="K221" s="11" t="n">
        <v>44342</v>
      </c>
      <c r="L221" t="n">
        <v>24</v>
      </c>
      <c r="M221" t="n">
        <v>1</v>
      </c>
      <c r="N221" t="n">
        <v>8</v>
      </c>
      <c r="O221" t="n">
        <v>1</v>
      </c>
      <c r="P221" t="inlineStr">
        <is>
          <t>O</t>
        </is>
      </c>
    </row>
    <row r="222">
      <c r="A222" t="inlineStr">
        <is>
          <t>RURAL</t>
        </is>
      </c>
      <c r="B222" t="inlineStr">
        <is>
          <t>SR 1001</t>
        </is>
      </c>
      <c r="C222" t="n">
        <v>0.4</v>
      </c>
      <c r="D222" t="inlineStr">
        <is>
          <t>N</t>
        </is>
      </c>
      <c r="E222" t="inlineStr">
        <is>
          <t>SR 1615</t>
        </is>
      </c>
      <c r="F222" t="inlineStr">
        <is>
          <t>SR 1617</t>
        </is>
      </c>
      <c r="G222" t="inlineStr">
        <is>
          <t>SR 1001</t>
        </is>
      </c>
      <c r="H222" t="n">
        <v>3.271</v>
      </c>
      <c r="J222" t="n">
        <v>105781091</v>
      </c>
      <c r="K222" s="11" t="n">
        <v>43517</v>
      </c>
      <c r="L222" t="n">
        <v>19</v>
      </c>
      <c r="M222" t="n">
        <v>2</v>
      </c>
      <c r="N222" t="n">
        <v>0</v>
      </c>
      <c r="O222" t="n">
        <v>1</v>
      </c>
      <c r="P222" t="inlineStr">
        <is>
          <t>O</t>
        </is>
      </c>
    </row>
    <row r="223">
      <c r="A223" t="inlineStr">
        <is>
          <t>RURAL</t>
        </is>
      </c>
      <c r="B223" t="inlineStr">
        <is>
          <t>SR 1606</t>
        </is>
      </c>
      <c r="C223" t="n">
        <v>0</v>
      </c>
      <c r="E223" t="inlineStr">
        <is>
          <t>SR 2785</t>
        </is>
      </c>
      <c r="F223" t="inlineStr">
        <is>
          <t>SR 1006</t>
        </is>
      </c>
      <c r="G223" t="inlineStr">
        <is>
          <t>SR 1606</t>
        </is>
      </c>
      <c r="H223" t="n">
        <v>999.999</v>
      </c>
      <c r="J223" t="n">
        <v>105844523</v>
      </c>
      <c r="K223" s="11" t="n">
        <v>43581</v>
      </c>
      <c r="L223" t="n">
        <v>19</v>
      </c>
      <c r="M223" t="n">
        <v>1</v>
      </c>
      <c r="N223" t="n">
        <v>8</v>
      </c>
      <c r="O223" t="n">
        <v>5</v>
      </c>
      <c r="P223" t="inlineStr">
        <is>
          <t>O</t>
        </is>
      </c>
    </row>
    <row r="224">
      <c r="A224" t="inlineStr">
        <is>
          <t>RURAL</t>
        </is>
      </c>
      <c r="B224" t="inlineStr">
        <is>
          <t>PVA 3006 SIKES MILL RD</t>
        </is>
      </c>
      <c r="C224" t="n">
        <v>0.004</v>
      </c>
      <c r="D224" t="inlineStr">
        <is>
          <t>E</t>
        </is>
      </c>
      <c r="E224" t="inlineStr">
        <is>
          <t>SR 1001</t>
        </is>
      </c>
      <c r="F224" t="inlineStr">
        <is>
          <t>DEAD END</t>
        </is>
      </c>
      <c r="H224" t="n">
        <v>999.999</v>
      </c>
      <c r="J224" t="n">
        <v>105983673</v>
      </c>
      <c r="K224" s="11" t="n">
        <v>43711</v>
      </c>
      <c r="L224" t="n">
        <v>21</v>
      </c>
      <c r="M224" t="n">
        <v>1</v>
      </c>
      <c r="N224" t="n">
        <v>4</v>
      </c>
      <c r="O224" t="n">
        <v>1</v>
      </c>
      <c r="P224" t="inlineStr">
        <is>
          <t>O</t>
        </is>
      </c>
    </row>
    <row r="225">
      <c r="A225" t="inlineStr">
        <is>
          <t>RURAL</t>
        </is>
      </c>
      <c r="B225" t="inlineStr">
        <is>
          <t>SR 1606</t>
        </is>
      </c>
      <c r="C225" t="n">
        <v>0.25</v>
      </c>
      <c r="D225" t="inlineStr">
        <is>
          <t>N</t>
        </is>
      </c>
      <c r="E225" t="inlineStr">
        <is>
          <t>NC 200</t>
        </is>
      </c>
      <c r="F225" t="inlineStr">
        <is>
          <t>PRESSON FARM</t>
        </is>
      </c>
      <c r="G225" t="inlineStr">
        <is>
          <t>SR 1606</t>
        </is>
      </c>
      <c r="H225" t="n">
        <v>999.999</v>
      </c>
      <c r="J225" t="n">
        <v>106052165</v>
      </c>
      <c r="K225" s="11" t="n">
        <v>43774</v>
      </c>
      <c r="L225" t="n">
        <v>17</v>
      </c>
      <c r="M225" t="n">
        <v>1</v>
      </c>
      <c r="N225" t="n">
        <v>0</v>
      </c>
      <c r="O225" t="n">
        <v>5</v>
      </c>
      <c r="P225" t="inlineStr">
        <is>
          <t>O</t>
        </is>
      </c>
    </row>
    <row r="226">
      <c r="A226" t="inlineStr">
        <is>
          <t>UNIONVILLE</t>
        </is>
      </c>
      <c r="B226" t="inlineStr">
        <is>
          <t>PVA MARATHON</t>
        </is>
      </c>
      <c r="C226" t="n">
        <v>0.019</v>
      </c>
      <c r="D226" t="inlineStr">
        <is>
          <t>W</t>
        </is>
      </c>
      <c r="E226" t="inlineStr">
        <is>
          <t>SIKES MILL</t>
        </is>
      </c>
      <c r="H226" t="n">
        <v>999.999</v>
      </c>
      <c r="J226" t="n">
        <v>106303935</v>
      </c>
      <c r="K226" s="11" t="n">
        <v>44055</v>
      </c>
      <c r="L226" t="n">
        <v>20</v>
      </c>
      <c r="M226" t="n">
        <v>1</v>
      </c>
      <c r="N226" t="n">
        <v>4</v>
      </c>
      <c r="O226" t="n">
        <v>1</v>
      </c>
      <c r="P226" t="inlineStr">
        <is>
          <t>O</t>
        </is>
      </c>
    </row>
    <row r="227">
      <c r="A227" t="inlineStr">
        <is>
          <t>FAIRVIEW</t>
        </is>
      </c>
      <c r="B227" t="inlineStr">
        <is>
          <t>SR 1606</t>
        </is>
      </c>
      <c r="C227" t="n">
        <v>0.1</v>
      </c>
      <c r="D227" t="inlineStr">
        <is>
          <t>S</t>
        </is>
      </c>
      <c r="E227" t="inlineStr">
        <is>
          <t>SR 1607</t>
        </is>
      </c>
      <c r="F227" t="inlineStr">
        <is>
          <t>SR 1547</t>
        </is>
      </c>
      <c r="G227" t="inlineStr">
        <is>
          <t>SR 1606</t>
        </is>
      </c>
      <c r="H227" t="n">
        <v>1.184</v>
      </c>
      <c r="J227" t="n">
        <v>106121140</v>
      </c>
      <c r="K227" s="11" t="n">
        <v>43840</v>
      </c>
      <c r="L227" t="n">
        <v>19</v>
      </c>
      <c r="M227" t="n">
        <v>1</v>
      </c>
      <c r="N227" t="n">
        <v>0</v>
      </c>
      <c r="O227" t="n">
        <v>1</v>
      </c>
    </row>
    <row r="228">
      <c r="A228" t="inlineStr">
        <is>
          <t>FAIRVIEW</t>
        </is>
      </c>
      <c r="B228" t="inlineStr">
        <is>
          <t>SR 1606</t>
        </is>
      </c>
      <c r="C228" t="n">
        <v>0.1</v>
      </c>
      <c r="D228" t="inlineStr">
        <is>
          <t>S</t>
        </is>
      </c>
      <c r="E228" t="inlineStr">
        <is>
          <t>SR 1604</t>
        </is>
      </c>
      <c r="F228" t="inlineStr">
        <is>
          <t>CL-STANLY</t>
        </is>
      </c>
      <c r="G228" t="inlineStr">
        <is>
          <t>SR 1606</t>
        </is>
      </c>
      <c r="H228" t="n">
        <v>0.305</v>
      </c>
      <c r="J228" t="n">
        <v>106248459</v>
      </c>
      <c r="K228" s="11" t="n">
        <v>43993</v>
      </c>
      <c r="L228" t="n">
        <v>17</v>
      </c>
      <c r="M228" t="n">
        <v>1</v>
      </c>
      <c r="N228" t="n">
        <v>0</v>
      </c>
      <c r="O228" t="n">
        <v>5</v>
      </c>
      <c r="P228" t="inlineStr">
        <is>
          <t>O</t>
        </is>
      </c>
    </row>
    <row r="229">
      <c r="A229" t="inlineStr">
        <is>
          <t>UNIONVILLE</t>
        </is>
      </c>
      <c r="B229" t="inlineStr">
        <is>
          <t>SR 1618</t>
        </is>
      </c>
      <c r="C229" t="n">
        <v>0</v>
      </c>
      <c r="E229" t="inlineStr">
        <is>
          <t>SR 1606</t>
        </is>
      </c>
      <c r="F229" t="inlineStr">
        <is>
          <t>SR 1001</t>
        </is>
      </c>
      <c r="G229" t="inlineStr">
        <is>
          <t>SR 1618</t>
        </is>
      </c>
      <c r="H229" t="n">
        <v>0</v>
      </c>
      <c r="J229" t="n">
        <v>106096868</v>
      </c>
      <c r="K229" s="11" t="n">
        <v>43811</v>
      </c>
      <c r="L229" t="n">
        <v>26</v>
      </c>
      <c r="M229" t="n">
        <v>1</v>
      </c>
      <c r="N229" t="n">
        <v>10</v>
      </c>
      <c r="O229" t="n">
        <v>1</v>
      </c>
      <c r="P229" t="inlineStr">
        <is>
          <t>C</t>
        </is>
      </c>
    </row>
    <row r="230">
      <c r="A230" t="inlineStr">
        <is>
          <t>UNIONVILLE</t>
        </is>
      </c>
      <c r="B230" t="inlineStr">
        <is>
          <t>SR 1619</t>
        </is>
      </c>
      <c r="C230" t="n">
        <v>0.38</v>
      </c>
      <c r="D230" t="inlineStr">
        <is>
          <t>E</t>
        </is>
      </c>
      <c r="E230" t="inlineStr">
        <is>
          <t>SR 1001</t>
        </is>
      </c>
      <c r="F230" t="inlineStr">
        <is>
          <t>SR 1681</t>
        </is>
      </c>
      <c r="G230" t="inlineStr">
        <is>
          <t>SR 1619</t>
        </is>
      </c>
      <c r="H230" t="n">
        <v>0.38</v>
      </c>
      <c r="J230" t="n">
        <v>106111340</v>
      </c>
      <c r="K230" s="11" t="n">
        <v>43823</v>
      </c>
      <c r="L230" t="n">
        <v>23</v>
      </c>
      <c r="M230" t="n">
        <v>1</v>
      </c>
      <c r="N230" t="n">
        <v>0</v>
      </c>
      <c r="O230" t="n">
        <v>1</v>
      </c>
      <c r="P230" t="inlineStr">
        <is>
          <t>B</t>
        </is>
      </c>
    </row>
    <row r="231">
      <c r="A231" t="inlineStr">
        <is>
          <t>RURAL</t>
        </is>
      </c>
      <c r="B231" t="inlineStr">
        <is>
          <t>SR 1606</t>
        </is>
      </c>
      <c r="C231" t="n">
        <v>0</v>
      </c>
      <c r="E231" t="inlineStr">
        <is>
          <t>SR 1675</t>
        </is>
      </c>
      <c r="F231" t="inlineStr">
        <is>
          <t>SR 1611</t>
        </is>
      </c>
      <c r="G231" t="inlineStr">
        <is>
          <t>SR 1606</t>
        </is>
      </c>
      <c r="H231" t="n">
        <v>3.821</v>
      </c>
      <c r="J231" t="n">
        <v>106117532</v>
      </c>
      <c r="K231" s="11" t="n">
        <v>43835</v>
      </c>
      <c r="L231" t="n">
        <v>24</v>
      </c>
      <c r="M231" t="n">
        <v>1</v>
      </c>
      <c r="N231" t="n">
        <v>8</v>
      </c>
      <c r="O231" t="n">
        <v>1</v>
      </c>
      <c r="P231" t="inlineStr">
        <is>
          <t>C</t>
        </is>
      </c>
    </row>
    <row r="232">
      <c r="A232" t="inlineStr">
        <is>
          <t>UNIONVILLE</t>
        </is>
      </c>
      <c r="B232" t="inlineStr">
        <is>
          <t>SR 1001</t>
        </is>
      </c>
      <c r="C232" t="n">
        <v>0.002</v>
      </c>
      <c r="D232" t="inlineStr">
        <is>
          <t>N</t>
        </is>
      </c>
      <c r="E232" t="inlineStr">
        <is>
          <t>SR 1653</t>
        </is>
      </c>
      <c r="F232" t="inlineStr">
        <is>
          <t>SR 1655</t>
        </is>
      </c>
      <c r="G232" t="inlineStr">
        <is>
          <t>SR 1001</t>
        </is>
      </c>
      <c r="H232" t="n">
        <v>6.692</v>
      </c>
      <c r="J232" t="n">
        <v>107684157</v>
      </c>
      <c r="K232" s="11" t="n">
        <v>45393</v>
      </c>
      <c r="L232" t="n">
        <v>21</v>
      </c>
      <c r="M232" t="n">
        <v>1</v>
      </c>
      <c r="N232" t="n">
        <v>5</v>
      </c>
      <c r="O232" t="n">
        <v>1</v>
      </c>
      <c r="P232" t="inlineStr">
        <is>
          <t>O</t>
        </is>
      </c>
      <c r="Q232" t="n">
        <v>35.11676</v>
      </c>
      <c r="R232" t="n">
        <v>-80.4641</v>
      </c>
      <c r="S232" t="inlineStr">
        <is>
          <t>DMV349CLEANED</t>
        </is>
      </c>
    </row>
    <row r="233">
      <c r="A233" t="inlineStr">
        <is>
          <t>RURAL</t>
        </is>
      </c>
      <c r="B233" t="inlineStr">
        <is>
          <t>SR 1606</t>
        </is>
      </c>
      <c r="C233" t="n">
        <v>2.7</v>
      </c>
      <c r="D233" t="inlineStr">
        <is>
          <t>S</t>
        </is>
      </c>
      <c r="E233" t="inlineStr">
        <is>
          <t>SR 1547</t>
        </is>
      </c>
      <c r="F233" t="inlineStr">
        <is>
          <t>NC 218</t>
        </is>
      </c>
      <c r="G233" t="inlineStr">
        <is>
          <t>SR 1606</t>
        </is>
      </c>
      <c r="H233" t="n">
        <v>4.287</v>
      </c>
      <c r="J233" t="n">
        <v>106169959</v>
      </c>
      <c r="K233" s="11" t="n">
        <v>43886</v>
      </c>
      <c r="L233" t="n">
        <v>17</v>
      </c>
      <c r="M233" t="n">
        <v>1</v>
      </c>
      <c r="N233" t="n">
        <v>0</v>
      </c>
      <c r="O233" t="n">
        <v>5</v>
      </c>
      <c r="P233" t="inlineStr">
        <is>
          <t>O</t>
        </is>
      </c>
    </row>
    <row r="234">
      <c r="A234" t="inlineStr">
        <is>
          <t>UNIONVILLE</t>
        </is>
      </c>
      <c r="B234" t="inlineStr">
        <is>
          <t>SR 1001</t>
        </is>
      </c>
      <c r="C234" t="n">
        <v>0</v>
      </c>
      <c r="E234" t="inlineStr">
        <is>
          <t>SR 1617</t>
        </is>
      </c>
      <c r="F234" t="inlineStr">
        <is>
          <t>SR 1615</t>
        </is>
      </c>
      <c r="G234" t="inlineStr">
        <is>
          <t>SR 1001</t>
        </is>
      </c>
      <c r="H234" t="n">
        <v>3.461</v>
      </c>
      <c r="J234" t="n">
        <v>106286453</v>
      </c>
      <c r="K234" s="11" t="n">
        <v>44037</v>
      </c>
      <c r="L234" t="n">
        <v>30</v>
      </c>
      <c r="M234" t="n">
        <v>1</v>
      </c>
      <c r="N234" t="n">
        <v>7</v>
      </c>
      <c r="O234" t="n">
        <v>1</v>
      </c>
      <c r="P234" t="inlineStr">
        <is>
          <t>C</t>
        </is>
      </c>
    </row>
    <row r="235">
      <c r="A235" t="inlineStr">
        <is>
          <t>FAIRVIEW</t>
        </is>
      </c>
      <c r="B235" t="inlineStr">
        <is>
          <t>SR 1606</t>
        </is>
      </c>
      <c r="C235" t="n">
        <v>0.1</v>
      </c>
      <c r="D235" t="inlineStr">
        <is>
          <t>S</t>
        </is>
      </c>
      <c r="E235" t="inlineStr">
        <is>
          <t>SR 1547</t>
        </is>
      </c>
      <c r="F235" t="inlineStr">
        <is>
          <t>NC 218</t>
        </is>
      </c>
      <c r="G235" t="inlineStr">
        <is>
          <t>SR 1606</t>
        </is>
      </c>
      <c r="H235" t="n">
        <v>1.687</v>
      </c>
      <c r="J235" t="n">
        <v>106095719</v>
      </c>
      <c r="K235" s="11" t="n">
        <v>43808</v>
      </c>
      <c r="L235" t="n">
        <v>17</v>
      </c>
      <c r="M235" t="n">
        <v>1</v>
      </c>
      <c r="N235" t="n">
        <v>0</v>
      </c>
      <c r="O235" t="n">
        <v>3</v>
      </c>
      <c r="P235" t="inlineStr">
        <is>
          <t>O</t>
        </is>
      </c>
    </row>
    <row r="236">
      <c r="A236" t="inlineStr">
        <is>
          <t>RURAL</t>
        </is>
      </c>
      <c r="B236" t="inlineStr">
        <is>
          <t>SR 1606</t>
        </is>
      </c>
      <c r="C236" t="n">
        <v>0</v>
      </c>
      <c r="E236" t="inlineStr">
        <is>
          <t>NC 218</t>
        </is>
      </c>
      <c r="F236" t="inlineStr">
        <is>
          <t>SR 1610</t>
        </is>
      </c>
      <c r="G236" t="inlineStr">
        <is>
          <t>SR 1606</t>
        </is>
      </c>
      <c r="H236" t="n">
        <v>2.941</v>
      </c>
      <c r="J236" t="n">
        <v>106157650</v>
      </c>
      <c r="K236" s="11" t="n">
        <v>43874</v>
      </c>
      <c r="L236" t="n">
        <v>21</v>
      </c>
      <c r="M236" t="n">
        <v>1</v>
      </c>
      <c r="N236" t="n">
        <v>8</v>
      </c>
      <c r="O236" t="n">
        <v>5</v>
      </c>
      <c r="P236" t="inlineStr">
        <is>
          <t>C</t>
        </is>
      </c>
    </row>
    <row r="237">
      <c r="A237" t="inlineStr">
        <is>
          <t>RURAL</t>
        </is>
      </c>
      <c r="B237" t="inlineStr">
        <is>
          <t>SR 1606</t>
        </is>
      </c>
      <c r="C237" t="n">
        <v>1.3</v>
      </c>
      <c r="D237" t="inlineStr">
        <is>
          <t>S</t>
        </is>
      </c>
      <c r="E237" t="inlineStr">
        <is>
          <t>SR 1604</t>
        </is>
      </c>
      <c r="F237" t="inlineStr">
        <is>
          <t>SR 1605</t>
        </is>
      </c>
      <c r="G237" t="inlineStr">
        <is>
          <t>SR 1606</t>
        </is>
      </c>
      <c r="H237" t="n">
        <v>1.505</v>
      </c>
      <c r="J237" t="n">
        <v>106134680</v>
      </c>
      <c r="K237" s="11" t="n">
        <v>43852</v>
      </c>
      <c r="L237" t="n">
        <v>29</v>
      </c>
      <c r="M237" t="n">
        <v>1</v>
      </c>
      <c r="N237" t="n">
        <v>0</v>
      </c>
      <c r="O237" t="n">
        <v>1</v>
      </c>
      <c r="P237" t="inlineStr">
        <is>
          <t>O</t>
        </is>
      </c>
    </row>
    <row r="238">
      <c r="A238" t="inlineStr">
        <is>
          <t>FAIRVIEW</t>
        </is>
      </c>
      <c r="B238" t="inlineStr">
        <is>
          <t>PVA 6609 SIKES MILL RD</t>
        </is>
      </c>
      <c r="C238" t="n">
        <v>0.028</v>
      </c>
      <c r="D238" t="inlineStr">
        <is>
          <t>W</t>
        </is>
      </c>
      <c r="E238" t="inlineStr">
        <is>
          <t>SIKES MILL</t>
        </is>
      </c>
      <c r="H238" t="n">
        <v>999.999</v>
      </c>
      <c r="J238" t="n">
        <v>106254686</v>
      </c>
      <c r="K238" s="11" t="n">
        <v>44001</v>
      </c>
      <c r="L238" t="n">
        <v>31</v>
      </c>
      <c r="M238" t="n">
        <v>1</v>
      </c>
      <c r="N238" t="n">
        <v>4</v>
      </c>
      <c r="O238" t="n">
        <v>1</v>
      </c>
      <c r="P238" t="inlineStr">
        <is>
          <t>O</t>
        </is>
      </c>
    </row>
    <row r="239">
      <c r="A239" t="inlineStr">
        <is>
          <t>FAIRVIEW</t>
        </is>
      </c>
      <c r="B239" t="inlineStr">
        <is>
          <t>NC 218</t>
        </is>
      </c>
      <c r="C239" t="n">
        <v>0</v>
      </c>
      <c r="E239" t="inlineStr">
        <is>
          <t>SR 1001</t>
        </is>
      </c>
      <c r="F239" t="inlineStr">
        <is>
          <t>SR 1547</t>
        </is>
      </c>
      <c r="G239" t="inlineStr">
        <is>
          <t>NC 218</t>
        </is>
      </c>
      <c r="H239" t="n">
        <v>9.786</v>
      </c>
      <c r="J239" t="n">
        <v>106186515</v>
      </c>
      <c r="K239" s="11" t="n">
        <v>43906</v>
      </c>
      <c r="L239" t="n">
        <v>30</v>
      </c>
      <c r="M239" t="n">
        <v>1</v>
      </c>
      <c r="N239" t="n">
        <v>7</v>
      </c>
      <c r="O239" t="n">
        <v>1</v>
      </c>
      <c r="P239" t="inlineStr">
        <is>
          <t>O</t>
        </is>
      </c>
    </row>
    <row r="240">
      <c r="A240" t="inlineStr">
        <is>
          <t>RURAL</t>
        </is>
      </c>
      <c r="B240" t="inlineStr">
        <is>
          <t>SR 1606</t>
        </is>
      </c>
      <c r="C240" t="n">
        <v>0.08</v>
      </c>
      <c r="D240" t="inlineStr">
        <is>
          <t>N</t>
        </is>
      </c>
      <c r="E240" t="inlineStr">
        <is>
          <t>SR 1619</t>
        </is>
      </c>
      <c r="F240" t="inlineStr">
        <is>
          <t>SR 1001</t>
        </is>
      </c>
      <c r="G240" t="inlineStr">
        <is>
          <t>SR 1606</t>
        </is>
      </c>
      <c r="H240" t="n">
        <v>999.999</v>
      </c>
      <c r="J240" t="n">
        <v>106276502</v>
      </c>
      <c r="K240" s="11" t="n">
        <v>44026</v>
      </c>
      <c r="L240" t="n">
        <v>17</v>
      </c>
      <c r="M240" t="n">
        <v>1</v>
      </c>
      <c r="N240" t="n">
        <v>0</v>
      </c>
      <c r="O240" t="n">
        <v>5</v>
      </c>
      <c r="P240" t="inlineStr">
        <is>
          <t>O</t>
        </is>
      </c>
    </row>
    <row r="241">
      <c r="A241" t="inlineStr">
        <is>
          <t>RURAL</t>
        </is>
      </c>
      <c r="B241" t="inlineStr">
        <is>
          <t>SR 1606</t>
        </is>
      </c>
      <c r="C241" t="n">
        <v>0</v>
      </c>
      <c r="E241" t="inlineStr">
        <is>
          <t>SR 1547</t>
        </is>
      </c>
      <c r="F241" t="inlineStr">
        <is>
          <t>SR 1607</t>
        </is>
      </c>
      <c r="G241" t="inlineStr">
        <is>
          <t>SR 1606</t>
        </is>
      </c>
      <c r="H241" t="n">
        <v>1.587</v>
      </c>
      <c r="J241" t="n">
        <v>106277793</v>
      </c>
      <c r="K241" s="11" t="n">
        <v>44026</v>
      </c>
      <c r="L241" t="n">
        <v>30</v>
      </c>
      <c r="M241" t="n">
        <v>1</v>
      </c>
      <c r="N241" t="n">
        <v>7</v>
      </c>
      <c r="O241" t="n">
        <v>1</v>
      </c>
      <c r="P241" t="inlineStr">
        <is>
          <t>C</t>
        </is>
      </c>
    </row>
    <row r="242">
      <c r="A242" t="inlineStr">
        <is>
          <t>RURAL</t>
        </is>
      </c>
      <c r="B242" t="inlineStr">
        <is>
          <t>NC 200</t>
        </is>
      </c>
      <c r="C242" t="n">
        <v>0</v>
      </c>
      <c r="E242" t="inlineStr">
        <is>
          <t>SR 1606</t>
        </is>
      </c>
      <c r="F242" t="inlineStr">
        <is>
          <t>SR 1627</t>
        </is>
      </c>
      <c r="G242" t="inlineStr">
        <is>
          <t>NC 200</t>
        </is>
      </c>
      <c r="H242" t="n">
        <v>25.69</v>
      </c>
      <c r="J242" t="n">
        <v>106253848</v>
      </c>
      <c r="K242" s="11" t="n">
        <v>43994</v>
      </c>
      <c r="L242" t="n">
        <v>23</v>
      </c>
      <c r="M242" t="n">
        <v>1</v>
      </c>
      <c r="N242" t="n">
        <v>7</v>
      </c>
      <c r="O242" t="n">
        <v>1</v>
      </c>
      <c r="P242" t="inlineStr">
        <is>
          <t>O</t>
        </is>
      </c>
    </row>
    <row r="243">
      <c r="A243" t="inlineStr">
        <is>
          <t>UNIONVILLE</t>
        </is>
      </c>
      <c r="B243" t="inlineStr">
        <is>
          <t>SR 1001</t>
        </is>
      </c>
      <c r="C243" t="n">
        <v>0.005</v>
      </c>
      <c r="D243" t="inlineStr">
        <is>
          <t>N</t>
        </is>
      </c>
      <c r="E243" t="inlineStr">
        <is>
          <t>SR 1617</t>
        </is>
      </c>
      <c r="F243" t="inlineStr">
        <is>
          <t>SR 1637</t>
        </is>
      </c>
      <c r="G243" t="inlineStr">
        <is>
          <t>SR 1001</t>
        </is>
      </c>
      <c r="H243" t="n">
        <v>3.466</v>
      </c>
      <c r="J243" t="n">
        <v>106126767</v>
      </c>
      <c r="K243" s="11" t="n">
        <v>43843</v>
      </c>
      <c r="L243" t="n">
        <v>21</v>
      </c>
      <c r="M243" t="n">
        <v>2</v>
      </c>
      <c r="N243" t="n">
        <v>7</v>
      </c>
      <c r="O243" t="n">
        <v>1</v>
      </c>
      <c r="P243" t="inlineStr">
        <is>
          <t>O</t>
        </is>
      </c>
    </row>
    <row r="244">
      <c r="A244" t="inlineStr">
        <is>
          <t>UNIONVILLE</t>
        </is>
      </c>
      <c r="B244" t="inlineStr">
        <is>
          <t>SR 1606</t>
        </is>
      </c>
      <c r="C244" t="n">
        <v>0.01</v>
      </c>
      <c r="D244" t="inlineStr">
        <is>
          <t>S</t>
        </is>
      </c>
      <c r="E244" t="inlineStr">
        <is>
          <t>SR 1688</t>
        </is>
      </c>
      <c r="F244" t="inlineStr">
        <is>
          <t>SR 1678</t>
        </is>
      </c>
      <c r="G244" t="inlineStr">
        <is>
          <t>SR 1606</t>
        </is>
      </c>
      <c r="H244" t="n">
        <v>5.738</v>
      </c>
      <c r="J244" t="n">
        <v>107112659</v>
      </c>
      <c r="K244" s="11" t="n">
        <v>44840</v>
      </c>
      <c r="L244" t="n">
        <v>21</v>
      </c>
      <c r="M244" t="n">
        <v>1</v>
      </c>
      <c r="N244" t="n">
        <v>0</v>
      </c>
      <c r="O244" t="n">
        <v>5</v>
      </c>
      <c r="P244" t="inlineStr">
        <is>
          <t>A</t>
        </is>
      </c>
    </row>
    <row r="245">
      <c r="A245" t="inlineStr">
        <is>
          <t>UNIONVILLE</t>
        </is>
      </c>
      <c r="B245" t="inlineStr">
        <is>
          <t>SR 1606</t>
        </is>
      </c>
      <c r="C245" t="n">
        <v>0.002</v>
      </c>
      <c r="D245" t="inlineStr">
        <is>
          <t>N</t>
        </is>
      </c>
      <c r="E245" t="inlineStr">
        <is>
          <t>SR 1678</t>
        </is>
      </c>
      <c r="F245" t="inlineStr">
        <is>
          <t>SR 1638</t>
        </is>
      </c>
      <c r="G245" t="inlineStr">
        <is>
          <t>SR 1606</t>
        </is>
      </c>
      <c r="H245" t="n">
        <v>5.794</v>
      </c>
      <c r="J245" t="n">
        <v>106109136</v>
      </c>
      <c r="K245" s="11" t="n">
        <v>43817</v>
      </c>
      <c r="L245" t="n">
        <v>21</v>
      </c>
      <c r="M245" t="n">
        <v>1</v>
      </c>
      <c r="N245" t="n">
        <v>0</v>
      </c>
      <c r="O245" t="n">
        <v>1</v>
      </c>
      <c r="P245" t="inlineStr">
        <is>
          <t>O</t>
        </is>
      </c>
    </row>
    <row r="246">
      <c r="A246" t="inlineStr">
        <is>
          <t>UNIONVILLE</t>
        </is>
      </c>
      <c r="B246" t="inlineStr">
        <is>
          <t>SR 1001</t>
        </is>
      </c>
      <c r="C246" t="n">
        <v>0.25</v>
      </c>
      <c r="D246" t="inlineStr">
        <is>
          <t>S</t>
        </is>
      </c>
      <c r="E246" t="inlineStr">
        <is>
          <t>SR 1615</t>
        </is>
      </c>
      <c r="F246" t="inlineStr">
        <is>
          <t>SR 2713</t>
        </is>
      </c>
      <c r="G246" t="inlineStr">
        <is>
          <t>SR 1001</t>
        </is>
      </c>
      <c r="H246" t="n">
        <v>2.621</v>
      </c>
      <c r="J246" t="n">
        <v>106146785</v>
      </c>
      <c r="K246" s="11" t="n">
        <v>43864</v>
      </c>
      <c r="L246" t="n">
        <v>17</v>
      </c>
      <c r="M246" t="n">
        <v>1</v>
      </c>
      <c r="N246" t="n">
        <v>0</v>
      </c>
      <c r="O246" t="n">
        <v>5</v>
      </c>
      <c r="P246" t="inlineStr">
        <is>
          <t>O</t>
        </is>
      </c>
    </row>
    <row r="247">
      <c r="A247" t="inlineStr">
        <is>
          <t>RURAL</t>
        </is>
      </c>
      <c r="B247" t="inlineStr">
        <is>
          <t>NC 218</t>
        </is>
      </c>
      <c r="C247" t="n">
        <v>0</v>
      </c>
      <c r="E247" t="inlineStr">
        <is>
          <t>SR 1001</t>
        </is>
      </c>
      <c r="F247" t="inlineStr">
        <is>
          <t>NC 200</t>
        </is>
      </c>
      <c r="G247" t="inlineStr">
        <is>
          <t>NC 218</t>
        </is>
      </c>
      <c r="H247" t="n">
        <v>9.786</v>
      </c>
      <c r="J247" t="n">
        <v>106219177</v>
      </c>
      <c r="K247" s="11" t="n">
        <v>43952</v>
      </c>
      <c r="L247" t="n">
        <v>30</v>
      </c>
      <c r="M247" t="n">
        <v>1</v>
      </c>
      <c r="N247" t="n">
        <v>7</v>
      </c>
      <c r="O247" t="n">
        <v>5</v>
      </c>
      <c r="P247" t="inlineStr">
        <is>
          <t>O</t>
        </is>
      </c>
    </row>
    <row r="248">
      <c r="A248" t="inlineStr">
        <is>
          <t>RURAL</t>
        </is>
      </c>
      <c r="B248" t="inlineStr">
        <is>
          <t>SR 1001</t>
        </is>
      </c>
      <c r="C248" t="n">
        <v>0</v>
      </c>
      <c r="E248" t="inlineStr">
        <is>
          <t>US 601</t>
        </is>
      </c>
      <c r="F248" t="inlineStr">
        <is>
          <t>SR 1620</t>
        </is>
      </c>
      <c r="G248" t="inlineStr">
        <is>
          <t>SR 1001</t>
        </is>
      </c>
      <c r="H248" t="n">
        <v>0</v>
      </c>
      <c r="J248" t="n">
        <v>106219230</v>
      </c>
      <c r="K248" s="11" t="n">
        <v>43956</v>
      </c>
      <c r="L248" t="n">
        <v>19</v>
      </c>
      <c r="M248" t="n">
        <v>2</v>
      </c>
      <c r="N248" t="n">
        <v>8</v>
      </c>
      <c r="O248" t="n">
        <v>5</v>
      </c>
      <c r="P248" t="inlineStr">
        <is>
          <t>B</t>
        </is>
      </c>
    </row>
    <row r="249">
      <c r="A249" t="inlineStr">
        <is>
          <t>UNIONVILLE</t>
        </is>
      </c>
      <c r="B249" t="inlineStr">
        <is>
          <t>SR 1617</t>
        </is>
      </c>
      <c r="C249" t="n">
        <v>0.1</v>
      </c>
      <c r="D249" t="inlineStr">
        <is>
          <t>E</t>
        </is>
      </c>
      <c r="E249" t="inlineStr">
        <is>
          <t>SR 1615</t>
        </is>
      </c>
      <c r="F249" t="inlineStr">
        <is>
          <t>SR 1001</t>
        </is>
      </c>
      <c r="G249" t="inlineStr">
        <is>
          <t>SR 1617</t>
        </is>
      </c>
      <c r="H249" t="n">
        <v>0.1</v>
      </c>
      <c r="J249" t="n">
        <v>106093727</v>
      </c>
      <c r="K249" s="11" t="n">
        <v>43811</v>
      </c>
      <c r="L249" t="n">
        <v>17</v>
      </c>
      <c r="M249" t="n">
        <v>1</v>
      </c>
      <c r="N249" t="n">
        <v>0</v>
      </c>
      <c r="O249" t="n">
        <v>5</v>
      </c>
      <c r="P249" t="inlineStr">
        <is>
          <t>C</t>
        </is>
      </c>
    </row>
    <row r="250">
      <c r="A250" t="inlineStr">
        <is>
          <t>RURAL</t>
        </is>
      </c>
      <c r="B250" t="inlineStr">
        <is>
          <t>SR 1606</t>
        </is>
      </c>
      <c r="C250" t="n">
        <v>0.3</v>
      </c>
      <c r="D250" t="inlineStr">
        <is>
          <t>E</t>
        </is>
      </c>
      <c r="E250" t="inlineStr">
        <is>
          <t>*LCL CAMDEN OAKS LN</t>
        </is>
      </c>
      <c r="F250" t="inlineStr">
        <is>
          <t>SR 1006</t>
        </is>
      </c>
      <c r="H250" t="n">
        <v>999.999</v>
      </c>
      <c r="J250" t="n">
        <v>106214571</v>
      </c>
      <c r="K250" s="11" t="n">
        <v>43951</v>
      </c>
      <c r="L250" t="n">
        <v>29</v>
      </c>
      <c r="M250" t="n">
        <v>1</v>
      </c>
      <c r="N250" t="n">
        <v>1</v>
      </c>
      <c r="O250" t="n">
        <v>1</v>
      </c>
      <c r="P250" t="inlineStr">
        <is>
          <t>O</t>
        </is>
      </c>
    </row>
    <row r="251">
      <c r="A251" t="inlineStr">
        <is>
          <t>UNIONVILLE</t>
        </is>
      </c>
      <c r="B251" t="inlineStr">
        <is>
          <t>SR 1618</t>
        </is>
      </c>
      <c r="C251" t="n">
        <v>0.006</v>
      </c>
      <c r="D251" t="inlineStr">
        <is>
          <t>W</t>
        </is>
      </c>
      <c r="E251" t="inlineStr">
        <is>
          <t>SR 1606</t>
        </is>
      </c>
      <c r="F251" t="inlineStr">
        <is>
          <t>SR 1615</t>
        </is>
      </c>
      <c r="G251" t="inlineStr">
        <is>
          <t>SR 1618</t>
        </is>
      </c>
      <c r="H251" t="n">
        <v>0.006</v>
      </c>
      <c r="J251" t="n">
        <v>106093757</v>
      </c>
      <c r="K251" s="11" t="n">
        <v>43811</v>
      </c>
      <c r="L251" t="n">
        <v>21</v>
      </c>
      <c r="M251" t="n">
        <v>1</v>
      </c>
      <c r="N251" t="n">
        <v>10</v>
      </c>
      <c r="O251" t="n">
        <v>1</v>
      </c>
      <c r="P251" t="inlineStr">
        <is>
          <t>O</t>
        </is>
      </c>
    </row>
    <row r="252">
      <c r="A252" t="inlineStr">
        <is>
          <t>UNIONVILLE</t>
        </is>
      </c>
      <c r="B252" t="inlineStr">
        <is>
          <t>SIKES MILL</t>
        </is>
      </c>
      <c r="C252" t="n">
        <v>0.38</v>
      </c>
      <c r="D252" t="inlineStr">
        <is>
          <t>NE</t>
        </is>
      </c>
      <c r="E252" t="inlineStr">
        <is>
          <t>UNIONVILLE</t>
        </is>
      </c>
      <c r="F252" t="inlineStr">
        <is>
          <t>CLONTZ LONG</t>
        </is>
      </c>
      <c r="G252" t="inlineStr">
        <is>
          <t>SR 1001</t>
        </is>
      </c>
      <c r="H252" t="n">
        <v>3.251</v>
      </c>
      <c r="J252" t="n">
        <v>105310167</v>
      </c>
      <c r="K252" s="11" t="n">
        <v>43072</v>
      </c>
      <c r="L252" t="n">
        <v>17</v>
      </c>
      <c r="M252" t="n">
        <v>1</v>
      </c>
      <c r="N252" t="n">
        <v>0</v>
      </c>
      <c r="O252" t="n">
        <v>5</v>
      </c>
      <c r="P252" t="inlineStr">
        <is>
          <t>O</t>
        </is>
      </c>
    </row>
    <row r="253">
      <c r="A253" t="inlineStr">
        <is>
          <t>UNIONVILLE</t>
        </is>
      </c>
      <c r="B253" t="inlineStr">
        <is>
          <t>SR 1606</t>
        </is>
      </c>
      <c r="C253" t="n">
        <v>0.6</v>
      </c>
      <c r="D253" t="inlineStr">
        <is>
          <t>W</t>
        </is>
      </c>
      <c r="E253" t="inlineStr">
        <is>
          <t>SR 1619</t>
        </is>
      </c>
      <c r="F253" t="inlineStr">
        <is>
          <t>SR 1637</t>
        </is>
      </c>
      <c r="G253" t="inlineStr">
        <is>
          <t>SR 1606</t>
        </is>
      </c>
      <c r="H253" t="n">
        <v>999.999</v>
      </c>
      <c r="J253" t="n">
        <v>106249008</v>
      </c>
      <c r="K253" s="11" t="n">
        <v>43993</v>
      </c>
      <c r="L253" t="n">
        <v>19</v>
      </c>
      <c r="M253" t="n">
        <v>2</v>
      </c>
      <c r="N253" t="n">
        <v>0</v>
      </c>
      <c r="O253" t="n">
        <v>1</v>
      </c>
      <c r="P253" t="inlineStr">
        <is>
          <t>O</t>
        </is>
      </c>
    </row>
    <row r="254">
      <c r="A254" t="inlineStr">
        <is>
          <t>UNIONVILLE</t>
        </is>
      </c>
      <c r="B254" t="inlineStr">
        <is>
          <t>NC 200</t>
        </is>
      </c>
      <c r="C254" t="n">
        <v>0</v>
      </c>
      <c r="E254" t="inlineStr">
        <is>
          <t>SR 1606</t>
        </is>
      </c>
      <c r="F254" t="inlineStr">
        <is>
          <t>SR 1633</t>
        </is>
      </c>
      <c r="G254" t="inlineStr">
        <is>
          <t>NC 200</t>
        </is>
      </c>
      <c r="H254" t="n">
        <v>25.69</v>
      </c>
      <c r="J254" t="n">
        <v>106326117</v>
      </c>
      <c r="K254" s="11" t="n">
        <v>44076</v>
      </c>
      <c r="L254" t="n">
        <v>30</v>
      </c>
      <c r="M254" t="n">
        <v>1</v>
      </c>
      <c r="N254" t="n">
        <v>7</v>
      </c>
      <c r="O254" t="n">
        <v>1</v>
      </c>
      <c r="P254" t="inlineStr">
        <is>
          <t>B</t>
        </is>
      </c>
    </row>
    <row r="255">
      <c r="A255" t="inlineStr">
        <is>
          <t>RURAL</t>
        </is>
      </c>
      <c r="B255" t="inlineStr">
        <is>
          <t>NC 218</t>
        </is>
      </c>
      <c r="C255" t="n">
        <v>0.006</v>
      </c>
      <c r="D255" t="inlineStr">
        <is>
          <t>E</t>
        </is>
      </c>
      <c r="E255" t="inlineStr">
        <is>
          <t>SR 1001</t>
        </is>
      </c>
      <c r="F255" t="inlineStr">
        <is>
          <t>NC 200</t>
        </is>
      </c>
      <c r="G255" t="inlineStr">
        <is>
          <t>NC 218</t>
        </is>
      </c>
      <c r="H255" t="n">
        <v>9.792</v>
      </c>
      <c r="J255" t="n">
        <v>106370455</v>
      </c>
      <c r="K255" s="11" t="n">
        <v>44121</v>
      </c>
      <c r="L255" t="n">
        <v>23</v>
      </c>
      <c r="M255" t="n">
        <v>1</v>
      </c>
      <c r="N255" t="n">
        <v>7</v>
      </c>
      <c r="O255" t="n">
        <v>1</v>
      </c>
      <c r="P255" t="inlineStr">
        <is>
          <t>O</t>
        </is>
      </c>
    </row>
    <row r="256">
      <c r="A256" t="inlineStr">
        <is>
          <t>RURAL</t>
        </is>
      </c>
      <c r="B256" t="inlineStr">
        <is>
          <t>NC 218</t>
        </is>
      </c>
      <c r="C256" t="n">
        <v>0</v>
      </c>
      <c r="E256" t="inlineStr">
        <is>
          <t>SR 1001</t>
        </is>
      </c>
      <c r="F256" t="inlineStr">
        <is>
          <t>NC 200</t>
        </is>
      </c>
      <c r="G256" t="inlineStr">
        <is>
          <t>NC 218</t>
        </is>
      </c>
      <c r="H256" t="n">
        <v>9.786</v>
      </c>
      <c r="J256" t="n">
        <v>106362077</v>
      </c>
      <c r="K256" s="11" t="n">
        <v>44109</v>
      </c>
      <c r="L256" t="n">
        <v>30</v>
      </c>
      <c r="M256" t="n">
        <v>1</v>
      </c>
      <c r="N256" t="n">
        <v>7</v>
      </c>
      <c r="O256" t="n">
        <v>1</v>
      </c>
      <c r="P256" t="inlineStr">
        <is>
          <t>O</t>
        </is>
      </c>
    </row>
    <row r="257">
      <c r="A257" t="inlineStr">
        <is>
          <t>RURAL</t>
        </is>
      </c>
      <c r="B257" t="inlineStr">
        <is>
          <t>SR 1001</t>
        </is>
      </c>
      <c r="C257" t="n">
        <v>0</v>
      </c>
      <c r="E257" t="inlineStr">
        <is>
          <t>US 601</t>
        </is>
      </c>
      <c r="F257" t="inlineStr">
        <is>
          <t>DEAD END</t>
        </is>
      </c>
      <c r="G257" t="inlineStr">
        <is>
          <t>SR 1001</t>
        </is>
      </c>
      <c r="H257" t="n">
        <v>0</v>
      </c>
      <c r="J257" t="n">
        <v>106345655</v>
      </c>
      <c r="K257" s="11" t="n">
        <v>44088</v>
      </c>
      <c r="L257" t="n">
        <v>30</v>
      </c>
      <c r="M257" t="n">
        <v>1</v>
      </c>
      <c r="N257" t="n">
        <v>8</v>
      </c>
      <c r="O257" t="n">
        <v>5</v>
      </c>
      <c r="P257" t="inlineStr">
        <is>
          <t>A</t>
        </is>
      </c>
    </row>
    <row r="258">
      <c r="A258" t="inlineStr">
        <is>
          <t>RURAL</t>
        </is>
      </c>
      <c r="B258" t="inlineStr">
        <is>
          <t>SR 1001</t>
        </is>
      </c>
      <c r="C258" t="n">
        <v>1</v>
      </c>
      <c r="D258" t="inlineStr">
        <is>
          <t>S</t>
        </is>
      </c>
      <c r="E258" t="inlineStr">
        <is>
          <t>SR 1620</t>
        </is>
      </c>
      <c r="F258" t="inlineStr">
        <is>
          <t>SPRING LAKE</t>
        </is>
      </c>
      <c r="G258" t="inlineStr">
        <is>
          <t>SR 1001</t>
        </is>
      </c>
      <c r="H258" t="n">
        <v>0.352</v>
      </c>
      <c r="J258" t="n">
        <v>106392203</v>
      </c>
      <c r="K258" s="11" t="n">
        <v>44136</v>
      </c>
      <c r="L258" t="n">
        <v>19</v>
      </c>
      <c r="M258" t="n">
        <v>2</v>
      </c>
      <c r="N258" t="n">
        <v>0</v>
      </c>
      <c r="O258" t="n">
        <v>5</v>
      </c>
      <c r="P258" t="inlineStr">
        <is>
          <t>O</t>
        </is>
      </c>
    </row>
    <row r="259">
      <c r="A259" t="inlineStr">
        <is>
          <t>UNIONVILLE</t>
        </is>
      </c>
      <c r="B259" t="inlineStr">
        <is>
          <t>SR 1001</t>
        </is>
      </c>
      <c r="C259" t="n">
        <v>0.008999999999999999</v>
      </c>
      <c r="D259" t="inlineStr">
        <is>
          <t>N</t>
        </is>
      </c>
      <c r="E259" t="inlineStr">
        <is>
          <t>SR 2713</t>
        </is>
      </c>
      <c r="F259" t="inlineStr">
        <is>
          <t>SR 1615</t>
        </is>
      </c>
      <c r="G259" t="inlineStr">
        <is>
          <t>SR 1001</t>
        </is>
      </c>
      <c r="H259" t="n">
        <v>2.534</v>
      </c>
      <c r="J259" t="n">
        <v>106393731</v>
      </c>
      <c r="K259" s="11" t="n">
        <v>44139</v>
      </c>
      <c r="L259" t="n">
        <v>17</v>
      </c>
      <c r="M259" t="n">
        <v>1</v>
      </c>
      <c r="N259" t="n">
        <v>0</v>
      </c>
      <c r="O259" t="n">
        <v>3</v>
      </c>
      <c r="P259" t="inlineStr">
        <is>
          <t>O</t>
        </is>
      </c>
    </row>
    <row r="260">
      <c r="A260" t="inlineStr">
        <is>
          <t>UNIONVILLE</t>
        </is>
      </c>
      <c r="B260" t="inlineStr">
        <is>
          <t>SR 1606</t>
        </is>
      </c>
      <c r="C260" t="n">
        <v>0</v>
      </c>
      <c r="E260" t="inlineStr">
        <is>
          <t>SR 1618</t>
        </is>
      </c>
      <c r="F260" t="inlineStr">
        <is>
          <t>SR 1681</t>
        </is>
      </c>
      <c r="G260" t="inlineStr">
        <is>
          <t>SR 1606</t>
        </is>
      </c>
      <c r="H260" t="n">
        <v>6.066</v>
      </c>
      <c r="J260" t="n">
        <v>106388383</v>
      </c>
      <c r="K260" s="11" t="n">
        <v>44134</v>
      </c>
      <c r="L260" t="n">
        <v>26</v>
      </c>
      <c r="M260" t="n">
        <v>1</v>
      </c>
      <c r="N260" t="n">
        <v>10</v>
      </c>
      <c r="O260" t="n">
        <v>5</v>
      </c>
      <c r="P260" t="inlineStr">
        <is>
          <t>O</t>
        </is>
      </c>
    </row>
    <row r="261">
      <c r="A261" t="inlineStr">
        <is>
          <t>RURAL</t>
        </is>
      </c>
      <c r="B261" t="inlineStr">
        <is>
          <t>SR 1606</t>
        </is>
      </c>
      <c r="C261" t="n">
        <v>0.19</v>
      </c>
      <c r="D261" t="inlineStr">
        <is>
          <t>S</t>
        </is>
      </c>
      <c r="E261" t="inlineStr">
        <is>
          <t>SR 1637</t>
        </is>
      </c>
      <c r="F261" t="inlineStr">
        <is>
          <t>SR 1619</t>
        </is>
      </c>
      <c r="G261" t="inlineStr">
        <is>
          <t>SR 1606</t>
        </is>
      </c>
      <c r="H261" t="n">
        <v>6.066</v>
      </c>
      <c r="J261" t="n">
        <v>107028892</v>
      </c>
      <c r="K261" s="11" t="n">
        <v>44766</v>
      </c>
      <c r="L261" t="n">
        <v>14</v>
      </c>
      <c r="M261" t="n">
        <v>1</v>
      </c>
      <c r="N261" t="n">
        <v>0</v>
      </c>
      <c r="O261" t="n">
        <v>1</v>
      </c>
      <c r="P261" t="inlineStr">
        <is>
          <t>A</t>
        </is>
      </c>
      <c r="Q261" t="n">
        <v>35.085832</v>
      </c>
      <c r="R261" t="n">
        <v>-80.493478</v>
      </c>
      <c r="S261" t="inlineStr">
        <is>
          <t>VHB_PEDBIKE</t>
        </is>
      </c>
    </row>
    <row r="262">
      <c r="A262" t="inlineStr">
        <is>
          <t>RURAL</t>
        </is>
      </c>
      <c r="B262" t="inlineStr">
        <is>
          <t>SR 1606</t>
        </is>
      </c>
      <c r="C262" t="n">
        <v>0.6</v>
      </c>
      <c r="D262" t="inlineStr">
        <is>
          <t>N</t>
        </is>
      </c>
      <c r="E262" t="inlineStr">
        <is>
          <t>SR 1678</t>
        </is>
      </c>
      <c r="F262" t="inlineStr">
        <is>
          <t>SR 1638</t>
        </is>
      </c>
      <c r="G262" t="inlineStr">
        <is>
          <t>SR 1606</t>
        </is>
      </c>
      <c r="H262" t="n">
        <v>5.196</v>
      </c>
      <c r="J262" t="n">
        <v>106432490</v>
      </c>
      <c r="K262" s="11" t="n">
        <v>44174</v>
      </c>
      <c r="L262" t="n">
        <v>17</v>
      </c>
      <c r="M262" t="n">
        <v>1</v>
      </c>
      <c r="N262" t="n">
        <v>0</v>
      </c>
      <c r="O262" t="n">
        <v>5</v>
      </c>
      <c r="P262" t="inlineStr">
        <is>
          <t>O</t>
        </is>
      </c>
    </row>
    <row r="263">
      <c r="A263" t="inlineStr">
        <is>
          <t>UNIONVILLE</t>
        </is>
      </c>
      <c r="B263" t="inlineStr">
        <is>
          <t>SR 1001</t>
        </is>
      </c>
      <c r="C263" t="n">
        <v>0</v>
      </c>
      <c r="E263" t="inlineStr">
        <is>
          <t>SR 1615</t>
        </is>
      </c>
      <c r="F263" t="inlineStr">
        <is>
          <t>SR 1619</t>
        </is>
      </c>
      <c r="G263" t="inlineStr">
        <is>
          <t>SR 1001</t>
        </is>
      </c>
      <c r="H263" t="n">
        <v>2.871</v>
      </c>
      <c r="J263" t="n">
        <v>106467658</v>
      </c>
      <c r="K263" s="11" t="n">
        <v>44214</v>
      </c>
      <c r="L263" t="n">
        <v>23</v>
      </c>
      <c r="M263" t="n">
        <v>1</v>
      </c>
      <c r="N263" t="n">
        <v>8</v>
      </c>
      <c r="O263" t="n">
        <v>1</v>
      </c>
      <c r="P263" t="inlineStr">
        <is>
          <t>O</t>
        </is>
      </c>
    </row>
    <row r="264">
      <c r="A264" t="inlineStr">
        <is>
          <t>NEW SALEM</t>
        </is>
      </c>
      <c r="B264" t="inlineStr">
        <is>
          <t>SR 1664</t>
        </is>
      </c>
      <c r="C264" t="n">
        <v>0</v>
      </c>
      <c r="E264" t="inlineStr">
        <is>
          <t>SR 1001</t>
        </is>
      </c>
      <c r="F264" t="inlineStr">
        <is>
          <t>SR 1663</t>
        </is>
      </c>
      <c r="G264" t="inlineStr">
        <is>
          <t>SR 1664</t>
        </is>
      </c>
      <c r="H264" t="n">
        <v>0</v>
      </c>
      <c r="J264" t="n">
        <v>106462130</v>
      </c>
      <c r="K264" s="11" t="n">
        <v>44205</v>
      </c>
      <c r="L264" t="n">
        <v>24</v>
      </c>
      <c r="M264" t="n">
        <v>1</v>
      </c>
      <c r="N264" t="n">
        <v>8</v>
      </c>
      <c r="O264" t="n">
        <v>1</v>
      </c>
      <c r="P264" t="inlineStr">
        <is>
          <t>C</t>
        </is>
      </c>
    </row>
    <row r="265">
      <c r="A265" t="inlineStr">
        <is>
          <t>UNIONVILLE</t>
        </is>
      </c>
      <c r="B265" t="inlineStr">
        <is>
          <t>SR 1606</t>
        </is>
      </c>
      <c r="C265" t="n">
        <v>0.25</v>
      </c>
      <c r="D265" t="inlineStr">
        <is>
          <t>N</t>
        </is>
      </c>
      <c r="E265" t="inlineStr">
        <is>
          <t>SR 1638</t>
        </is>
      </c>
      <c r="F265" t="inlineStr">
        <is>
          <t>SR 1615</t>
        </is>
      </c>
      <c r="G265" t="inlineStr">
        <is>
          <t>SR 1606</t>
        </is>
      </c>
      <c r="H265" t="n">
        <v>4.766</v>
      </c>
      <c r="J265" t="n">
        <v>106462109</v>
      </c>
      <c r="K265" s="11" t="n">
        <v>44208</v>
      </c>
      <c r="L265" t="n">
        <v>19</v>
      </c>
      <c r="M265" t="n">
        <v>1</v>
      </c>
      <c r="N265" t="n">
        <v>0</v>
      </c>
      <c r="O265" t="n">
        <v>1</v>
      </c>
      <c r="P265" t="inlineStr">
        <is>
          <t>O</t>
        </is>
      </c>
    </row>
    <row r="266">
      <c r="A266" t="inlineStr">
        <is>
          <t>UNIONVILLE</t>
        </is>
      </c>
      <c r="B266" t="inlineStr">
        <is>
          <t>SR 1001</t>
        </is>
      </c>
      <c r="C266" t="n">
        <v>0.5</v>
      </c>
      <c r="D266" t="inlineStr">
        <is>
          <t>N</t>
        </is>
      </c>
      <c r="E266" t="inlineStr">
        <is>
          <t>SR 1617</t>
        </is>
      </c>
      <c r="F266" t="inlineStr">
        <is>
          <t>SR 1618</t>
        </is>
      </c>
      <c r="G266" t="inlineStr">
        <is>
          <t>SR 1001</t>
        </is>
      </c>
      <c r="H266" t="n">
        <v>3.961</v>
      </c>
      <c r="J266" t="n">
        <v>106435289</v>
      </c>
      <c r="K266" s="11" t="n">
        <v>44178</v>
      </c>
      <c r="L266" t="n">
        <v>19</v>
      </c>
      <c r="M266" t="n">
        <v>1</v>
      </c>
      <c r="N266" t="n">
        <v>0</v>
      </c>
      <c r="O266" t="n">
        <v>5</v>
      </c>
    </row>
    <row r="267">
      <c r="A267" t="inlineStr">
        <is>
          <t>NEW SALEM</t>
        </is>
      </c>
      <c r="B267" t="inlineStr">
        <is>
          <t>SR 1606</t>
        </is>
      </c>
      <c r="C267" t="n">
        <v>1</v>
      </c>
      <c r="D267" t="inlineStr">
        <is>
          <t>N</t>
        </is>
      </c>
      <c r="E267" t="inlineStr">
        <is>
          <t>NC 218</t>
        </is>
      </c>
      <c r="F267" t="inlineStr">
        <is>
          <t>SR 1547</t>
        </is>
      </c>
      <c r="G267" t="inlineStr">
        <is>
          <t>SR 1606</t>
        </is>
      </c>
      <c r="H267" t="n">
        <v>1.941</v>
      </c>
      <c r="J267" t="n">
        <v>106491238</v>
      </c>
      <c r="K267" s="11" t="n">
        <v>44243</v>
      </c>
      <c r="L267" t="n">
        <v>17</v>
      </c>
      <c r="M267" t="n">
        <v>2</v>
      </c>
      <c r="N267" t="n">
        <v>0</v>
      </c>
      <c r="O267" t="n">
        <v>1</v>
      </c>
      <c r="P267" t="inlineStr">
        <is>
          <t>O</t>
        </is>
      </c>
    </row>
    <row r="268">
      <c r="A268" t="inlineStr">
        <is>
          <t>UNIONVILLE</t>
        </is>
      </c>
      <c r="B268" t="inlineStr">
        <is>
          <t>SR 1606</t>
        </is>
      </c>
      <c r="C268" t="n">
        <v>0</v>
      </c>
      <c r="E268" t="inlineStr">
        <is>
          <t>SR 1618</t>
        </is>
      </c>
      <c r="F268" t="inlineStr">
        <is>
          <t>SR 1619</t>
        </is>
      </c>
      <c r="G268" t="inlineStr">
        <is>
          <t>SR 1606</t>
        </is>
      </c>
      <c r="H268" t="n">
        <v>6.066</v>
      </c>
      <c r="J268" t="n">
        <v>106509401</v>
      </c>
      <c r="K268" s="11" t="n">
        <v>44260</v>
      </c>
      <c r="L268" t="n">
        <v>26</v>
      </c>
      <c r="M268" t="n">
        <v>1</v>
      </c>
      <c r="N268" t="n">
        <v>10</v>
      </c>
      <c r="O268" t="n">
        <v>5</v>
      </c>
      <c r="P268" t="inlineStr">
        <is>
          <t>O</t>
        </is>
      </c>
    </row>
    <row r="269">
      <c r="A269" t="inlineStr">
        <is>
          <t>RURAL</t>
        </is>
      </c>
      <c r="B269" t="inlineStr">
        <is>
          <t>SR 1001</t>
        </is>
      </c>
      <c r="C269" t="n">
        <v>0.19</v>
      </c>
      <c r="D269" t="inlineStr">
        <is>
          <t>N</t>
        </is>
      </c>
      <c r="E269" t="inlineStr">
        <is>
          <t>SPRING LAKE</t>
        </is>
      </c>
      <c r="F269" t="inlineStr">
        <is>
          <t>SR 1620</t>
        </is>
      </c>
      <c r="G269" t="inlineStr">
        <is>
          <t>SR 1001</t>
        </is>
      </c>
      <c r="H269" t="n">
        <v>1.075</v>
      </c>
      <c r="J269" t="n">
        <v>108256185</v>
      </c>
      <c r="K269" s="11" t="n">
        <v>45935</v>
      </c>
      <c r="L269" t="n">
        <v>17</v>
      </c>
      <c r="M269" t="n">
        <v>1</v>
      </c>
      <c r="N269" t="n">
        <v>0</v>
      </c>
      <c r="O269" t="n">
        <v>1</v>
      </c>
      <c r="P269" t="inlineStr">
        <is>
          <t>O</t>
        </is>
      </c>
      <c r="Q269" t="n">
        <v>35.05456</v>
      </c>
      <c r="R269" t="n">
        <v>-80.52333</v>
      </c>
      <c r="S269" t="inlineStr">
        <is>
          <t>DMV349CLEANED</t>
        </is>
      </c>
    </row>
    <row r="270">
      <c r="A270" t="inlineStr">
        <is>
          <t>UNIONVILLE</t>
        </is>
      </c>
      <c r="B270" t="inlineStr">
        <is>
          <t>NC 218</t>
        </is>
      </c>
      <c r="C270" t="n">
        <v>0</v>
      </c>
      <c r="E270" t="inlineStr">
        <is>
          <t>SR 1001</t>
        </is>
      </c>
      <c r="F270" t="inlineStr">
        <is>
          <t>CYRUS LEE</t>
        </is>
      </c>
      <c r="G270" t="inlineStr">
        <is>
          <t>NC 218</t>
        </is>
      </c>
      <c r="H270" t="n">
        <v>9.786</v>
      </c>
      <c r="J270" t="n">
        <v>106521629</v>
      </c>
      <c r="K270" s="11" t="n">
        <v>44276</v>
      </c>
      <c r="L270" t="n">
        <v>22</v>
      </c>
      <c r="M270" t="n">
        <v>1</v>
      </c>
      <c r="N270" t="n">
        <v>7</v>
      </c>
      <c r="O270" t="n">
        <v>1</v>
      </c>
      <c r="P270" t="inlineStr">
        <is>
          <t>B</t>
        </is>
      </c>
    </row>
    <row r="271">
      <c r="A271" t="inlineStr">
        <is>
          <t>UNIONVILLE</t>
        </is>
      </c>
      <c r="B271" t="inlineStr">
        <is>
          <t>SR 1606</t>
        </is>
      </c>
      <c r="C271" t="n">
        <v>0.3</v>
      </c>
      <c r="D271" t="inlineStr">
        <is>
          <t>S</t>
        </is>
      </c>
      <c r="E271" t="inlineStr">
        <is>
          <t>SR 1678</t>
        </is>
      </c>
      <c r="F271" t="inlineStr">
        <is>
          <t>SR 1618</t>
        </is>
      </c>
      <c r="G271" t="inlineStr">
        <is>
          <t>SR 1606</t>
        </is>
      </c>
      <c r="H271" t="n">
        <v>6.066</v>
      </c>
      <c r="J271" t="n">
        <v>106581212</v>
      </c>
      <c r="K271" s="11" t="n">
        <v>44337</v>
      </c>
      <c r="L271" t="n">
        <v>21</v>
      </c>
      <c r="M271" t="n">
        <v>1</v>
      </c>
      <c r="N271" t="n">
        <v>0</v>
      </c>
      <c r="O271" t="n">
        <v>1</v>
      </c>
      <c r="P271" t="inlineStr">
        <is>
          <t>C</t>
        </is>
      </c>
    </row>
    <row r="272">
      <c r="A272" t="inlineStr">
        <is>
          <t>UNIONVILLE</t>
        </is>
      </c>
      <c r="B272" t="inlineStr">
        <is>
          <t>PVA MARATHON</t>
        </is>
      </c>
      <c r="C272" t="n">
        <v>0.019</v>
      </c>
      <c r="D272" t="inlineStr">
        <is>
          <t>W</t>
        </is>
      </c>
      <c r="E272" t="inlineStr">
        <is>
          <t>SIKES MILL</t>
        </is>
      </c>
      <c r="H272" t="n">
        <v>999.999</v>
      </c>
      <c r="J272" t="n">
        <v>106584227</v>
      </c>
      <c r="K272" s="11" t="n">
        <v>44341</v>
      </c>
      <c r="L272" t="n">
        <v>31</v>
      </c>
      <c r="M272" t="n">
        <v>1</v>
      </c>
      <c r="N272" t="n">
        <v>4</v>
      </c>
      <c r="O272" t="n">
        <v>1</v>
      </c>
      <c r="P272" t="inlineStr">
        <is>
          <t>O</t>
        </is>
      </c>
    </row>
    <row r="273">
      <c r="A273" t="inlineStr">
        <is>
          <t>MONROE</t>
        </is>
      </c>
      <c r="B273" t="inlineStr">
        <is>
          <t>SR 1001</t>
        </is>
      </c>
      <c r="C273" t="n">
        <v>0.37</v>
      </c>
      <c r="D273" t="inlineStr">
        <is>
          <t>NE</t>
        </is>
      </c>
      <c r="E273" t="inlineStr">
        <is>
          <t>SR 1620</t>
        </is>
      </c>
      <c r="F273" t="inlineStr">
        <is>
          <t>SR 1665</t>
        </is>
      </c>
      <c r="G273" t="inlineStr">
        <is>
          <t>SR 1001</t>
        </is>
      </c>
      <c r="H273" t="n">
        <v>1.722</v>
      </c>
      <c r="J273" t="n">
        <v>106547429</v>
      </c>
      <c r="K273" s="11" t="n">
        <v>44302</v>
      </c>
      <c r="L273" t="n">
        <v>19</v>
      </c>
      <c r="M273" t="n">
        <v>1</v>
      </c>
      <c r="N273" t="n">
        <v>0</v>
      </c>
      <c r="O273" t="n">
        <v>1</v>
      </c>
      <c r="P273" t="inlineStr">
        <is>
          <t>O</t>
        </is>
      </c>
    </row>
    <row r="274">
      <c r="A274" t="inlineStr">
        <is>
          <t>RURAL</t>
        </is>
      </c>
      <c r="B274" t="inlineStr">
        <is>
          <t>NC 218</t>
        </is>
      </c>
      <c r="C274" t="n">
        <v>0</v>
      </c>
      <c r="E274" t="inlineStr">
        <is>
          <t>SR 1001</t>
        </is>
      </c>
      <c r="F274" t="inlineStr">
        <is>
          <t>SR 1547</t>
        </is>
      </c>
      <c r="G274" t="inlineStr">
        <is>
          <t>NC 218</t>
        </is>
      </c>
      <c r="H274" t="n">
        <v>9.786</v>
      </c>
      <c r="J274" t="n">
        <v>106554754</v>
      </c>
      <c r="K274" s="11" t="n">
        <v>44308</v>
      </c>
      <c r="L274" t="n">
        <v>21</v>
      </c>
      <c r="M274" t="n">
        <v>1</v>
      </c>
      <c r="N274" t="n">
        <v>7</v>
      </c>
      <c r="O274" t="n">
        <v>1</v>
      </c>
      <c r="P274" t="inlineStr">
        <is>
          <t>C</t>
        </is>
      </c>
    </row>
    <row r="275">
      <c r="A275" t="inlineStr">
        <is>
          <t>UNIONVILLE</t>
        </is>
      </c>
      <c r="B275" t="inlineStr">
        <is>
          <t>SR 1001</t>
        </is>
      </c>
      <c r="C275" t="n">
        <v>0.1</v>
      </c>
      <c r="D275" t="inlineStr">
        <is>
          <t>N</t>
        </is>
      </c>
      <c r="E275" t="inlineStr">
        <is>
          <t>SR 1665</t>
        </is>
      </c>
      <c r="F275" t="inlineStr">
        <is>
          <t>SR 2713</t>
        </is>
      </c>
      <c r="G275" t="inlineStr">
        <is>
          <t>SR 1001</t>
        </is>
      </c>
      <c r="H275" t="n">
        <v>2.315</v>
      </c>
      <c r="J275" t="n">
        <v>106572777</v>
      </c>
      <c r="K275" s="11" t="n">
        <v>44327</v>
      </c>
      <c r="L275" t="n">
        <v>29</v>
      </c>
      <c r="M275" t="n">
        <v>1</v>
      </c>
      <c r="N275" t="n">
        <v>0</v>
      </c>
      <c r="O275" t="n">
        <v>1</v>
      </c>
      <c r="P275" t="inlineStr">
        <is>
          <t>C</t>
        </is>
      </c>
    </row>
    <row r="276">
      <c r="A276" t="inlineStr">
        <is>
          <t>RURAL</t>
        </is>
      </c>
      <c r="B276" t="inlineStr">
        <is>
          <t>SR 1001</t>
        </is>
      </c>
      <c r="C276" t="n">
        <v>1</v>
      </c>
      <c r="D276" t="inlineStr">
        <is>
          <t>N</t>
        </is>
      </c>
      <c r="E276" t="inlineStr">
        <is>
          <t>US 601</t>
        </is>
      </c>
      <c r="F276" t="inlineStr">
        <is>
          <t>SR 1620</t>
        </is>
      </c>
      <c r="G276" t="inlineStr">
        <is>
          <t>SR 1001</t>
        </is>
      </c>
      <c r="H276" t="n">
        <v>1</v>
      </c>
      <c r="J276" t="n">
        <v>106572928</v>
      </c>
      <c r="K276" s="11" t="n">
        <v>44327</v>
      </c>
      <c r="L276" t="n">
        <v>19</v>
      </c>
      <c r="M276" t="n">
        <v>1</v>
      </c>
      <c r="N276" t="n">
        <v>0</v>
      </c>
      <c r="O276" t="n">
        <v>1</v>
      </c>
      <c r="P276" t="inlineStr">
        <is>
          <t>C</t>
        </is>
      </c>
    </row>
    <row r="277">
      <c r="A277" t="inlineStr">
        <is>
          <t>UNIONVILLE</t>
        </is>
      </c>
      <c r="B277" t="inlineStr">
        <is>
          <t>SR 1627</t>
        </is>
      </c>
      <c r="C277" t="n">
        <v>0</v>
      </c>
      <c r="E277" t="inlineStr">
        <is>
          <t>SR 1606</t>
        </is>
      </c>
      <c r="F277" t="inlineStr">
        <is>
          <t>SR 1633</t>
        </is>
      </c>
      <c r="G277" t="inlineStr">
        <is>
          <t>SR 1627</t>
        </is>
      </c>
      <c r="H277" t="n">
        <v>1.256</v>
      </c>
      <c r="J277" t="n">
        <v>106592205</v>
      </c>
      <c r="K277" s="11" t="n">
        <v>44349</v>
      </c>
      <c r="L277" t="n">
        <v>30</v>
      </c>
      <c r="M277" t="n">
        <v>1</v>
      </c>
      <c r="N277" t="n">
        <v>7</v>
      </c>
      <c r="O277" t="n">
        <v>5</v>
      </c>
      <c r="P277" t="inlineStr">
        <is>
          <t>C</t>
        </is>
      </c>
    </row>
    <row r="278">
      <c r="A278" t="inlineStr">
        <is>
          <t>FAIRVIEW</t>
        </is>
      </c>
      <c r="B278" t="inlineStr">
        <is>
          <t>NC 218</t>
        </is>
      </c>
      <c r="C278" t="n">
        <v>0</v>
      </c>
      <c r="E278" t="inlineStr">
        <is>
          <t>SR 1606</t>
        </is>
      </c>
      <c r="F278" t="inlineStr">
        <is>
          <t>SR 1609</t>
        </is>
      </c>
      <c r="G278" t="inlineStr">
        <is>
          <t>NC 218</t>
        </is>
      </c>
      <c r="H278" t="n">
        <v>8.082000000000001</v>
      </c>
      <c r="J278" t="n">
        <v>106620331</v>
      </c>
      <c r="K278" s="11" t="n">
        <v>44371</v>
      </c>
      <c r="L278" t="n">
        <v>30</v>
      </c>
      <c r="M278" t="n">
        <v>1</v>
      </c>
      <c r="N278" t="n">
        <v>7</v>
      </c>
      <c r="O278" t="n">
        <v>1</v>
      </c>
      <c r="P278" t="inlineStr">
        <is>
          <t>A</t>
        </is>
      </c>
    </row>
    <row r="279">
      <c r="A279" t="inlineStr">
        <is>
          <t>FAIRVIEW</t>
        </is>
      </c>
      <c r="B279" t="inlineStr">
        <is>
          <t>NC 218</t>
        </is>
      </c>
      <c r="C279" t="n">
        <v>0</v>
      </c>
      <c r="E279" t="inlineStr">
        <is>
          <t>SR 1001</t>
        </is>
      </c>
      <c r="F279" t="inlineStr">
        <is>
          <t>NC 200</t>
        </is>
      </c>
      <c r="G279" t="inlineStr">
        <is>
          <t>NC 218</t>
        </is>
      </c>
      <c r="H279" t="n">
        <v>9.786</v>
      </c>
      <c r="J279" t="n">
        <v>106655032</v>
      </c>
      <c r="K279" s="11" t="n">
        <v>44412</v>
      </c>
      <c r="L279" t="n">
        <v>30</v>
      </c>
      <c r="M279" t="n">
        <v>1</v>
      </c>
      <c r="N279" t="n">
        <v>7</v>
      </c>
      <c r="O279" t="n">
        <v>1</v>
      </c>
      <c r="P279" t="inlineStr">
        <is>
          <t>O</t>
        </is>
      </c>
    </row>
    <row r="280">
      <c r="A280" t="inlineStr">
        <is>
          <t>UNIONVILLE</t>
        </is>
      </c>
      <c r="B280" t="inlineStr">
        <is>
          <t>SR 1001</t>
        </is>
      </c>
      <c r="C280" t="n">
        <v>0.25</v>
      </c>
      <c r="D280" t="inlineStr">
        <is>
          <t>S</t>
        </is>
      </c>
      <c r="E280" t="inlineStr">
        <is>
          <t>SR 1665</t>
        </is>
      </c>
      <c r="F280" t="inlineStr">
        <is>
          <t>SR 1620</t>
        </is>
      </c>
      <c r="G280" t="inlineStr">
        <is>
          <t>SR 1001</t>
        </is>
      </c>
      <c r="H280" t="n">
        <v>1.965</v>
      </c>
      <c r="J280" t="n">
        <v>106709721</v>
      </c>
      <c r="K280" s="11" t="n">
        <v>44460</v>
      </c>
      <c r="L280" t="n">
        <v>27</v>
      </c>
      <c r="M280" t="n">
        <v>3</v>
      </c>
      <c r="N280" t="n">
        <v>4</v>
      </c>
      <c r="O280" t="n">
        <v>1</v>
      </c>
      <c r="P280" t="inlineStr">
        <is>
          <t>B</t>
        </is>
      </c>
    </row>
    <row r="281">
      <c r="A281" t="inlineStr">
        <is>
          <t>UNIONVILLE</t>
        </is>
      </c>
      <c r="B281" t="inlineStr">
        <is>
          <t>SIKES MILL</t>
        </is>
      </c>
      <c r="C281" t="n">
        <v>0.038</v>
      </c>
      <c r="D281" t="inlineStr">
        <is>
          <t>N</t>
        </is>
      </c>
      <c r="E281" t="inlineStr">
        <is>
          <t>CLONTZ LONG</t>
        </is>
      </c>
      <c r="F281" t="inlineStr">
        <is>
          <t>*LCL TYLER RIDGE CT</t>
        </is>
      </c>
      <c r="G281" t="inlineStr">
        <is>
          <t>SIKES MILL</t>
        </is>
      </c>
      <c r="H281" t="n">
        <v>999.999</v>
      </c>
      <c r="J281" t="n">
        <v>107553868</v>
      </c>
      <c r="K281" s="11" t="n">
        <v>45262</v>
      </c>
      <c r="L281" t="n">
        <v>17</v>
      </c>
      <c r="M281" t="n">
        <v>1</v>
      </c>
      <c r="N281" t="n">
        <v>0</v>
      </c>
      <c r="O281" t="n">
        <v>5</v>
      </c>
      <c r="P281" t="inlineStr">
        <is>
          <t>O</t>
        </is>
      </c>
    </row>
    <row r="282">
      <c r="A282" t="inlineStr">
        <is>
          <t>UNIONVILLE</t>
        </is>
      </c>
      <c r="B282" t="inlineStr">
        <is>
          <t>US 601</t>
        </is>
      </c>
      <c r="C282" t="n">
        <v>0</v>
      </c>
      <c r="E282" t="inlineStr">
        <is>
          <t>SR 1001</t>
        </is>
      </c>
      <c r="F282" t="inlineStr">
        <is>
          <t>SR 1504</t>
        </is>
      </c>
      <c r="G282" t="inlineStr">
        <is>
          <t>US 601</t>
        </is>
      </c>
      <c r="H282" t="n">
        <v>18.007</v>
      </c>
      <c r="J282" t="n">
        <v>105644357</v>
      </c>
      <c r="K282" s="11" t="n">
        <v>43389</v>
      </c>
      <c r="L282" t="n">
        <v>24</v>
      </c>
      <c r="M282" t="n">
        <v>1</v>
      </c>
      <c r="N282" t="n">
        <v>8</v>
      </c>
      <c r="O282" t="n">
        <v>1</v>
      </c>
      <c r="P282" t="inlineStr">
        <is>
          <t>C</t>
        </is>
      </c>
    </row>
    <row r="283">
      <c r="A283" t="inlineStr">
        <is>
          <t>RURAL</t>
        </is>
      </c>
      <c r="B283" t="inlineStr">
        <is>
          <t>NC 218</t>
        </is>
      </c>
      <c r="C283" t="n">
        <v>0</v>
      </c>
      <c r="E283" t="inlineStr">
        <is>
          <t>SR 1001</t>
        </is>
      </c>
      <c r="F283" t="inlineStr">
        <is>
          <t>SR 1639</t>
        </is>
      </c>
      <c r="G283" t="inlineStr">
        <is>
          <t>NC 218</t>
        </is>
      </c>
      <c r="H283" t="n">
        <v>9.786</v>
      </c>
      <c r="J283" t="n">
        <v>106759634</v>
      </c>
      <c r="K283" s="11" t="n">
        <v>44505</v>
      </c>
      <c r="L283" t="n">
        <v>30</v>
      </c>
      <c r="M283" t="n">
        <v>1</v>
      </c>
      <c r="N283" t="n">
        <v>7</v>
      </c>
      <c r="O283" t="n">
        <v>1</v>
      </c>
      <c r="P283" t="inlineStr">
        <is>
          <t>O</t>
        </is>
      </c>
    </row>
    <row r="284">
      <c r="A284" t="inlineStr">
        <is>
          <t>RURAL</t>
        </is>
      </c>
      <c r="B284" t="inlineStr">
        <is>
          <t>SR 1001</t>
        </is>
      </c>
      <c r="C284" t="n">
        <v>0</v>
      </c>
      <c r="E284" t="inlineStr">
        <is>
          <t>SR 1617</t>
        </is>
      </c>
      <c r="G284" t="inlineStr">
        <is>
          <t>SR 1001</t>
        </is>
      </c>
      <c r="H284" t="n">
        <v>3.461</v>
      </c>
      <c r="J284" t="n">
        <v>106743409</v>
      </c>
      <c r="K284" s="11" t="n">
        <v>44494</v>
      </c>
      <c r="L284" t="n">
        <v>30</v>
      </c>
      <c r="M284" t="n">
        <v>1</v>
      </c>
      <c r="N284" t="n">
        <v>7</v>
      </c>
      <c r="O284" t="n">
        <v>5</v>
      </c>
      <c r="P284" t="inlineStr">
        <is>
          <t>O</t>
        </is>
      </c>
    </row>
    <row r="285">
      <c r="A285" t="inlineStr">
        <is>
          <t>UNIONVILLE</t>
        </is>
      </c>
      <c r="B285" t="inlineStr">
        <is>
          <t>SR 1001</t>
        </is>
      </c>
      <c r="C285" t="n">
        <v>0.1</v>
      </c>
      <c r="D285" t="inlineStr">
        <is>
          <t>N</t>
        </is>
      </c>
      <c r="E285" t="inlineStr">
        <is>
          <t>SR 1665</t>
        </is>
      </c>
      <c r="F285" t="inlineStr">
        <is>
          <t>SR 2713</t>
        </is>
      </c>
      <c r="G285" t="inlineStr">
        <is>
          <t>SR 1001</t>
        </is>
      </c>
      <c r="H285" t="n">
        <v>2.315</v>
      </c>
      <c r="J285" t="n">
        <v>106678989</v>
      </c>
      <c r="K285" s="11" t="n">
        <v>44437</v>
      </c>
      <c r="L285" t="n">
        <v>29</v>
      </c>
      <c r="M285" t="n">
        <v>1</v>
      </c>
      <c r="N285" t="n">
        <v>0</v>
      </c>
      <c r="O285" t="n">
        <v>1</v>
      </c>
      <c r="P285" t="inlineStr">
        <is>
          <t>O</t>
        </is>
      </c>
    </row>
    <row r="286">
      <c r="A286" t="inlineStr">
        <is>
          <t>UNIONVILLE</t>
        </is>
      </c>
      <c r="B286" t="inlineStr">
        <is>
          <t>SR 1606</t>
        </is>
      </c>
      <c r="C286" t="n">
        <v>0.21</v>
      </c>
      <c r="D286" t="inlineStr">
        <is>
          <t>S</t>
        </is>
      </c>
      <c r="E286" t="inlineStr">
        <is>
          <t>SR 1611</t>
        </is>
      </c>
      <c r="F286" t="inlineStr">
        <is>
          <t>SR 1615</t>
        </is>
      </c>
      <c r="G286" t="inlineStr">
        <is>
          <t>SR 1606</t>
        </is>
      </c>
      <c r="H286" t="n">
        <v>4.219</v>
      </c>
      <c r="J286" t="n">
        <v>107562167</v>
      </c>
      <c r="K286" s="11" t="n">
        <v>45273</v>
      </c>
      <c r="L286" t="n">
        <v>29</v>
      </c>
      <c r="M286" t="n">
        <v>1</v>
      </c>
      <c r="N286" t="n">
        <v>0</v>
      </c>
      <c r="O286" t="n">
        <v>5</v>
      </c>
      <c r="P286" t="inlineStr">
        <is>
          <t>O</t>
        </is>
      </c>
      <c r="Q286" t="n">
        <v>35.11529</v>
      </c>
      <c r="R286" t="n">
        <v>-80.48699000000001</v>
      </c>
      <c r="S286" t="inlineStr">
        <is>
          <t>DMV349CLEANED</t>
        </is>
      </c>
    </row>
    <row r="287">
      <c r="A287" t="inlineStr">
        <is>
          <t>UNIONVILLE</t>
        </is>
      </c>
      <c r="B287" t="inlineStr">
        <is>
          <t>LOVE MILL</t>
        </is>
      </c>
      <c r="C287" t="n">
        <v>0</v>
      </c>
      <c r="E287" t="inlineStr">
        <is>
          <t>ZEBULON WILLIAMS</t>
        </is>
      </c>
      <c r="F287" t="inlineStr">
        <is>
          <t>*LCL AGR NANCE ROAD</t>
        </is>
      </c>
      <c r="G287" t="inlineStr">
        <is>
          <t>SR 1001</t>
        </is>
      </c>
      <c r="H287" t="n">
        <v>6.69</v>
      </c>
      <c r="J287" t="n">
        <v>107319519</v>
      </c>
      <c r="K287" s="11" t="n">
        <v>45005</v>
      </c>
      <c r="L287" t="n">
        <v>23</v>
      </c>
      <c r="M287" t="n">
        <v>1</v>
      </c>
      <c r="N287" t="n">
        <v>8</v>
      </c>
      <c r="O287" t="n">
        <v>1</v>
      </c>
      <c r="P287" t="inlineStr">
        <is>
          <t>C</t>
        </is>
      </c>
    </row>
    <row r="288">
      <c r="A288" t="inlineStr">
        <is>
          <t>UNIONVILLE</t>
        </is>
      </c>
      <c r="B288" t="inlineStr">
        <is>
          <t>PIEDMONT SCHOOL</t>
        </is>
      </c>
      <c r="C288" t="n">
        <v>0.019</v>
      </c>
      <c r="D288" t="inlineStr">
        <is>
          <t>N</t>
        </is>
      </c>
      <c r="E288" t="inlineStr">
        <is>
          <t>LOVE MILL</t>
        </is>
      </c>
      <c r="F288" t="inlineStr">
        <is>
          <t>DEAD END</t>
        </is>
      </c>
      <c r="H288" t="n">
        <v>999.999</v>
      </c>
      <c r="J288" t="n">
        <v>107528155</v>
      </c>
      <c r="K288" s="11" t="n">
        <v>45244</v>
      </c>
      <c r="L288" t="n">
        <v>21</v>
      </c>
      <c r="M288" t="n">
        <v>1</v>
      </c>
      <c r="N288" t="n">
        <v>12</v>
      </c>
      <c r="O288" t="n">
        <v>1</v>
      </c>
      <c r="P288" t="inlineStr">
        <is>
          <t>O</t>
        </is>
      </c>
    </row>
    <row r="289">
      <c r="A289" t="inlineStr">
        <is>
          <t>UNIONVILLE</t>
        </is>
      </c>
      <c r="B289" t="inlineStr">
        <is>
          <t>PVA MARATHON GAS</t>
        </is>
      </c>
      <c r="C289" t="n">
        <v>0.019</v>
      </c>
      <c r="D289" t="inlineStr">
        <is>
          <t>W</t>
        </is>
      </c>
      <c r="E289" t="inlineStr">
        <is>
          <t>SR 1001</t>
        </is>
      </c>
      <c r="F289" t="inlineStr">
        <is>
          <t>DEAD END</t>
        </is>
      </c>
      <c r="H289" t="n">
        <v>999.999</v>
      </c>
      <c r="J289" t="n">
        <v>106747056</v>
      </c>
      <c r="K289" s="11" t="n">
        <v>44498</v>
      </c>
      <c r="L289" t="n">
        <v>31</v>
      </c>
      <c r="M289" t="n">
        <v>1</v>
      </c>
      <c r="N289" t="n">
        <v>0</v>
      </c>
      <c r="O289" t="n">
        <v>1</v>
      </c>
      <c r="P289" t="inlineStr">
        <is>
          <t>O</t>
        </is>
      </c>
    </row>
    <row r="290">
      <c r="A290" t="inlineStr">
        <is>
          <t>UNIONVILLE</t>
        </is>
      </c>
      <c r="B290" t="inlineStr">
        <is>
          <t>SR 1606</t>
        </is>
      </c>
      <c r="C290" t="n">
        <v>0</v>
      </c>
      <c r="E290" t="inlineStr">
        <is>
          <t>NC 200</t>
        </is>
      </c>
      <c r="F290" t="inlineStr">
        <is>
          <t>SR 1627</t>
        </is>
      </c>
      <c r="G290" t="inlineStr">
        <is>
          <t>SR 1606</t>
        </is>
      </c>
      <c r="H290" t="n">
        <v>999.999</v>
      </c>
      <c r="J290" t="n">
        <v>106732357</v>
      </c>
      <c r="K290" s="11" t="n">
        <v>44486</v>
      </c>
      <c r="L290" t="n">
        <v>30</v>
      </c>
      <c r="M290" t="n">
        <v>1</v>
      </c>
      <c r="N290" t="n">
        <v>7</v>
      </c>
      <c r="O290" t="n">
        <v>1</v>
      </c>
      <c r="P290" t="inlineStr">
        <is>
          <t>C</t>
        </is>
      </c>
    </row>
    <row r="291">
      <c r="A291" t="inlineStr">
        <is>
          <t>UNIONVILLE</t>
        </is>
      </c>
      <c r="B291" t="inlineStr">
        <is>
          <t>SR 1001</t>
        </is>
      </c>
      <c r="C291" t="n">
        <v>0.2</v>
      </c>
      <c r="D291" t="inlineStr">
        <is>
          <t>NE</t>
        </is>
      </c>
      <c r="E291" t="inlineStr">
        <is>
          <t>SR 1615</t>
        </is>
      </c>
      <c r="F291" t="inlineStr">
        <is>
          <t>SR 1619</t>
        </is>
      </c>
      <c r="G291" t="inlineStr">
        <is>
          <t>SR 1001</t>
        </is>
      </c>
      <c r="H291" t="n">
        <v>3.071</v>
      </c>
      <c r="J291" t="n">
        <v>107287148</v>
      </c>
      <c r="K291" s="11" t="n">
        <v>45006</v>
      </c>
      <c r="L291" t="n">
        <v>18</v>
      </c>
      <c r="M291" t="n">
        <v>1</v>
      </c>
      <c r="N291" t="n">
        <v>0</v>
      </c>
      <c r="O291" t="n">
        <v>5</v>
      </c>
      <c r="P291" t="inlineStr">
        <is>
          <t>O</t>
        </is>
      </c>
    </row>
    <row r="292">
      <c r="A292" t="inlineStr">
        <is>
          <t>UNIONVILLE</t>
        </is>
      </c>
      <c r="B292" t="inlineStr">
        <is>
          <t>US 601</t>
        </is>
      </c>
      <c r="C292" t="n">
        <v>0</v>
      </c>
      <c r="E292" t="inlineStr">
        <is>
          <t>SR 1001</t>
        </is>
      </c>
      <c r="F292" t="inlineStr">
        <is>
          <t>SR 1505</t>
        </is>
      </c>
      <c r="G292" t="inlineStr">
        <is>
          <t>US 601</t>
        </is>
      </c>
      <c r="H292" t="n">
        <v>18.007</v>
      </c>
      <c r="J292" t="n">
        <v>104721418</v>
      </c>
      <c r="K292" s="11" t="n">
        <v>42485</v>
      </c>
      <c r="L292" t="n">
        <v>24</v>
      </c>
      <c r="M292" t="n">
        <v>1</v>
      </c>
      <c r="N292" t="n">
        <v>8</v>
      </c>
      <c r="O292" t="n">
        <v>1</v>
      </c>
      <c r="P292" t="inlineStr">
        <is>
          <t>O</t>
        </is>
      </c>
    </row>
    <row r="293">
      <c r="A293" t="inlineStr">
        <is>
          <t>RURAL</t>
        </is>
      </c>
      <c r="B293" t="inlineStr">
        <is>
          <t>SR 1606</t>
        </is>
      </c>
      <c r="C293" t="n">
        <v>1.2</v>
      </c>
      <c r="D293" t="inlineStr">
        <is>
          <t>N</t>
        </is>
      </c>
      <c r="E293" t="inlineStr">
        <is>
          <t>SR 1006</t>
        </is>
      </c>
      <c r="F293" t="inlineStr">
        <is>
          <t>SR 1627</t>
        </is>
      </c>
      <c r="G293" t="inlineStr">
        <is>
          <t>SR 1606</t>
        </is>
      </c>
      <c r="H293" t="n">
        <v>999.999</v>
      </c>
      <c r="J293" t="n">
        <v>106782341</v>
      </c>
      <c r="K293" s="11" t="n">
        <v>44526</v>
      </c>
      <c r="L293" t="n">
        <v>17</v>
      </c>
      <c r="M293" t="n">
        <v>1</v>
      </c>
      <c r="N293" t="n">
        <v>0</v>
      </c>
      <c r="O293" t="n">
        <v>5</v>
      </c>
      <c r="P293" t="inlineStr">
        <is>
          <t>O</t>
        </is>
      </c>
    </row>
    <row r="294">
      <c r="A294" t="inlineStr">
        <is>
          <t>RURAL</t>
        </is>
      </c>
      <c r="B294" t="inlineStr">
        <is>
          <t>US 601</t>
        </is>
      </c>
      <c r="C294" t="n">
        <v>0</v>
      </c>
      <c r="E294" t="inlineStr">
        <is>
          <t>SIKES MILL</t>
        </is>
      </c>
      <c r="F294" t="inlineStr">
        <is>
          <t>MAPLE HILL</t>
        </is>
      </c>
      <c r="G294" t="inlineStr">
        <is>
          <t>US 601</t>
        </is>
      </c>
      <c r="H294" t="n">
        <v>18.007</v>
      </c>
      <c r="J294" t="n">
        <v>105212692</v>
      </c>
      <c r="K294" s="11" t="n">
        <v>42971</v>
      </c>
      <c r="L294" t="n">
        <v>23</v>
      </c>
      <c r="M294" t="n">
        <v>1</v>
      </c>
      <c r="N294" t="n">
        <v>7</v>
      </c>
      <c r="O294" t="n">
        <v>5</v>
      </c>
      <c r="P294" t="inlineStr">
        <is>
          <t>C</t>
        </is>
      </c>
    </row>
    <row r="295">
      <c r="A295" t="inlineStr">
        <is>
          <t>UNIONVILLE</t>
        </is>
      </c>
      <c r="B295" t="inlineStr">
        <is>
          <t>SIKES MILL</t>
        </is>
      </c>
      <c r="C295" t="n">
        <v>0.38</v>
      </c>
      <c r="D295" t="inlineStr">
        <is>
          <t>NE</t>
        </is>
      </c>
      <c r="E295" t="inlineStr">
        <is>
          <t>BAUCOM</t>
        </is>
      </c>
      <c r="F295" t="inlineStr">
        <is>
          <t>CHANEY</t>
        </is>
      </c>
      <c r="G295" t="inlineStr">
        <is>
          <t>SR 1001</t>
        </is>
      </c>
      <c r="H295" t="n">
        <v>1.732</v>
      </c>
      <c r="J295" t="n">
        <v>107720690</v>
      </c>
      <c r="K295" s="11" t="n">
        <v>45428</v>
      </c>
      <c r="L295" t="n">
        <v>19</v>
      </c>
      <c r="M295" t="n">
        <v>1</v>
      </c>
      <c r="N295" t="n">
        <v>0</v>
      </c>
      <c r="O295" t="n">
        <v>3</v>
      </c>
      <c r="P295" t="inlineStr">
        <is>
          <t>O</t>
        </is>
      </c>
    </row>
    <row r="296">
      <c r="A296" t="inlineStr">
        <is>
          <t>FAIRVIEW</t>
        </is>
      </c>
      <c r="B296" t="inlineStr">
        <is>
          <t>NC 218</t>
        </is>
      </c>
      <c r="C296" t="n">
        <v>0</v>
      </c>
      <c r="E296" t="inlineStr">
        <is>
          <t>SR 1001</t>
        </is>
      </c>
      <c r="F296" t="inlineStr">
        <is>
          <t>SR 1610</t>
        </is>
      </c>
      <c r="G296" t="inlineStr">
        <is>
          <t>NC 218</t>
        </is>
      </c>
      <c r="H296" t="n">
        <v>9.786</v>
      </c>
      <c r="J296" t="n">
        <v>107287156</v>
      </c>
      <c r="K296" s="11" t="n">
        <v>45013</v>
      </c>
      <c r="L296" t="n">
        <v>30</v>
      </c>
      <c r="M296" t="n">
        <v>1</v>
      </c>
      <c r="N296" t="n">
        <v>7</v>
      </c>
      <c r="O296" t="n">
        <v>1</v>
      </c>
      <c r="P296" t="inlineStr">
        <is>
          <t>B</t>
        </is>
      </c>
    </row>
    <row r="297">
      <c r="A297" t="inlineStr">
        <is>
          <t>RURAL</t>
        </is>
      </c>
      <c r="B297" t="inlineStr">
        <is>
          <t>NC 218</t>
        </is>
      </c>
      <c r="C297" t="n">
        <v>0</v>
      </c>
      <c r="E297" t="inlineStr">
        <is>
          <t>SR 1001</t>
        </is>
      </c>
      <c r="F297" t="inlineStr">
        <is>
          <t>NC 200</t>
        </is>
      </c>
      <c r="G297" t="inlineStr">
        <is>
          <t>NC 218</t>
        </is>
      </c>
      <c r="H297" t="n">
        <v>9.786</v>
      </c>
      <c r="J297" t="n">
        <v>106880793</v>
      </c>
      <c r="K297" s="11" t="n">
        <v>44625</v>
      </c>
      <c r="L297" t="n">
        <v>30</v>
      </c>
      <c r="M297" t="n">
        <v>1</v>
      </c>
      <c r="N297" t="n">
        <v>7</v>
      </c>
      <c r="O297" t="n">
        <v>1</v>
      </c>
      <c r="P297" t="inlineStr">
        <is>
          <t>B</t>
        </is>
      </c>
    </row>
    <row r="298">
      <c r="A298" t="inlineStr">
        <is>
          <t>RURAL</t>
        </is>
      </c>
      <c r="B298" t="inlineStr">
        <is>
          <t>SR 1001</t>
        </is>
      </c>
      <c r="C298" t="n">
        <v>0.19</v>
      </c>
      <c r="D298" t="inlineStr">
        <is>
          <t>N</t>
        </is>
      </c>
      <c r="E298" t="inlineStr">
        <is>
          <t>SR 1620</t>
        </is>
      </c>
      <c r="F298" t="inlineStr">
        <is>
          <t>SR 1665</t>
        </is>
      </c>
      <c r="G298" t="inlineStr">
        <is>
          <t>SR 1001</t>
        </is>
      </c>
      <c r="H298" t="n">
        <v>1.542</v>
      </c>
      <c r="J298" t="n">
        <v>106844875</v>
      </c>
      <c r="K298" s="11" t="n">
        <v>44588</v>
      </c>
      <c r="L298" t="n">
        <v>17</v>
      </c>
      <c r="M298" t="n">
        <v>1</v>
      </c>
      <c r="N298" t="n">
        <v>0</v>
      </c>
      <c r="O298" t="n">
        <v>5</v>
      </c>
      <c r="P298" t="inlineStr">
        <is>
          <t>O</t>
        </is>
      </c>
    </row>
    <row r="299">
      <c r="A299" t="inlineStr">
        <is>
          <t>UNIONVILLE</t>
        </is>
      </c>
      <c r="B299" t="inlineStr">
        <is>
          <t>SR 1001</t>
        </is>
      </c>
      <c r="C299" t="n">
        <v>0.1</v>
      </c>
      <c r="D299" t="inlineStr">
        <is>
          <t>N</t>
        </is>
      </c>
      <c r="E299" t="inlineStr">
        <is>
          <t>SR 1674</t>
        </is>
      </c>
      <c r="F299" t="inlineStr">
        <is>
          <t>SR 1638</t>
        </is>
      </c>
      <c r="G299" t="inlineStr">
        <is>
          <t>SR 1001</t>
        </is>
      </c>
      <c r="H299" t="n">
        <v>4.898</v>
      </c>
      <c r="J299" t="n">
        <v>107890769</v>
      </c>
      <c r="K299" s="11" t="n">
        <v>45585</v>
      </c>
      <c r="L299" t="n">
        <v>17</v>
      </c>
      <c r="M299" t="n">
        <v>1</v>
      </c>
      <c r="N299" t="n">
        <v>0</v>
      </c>
      <c r="O299" t="n">
        <v>5</v>
      </c>
      <c r="P299" t="inlineStr">
        <is>
          <t>O</t>
        </is>
      </c>
      <c r="Q299" t="n">
        <v>35.098165</v>
      </c>
      <c r="R299" t="n">
        <v>-80.43696</v>
      </c>
      <c r="S299" t="inlineStr">
        <is>
          <t>DMV349CLEANED</t>
        </is>
      </c>
    </row>
    <row r="300">
      <c r="A300" t="inlineStr">
        <is>
          <t>UNIONVILLE</t>
        </is>
      </c>
      <c r="B300" t="inlineStr">
        <is>
          <t>SR 1001</t>
        </is>
      </c>
      <c r="C300" t="n">
        <v>0.3</v>
      </c>
      <c r="D300" t="inlineStr">
        <is>
          <t>W</t>
        </is>
      </c>
      <c r="E300" t="inlineStr">
        <is>
          <t>SR 1619</t>
        </is>
      </c>
      <c r="F300" t="inlineStr">
        <is>
          <t>SR 1615</t>
        </is>
      </c>
      <c r="G300" t="inlineStr">
        <is>
          <t>SR 1001</t>
        </is>
      </c>
      <c r="H300" t="n">
        <v>3.161</v>
      </c>
      <c r="J300" t="n">
        <v>106922517</v>
      </c>
      <c r="K300" s="11" t="n">
        <v>44666</v>
      </c>
      <c r="L300" t="n">
        <v>17</v>
      </c>
      <c r="M300" t="n">
        <v>1</v>
      </c>
      <c r="N300" t="n">
        <v>0</v>
      </c>
      <c r="O300" t="n">
        <v>5</v>
      </c>
      <c r="P300" t="inlineStr">
        <is>
          <t>O</t>
        </is>
      </c>
    </row>
    <row r="301">
      <c r="A301" t="inlineStr">
        <is>
          <t>UNIONVILLE</t>
        </is>
      </c>
      <c r="B301" t="inlineStr">
        <is>
          <t>SIKES MILL</t>
        </is>
      </c>
      <c r="C301" t="n">
        <v>0.029</v>
      </c>
      <c r="D301" t="inlineStr">
        <is>
          <t>N</t>
        </is>
      </c>
      <c r="E301" t="inlineStr">
        <is>
          <t>BAUCOM</t>
        </is>
      </c>
      <c r="F301" t="inlineStr">
        <is>
          <t>CHANEY</t>
        </is>
      </c>
      <c r="G301" t="inlineStr">
        <is>
          <t>SR 1001</t>
        </is>
      </c>
      <c r="H301" t="n">
        <v>1.381</v>
      </c>
      <c r="J301" t="n">
        <v>106254958</v>
      </c>
      <c r="K301" s="11" t="n">
        <v>44001</v>
      </c>
      <c r="L301" t="n">
        <v>19</v>
      </c>
      <c r="M301" t="n">
        <v>1</v>
      </c>
      <c r="N301" t="n">
        <v>8</v>
      </c>
      <c r="O301" t="n">
        <v>1</v>
      </c>
      <c r="P301" t="inlineStr">
        <is>
          <t>C</t>
        </is>
      </c>
    </row>
    <row r="302">
      <c r="A302" t="inlineStr">
        <is>
          <t>RURAL</t>
        </is>
      </c>
      <c r="B302" t="inlineStr">
        <is>
          <t>SIKES MILL</t>
        </is>
      </c>
      <c r="C302" t="n">
        <v>1.35</v>
      </c>
      <c r="D302" t="inlineStr">
        <is>
          <t>S</t>
        </is>
      </c>
      <c r="E302" t="inlineStr">
        <is>
          <t>BAUCOM</t>
        </is>
      </c>
      <c r="F302" t="inlineStr">
        <is>
          <t>US 601</t>
        </is>
      </c>
      <c r="G302" t="inlineStr">
        <is>
          <t>SR 1001</t>
        </is>
      </c>
      <c r="H302" t="n">
        <v>0.002</v>
      </c>
      <c r="J302" t="n">
        <v>106252525</v>
      </c>
      <c r="K302" s="11" t="n">
        <v>43989</v>
      </c>
      <c r="L302" t="n">
        <v>19</v>
      </c>
      <c r="M302" t="n">
        <v>1</v>
      </c>
      <c r="N302" t="n">
        <v>8</v>
      </c>
      <c r="O302" t="n">
        <v>5</v>
      </c>
      <c r="P302" t="inlineStr">
        <is>
          <t>O</t>
        </is>
      </c>
    </row>
    <row r="303">
      <c r="A303" t="inlineStr">
        <is>
          <t>UNIONVILLE</t>
        </is>
      </c>
      <c r="B303" t="inlineStr">
        <is>
          <t>TOM BOYD</t>
        </is>
      </c>
      <c r="C303" t="n">
        <v>0.16</v>
      </c>
      <c r="D303" t="inlineStr">
        <is>
          <t>NE</t>
        </is>
      </c>
      <c r="E303" t="inlineStr">
        <is>
          <t>OLD CAMDEN</t>
        </is>
      </c>
      <c r="F303" t="inlineStr">
        <is>
          <t>*LCL LATHAM WOODS DR</t>
        </is>
      </c>
      <c r="H303" t="n">
        <v>999.999</v>
      </c>
      <c r="J303" t="n">
        <v>106910957</v>
      </c>
      <c r="K303" s="11" t="n">
        <v>44655</v>
      </c>
      <c r="L303" t="n">
        <v>17</v>
      </c>
      <c r="M303" t="n">
        <v>1</v>
      </c>
      <c r="N303" t="n">
        <v>0</v>
      </c>
      <c r="O303" t="n">
        <v>5</v>
      </c>
      <c r="P303" t="inlineStr">
        <is>
          <t>O</t>
        </is>
      </c>
    </row>
    <row r="304">
      <c r="A304" t="inlineStr">
        <is>
          <t>RURAL</t>
        </is>
      </c>
      <c r="B304" t="inlineStr">
        <is>
          <t>SR 1001</t>
        </is>
      </c>
      <c r="C304" t="n">
        <v>0</v>
      </c>
      <c r="E304" t="inlineStr">
        <is>
          <t>US 601</t>
        </is>
      </c>
      <c r="F304" t="inlineStr">
        <is>
          <t>SR 1504</t>
        </is>
      </c>
      <c r="G304" t="inlineStr">
        <is>
          <t>SR 1001</t>
        </is>
      </c>
      <c r="H304" t="n">
        <v>0</v>
      </c>
      <c r="J304" t="n">
        <v>106852598</v>
      </c>
      <c r="K304" s="11" t="n">
        <v>44597</v>
      </c>
      <c r="L304" t="n">
        <v>19</v>
      </c>
      <c r="M304" t="n">
        <v>1</v>
      </c>
      <c r="N304" t="n">
        <v>8</v>
      </c>
      <c r="O304" t="n">
        <v>5</v>
      </c>
      <c r="P304" t="inlineStr">
        <is>
          <t>O</t>
        </is>
      </c>
    </row>
    <row r="305">
      <c r="A305" t="inlineStr">
        <is>
          <t>RURAL</t>
        </is>
      </c>
      <c r="B305" t="inlineStr">
        <is>
          <t>SR 1547</t>
        </is>
      </c>
      <c r="C305" t="n">
        <v>0</v>
      </c>
      <c r="E305" t="inlineStr">
        <is>
          <t>SR 1606</t>
        </is>
      </c>
      <c r="F305" t="inlineStr">
        <is>
          <t>SR 1607</t>
        </is>
      </c>
      <c r="G305" t="inlineStr">
        <is>
          <t>SR 1547</t>
        </is>
      </c>
      <c r="H305" t="n">
        <v>2.101</v>
      </c>
      <c r="J305" t="n">
        <v>106800779</v>
      </c>
      <c r="K305" s="11" t="n">
        <v>44541</v>
      </c>
      <c r="L305" t="n">
        <v>30</v>
      </c>
      <c r="M305" t="n">
        <v>1</v>
      </c>
      <c r="N305" t="n">
        <v>7</v>
      </c>
      <c r="O305" t="n">
        <v>1</v>
      </c>
      <c r="P305" t="inlineStr">
        <is>
          <t>C</t>
        </is>
      </c>
    </row>
    <row r="306">
      <c r="A306" t="inlineStr">
        <is>
          <t>RURAL</t>
        </is>
      </c>
      <c r="B306" t="inlineStr">
        <is>
          <t>SR 1001</t>
        </is>
      </c>
      <c r="C306" t="n">
        <v>0.052</v>
      </c>
      <c r="D306" t="inlineStr">
        <is>
          <t>N</t>
        </is>
      </c>
      <c r="E306" t="inlineStr">
        <is>
          <t>SR 1665</t>
        </is>
      </c>
      <c r="F306" t="inlineStr">
        <is>
          <t>SR 2713</t>
        </is>
      </c>
      <c r="G306" t="inlineStr">
        <is>
          <t>SR 1001</t>
        </is>
      </c>
      <c r="H306" t="n">
        <v>2.267</v>
      </c>
      <c r="J306" t="n">
        <v>106807050</v>
      </c>
      <c r="K306" s="11" t="n">
        <v>44548</v>
      </c>
      <c r="L306" t="n">
        <v>5</v>
      </c>
      <c r="M306" t="n">
        <v>1</v>
      </c>
      <c r="N306" t="n">
        <v>0</v>
      </c>
      <c r="O306" t="n">
        <v>5</v>
      </c>
      <c r="P306" t="inlineStr">
        <is>
          <t>C</t>
        </is>
      </c>
    </row>
    <row r="307">
      <c r="A307" t="inlineStr">
        <is>
          <t>UNIONVILLE</t>
        </is>
      </c>
      <c r="B307" t="inlineStr">
        <is>
          <t>SR 1606</t>
        </is>
      </c>
      <c r="C307" t="n">
        <v>0</v>
      </c>
      <c r="E307" t="inlineStr">
        <is>
          <t>SR 1618</t>
        </is>
      </c>
      <c r="F307" t="inlineStr">
        <is>
          <t>SR 1001</t>
        </is>
      </c>
      <c r="G307" t="inlineStr">
        <is>
          <t>SR 1606</t>
        </is>
      </c>
      <c r="H307" t="n">
        <v>6.066</v>
      </c>
      <c r="J307" t="n">
        <v>106871624</v>
      </c>
      <c r="K307" s="11" t="n">
        <v>44609</v>
      </c>
      <c r="L307" t="n">
        <v>26</v>
      </c>
      <c r="M307" t="n">
        <v>1</v>
      </c>
      <c r="N307" t="n">
        <v>10</v>
      </c>
      <c r="O307" t="n">
        <v>1</v>
      </c>
      <c r="P307" t="inlineStr">
        <is>
          <t>O</t>
        </is>
      </c>
    </row>
    <row r="308">
      <c r="A308" t="inlineStr">
        <is>
          <t>UNIONVILLE</t>
        </is>
      </c>
      <c r="B308" t="inlineStr">
        <is>
          <t>SR 1606</t>
        </is>
      </c>
      <c r="C308" t="n">
        <v>0.2</v>
      </c>
      <c r="D308" t="inlineStr">
        <is>
          <t>S</t>
        </is>
      </c>
      <c r="E308" t="inlineStr">
        <is>
          <t>SR 1638</t>
        </is>
      </c>
      <c r="F308" t="inlineStr">
        <is>
          <t>SR 1618</t>
        </is>
      </c>
      <c r="G308" t="inlineStr">
        <is>
          <t>SR 1606</t>
        </is>
      </c>
      <c r="H308" t="n">
        <v>5.216</v>
      </c>
      <c r="J308" t="n">
        <v>107149014</v>
      </c>
      <c r="K308" s="11" t="n">
        <v>44877</v>
      </c>
      <c r="L308" t="n">
        <v>17</v>
      </c>
      <c r="M308" t="n">
        <v>1</v>
      </c>
      <c r="N308" t="n">
        <v>0</v>
      </c>
      <c r="O308" t="n">
        <v>1</v>
      </c>
      <c r="P308" t="inlineStr">
        <is>
          <t>O</t>
        </is>
      </c>
    </row>
    <row r="309">
      <c r="A309" t="inlineStr">
        <is>
          <t>UNIONVILLE</t>
        </is>
      </c>
      <c r="B309" t="inlineStr">
        <is>
          <t>US 601</t>
        </is>
      </c>
      <c r="C309" t="n">
        <v>0</v>
      </c>
      <c r="E309" t="inlineStr">
        <is>
          <t>SIKES MILL</t>
        </is>
      </c>
      <c r="F309" t="inlineStr">
        <is>
          <t>RIDGE</t>
        </is>
      </c>
      <c r="G309" t="inlineStr">
        <is>
          <t>US 601</t>
        </is>
      </c>
      <c r="H309" t="n">
        <v>18.007</v>
      </c>
      <c r="J309" t="n">
        <v>106925270</v>
      </c>
      <c r="K309" s="11" t="n">
        <v>44669</v>
      </c>
      <c r="L309" t="n">
        <v>24</v>
      </c>
      <c r="M309" t="n">
        <v>1</v>
      </c>
      <c r="N309" t="n">
        <v>8</v>
      </c>
      <c r="O309" t="n">
        <v>1</v>
      </c>
      <c r="P309" t="inlineStr">
        <is>
          <t>O</t>
        </is>
      </c>
    </row>
    <row r="310">
      <c r="A310" t="inlineStr">
        <is>
          <t>UNIONVILLE</t>
        </is>
      </c>
      <c r="B310" t="inlineStr">
        <is>
          <t>SR 1001</t>
        </is>
      </c>
      <c r="C310" t="n">
        <v>0.5</v>
      </c>
      <c r="D310" t="inlineStr">
        <is>
          <t>E</t>
        </is>
      </c>
      <c r="E310" t="inlineStr">
        <is>
          <t>SR 1615</t>
        </is>
      </c>
      <c r="F310" t="inlineStr">
        <is>
          <t>SR 1617</t>
        </is>
      </c>
      <c r="G310" t="inlineStr">
        <is>
          <t>SR 1001</t>
        </is>
      </c>
      <c r="H310" t="n">
        <v>3.371</v>
      </c>
      <c r="J310" t="n">
        <v>107011153</v>
      </c>
      <c r="K310" s="11" t="n">
        <v>44749</v>
      </c>
      <c r="L310" t="n">
        <v>19</v>
      </c>
      <c r="M310" t="n">
        <v>1</v>
      </c>
      <c r="N310" t="n">
        <v>0</v>
      </c>
      <c r="O310" t="n">
        <v>1</v>
      </c>
      <c r="P310" t="inlineStr">
        <is>
          <t>O</t>
        </is>
      </c>
    </row>
    <row r="311">
      <c r="A311" t="inlineStr">
        <is>
          <t>RURAL</t>
        </is>
      </c>
      <c r="B311" t="inlineStr">
        <is>
          <t>NC 218</t>
        </is>
      </c>
      <c r="C311" t="n">
        <v>0</v>
      </c>
      <c r="E311" t="inlineStr">
        <is>
          <t>SR 1001</t>
        </is>
      </c>
      <c r="F311" t="inlineStr">
        <is>
          <t>SR 1606</t>
        </is>
      </c>
      <c r="G311" t="inlineStr">
        <is>
          <t>NC 218</t>
        </is>
      </c>
      <c r="H311" t="n">
        <v>9.786</v>
      </c>
      <c r="J311" t="n">
        <v>107011234</v>
      </c>
      <c r="K311" s="11" t="n">
        <v>44750</v>
      </c>
      <c r="L311" t="n">
        <v>30</v>
      </c>
      <c r="M311" t="n">
        <v>1</v>
      </c>
      <c r="N311" t="n">
        <v>7</v>
      </c>
      <c r="O311" t="n">
        <v>1</v>
      </c>
      <c r="P311" t="inlineStr">
        <is>
          <t>C</t>
        </is>
      </c>
    </row>
    <row r="312">
      <c r="A312" t="inlineStr">
        <is>
          <t>RURAL</t>
        </is>
      </c>
      <c r="B312" t="inlineStr">
        <is>
          <t>NC 218</t>
        </is>
      </c>
      <c r="C312" t="n">
        <v>0</v>
      </c>
      <c r="E312" t="inlineStr">
        <is>
          <t>SR 1001</t>
        </is>
      </c>
      <c r="F312" t="inlineStr">
        <is>
          <t>SR 1606</t>
        </is>
      </c>
      <c r="G312" t="inlineStr">
        <is>
          <t>NC 218</t>
        </is>
      </c>
      <c r="H312" t="n">
        <v>9.786</v>
      </c>
      <c r="J312" t="n">
        <v>107011232</v>
      </c>
      <c r="K312" s="11" t="n">
        <v>44750</v>
      </c>
      <c r="L312" t="n">
        <v>28</v>
      </c>
      <c r="M312" t="n">
        <v>1</v>
      </c>
      <c r="N312" t="n">
        <v>7</v>
      </c>
      <c r="O312" t="n">
        <v>1</v>
      </c>
      <c r="P312" t="inlineStr">
        <is>
          <t>B</t>
        </is>
      </c>
    </row>
    <row r="313">
      <c r="A313" t="inlineStr">
        <is>
          <t>UNIONVILLE</t>
        </is>
      </c>
      <c r="B313" t="inlineStr">
        <is>
          <t>SR 1606</t>
        </is>
      </c>
      <c r="C313" t="n">
        <v>0.4</v>
      </c>
      <c r="D313" t="inlineStr">
        <is>
          <t>S</t>
        </is>
      </c>
      <c r="E313" t="inlineStr">
        <is>
          <t>SR 1615</t>
        </is>
      </c>
      <c r="F313" t="inlineStr">
        <is>
          <t>SR 1678</t>
        </is>
      </c>
      <c r="G313" t="inlineStr">
        <is>
          <t>SR 1606</t>
        </is>
      </c>
      <c r="H313" t="n">
        <v>4.991</v>
      </c>
      <c r="J313" t="n">
        <v>106958785</v>
      </c>
      <c r="K313" s="11" t="n">
        <v>44697</v>
      </c>
      <c r="L313" t="n">
        <v>21</v>
      </c>
      <c r="M313" t="n">
        <v>1</v>
      </c>
      <c r="N313" t="n">
        <v>8</v>
      </c>
      <c r="O313" t="n">
        <v>1</v>
      </c>
      <c r="P313" t="inlineStr">
        <is>
          <t>C</t>
        </is>
      </c>
    </row>
    <row r="314">
      <c r="A314" t="inlineStr">
        <is>
          <t>UNIONVILLE</t>
        </is>
      </c>
      <c r="B314" t="inlineStr">
        <is>
          <t>LOVE MILL</t>
        </is>
      </c>
      <c r="C314" t="n">
        <v>0</v>
      </c>
      <c r="E314" t="inlineStr">
        <is>
          <t>NC 218</t>
        </is>
      </c>
      <c r="F314" t="inlineStr">
        <is>
          <t>HAGLER</t>
        </is>
      </c>
      <c r="G314" t="inlineStr">
        <is>
          <t>SR 1001</t>
        </is>
      </c>
      <c r="H314" t="n">
        <v>8.137</v>
      </c>
      <c r="J314" t="n">
        <v>105472692</v>
      </c>
      <c r="K314" s="11" t="n">
        <v>43224</v>
      </c>
      <c r="L314" t="n">
        <v>21</v>
      </c>
      <c r="M314" t="n">
        <v>1</v>
      </c>
      <c r="N314" t="n">
        <v>7</v>
      </c>
      <c r="O314" t="n">
        <v>1</v>
      </c>
      <c r="P314" t="inlineStr">
        <is>
          <t>O</t>
        </is>
      </c>
    </row>
    <row r="315">
      <c r="A315" t="inlineStr">
        <is>
          <t>UNIONVILLE</t>
        </is>
      </c>
      <c r="B315" t="inlineStr">
        <is>
          <t>SR 1606</t>
        </is>
      </c>
      <c r="C315" t="n">
        <v>0.2</v>
      </c>
      <c r="D315" t="inlineStr">
        <is>
          <t>SW</t>
        </is>
      </c>
      <c r="E315" t="inlineStr">
        <is>
          <t>SR 1611</t>
        </is>
      </c>
      <c r="F315" t="inlineStr">
        <is>
          <t>SR 1615</t>
        </is>
      </c>
      <c r="G315" t="inlineStr">
        <is>
          <t>SR 1606</t>
        </is>
      </c>
      <c r="H315" t="n">
        <v>4.209</v>
      </c>
      <c r="J315" t="n">
        <v>106998073</v>
      </c>
      <c r="K315" s="11" t="n">
        <v>44737</v>
      </c>
      <c r="L315" t="n">
        <v>19</v>
      </c>
      <c r="M315" t="n">
        <v>1</v>
      </c>
      <c r="N315" t="n">
        <v>0</v>
      </c>
      <c r="O315" t="n">
        <v>1</v>
      </c>
      <c r="P315" t="inlineStr">
        <is>
          <t>B</t>
        </is>
      </c>
    </row>
    <row r="316">
      <c r="A316" t="inlineStr">
        <is>
          <t>RURAL</t>
        </is>
      </c>
      <c r="B316" t="inlineStr">
        <is>
          <t>SR 1001</t>
        </is>
      </c>
      <c r="C316" t="n">
        <v>0</v>
      </c>
      <c r="E316" t="inlineStr">
        <is>
          <t>SR 1604</t>
        </is>
      </c>
      <c r="F316" t="inlineStr">
        <is>
          <t>SR 1547</t>
        </is>
      </c>
      <c r="G316" t="inlineStr">
        <is>
          <t>SR 1001</t>
        </is>
      </c>
      <c r="H316" t="n">
        <v>999.999</v>
      </c>
      <c r="J316" t="n">
        <v>104914991</v>
      </c>
      <c r="K316" s="11" t="n">
        <v>42687</v>
      </c>
      <c r="L316" t="n">
        <v>17</v>
      </c>
      <c r="M316" t="n">
        <v>1</v>
      </c>
      <c r="N316" t="n">
        <v>0</v>
      </c>
      <c r="O316" t="n">
        <v>1</v>
      </c>
      <c r="P316" t="inlineStr">
        <is>
          <t>O</t>
        </is>
      </c>
    </row>
    <row r="317">
      <c r="A317" t="inlineStr">
        <is>
          <t>FAIRVIEW</t>
        </is>
      </c>
      <c r="B317" t="inlineStr">
        <is>
          <t>SR 1606</t>
        </is>
      </c>
      <c r="C317" t="n">
        <v>0</v>
      </c>
      <c r="E317" t="inlineStr">
        <is>
          <t>SR 1547</t>
        </is>
      </c>
      <c r="F317" t="inlineStr">
        <is>
          <t>SR 1607</t>
        </is>
      </c>
      <c r="G317" t="inlineStr">
        <is>
          <t>SR 1606</t>
        </is>
      </c>
      <c r="H317" t="n">
        <v>1.587</v>
      </c>
      <c r="J317" t="n">
        <v>107059898</v>
      </c>
      <c r="K317" s="11" t="n">
        <v>44802</v>
      </c>
      <c r="L317" t="n">
        <v>30</v>
      </c>
      <c r="M317" t="n">
        <v>1</v>
      </c>
      <c r="N317" t="n">
        <v>7</v>
      </c>
      <c r="O317" t="n">
        <v>3</v>
      </c>
      <c r="P317" t="inlineStr">
        <is>
          <t>O</t>
        </is>
      </c>
    </row>
    <row r="318">
      <c r="A318" t="inlineStr">
        <is>
          <t>UNIONVILLE</t>
        </is>
      </c>
      <c r="B318" t="inlineStr">
        <is>
          <t>PVA PIEDMONT HIGH SCHOOL</t>
        </is>
      </c>
      <c r="C318" t="n">
        <v>0.004</v>
      </c>
      <c r="D318" t="inlineStr">
        <is>
          <t>E</t>
        </is>
      </c>
      <c r="E318" t="inlineStr">
        <is>
          <t>SR 1606</t>
        </is>
      </c>
      <c r="F318" t="inlineStr">
        <is>
          <t>SR 1678</t>
        </is>
      </c>
      <c r="H318" t="n">
        <v>999.999</v>
      </c>
      <c r="J318" t="n">
        <v>107118944</v>
      </c>
      <c r="K318" s="11" t="n">
        <v>44847</v>
      </c>
      <c r="L318" t="n">
        <v>31</v>
      </c>
      <c r="M318" t="n">
        <v>1</v>
      </c>
      <c r="N318" t="n">
        <v>4</v>
      </c>
      <c r="O318" t="n">
        <v>1</v>
      </c>
      <c r="P318" t="inlineStr">
        <is>
          <t>O</t>
        </is>
      </c>
    </row>
    <row r="319">
      <c r="A319" t="inlineStr">
        <is>
          <t>RURAL</t>
        </is>
      </c>
      <c r="B319" t="inlineStr">
        <is>
          <t>NC 218</t>
        </is>
      </c>
      <c r="C319" t="n">
        <v>0</v>
      </c>
      <c r="E319" t="inlineStr">
        <is>
          <t>SR 1001</t>
        </is>
      </c>
      <c r="F319" t="inlineStr">
        <is>
          <t>SR 1547</t>
        </is>
      </c>
      <c r="G319" t="inlineStr">
        <is>
          <t>NC 218</t>
        </is>
      </c>
      <c r="H319" t="n">
        <v>9.786</v>
      </c>
      <c r="J319" t="n">
        <v>107040279</v>
      </c>
      <c r="K319" s="11" t="n">
        <v>44776</v>
      </c>
      <c r="L319" t="n">
        <v>30</v>
      </c>
      <c r="M319" t="n">
        <v>1</v>
      </c>
      <c r="N319" t="n">
        <v>7</v>
      </c>
      <c r="O319" t="n">
        <v>1</v>
      </c>
      <c r="P319" t="inlineStr">
        <is>
          <t>O</t>
        </is>
      </c>
    </row>
    <row r="320">
      <c r="A320" t="inlineStr">
        <is>
          <t>UNIONVILLE</t>
        </is>
      </c>
      <c r="B320" t="inlineStr">
        <is>
          <t>SR 1001</t>
        </is>
      </c>
      <c r="C320" t="n">
        <v>0.01</v>
      </c>
      <c r="D320" t="inlineStr">
        <is>
          <t>N</t>
        </is>
      </c>
      <c r="E320" t="inlineStr">
        <is>
          <t>SR 1665</t>
        </is>
      </c>
      <c r="F320" t="inlineStr">
        <is>
          <t>SR 1615</t>
        </is>
      </c>
      <c r="G320" t="inlineStr">
        <is>
          <t>SR 1001</t>
        </is>
      </c>
      <c r="H320" t="n">
        <v>2.225</v>
      </c>
      <c r="J320" t="n">
        <v>107059684</v>
      </c>
      <c r="K320" s="11" t="n">
        <v>44801</v>
      </c>
      <c r="L320" t="n">
        <v>19</v>
      </c>
      <c r="M320" t="n">
        <v>1</v>
      </c>
      <c r="N320" t="n">
        <v>0</v>
      </c>
      <c r="O320" t="n">
        <v>1</v>
      </c>
    </row>
    <row r="321">
      <c r="A321" t="inlineStr">
        <is>
          <t>FAIRVIEW</t>
        </is>
      </c>
      <c r="B321" t="inlineStr">
        <is>
          <t>SR 1606</t>
        </is>
      </c>
      <c r="C321" t="n">
        <v>0</v>
      </c>
      <c r="E321" t="inlineStr">
        <is>
          <t>SR 1547</t>
        </is>
      </c>
      <c r="F321" t="inlineStr">
        <is>
          <t>NC 218</t>
        </is>
      </c>
      <c r="G321" t="inlineStr">
        <is>
          <t>SR 1606</t>
        </is>
      </c>
      <c r="H321" t="n">
        <v>1.587</v>
      </c>
      <c r="J321" t="n">
        <v>106990488</v>
      </c>
      <c r="K321" s="11" t="n">
        <v>44728</v>
      </c>
      <c r="L321" t="n">
        <v>30</v>
      </c>
      <c r="M321" t="n">
        <v>1</v>
      </c>
      <c r="N321" t="n">
        <v>7</v>
      </c>
      <c r="O321" t="n">
        <v>1</v>
      </c>
      <c r="P321" t="inlineStr">
        <is>
          <t>O</t>
        </is>
      </c>
    </row>
    <row r="322">
      <c r="A322" t="inlineStr">
        <is>
          <t>RURAL</t>
        </is>
      </c>
      <c r="B322" t="inlineStr">
        <is>
          <t>SR 1001</t>
        </is>
      </c>
      <c r="C322" t="n">
        <v>0.4</v>
      </c>
      <c r="D322" t="inlineStr">
        <is>
          <t>S</t>
        </is>
      </c>
      <c r="E322" t="inlineStr">
        <is>
          <t>NC 218</t>
        </is>
      </c>
      <c r="F322" t="inlineStr">
        <is>
          <t>SR 1657</t>
        </is>
      </c>
      <c r="G322" t="inlineStr">
        <is>
          <t>SR 1001</t>
        </is>
      </c>
      <c r="H322" t="n">
        <v>7.737</v>
      </c>
      <c r="J322" t="n">
        <v>106117344</v>
      </c>
      <c r="K322" s="11" t="n">
        <v>43836</v>
      </c>
      <c r="L322" t="n">
        <v>19</v>
      </c>
      <c r="M322" t="n">
        <v>1</v>
      </c>
      <c r="N322" t="n">
        <v>0</v>
      </c>
      <c r="O322" t="n">
        <v>5</v>
      </c>
      <c r="P322" t="inlineStr">
        <is>
          <t>O</t>
        </is>
      </c>
    </row>
    <row r="323">
      <c r="A323" t="inlineStr">
        <is>
          <t>UNIONVILLE</t>
        </is>
      </c>
      <c r="B323" t="inlineStr">
        <is>
          <t>SR 1001</t>
        </is>
      </c>
      <c r="C323" t="n">
        <v>0.016</v>
      </c>
      <c r="D323" t="inlineStr">
        <is>
          <t>N</t>
        </is>
      </c>
      <c r="E323" t="inlineStr">
        <is>
          <t>SR 1653</t>
        </is>
      </c>
      <c r="F323" t="inlineStr">
        <is>
          <t>NC 218</t>
        </is>
      </c>
      <c r="G323" t="inlineStr">
        <is>
          <t>SR 1001</t>
        </is>
      </c>
      <c r="H323" t="n">
        <v>6.706</v>
      </c>
      <c r="J323" t="n">
        <v>106263795</v>
      </c>
      <c r="K323" s="11" t="n">
        <v>44012</v>
      </c>
      <c r="L323" t="n">
        <v>19</v>
      </c>
      <c r="M323" t="n">
        <v>1</v>
      </c>
      <c r="N323" t="n">
        <v>0</v>
      </c>
      <c r="O323" t="n">
        <v>1</v>
      </c>
      <c r="P323" t="inlineStr">
        <is>
          <t>O</t>
        </is>
      </c>
    </row>
    <row r="324">
      <c r="A324" t="inlineStr">
        <is>
          <t>UNIONVILLE</t>
        </is>
      </c>
      <c r="B324" t="inlineStr">
        <is>
          <t>SR 1001</t>
        </is>
      </c>
      <c r="C324" t="n">
        <v>0.035</v>
      </c>
      <c r="D324" t="inlineStr">
        <is>
          <t>N</t>
        </is>
      </c>
      <c r="E324" t="inlineStr">
        <is>
          <t>SR 1668</t>
        </is>
      </c>
      <c r="F324" t="inlineStr">
        <is>
          <t>SR 1674</t>
        </is>
      </c>
      <c r="G324" t="inlineStr">
        <is>
          <t>SR 1001</t>
        </is>
      </c>
      <c r="H324" t="n">
        <v>4.639</v>
      </c>
      <c r="J324" t="n">
        <v>107121599</v>
      </c>
      <c r="K324" s="11" t="n">
        <v>44856</v>
      </c>
      <c r="L324" t="n">
        <v>26</v>
      </c>
      <c r="M324" t="n">
        <v>1</v>
      </c>
      <c r="N324" t="n">
        <v>0</v>
      </c>
      <c r="O324" t="n">
        <v>1</v>
      </c>
      <c r="P324" t="inlineStr">
        <is>
          <t>O</t>
        </is>
      </c>
    </row>
    <row r="325">
      <c r="A325" t="inlineStr">
        <is>
          <t>UNIONVILLE</t>
        </is>
      </c>
      <c r="B325" t="inlineStr">
        <is>
          <t>SR 1001</t>
        </is>
      </c>
      <c r="C325" t="n">
        <v>0.3</v>
      </c>
      <c r="D325" t="inlineStr">
        <is>
          <t>S</t>
        </is>
      </c>
      <c r="E325" t="inlineStr">
        <is>
          <t>SR 1615</t>
        </is>
      </c>
      <c r="F325" t="inlineStr">
        <is>
          <t>SR 2713</t>
        </is>
      </c>
      <c r="G325" t="inlineStr">
        <is>
          <t>SR 1001</t>
        </is>
      </c>
      <c r="H325" t="n">
        <v>2.571</v>
      </c>
      <c r="J325" t="n">
        <v>107054448</v>
      </c>
      <c r="K325" s="11" t="n">
        <v>44789</v>
      </c>
      <c r="L325" t="n">
        <v>29</v>
      </c>
      <c r="M325" t="n">
        <v>1</v>
      </c>
      <c r="N325" t="n">
        <v>0</v>
      </c>
      <c r="O325" t="n">
        <v>1</v>
      </c>
      <c r="P325" t="inlineStr">
        <is>
          <t>O</t>
        </is>
      </c>
    </row>
    <row r="326">
      <c r="A326" t="inlineStr">
        <is>
          <t>FAIRVIEW</t>
        </is>
      </c>
      <c r="B326" t="inlineStr">
        <is>
          <t>NC 218</t>
        </is>
      </c>
      <c r="C326" t="n">
        <v>0</v>
      </c>
      <c r="E326" t="inlineStr">
        <is>
          <t>SR 1606</t>
        </is>
      </c>
      <c r="F326" t="inlineStr">
        <is>
          <t>SR 1547</t>
        </is>
      </c>
      <c r="G326" t="inlineStr">
        <is>
          <t>NC 218</t>
        </is>
      </c>
      <c r="H326" t="n">
        <v>8.082000000000001</v>
      </c>
      <c r="J326" t="n">
        <v>107122762</v>
      </c>
      <c r="K326" s="11" t="n">
        <v>44854</v>
      </c>
      <c r="L326" t="n">
        <v>30</v>
      </c>
      <c r="M326" t="n">
        <v>1</v>
      </c>
      <c r="N326" t="n">
        <v>7</v>
      </c>
      <c r="O326" t="n">
        <v>1</v>
      </c>
      <c r="P326" t="inlineStr">
        <is>
          <t>O</t>
        </is>
      </c>
    </row>
    <row r="327">
      <c r="A327" t="inlineStr">
        <is>
          <t>RURAL</t>
        </is>
      </c>
      <c r="B327" t="inlineStr">
        <is>
          <t>SR 1606</t>
        </is>
      </c>
      <c r="C327" t="n">
        <v>0</v>
      </c>
      <c r="E327" t="inlineStr">
        <is>
          <t>SR 1547</t>
        </is>
      </c>
      <c r="F327" t="inlineStr">
        <is>
          <t>SR 1607</t>
        </is>
      </c>
      <c r="G327" t="inlineStr">
        <is>
          <t>SR 1606</t>
        </is>
      </c>
      <c r="H327" t="n">
        <v>1.587</v>
      </c>
      <c r="J327" t="n">
        <v>107089024</v>
      </c>
      <c r="K327" s="11" t="n">
        <v>44826</v>
      </c>
      <c r="L327" t="n">
        <v>30</v>
      </c>
      <c r="M327" t="n">
        <v>1</v>
      </c>
      <c r="N327" t="n">
        <v>7</v>
      </c>
      <c r="O327" t="n">
        <v>1</v>
      </c>
      <c r="P327" t="inlineStr">
        <is>
          <t>B</t>
        </is>
      </c>
    </row>
    <row r="328">
      <c r="A328" t="inlineStr">
        <is>
          <t>UNIONVILLE</t>
        </is>
      </c>
      <c r="B328" t="inlineStr">
        <is>
          <t>SR 1001</t>
        </is>
      </c>
      <c r="C328" t="n">
        <v>0.005</v>
      </c>
      <c r="D328" t="inlineStr">
        <is>
          <t>N</t>
        </is>
      </c>
      <c r="E328" t="inlineStr">
        <is>
          <t>US 601</t>
        </is>
      </c>
      <c r="F328" t="inlineStr">
        <is>
          <t>SR 1620</t>
        </is>
      </c>
      <c r="G328" t="inlineStr">
        <is>
          <t>SR 1001</t>
        </is>
      </c>
      <c r="H328" t="n">
        <v>0.005</v>
      </c>
      <c r="J328" t="n">
        <v>107088923</v>
      </c>
      <c r="K328" s="11" t="n">
        <v>44825</v>
      </c>
      <c r="L328" t="n">
        <v>21</v>
      </c>
      <c r="M328" t="n">
        <v>1</v>
      </c>
      <c r="N328" t="n">
        <v>8</v>
      </c>
      <c r="O328" t="n">
        <v>1</v>
      </c>
      <c r="P328" t="inlineStr">
        <is>
          <t>O</t>
        </is>
      </c>
    </row>
    <row r="329">
      <c r="A329" t="inlineStr">
        <is>
          <t>RURAL</t>
        </is>
      </c>
      <c r="B329" t="inlineStr">
        <is>
          <t>SR 1606</t>
        </is>
      </c>
      <c r="C329" t="n">
        <v>0.1</v>
      </c>
      <c r="D329" t="inlineStr">
        <is>
          <t>S</t>
        </is>
      </c>
      <c r="E329" t="inlineStr">
        <is>
          <t>SR 1607</t>
        </is>
      </c>
      <c r="F329" t="inlineStr">
        <is>
          <t>SR 1605</t>
        </is>
      </c>
      <c r="G329" t="inlineStr">
        <is>
          <t>SR 1606</t>
        </is>
      </c>
      <c r="H329" t="n">
        <v>1.184</v>
      </c>
      <c r="J329" t="n">
        <v>107119047</v>
      </c>
      <c r="K329" s="11" t="n">
        <v>44856</v>
      </c>
      <c r="L329" t="n">
        <v>17</v>
      </c>
      <c r="M329" t="n">
        <v>1</v>
      </c>
      <c r="N329" t="n">
        <v>0</v>
      </c>
      <c r="O329" t="n">
        <v>5</v>
      </c>
      <c r="P329" t="inlineStr">
        <is>
          <t>O</t>
        </is>
      </c>
    </row>
    <row r="330">
      <c r="A330" t="inlineStr">
        <is>
          <t>RURAL</t>
        </is>
      </c>
      <c r="B330" t="inlineStr">
        <is>
          <t>SR 1001</t>
        </is>
      </c>
      <c r="C330" t="n">
        <v>0.3</v>
      </c>
      <c r="D330" t="inlineStr">
        <is>
          <t>N</t>
        </is>
      </c>
      <c r="E330" t="inlineStr">
        <is>
          <t>SR 1620</t>
        </is>
      </c>
      <c r="F330" t="inlineStr">
        <is>
          <t>SR 1665</t>
        </is>
      </c>
      <c r="G330" t="inlineStr">
        <is>
          <t>SR 1001</t>
        </is>
      </c>
      <c r="H330" t="n">
        <v>1.652</v>
      </c>
      <c r="J330" t="n">
        <v>107125512</v>
      </c>
      <c r="K330" s="11" t="n">
        <v>44861</v>
      </c>
      <c r="L330" t="n">
        <v>27</v>
      </c>
      <c r="M330" t="n">
        <v>1</v>
      </c>
      <c r="N330" t="n">
        <v>0</v>
      </c>
      <c r="O330" t="n">
        <v>5</v>
      </c>
      <c r="P330" t="inlineStr">
        <is>
          <t>C</t>
        </is>
      </c>
    </row>
    <row r="331">
      <c r="A331" t="inlineStr">
        <is>
          <t>UNIONVILLE</t>
        </is>
      </c>
      <c r="B331" t="inlineStr">
        <is>
          <t>SR 1001</t>
        </is>
      </c>
      <c r="C331" t="n">
        <v>0.2</v>
      </c>
      <c r="D331" t="inlineStr">
        <is>
          <t>N</t>
        </is>
      </c>
      <c r="E331" t="inlineStr">
        <is>
          <t>SR 1678</t>
        </is>
      </c>
      <c r="F331" t="inlineStr">
        <is>
          <t>SR 1676</t>
        </is>
      </c>
      <c r="G331" t="inlineStr">
        <is>
          <t>SR 1001</t>
        </is>
      </c>
      <c r="H331" t="n">
        <v>999.999</v>
      </c>
      <c r="J331" t="n">
        <v>105623790</v>
      </c>
      <c r="K331" s="11" t="n">
        <v>43370</v>
      </c>
      <c r="L331" t="n">
        <v>26</v>
      </c>
      <c r="M331" t="n">
        <v>1</v>
      </c>
      <c r="N331" t="n">
        <v>0</v>
      </c>
      <c r="O331" t="n">
        <v>1</v>
      </c>
      <c r="P331" t="inlineStr">
        <is>
          <t>O</t>
        </is>
      </c>
    </row>
    <row r="332">
      <c r="A332" t="inlineStr">
        <is>
          <t>RURAL</t>
        </is>
      </c>
      <c r="B332" t="inlineStr">
        <is>
          <t>SR 1001</t>
        </is>
      </c>
      <c r="C332" t="n">
        <v>0.1</v>
      </c>
      <c r="D332" t="inlineStr">
        <is>
          <t>E</t>
        </is>
      </c>
      <c r="E332" t="inlineStr">
        <is>
          <t>ZEPHYR</t>
        </is>
      </c>
      <c r="F332" t="inlineStr">
        <is>
          <t>SR 1794</t>
        </is>
      </c>
      <c r="G332" t="inlineStr">
        <is>
          <t>SR 1001</t>
        </is>
      </c>
      <c r="H332" t="n">
        <v>999.999</v>
      </c>
      <c r="J332" t="n">
        <v>106364269</v>
      </c>
      <c r="K332" s="11" t="n">
        <v>44112</v>
      </c>
      <c r="L332" t="n">
        <v>29</v>
      </c>
      <c r="M332" t="n">
        <v>1</v>
      </c>
      <c r="N332" t="n">
        <v>0</v>
      </c>
      <c r="O332" t="n">
        <v>1</v>
      </c>
      <c r="P332" t="inlineStr">
        <is>
          <t>O</t>
        </is>
      </c>
    </row>
    <row r="333">
      <c r="A333" t="inlineStr">
        <is>
          <t>UNIONVILLE</t>
        </is>
      </c>
      <c r="B333" t="inlineStr">
        <is>
          <t>SR 1606</t>
        </is>
      </c>
      <c r="C333" t="n">
        <v>0.4</v>
      </c>
      <c r="D333" t="inlineStr">
        <is>
          <t>S</t>
        </is>
      </c>
      <c r="E333" t="inlineStr">
        <is>
          <t>SR 1638</t>
        </is>
      </c>
      <c r="F333" t="inlineStr">
        <is>
          <t>SR 1001</t>
        </is>
      </c>
      <c r="G333" t="inlineStr">
        <is>
          <t>SR 1606</t>
        </is>
      </c>
      <c r="H333" t="n">
        <v>5.416</v>
      </c>
      <c r="J333" t="n">
        <v>107082969</v>
      </c>
      <c r="K333" s="11" t="n">
        <v>44820</v>
      </c>
      <c r="L333" t="n">
        <v>27</v>
      </c>
      <c r="M333" t="n">
        <v>1</v>
      </c>
      <c r="N333" t="n">
        <v>0</v>
      </c>
      <c r="O333" t="n">
        <v>1</v>
      </c>
      <c r="P333" t="inlineStr">
        <is>
          <t>A</t>
        </is>
      </c>
    </row>
    <row r="334">
      <c r="A334" t="inlineStr">
        <is>
          <t>FAIRVIEW</t>
        </is>
      </c>
      <c r="B334" t="inlineStr">
        <is>
          <t>NC 218</t>
        </is>
      </c>
      <c r="C334" t="n">
        <v>0</v>
      </c>
      <c r="E334" t="inlineStr">
        <is>
          <t>SIKES MILL</t>
        </is>
      </c>
      <c r="F334" t="inlineStr">
        <is>
          <t>BRIEF</t>
        </is>
      </c>
      <c r="G334" t="inlineStr">
        <is>
          <t>NC 218</t>
        </is>
      </c>
      <c r="H334" t="n">
        <v>8.082000000000001</v>
      </c>
      <c r="J334" t="n">
        <v>107035876</v>
      </c>
      <c r="K334" s="11" t="n">
        <v>44777</v>
      </c>
      <c r="L334" t="n">
        <v>30</v>
      </c>
      <c r="M334" t="n">
        <v>1</v>
      </c>
      <c r="N334" t="n">
        <v>7</v>
      </c>
      <c r="O334" t="n">
        <v>1</v>
      </c>
      <c r="P334" t="inlineStr">
        <is>
          <t>C</t>
        </is>
      </c>
    </row>
    <row r="335">
      <c r="A335" t="inlineStr">
        <is>
          <t>RURAL</t>
        </is>
      </c>
      <c r="B335" t="inlineStr">
        <is>
          <t>SR 1001</t>
        </is>
      </c>
      <c r="C335" t="n">
        <v>0.5</v>
      </c>
      <c r="D335" t="inlineStr">
        <is>
          <t>N</t>
        </is>
      </c>
      <c r="E335" t="inlineStr">
        <is>
          <t>SR 1665</t>
        </is>
      </c>
      <c r="F335" t="inlineStr">
        <is>
          <t>SR 1615</t>
        </is>
      </c>
      <c r="G335" t="inlineStr">
        <is>
          <t>SR 1001</t>
        </is>
      </c>
      <c r="H335" t="n">
        <v>2.715</v>
      </c>
      <c r="J335" t="n">
        <v>107158545</v>
      </c>
      <c r="K335" s="11" t="n">
        <v>44889</v>
      </c>
      <c r="L335" t="n">
        <v>17</v>
      </c>
      <c r="M335" t="n">
        <v>1</v>
      </c>
      <c r="N335" t="n">
        <v>0</v>
      </c>
      <c r="O335" t="n">
        <v>5</v>
      </c>
      <c r="P335" t="inlineStr">
        <is>
          <t>O</t>
        </is>
      </c>
    </row>
    <row r="336">
      <c r="A336" t="inlineStr">
        <is>
          <t>RURAL</t>
        </is>
      </c>
      <c r="B336" t="inlineStr">
        <is>
          <t>NC 218</t>
        </is>
      </c>
      <c r="C336" t="n">
        <v>0</v>
      </c>
      <c r="E336" t="inlineStr">
        <is>
          <t>SR 1606</t>
        </is>
      </c>
      <c r="F336" t="inlineStr">
        <is>
          <t>SR 1610</t>
        </is>
      </c>
      <c r="G336" t="inlineStr">
        <is>
          <t>NC 218</t>
        </is>
      </c>
      <c r="H336" t="n">
        <v>8.082000000000001</v>
      </c>
      <c r="J336" t="n">
        <v>107139136</v>
      </c>
      <c r="K336" s="11" t="n">
        <v>44872</v>
      </c>
      <c r="L336" t="n">
        <v>30</v>
      </c>
      <c r="M336" t="n">
        <v>1</v>
      </c>
      <c r="N336" t="n">
        <v>7</v>
      </c>
      <c r="O336" t="n">
        <v>5</v>
      </c>
      <c r="P336" t="inlineStr">
        <is>
          <t>O</t>
        </is>
      </c>
    </row>
    <row r="337">
      <c r="A337" t="inlineStr">
        <is>
          <t>RURAL</t>
        </is>
      </c>
      <c r="B337" t="inlineStr">
        <is>
          <t>NC 218</t>
        </is>
      </c>
      <c r="C337" t="n">
        <v>0</v>
      </c>
      <c r="E337" t="inlineStr">
        <is>
          <t>SR 1606</t>
        </is>
      </c>
      <c r="F337" t="inlineStr">
        <is>
          <t>SR 1001</t>
        </is>
      </c>
      <c r="G337" t="inlineStr">
        <is>
          <t>NC 218</t>
        </is>
      </c>
      <c r="H337" t="n">
        <v>8.082000000000001</v>
      </c>
      <c r="J337" t="n">
        <v>107194746</v>
      </c>
      <c r="K337" s="11" t="n">
        <v>44922</v>
      </c>
      <c r="L337" t="n">
        <v>21</v>
      </c>
      <c r="M337" t="n">
        <v>1</v>
      </c>
      <c r="N337" t="n">
        <v>7</v>
      </c>
      <c r="O337" t="n">
        <v>5</v>
      </c>
      <c r="P337" t="inlineStr">
        <is>
          <t>C</t>
        </is>
      </c>
    </row>
    <row r="338">
      <c r="A338" t="inlineStr">
        <is>
          <t>UNIONVILLE</t>
        </is>
      </c>
      <c r="B338" t="inlineStr">
        <is>
          <t>SR 1001</t>
        </is>
      </c>
      <c r="C338" t="n">
        <v>0</v>
      </c>
      <c r="E338" t="inlineStr">
        <is>
          <t>SR 1668</t>
        </is>
      </c>
      <c r="F338" t="inlineStr">
        <is>
          <t>DEAD END</t>
        </is>
      </c>
      <c r="G338" t="inlineStr">
        <is>
          <t>SR 1001</t>
        </is>
      </c>
      <c r="H338" t="n">
        <v>4.604</v>
      </c>
      <c r="J338" t="n">
        <v>107215772</v>
      </c>
      <c r="K338" s="11" t="n">
        <v>44937</v>
      </c>
      <c r="L338" t="n">
        <v>26</v>
      </c>
      <c r="M338" t="n">
        <v>1</v>
      </c>
      <c r="N338" t="n">
        <v>8</v>
      </c>
      <c r="O338" t="n">
        <v>5</v>
      </c>
      <c r="P338" t="inlineStr">
        <is>
          <t>C</t>
        </is>
      </c>
    </row>
    <row r="339">
      <c r="A339" t="inlineStr">
        <is>
          <t>UNIONVILLE</t>
        </is>
      </c>
      <c r="B339" t="inlineStr">
        <is>
          <t>SIKES MILL</t>
        </is>
      </c>
      <c r="C339" t="n">
        <v>0.28</v>
      </c>
      <c r="D339" t="inlineStr">
        <is>
          <t>N</t>
        </is>
      </c>
      <c r="E339" t="inlineStr">
        <is>
          <t>TOM BOYD</t>
        </is>
      </c>
      <c r="F339" t="inlineStr">
        <is>
          <t>LAWYERS</t>
        </is>
      </c>
      <c r="G339" t="inlineStr">
        <is>
          <t>SR 1001</t>
        </is>
      </c>
      <c r="H339" t="n">
        <v>3.741</v>
      </c>
      <c r="J339" t="n">
        <v>107216209</v>
      </c>
      <c r="K339" s="11" t="n">
        <v>44944</v>
      </c>
      <c r="L339" t="n">
        <v>19</v>
      </c>
      <c r="M339" t="n">
        <v>1</v>
      </c>
      <c r="N339" t="n">
        <v>0</v>
      </c>
      <c r="O339" t="n">
        <v>1</v>
      </c>
      <c r="P339" t="inlineStr">
        <is>
          <t>O</t>
        </is>
      </c>
    </row>
    <row r="340">
      <c r="A340" t="inlineStr">
        <is>
          <t>RURAL</t>
        </is>
      </c>
      <c r="B340" t="inlineStr">
        <is>
          <t>SR 1001</t>
        </is>
      </c>
      <c r="C340" t="n">
        <v>0.5</v>
      </c>
      <c r="D340" t="inlineStr">
        <is>
          <t>E</t>
        </is>
      </c>
      <c r="E340" t="inlineStr">
        <is>
          <t>SR 1615</t>
        </is>
      </c>
      <c r="F340" t="inlineStr">
        <is>
          <t>SR 1611</t>
        </is>
      </c>
      <c r="G340" t="inlineStr">
        <is>
          <t>SR 1001</t>
        </is>
      </c>
      <c r="H340" t="n">
        <v>3.371</v>
      </c>
      <c r="J340" t="n">
        <v>107210295</v>
      </c>
      <c r="K340" s="11" t="n">
        <v>44935</v>
      </c>
      <c r="L340" t="n">
        <v>17</v>
      </c>
      <c r="M340" t="n">
        <v>1</v>
      </c>
      <c r="N340" t="n">
        <v>0</v>
      </c>
      <c r="O340" t="n">
        <v>1</v>
      </c>
      <c r="P340" t="inlineStr">
        <is>
          <t>O</t>
        </is>
      </c>
    </row>
    <row r="341">
      <c r="A341" t="inlineStr">
        <is>
          <t>UNIONVILLE</t>
        </is>
      </c>
      <c r="B341" t="inlineStr">
        <is>
          <t>SR 1001</t>
        </is>
      </c>
      <c r="C341" t="n">
        <v>0.5</v>
      </c>
      <c r="D341" t="inlineStr">
        <is>
          <t>S</t>
        </is>
      </c>
      <c r="E341" t="inlineStr">
        <is>
          <t>BAUCOM</t>
        </is>
      </c>
      <c r="F341" t="inlineStr">
        <is>
          <t>US 601</t>
        </is>
      </c>
      <c r="G341" t="inlineStr">
        <is>
          <t>SR 1001</t>
        </is>
      </c>
      <c r="H341" t="n">
        <v>0.852</v>
      </c>
      <c r="J341" t="n">
        <v>104938752</v>
      </c>
      <c r="K341" s="11" t="n">
        <v>42710</v>
      </c>
      <c r="L341" t="n">
        <v>17</v>
      </c>
      <c r="M341" t="n">
        <v>1</v>
      </c>
      <c r="N341" t="n">
        <v>0</v>
      </c>
      <c r="O341" t="n">
        <v>5</v>
      </c>
      <c r="P341" t="inlineStr">
        <is>
          <t>O</t>
        </is>
      </c>
    </row>
    <row r="342">
      <c r="A342" t="inlineStr">
        <is>
          <t>RURAL</t>
        </is>
      </c>
      <c r="B342" t="inlineStr">
        <is>
          <t>NC 218</t>
        </is>
      </c>
      <c r="C342" t="n">
        <v>0.028</v>
      </c>
      <c r="D342" t="inlineStr">
        <is>
          <t>W</t>
        </is>
      </c>
      <c r="E342" t="inlineStr">
        <is>
          <t>LOVE MILL</t>
        </is>
      </c>
      <c r="F342" t="inlineStr">
        <is>
          <t>BRIEF</t>
        </is>
      </c>
      <c r="G342" t="inlineStr">
        <is>
          <t>NC 218</t>
        </is>
      </c>
      <c r="H342" t="n">
        <v>9.757999999999999</v>
      </c>
      <c r="J342" t="n">
        <v>107144129</v>
      </c>
      <c r="K342" s="11" t="n">
        <v>44878</v>
      </c>
      <c r="L342" t="n">
        <v>17</v>
      </c>
      <c r="M342" t="n">
        <v>1</v>
      </c>
      <c r="N342" t="n">
        <v>0</v>
      </c>
      <c r="O342" t="n">
        <v>5</v>
      </c>
      <c r="P342" t="inlineStr">
        <is>
          <t>O</t>
        </is>
      </c>
    </row>
    <row r="343">
      <c r="A343" t="inlineStr">
        <is>
          <t>FAIRVIEW</t>
        </is>
      </c>
      <c r="B343" t="inlineStr">
        <is>
          <t>NC 218</t>
        </is>
      </c>
      <c r="C343" t="n">
        <v>0</v>
      </c>
      <c r="E343" t="inlineStr">
        <is>
          <t>SIKES MILL</t>
        </is>
      </c>
      <c r="F343" t="inlineStr">
        <is>
          <t>BRIEF</t>
        </is>
      </c>
      <c r="G343" t="inlineStr">
        <is>
          <t>NC 218</t>
        </is>
      </c>
      <c r="H343" t="n">
        <v>8.082000000000001</v>
      </c>
      <c r="J343" t="n">
        <v>107183135</v>
      </c>
      <c r="K343" s="11" t="n">
        <v>44911</v>
      </c>
      <c r="L343" t="n">
        <v>30</v>
      </c>
      <c r="M343" t="n">
        <v>1</v>
      </c>
      <c r="N343" t="n">
        <v>7</v>
      </c>
      <c r="O343" t="n">
        <v>1</v>
      </c>
      <c r="P343" t="inlineStr">
        <is>
          <t>O</t>
        </is>
      </c>
    </row>
    <row r="344">
      <c r="A344" t="inlineStr">
        <is>
          <t>UNIONVILLE</t>
        </is>
      </c>
      <c r="B344" t="inlineStr">
        <is>
          <t>SR 1001</t>
        </is>
      </c>
      <c r="C344" t="n">
        <v>0.25</v>
      </c>
      <c r="D344" t="inlineStr">
        <is>
          <t>N</t>
        </is>
      </c>
      <c r="E344" t="inlineStr">
        <is>
          <t>BAUCOM</t>
        </is>
      </c>
      <c r="F344" t="inlineStr">
        <is>
          <t>SPRING LAKE</t>
        </is>
      </c>
      <c r="G344" t="inlineStr">
        <is>
          <t>SR 1001</t>
        </is>
      </c>
      <c r="H344" t="n">
        <v>1.602</v>
      </c>
      <c r="J344" t="n">
        <v>107128674</v>
      </c>
      <c r="K344" s="11" t="n">
        <v>44865</v>
      </c>
      <c r="L344" t="n">
        <v>21</v>
      </c>
      <c r="M344" t="n">
        <v>1</v>
      </c>
      <c r="N344" t="n">
        <v>0</v>
      </c>
      <c r="O344" t="n">
        <v>1</v>
      </c>
      <c r="P344" t="inlineStr">
        <is>
          <t>C</t>
        </is>
      </c>
    </row>
    <row r="345">
      <c r="A345" t="inlineStr">
        <is>
          <t>UNIONVILLE</t>
        </is>
      </c>
      <c r="B345" t="inlineStr">
        <is>
          <t>SR 1001</t>
        </is>
      </c>
      <c r="C345" t="n">
        <v>0.014</v>
      </c>
      <c r="D345" t="inlineStr">
        <is>
          <t>S</t>
        </is>
      </c>
      <c r="E345" t="inlineStr">
        <is>
          <t>TOM BOYD</t>
        </is>
      </c>
      <c r="F345" t="inlineStr">
        <is>
          <t>SR 1606</t>
        </is>
      </c>
      <c r="G345" t="inlineStr">
        <is>
          <t>SR 1001</t>
        </is>
      </c>
      <c r="H345" t="n">
        <v>3.447</v>
      </c>
      <c r="J345" t="n">
        <v>105553349</v>
      </c>
      <c r="K345" s="11" t="n">
        <v>43304</v>
      </c>
      <c r="L345" t="n">
        <v>18</v>
      </c>
      <c r="M345" t="n">
        <v>2</v>
      </c>
      <c r="N345" t="n">
        <v>0</v>
      </c>
      <c r="O345" t="n">
        <v>1</v>
      </c>
      <c r="P345" t="inlineStr">
        <is>
          <t>O</t>
        </is>
      </c>
    </row>
    <row r="346">
      <c r="A346" t="inlineStr">
        <is>
          <t>RURAL</t>
        </is>
      </c>
      <c r="B346" t="inlineStr">
        <is>
          <t>SR 1001</t>
        </is>
      </c>
      <c r="C346" t="n">
        <v>0.5</v>
      </c>
      <c r="D346" t="inlineStr">
        <is>
          <t>N</t>
        </is>
      </c>
      <c r="E346" t="inlineStr">
        <is>
          <t>AGR NANCE</t>
        </is>
      </c>
      <c r="F346" t="inlineStr">
        <is>
          <t>ZEBULON WILLIAMS</t>
        </is>
      </c>
      <c r="G346" t="inlineStr">
        <is>
          <t>SR 1001</t>
        </is>
      </c>
      <c r="H346" t="n">
        <v>6.731</v>
      </c>
      <c r="J346" t="n">
        <v>105635077</v>
      </c>
      <c r="K346" s="11" t="n">
        <v>43384</v>
      </c>
      <c r="L346" t="n">
        <v>17</v>
      </c>
      <c r="M346" t="n">
        <v>1</v>
      </c>
      <c r="N346" t="n">
        <v>0</v>
      </c>
      <c r="O346" t="n">
        <v>5</v>
      </c>
      <c r="P346" t="inlineStr">
        <is>
          <t>O</t>
        </is>
      </c>
    </row>
    <row r="347">
      <c r="A347" t="inlineStr">
        <is>
          <t>FAIRVIEW</t>
        </is>
      </c>
      <c r="B347" t="inlineStr">
        <is>
          <t>SR 1604</t>
        </is>
      </c>
      <c r="C347" t="n">
        <v>0</v>
      </c>
      <c r="E347" t="inlineStr">
        <is>
          <t>SR 1606</t>
        </is>
      </c>
      <c r="F347" t="inlineStr">
        <is>
          <t>CL-STANLY</t>
        </is>
      </c>
      <c r="G347" t="inlineStr">
        <is>
          <t>SR 1604</t>
        </is>
      </c>
      <c r="H347" t="n">
        <v>0</v>
      </c>
      <c r="J347" t="n">
        <v>107178464</v>
      </c>
      <c r="K347" s="11" t="n">
        <v>44895</v>
      </c>
      <c r="L347" t="n">
        <v>24</v>
      </c>
      <c r="M347" t="n">
        <v>2</v>
      </c>
      <c r="N347" t="n">
        <v>8</v>
      </c>
      <c r="O347" t="n">
        <v>5</v>
      </c>
      <c r="P347" t="inlineStr">
        <is>
          <t>C</t>
        </is>
      </c>
    </row>
    <row r="348">
      <c r="A348" t="inlineStr">
        <is>
          <t>UNIONVILLE</t>
        </is>
      </c>
      <c r="B348" t="inlineStr">
        <is>
          <t>SR 1001</t>
        </is>
      </c>
      <c r="C348" t="n">
        <v>0.004</v>
      </c>
      <c r="D348" t="inlineStr">
        <is>
          <t>N</t>
        </is>
      </c>
      <c r="E348" t="inlineStr">
        <is>
          <t>SPRING LAKE</t>
        </is>
      </c>
      <c r="F348" t="inlineStr">
        <is>
          <t>SR 1620</t>
        </is>
      </c>
      <c r="G348" t="inlineStr">
        <is>
          <t>SR 1001</t>
        </is>
      </c>
      <c r="H348" t="n">
        <v>0.889</v>
      </c>
      <c r="J348" t="n">
        <v>106976262</v>
      </c>
      <c r="K348" s="11" t="n">
        <v>44714</v>
      </c>
      <c r="L348" t="n">
        <v>19</v>
      </c>
      <c r="M348" t="n">
        <v>1</v>
      </c>
      <c r="N348" t="n">
        <v>0</v>
      </c>
      <c r="O348" t="n">
        <v>5</v>
      </c>
      <c r="P348" t="inlineStr">
        <is>
          <t>C</t>
        </is>
      </c>
    </row>
    <row r="349">
      <c r="A349" t="inlineStr">
        <is>
          <t>UNIONVILLE</t>
        </is>
      </c>
      <c r="B349" t="inlineStr">
        <is>
          <t>SR 1617</t>
        </is>
      </c>
      <c r="C349" t="n">
        <v>0.2</v>
      </c>
      <c r="D349" t="inlineStr">
        <is>
          <t>SE</t>
        </is>
      </c>
      <c r="E349" t="inlineStr">
        <is>
          <t>SR 1615</t>
        </is>
      </c>
      <c r="F349" t="inlineStr">
        <is>
          <t>SR 1001</t>
        </is>
      </c>
      <c r="G349" t="inlineStr">
        <is>
          <t>SR 1617</t>
        </is>
      </c>
      <c r="H349" t="n">
        <v>0.2</v>
      </c>
      <c r="J349" t="n">
        <v>107295872</v>
      </c>
      <c r="K349" s="11" t="n">
        <v>45021</v>
      </c>
      <c r="L349" t="n">
        <v>17</v>
      </c>
      <c r="M349" t="n">
        <v>1</v>
      </c>
      <c r="N349" t="n">
        <v>0</v>
      </c>
      <c r="O349" t="n">
        <v>5</v>
      </c>
      <c r="P349" t="inlineStr">
        <is>
          <t>O</t>
        </is>
      </c>
    </row>
    <row r="350">
      <c r="A350" t="inlineStr">
        <is>
          <t>RURAL</t>
        </is>
      </c>
      <c r="B350" t="inlineStr">
        <is>
          <t>SR 1001</t>
        </is>
      </c>
      <c r="C350" t="n">
        <v>0.2</v>
      </c>
      <c r="D350" t="inlineStr">
        <is>
          <t>SW</t>
        </is>
      </c>
      <c r="E350" t="inlineStr">
        <is>
          <t>SR 1653</t>
        </is>
      </c>
      <c r="F350" t="inlineStr">
        <is>
          <t>SR 1654</t>
        </is>
      </c>
      <c r="G350" t="inlineStr">
        <is>
          <t>SR 1001</t>
        </is>
      </c>
      <c r="H350" t="n">
        <v>6.49</v>
      </c>
      <c r="J350" t="n">
        <v>105046828</v>
      </c>
      <c r="K350" s="11" t="n">
        <v>42814</v>
      </c>
      <c r="L350" t="n">
        <v>19</v>
      </c>
      <c r="M350" t="n">
        <v>1</v>
      </c>
      <c r="N350" t="n">
        <v>0</v>
      </c>
      <c r="O350" t="n">
        <v>1</v>
      </c>
    </row>
    <row r="351">
      <c r="A351" t="inlineStr">
        <is>
          <t>UNIONVILLE</t>
        </is>
      </c>
      <c r="B351" t="inlineStr">
        <is>
          <t>SR 1001</t>
        </is>
      </c>
      <c r="C351" t="n">
        <v>0</v>
      </c>
      <c r="E351" t="inlineStr">
        <is>
          <t>SR 1637</t>
        </is>
      </c>
      <c r="F351" t="inlineStr">
        <is>
          <t>SR 1678</t>
        </is>
      </c>
      <c r="G351" t="inlineStr">
        <is>
          <t>SR 1001</t>
        </is>
      </c>
      <c r="H351" t="n">
        <v>4.11</v>
      </c>
      <c r="J351" t="n">
        <v>105087246</v>
      </c>
      <c r="K351" s="11" t="n">
        <v>42849</v>
      </c>
      <c r="L351" t="n">
        <v>26</v>
      </c>
      <c r="M351" t="n">
        <v>2</v>
      </c>
      <c r="N351" t="n">
        <v>10</v>
      </c>
      <c r="O351" t="n">
        <v>5</v>
      </c>
      <c r="P351" t="inlineStr">
        <is>
          <t>O</t>
        </is>
      </c>
    </row>
    <row r="352">
      <c r="A352" t="inlineStr">
        <is>
          <t>RURAL</t>
        </is>
      </c>
      <c r="B352" t="inlineStr">
        <is>
          <t>SR 1001</t>
        </is>
      </c>
      <c r="C352" t="n">
        <v>0.2</v>
      </c>
      <c r="D352" t="inlineStr">
        <is>
          <t>N</t>
        </is>
      </c>
      <c r="E352" t="inlineStr">
        <is>
          <t>SR 1637</t>
        </is>
      </c>
      <c r="F352" t="inlineStr">
        <is>
          <t>SR 1674</t>
        </is>
      </c>
      <c r="G352" t="inlineStr">
        <is>
          <t>SR 1001</t>
        </is>
      </c>
      <c r="H352" t="n">
        <v>4.31</v>
      </c>
      <c r="J352" t="n">
        <v>106017163</v>
      </c>
      <c r="K352" s="11" t="n">
        <v>43740</v>
      </c>
      <c r="L352" t="n">
        <v>23</v>
      </c>
      <c r="M352" t="n">
        <v>1</v>
      </c>
      <c r="N352" t="n">
        <v>0</v>
      </c>
      <c r="O352" t="n">
        <v>1</v>
      </c>
      <c r="P352" t="inlineStr">
        <is>
          <t>O</t>
        </is>
      </c>
    </row>
    <row r="353">
      <c r="A353" t="inlineStr">
        <is>
          <t>RURAL</t>
        </is>
      </c>
      <c r="B353" t="inlineStr">
        <is>
          <t>SR 1001</t>
        </is>
      </c>
      <c r="C353" t="n">
        <v>0.057</v>
      </c>
      <c r="D353" t="inlineStr">
        <is>
          <t>S</t>
        </is>
      </c>
      <c r="E353" t="inlineStr">
        <is>
          <t>SR 1611</t>
        </is>
      </c>
      <c r="F353" t="inlineStr">
        <is>
          <t>SR 1615</t>
        </is>
      </c>
      <c r="G353" t="inlineStr">
        <is>
          <t>SR 1001</t>
        </is>
      </c>
      <c r="H353" t="n">
        <v>999.999</v>
      </c>
      <c r="J353" t="n">
        <v>106496450</v>
      </c>
      <c r="K353" s="11" t="n">
        <v>44249</v>
      </c>
      <c r="L353" t="n">
        <v>17</v>
      </c>
      <c r="M353" t="n">
        <v>1</v>
      </c>
      <c r="N353" t="n">
        <v>0</v>
      </c>
      <c r="O353" t="n">
        <v>1</v>
      </c>
      <c r="P353" t="inlineStr">
        <is>
          <t>O</t>
        </is>
      </c>
    </row>
    <row r="354">
      <c r="A354" t="inlineStr">
        <is>
          <t>UNIONVILLE</t>
        </is>
      </c>
      <c r="B354" t="inlineStr">
        <is>
          <t>SR 1001</t>
        </is>
      </c>
      <c r="C354" t="n">
        <v>0</v>
      </c>
      <c r="E354" t="inlineStr">
        <is>
          <t>SR 1637</t>
        </is>
      </c>
      <c r="F354" t="inlineStr">
        <is>
          <t>SR 1001</t>
        </is>
      </c>
      <c r="G354" t="inlineStr">
        <is>
          <t>SR 1001</t>
        </is>
      </c>
      <c r="H354" t="n">
        <v>4.11</v>
      </c>
      <c r="J354" t="n">
        <v>106482550</v>
      </c>
      <c r="K354" s="11" t="n">
        <v>44232</v>
      </c>
      <c r="L354" t="n">
        <v>32</v>
      </c>
      <c r="M354" t="n">
        <v>1</v>
      </c>
      <c r="N354" t="n">
        <v>10</v>
      </c>
      <c r="O354" t="n">
        <v>5</v>
      </c>
      <c r="P354" t="inlineStr">
        <is>
          <t>O</t>
        </is>
      </c>
    </row>
    <row r="355">
      <c r="A355" t="inlineStr">
        <is>
          <t>NEW SALEM</t>
        </is>
      </c>
      <c r="B355" t="inlineStr">
        <is>
          <t>SR 1001</t>
        </is>
      </c>
      <c r="C355" t="n">
        <v>1</v>
      </c>
      <c r="D355" t="inlineStr">
        <is>
          <t>N</t>
        </is>
      </c>
      <c r="E355" t="inlineStr">
        <is>
          <t>NC 218</t>
        </is>
      </c>
      <c r="F355" t="inlineStr">
        <is>
          <t>SR 1664</t>
        </is>
      </c>
      <c r="G355" t="inlineStr">
        <is>
          <t>SR 1001</t>
        </is>
      </c>
      <c r="H355" t="n">
        <v>9.137</v>
      </c>
      <c r="J355" t="n">
        <v>106286245</v>
      </c>
      <c r="K355" s="11" t="n">
        <v>44033</v>
      </c>
      <c r="L355" t="n">
        <v>17</v>
      </c>
      <c r="M355" t="n">
        <v>1</v>
      </c>
      <c r="N355" t="n">
        <v>0</v>
      </c>
      <c r="O355" t="n">
        <v>1</v>
      </c>
      <c r="P355" t="inlineStr">
        <is>
          <t>O</t>
        </is>
      </c>
    </row>
    <row r="356">
      <c r="A356" t="inlineStr">
        <is>
          <t>RURAL</t>
        </is>
      </c>
      <c r="B356" t="inlineStr">
        <is>
          <t>SR 1001</t>
        </is>
      </c>
      <c r="C356" t="n">
        <v>0.1</v>
      </c>
      <c r="D356" t="inlineStr">
        <is>
          <t>S</t>
        </is>
      </c>
      <c r="E356" t="inlineStr">
        <is>
          <t>SR 1610</t>
        </is>
      </c>
      <c r="F356" t="inlineStr">
        <is>
          <t>SR 1655</t>
        </is>
      </c>
      <c r="G356" t="inlineStr">
        <is>
          <t>SR 1001</t>
        </is>
      </c>
      <c r="H356" t="n">
        <v>999.999</v>
      </c>
      <c r="J356" t="n">
        <v>106078976</v>
      </c>
      <c r="K356" s="11" t="n">
        <v>43799</v>
      </c>
      <c r="L356" t="n">
        <v>17</v>
      </c>
      <c r="M356" t="n">
        <v>1</v>
      </c>
      <c r="N356" t="n">
        <v>0</v>
      </c>
      <c r="O356" t="n">
        <v>5</v>
      </c>
      <c r="P356" t="inlineStr">
        <is>
          <t>O</t>
        </is>
      </c>
    </row>
    <row r="357">
      <c r="A357" t="inlineStr">
        <is>
          <t>RURAL</t>
        </is>
      </c>
      <c r="B357" t="inlineStr">
        <is>
          <t>SR 1001</t>
        </is>
      </c>
      <c r="C357" t="n">
        <v>0</v>
      </c>
      <c r="E357" t="inlineStr">
        <is>
          <t>NC 218</t>
        </is>
      </c>
      <c r="F357" t="inlineStr">
        <is>
          <t>SR 1655</t>
        </is>
      </c>
      <c r="G357" t="inlineStr">
        <is>
          <t>SR 1001</t>
        </is>
      </c>
      <c r="H357" t="n">
        <v>8.137</v>
      </c>
      <c r="J357" t="n">
        <v>105414167</v>
      </c>
      <c r="K357" s="11" t="n">
        <v>43154</v>
      </c>
      <c r="L357" t="n">
        <v>23</v>
      </c>
      <c r="M357" t="n">
        <v>1</v>
      </c>
      <c r="N357" t="n">
        <v>7</v>
      </c>
      <c r="O357" t="n">
        <v>5</v>
      </c>
      <c r="P357" t="inlineStr">
        <is>
          <t>O</t>
        </is>
      </c>
    </row>
    <row r="358">
      <c r="A358" t="inlineStr">
        <is>
          <t>RURAL</t>
        </is>
      </c>
      <c r="B358" t="inlineStr">
        <is>
          <t>SR 1001</t>
        </is>
      </c>
      <c r="C358" t="n">
        <v>0.25</v>
      </c>
      <c r="D358" t="inlineStr">
        <is>
          <t>N</t>
        </is>
      </c>
      <c r="E358" t="inlineStr">
        <is>
          <t>SR 1663</t>
        </is>
      </c>
      <c r="F358" t="inlineStr">
        <is>
          <t>SR 1664</t>
        </is>
      </c>
      <c r="G358" t="inlineStr">
        <is>
          <t>SR 1001</t>
        </is>
      </c>
      <c r="H358" t="n">
        <v>8.898999999999999</v>
      </c>
      <c r="J358" t="n">
        <v>107069209</v>
      </c>
      <c r="K358" s="11" t="n">
        <v>44805</v>
      </c>
      <c r="L358" t="n">
        <v>17</v>
      </c>
      <c r="M358" t="n">
        <v>1</v>
      </c>
      <c r="N358" t="n">
        <v>0</v>
      </c>
      <c r="O358" t="n">
        <v>5</v>
      </c>
      <c r="P358" t="inlineStr">
        <is>
          <t>O</t>
        </is>
      </c>
    </row>
    <row r="359">
      <c r="A359" t="inlineStr">
        <is>
          <t>RURAL</t>
        </is>
      </c>
      <c r="B359" t="inlineStr">
        <is>
          <t>SR 1001</t>
        </is>
      </c>
      <c r="C359" t="n">
        <v>0</v>
      </c>
      <c r="E359" t="inlineStr">
        <is>
          <t>SR 1655</t>
        </is>
      </c>
      <c r="F359" t="inlineStr">
        <is>
          <t>SR 1656</t>
        </is>
      </c>
      <c r="G359" t="inlineStr">
        <is>
          <t>SR 1001</t>
        </is>
      </c>
      <c r="H359" t="n">
        <v>7.256</v>
      </c>
      <c r="J359" t="n">
        <v>105344475</v>
      </c>
      <c r="K359" s="11" t="n">
        <v>43106</v>
      </c>
      <c r="L359" t="n">
        <v>27</v>
      </c>
      <c r="M359" t="n">
        <v>1</v>
      </c>
      <c r="N359" t="n">
        <v>8</v>
      </c>
      <c r="O359" t="n">
        <v>1</v>
      </c>
      <c r="P359" t="inlineStr">
        <is>
          <t>C</t>
        </is>
      </c>
    </row>
    <row r="360">
      <c r="A360" t="inlineStr">
        <is>
          <t>UNIONVILLE</t>
        </is>
      </c>
      <c r="B360" t="inlineStr">
        <is>
          <t>SIKES MILL</t>
        </is>
      </c>
      <c r="C360" t="n">
        <v>0.33</v>
      </c>
      <c r="D360" t="inlineStr">
        <is>
          <t>N</t>
        </is>
      </c>
      <c r="E360" t="inlineStr">
        <is>
          <t>TOM BOYD</t>
        </is>
      </c>
      <c r="F360" t="inlineStr">
        <is>
          <t>OLD CAMDEN</t>
        </is>
      </c>
      <c r="G360" t="inlineStr">
        <is>
          <t>SR 1001</t>
        </is>
      </c>
      <c r="H360" t="n">
        <v>3.791</v>
      </c>
      <c r="J360" t="n">
        <v>107187995</v>
      </c>
      <c r="K360" s="11" t="n">
        <v>44913</v>
      </c>
      <c r="L360" t="n">
        <v>17</v>
      </c>
      <c r="M360" t="n">
        <v>1</v>
      </c>
      <c r="N360" t="n">
        <v>0</v>
      </c>
      <c r="O360" t="n">
        <v>5</v>
      </c>
      <c r="P360" t="inlineStr">
        <is>
          <t>O</t>
        </is>
      </c>
    </row>
    <row r="361">
      <c r="A361" t="inlineStr">
        <is>
          <t>UNIONVILLE</t>
        </is>
      </c>
      <c r="B361" t="inlineStr">
        <is>
          <t>SR 1001</t>
        </is>
      </c>
      <c r="C361" t="n">
        <v>0.4</v>
      </c>
      <c r="D361" t="inlineStr">
        <is>
          <t>N</t>
        </is>
      </c>
      <c r="E361" t="inlineStr">
        <is>
          <t>SR 1638</t>
        </is>
      </c>
      <c r="F361" t="inlineStr">
        <is>
          <t>SR 1675</t>
        </is>
      </c>
      <c r="G361" t="inlineStr">
        <is>
          <t>SR 1001</t>
        </is>
      </c>
      <c r="H361" t="n">
        <v>5.626</v>
      </c>
      <c r="J361" t="n">
        <v>105335407</v>
      </c>
      <c r="K361" s="11" t="n">
        <v>43097</v>
      </c>
      <c r="L361" t="n">
        <v>29</v>
      </c>
      <c r="M361" t="n">
        <v>1</v>
      </c>
      <c r="N361" t="n">
        <v>0</v>
      </c>
      <c r="O361" t="n">
        <v>1</v>
      </c>
      <c r="P361" t="inlineStr">
        <is>
          <t>O</t>
        </is>
      </c>
    </row>
    <row r="362">
      <c r="A362" t="inlineStr">
        <is>
          <t>UNIONVILLE</t>
        </is>
      </c>
      <c r="B362" t="inlineStr">
        <is>
          <t>SIKES MILL</t>
        </is>
      </c>
      <c r="C362" t="n">
        <v>0.095</v>
      </c>
      <c r="D362" t="inlineStr">
        <is>
          <t>S</t>
        </is>
      </c>
      <c r="E362" t="inlineStr">
        <is>
          <t>HAIGLER BAUCOM</t>
        </is>
      </c>
      <c r="F362" t="inlineStr">
        <is>
          <t>HENRY SMITH</t>
        </is>
      </c>
      <c r="G362" t="inlineStr">
        <is>
          <t>SIKES MILL</t>
        </is>
      </c>
      <c r="H362" t="n">
        <v>999.999</v>
      </c>
      <c r="J362" t="n">
        <v>106918739</v>
      </c>
      <c r="K362" s="11" t="n">
        <v>44662</v>
      </c>
      <c r="L362" t="n">
        <v>19</v>
      </c>
      <c r="M362" t="n">
        <v>1</v>
      </c>
      <c r="N362" t="n">
        <v>0</v>
      </c>
      <c r="O362" t="n">
        <v>1</v>
      </c>
      <c r="P362" t="inlineStr">
        <is>
          <t>O</t>
        </is>
      </c>
    </row>
    <row r="363">
      <c r="A363" t="inlineStr">
        <is>
          <t>UNIONVILLE</t>
        </is>
      </c>
      <c r="B363" t="inlineStr">
        <is>
          <t>SR 1001</t>
        </is>
      </c>
      <c r="C363" t="n">
        <v>0.1</v>
      </c>
      <c r="D363" t="inlineStr">
        <is>
          <t>S</t>
        </is>
      </c>
      <c r="E363" t="inlineStr">
        <is>
          <t>SR 1638</t>
        </is>
      </c>
      <c r="F363" t="inlineStr">
        <is>
          <t>SR 1674</t>
        </is>
      </c>
      <c r="G363" t="inlineStr">
        <is>
          <t>SR 1001</t>
        </is>
      </c>
      <c r="H363" t="n">
        <v>5.126</v>
      </c>
      <c r="J363" t="n">
        <v>105748330</v>
      </c>
      <c r="K363" s="11" t="n">
        <v>43485</v>
      </c>
      <c r="L363" t="n">
        <v>18</v>
      </c>
      <c r="M363" t="n">
        <v>1</v>
      </c>
      <c r="N363" t="n">
        <v>0</v>
      </c>
      <c r="O363" t="n">
        <v>5</v>
      </c>
      <c r="P363" t="inlineStr">
        <is>
          <t>O</t>
        </is>
      </c>
    </row>
    <row r="364">
      <c r="A364" t="inlineStr">
        <is>
          <t>UNIONVILLE</t>
        </is>
      </c>
      <c r="B364" t="inlineStr">
        <is>
          <t>SR 1001</t>
        </is>
      </c>
      <c r="C364" t="n">
        <v>0.1</v>
      </c>
      <c r="D364" t="inlineStr">
        <is>
          <t>S</t>
        </is>
      </c>
      <c r="E364" t="inlineStr">
        <is>
          <t>SR 1618</t>
        </is>
      </c>
      <c r="F364" t="inlineStr">
        <is>
          <t>SR 1617</t>
        </is>
      </c>
      <c r="G364" t="inlineStr">
        <is>
          <t>SR 1001</t>
        </is>
      </c>
      <c r="H364" t="n">
        <v>3.994</v>
      </c>
      <c r="J364" t="n">
        <v>106743564</v>
      </c>
      <c r="K364" s="11" t="n">
        <v>44496</v>
      </c>
      <c r="L364" t="n">
        <v>17</v>
      </c>
      <c r="M364" t="n">
        <v>1</v>
      </c>
      <c r="N364" t="n">
        <v>0</v>
      </c>
      <c r="O364" t="n">
        <v>1</v>
      </c>
      <c r="P364" t="inlineStr">
        <is>
          <t>O</t>
        </is>
      </c>
    </row>
    <row r="365">
      <c r="A365" t="inlineStr">
        <is>
          <t>RURAL</t>
        </is>
      </c>
      <c r="B365" t="inlineStr">
        <is>
          <t>SR 1001</t>
        </is>
      </c>
      <c r="C365" t="n">
        <v>0.7</v>
      </c>
      <c r="D365" t="inlineStr">
        <is>
          <t>S</t>
        </is>
      </c>
      <c r="E365" t="inlineStr">
        <is>
          <t>SR 1638</t>
        </is>
      </c>
      <c r="F365" t="inlineStr">
        <is>
          <t>SR 1674</t>
        </is>
      </c>
      <c r="G365" t="inlineStr">
        <is>
          <t>SR 1001</t>
        </is>
      </c>
      <c r="H365" t="n">
        <v>4.526</v>
      </c>
      <c r="J365" t="n">
        <v>105670531</v>
      </c>
      <c r="K365" s="11" t="n">
        <v>43409</v>
      </c>
      <c r="L365" t="n">
        <v>20</v>
      </c>
      <c r="M365" t="n">
        <v>2</v>
      </c>
      <c r="N365" t="n">
        <v>0</v>
      </c>
      <c r="O365" t="n">
        <v>1</v>
      </c>
      <c r="P365" t="inlineStr">
        <is>
          <t>O</t>
        </is>
      </c>
    </row>
    <row r="366">
      <c r="A366" t="inlineStr">
        <is>
          <t>UNIONVILLE</t>
        </is>
      </c>
      <c r="B366" t="inlineStr">
        <is>
          <t>SR 1001</t>
        </is>
      </c>
      <c r="C366" t="n">
        <v>0.2</v>
      </c>
      <c r="D366" t="inlineStr">
        <is>
          <t>N</t>
        </is>
      </c>
      <c r="E366" t="inlineStr">
        <is>
          <t>SR 1688</t>
        </is>
      </c>
      <c r="F366" t="inlineStr">
        <is>
          <t>SR 1674</t>
        </is>
      </c>
      <c r="G366" t="inlineStr">
        <is>
          <t>SR 1001</t>
        </is>
      </c>
      <c r="H366" t="n">
        <v>999.999</v>
      </c>
      <c r="J366" t="n">
        <v>105820903</v>
      </c>
      <c r="K366" s="11" t="n">
        <v>43557</v>
      </c>
      <c r="L366" t="n">
        <v>19</v>
      </c>
      <c r="M366" t="n">
        <v>4</v>
      </c>
      <c r="N366" t="n">
        <v>0</v>
      </c>
      <c r="O366" t="n">
        <v>1</v>
      </c>
      <c r="P366" t="inlineStr">
        <is>
          <t>O</t>
        </is>
      </c>
    </row>
    <row r="367">
      <c r="A367" t="inlineStr">
        <is>
          <t>RURAL</t>
        </is>
      </c>
      <c r="B367" t="inlineStr">
        <is>
          <t>SR 1001</t>
        </is>
      </c>
      <c r="C367" t="n">
        <v>0</v>
      </c>
      <c r="E367" t="inlineStr">
        <is>
          <t>SR 1655</t>
        </is>
      </c>
      <c r="F367" t="inlineStr">
        <is>
          <t>SR 1656</t>
        </is>
      </c>
      <c r="G367" t="inlineStr">
        <is>
          <t>SR 1001</t>
        </is>
      </c>
      <c r="H367" t="n">
        <v>7.256</v>
      </c>
      <c r="J367" t="n">
        <v>107127894</v>
      </c>
      <c r="K367" s="11" t="n">
        <v>44862</v>
      </c>
      <c r="L367" t="n">
        <v>19</v>
      </c>
      <c r="M367" t="n">
        <v>1</v>
      </c>
      <c r="N367" t="n">
        <v>0</v>
      </c>
      <c r="O367" t="n">
        <v>1</v>
      </c>
      <c r="P367" t="inlineStr">
        <is>
          <t>C</t>
        </is>
      </c>
    </row>
    <row r="368">
      <c r="A368" t="inlineStr">
        <is>
          <t>UNIONVILLE</t>
        </is>
      </c>
      <c r="B368" t="inlineStr">
        <is>
          <t>SIKES MILL</t>
        </is>
      </c>
      <c r="C368" t="n">
        <v>0.028</v>
      </c>
      <c r="D368" t="inlineStr">
        <is>
          <t>S</t>
        </is>
      </c>
      <c r="E368" t="inlineStr">
        <is>
          <t>TOM HELMS</t>
        </is>
      </c>
      <c r="F368" t="inlineStr">
        <is>
          <t>TOM BOYD</t>
        </is>
      </c>
      <c r="G368" t="inlineStr">
        <is>
          <t>SR 1001</t>
        </is>
      </c>
      <c r="H368" t="n">
        <v>4.066</v>
      </c>
      <c r="J368" t="n">
        <v>107181511</v>
      </c>
      <c r="K368" s="11" t="n">
        <v>44910</v>
      </c>
      <c r="L368" t="n">
        <v>19</v>
      </c>
      <c r="M368" t="n">
        <v>2</v>
      </c>
      <c r="N368" t="n">
        <v>10</v>
      </c>
      <c r="O368" t="n">
        <v>1</v>
      </c>
      <c r="P368" t="inlineStr">
        <is>
          <t>O</t>
        </is>
      </c>
    </row>
    <row r="369">
      <c r="A369" t="inlineStr">
        <is>
          <t>RURAL</t>
        </is>
      </c>
      <c r="B369" t="inlineStr">
        <is>
          <t>SR 1001</t>
        </is>
      </c>
      <c r="C369" t="n">
        <v>0.32</v>
      </c>
      <c r="D369" t="inlineStr">
        <is>
          <t>S</t>
        </is>
      </c>
      <c r="E369" t="inlineStr">
        <is>
          <t>SR 1675</t>
        </is>
      </c>
      <c r="F369" t="inlineStr">
        <is>
          <t>SR 1638</t>
        </is>
      </c>
      <c r="G369" t="inlineStr">
        <is>
          <t>SR 1001</t>
        </is>
      </c>
      <c r="H369" t="n">
        <v>5.645</v>
      </c>
      <c r="J369" t="n">
        <v>105555467</v>
      </c>
      <c r="K369" s="11" t="n">
        <v>43303</v>
      </c>
      <c r="L369" t="n">
        <v>1</v>
      </c>
      <c r="M369" t="n">
        <v>1</v>
      </c>
      <c r="N369" t="n">
        <v>0</v>
      </c>
      <c r="O369" t="n">
        <v>1</v>
      </c>
      <c r="P369" t="inlineStr">
        <is>
          <t>O</t>
        </is>
      </c>
    </row>
    <row r="370">
      <c r="A370" t="inlineStr">
        <is>
          <t>UNIONVILLE</t>
        </is>
      </c>
      <c r="B370" t="inlineStr">
        <is>
          <t>SIKES MILL</t>
        </is>
      </c>
      <c r="C370" t="n">
        <v>0</v>
      </c>
      <c r="E370" t="inlineStr">
        <is>
          <t>BAUCOM</t>
        </is>
      </c>
      <c r="F370" t="inlineStr">
        <is>
          <t>US 601</t>
        </is>
      </c>
      <c r="G370" t="inlineStr">
        <is>
          <t>SR 1001</t>
        </is>
      </c>
      <c r="H370" t="n">
        <v>1.352</v>
      </c>
      <c r="J370" t="n">
        <v>107030009</v>
      </c>
      <c r="K370" s="11" t="n">
        <v>44771</v>
      </c>
      <c r="L370" t="n">
        <v>13</v>
      </c>
      <c r="M370" t="n">
        <v>1</v>
      </c>
      <c r="N370" t="n">
        <v>8</v>
      </c>
      <c r="O370" t="n">
        <v>1</v>
      </c>
      <c r="P370" t="inlineStr">
        <is>
          <t>O</t>
        </is>
      </c>
    </row>
    <row r="371">
      <c r="A371" t="inlineStr">
        <is>
          <t>RURAL</t>
        </is>
      </c>
      <c r="B371" t="inlineStr">
        <is>
          <t>SIKES MILL</t>
        </is>
      </c>
      <c r="C371" t="n">
        <v>0.095</v>
      </c>
      <c r="D371" t="inlineStr">
        <is>
          <t>S</t>
        </is>
      </c>
      <c r="E371" t="inlineStr">
        <is>
          <t>CHANEY</t>
        </is>
      </c>
      <c r="F371" t="inlineStr">
        <is>
          <t>BAUCOM</t>
        </is>
      </c>
      <c r="G371" t="inlineStr">
        <is>
          <t>SR 1001</t>
        </is>
      </c>
      <c r="H371" t="n">
        <v>2.12</v>
      </c>
      <c r="J371" t="n">
        <v>105302586</v>
      </c>
      <c r="K371" s="11" t="n">
        <v>43067</v>
      </c>
      <c r="L371" t="n">
        <v>17</v>
      </c>
      <c r="M371" t="n">
        <v>1</v>
      </c>
      <c r="N371" t="n">
        <v>0</v>
      </c>
      <c r="O371" t="n">
        <v>5</v>
      </c>
      <c r="P371" t="inlineStr">
        <is>
          <t>O</t>
        </is>
      </c>
    </row>
    <row r="372">
      <c r="A372" t="inlineStr">
        <is>
          <t>UNIONVILLE</t>
        </is>
      </c>
      <c r="B372" t="inlineStr">
        <is>
          <t>LOVE MILL</t>
        </is>
      </c>
      <c r="C372" t="n">
        <v>0.21</v>
      </c>
      <c r="D372" t="inlineStr">
        <is>
          <t>NE</t>
        </is>
      </c>
      <c r="E372" t="inlineStr">
        <is>
          <t>BRASSWELL RUSHING</t>
        </is>
      </c>
      <c r="F372" t="inlineStr">
        <is>
          <t>GRASSY</t>
        </is>
      </c>
      <c r="G372" t="inlineStr">
        <is>
          <t>SR 1001</t>
        </is>
      </c>
      <c r="H372" t="n">
        <v>6.175</v>
      </c>
      <c r="J372" t="n">
        <v>104863234</v>
      </c>
      <c r="K372" s="11" t="n">
        <v>42636</v>
      </c>
      <c r="L372" t="n">
        <v>19</v>
      </c>
      <c r="M372" t="n">
        <v>1</v>
      </c>
      <c r="N372" t="n">
        <v>0</v>
      </c>
      <c r="O372" t="n">
        <v>6</v>
      </c>
      <c r="P372" t="inlineStr">
        <is>
          <t>C</t>
        </is>
      </c>
    </row>
    <row r="373">
      <c r="A373" t="inlineStr">
        <is>
          <t>UNIONVILLE</t>
        </is>
      </c>
      <c r="B373" t="inlineStr">
        <is>
          <t>SR 1001</t>
        </is>
      </c>
      <c r="C373" t="n">
        <v>0.2</v>
      </c>
      <c r="D373" t="inlineStr">
        <is>
          <t>N</t>
        </is>
      </c>
      <c r="E373" t="inlineStr">
        <is>
          <t>SR 1675</t>
        </is>
      </c>
      <c r="F373" t="inlineStr">
        <is>
          <t>GRASSY</t>
        </is>
      </c>
      <c r="G373" t="inlineStr">
        <is>
          <t>SR 1001</t>
        </is>
      </c>
      <c r="H373" t="n">
        <v>6.165</v>
      </c>
      <c r="J373" t="n">
        <v>105545920</v>
      </c>
      <c r="K373" s="11" t="n">
        <v>43299</v>
      </c>
      <c r="L373" t="n">
        <v>24</v>
      </c>
      <c r="M373" t="n">
        <v>1</v>
      </c>
      <c r="N373" t="n">
        <v>5</v>
      </c>
      <c r="O373" t="n">
        <v>1</v>
      </c>
      <c r="P373" t="inlineStr">
        <is>
          <t>O</t>
        </is>
      </c>
    </row>
    <row r="374">
      <c r="A374" t="inlineStr">
        <is>
          <t>UNIONVILLE</t>
        </is>
      </c>
      <c r="B374" t="inlineStr">
        <is>
          <t>SR 1001</t>
        </is>
      </c>
      <c r="C374" t="n">
        <v>0.1</v>
      </c>
      <c r="D374" t="inlineStr">
        <is>
          <t>S</t>
        </is>
      </c>
      <c r="E374" t="inlineStr">
        <is>
          <t>SR 1610</t>
        </is>
      </c>
      <c r="F374" t="inlineStr">
        <is>
          <t>SR 1601</t>
        </is>
      </c>
      <c r="G374" t="inlineStr">
        <is>
          <t>SR 1001</t>
        </is>
      </c>
      <c r="H374" t="n">
        <v>999.999</v>
      </c>
      <c r="J374" t="n">
        <v>104726807</v>
      </c>
      <c r="K374" s="11" t="n">
        <v>42498</v>
      </c>
      <c r="L374" t="n">
        <v>23</v>
      </c>
      <c r="M374" t="n">
        <v>1</v>
      </c>
      <c r="N374" t="n">
        <v>5</v>
      </c>
      <c r="O374" t="n">
        <v>5</v>
      </c>
      <c r="P374" t="inlineStr">
        <is>
          <t>A</t>
        </is>
      </c>
      <c r="Q374" t="n">
        <v>35.126039</v>
      </c>
      <c r="R374" t="n">
        <v>-80.479625</v>
      </c>
      <c r="S374" t="inlineStr">
        <is>
          <t>ITRE_SEVEREINJURY</t>
        </is>
      </c>
    </row>
    <row r="375">
      <c r="A375" t="inlineStr">
        <is>
          <t>UNIONVILLE</t>
        </is>
      </c>
      <c r="B375" t="inlineStr">
        <is>
          <t>SR 1001</t>
        </is>
      </c>
      <c r="C375" t="n">
        <v>0.1</v>
      </c>
      <c r="D375" t="inlineStr">
        <is>
          <t>N</t>
        </is>
      </c>
      <c r="E375" t="inlineStr">
        <is>
          <t>SR 1628</t>
        </is>
      </c>
      <c r="F375" t="inlineStr">
        <is>
          <t>SR 1631</t>
        </is>
      </c>
      <c r="G375" t="inlineStr">
        <is>
          <t>SR 1001</t>
        </is>
      </c>
      <c r="H375" t="n">
        <v>999.999</v>
      </c>
      <c r="J375" t="n">
        <v>105062524</v>
      </c>
      <c r="K375" s="11" t="n">
        <v>42828</v>
      </c>
      <c r="L375" t="n">
        <v>30</v>
      </c>
      <c r="M375" t="n">
        <v>2</v>
      </c>
      <c r="N375" t="n">
        <v>0</v>
      </c>
      <c r="O375" t="n">
        <v>1</v>
      </c>
      <c r="P375" t="inlineStr">
        <is>
          <t>C</t>
        </is>
      </c>
    </row>
    <row r="376">
      <c r="A376" t="inlineStr">
        <is>
          <t>NEW SALEM</t>
        </is>
      </c>
      <c r="B376" t="inlineStr">
        <is>
          <t>SR 1001</t>
        </is>
      </c>
      <c r="C376" t="n">
        <v>0.5</v>
      </c>
      <c r="D376" t="inlineStr">
        <is>
          <t>N</t>
        </is>
      </c>
      <c r="E376" t="inlineStr">
        <is>
          <t>NC 218</t>
        </is>
      </c>
      <c r="F376" t="inlineStr">
        <is>
          <t>SR 1639</t>
        </is>
      </c>
      <c r="G376" t="inlineStr">
        <is>
          <t>SR 1001</t>
        </is>
      </c>
      <c r="H376" t="n">
        <v>8.637</v>
      </c>
      <c r="J376" t="n">
        <v>104740509</v>
      </c>
      <c r="K376" s="11" t="n">
        <v>42499</v>
      </c>
      <c r="L376" t="n">
        <v>1</v>
      </c>
      <c r="M376" t="n">
        <v>1</v>
      </c>
      <c r="N376" t="n">
        <v>0</v>
      </c>
      <c r="O376" t="n">
        <v>1</v>
      </c>
      <c r="P376" t="inlineStr">
        <is>
          <t>O</t>
        </is>
      </c>
    </row>
    <row r="377">
      <c r="A377" t="inlineStr">
        <is>
          <t>UNIONVILLE</t>
        </is>
      </c>
      <c r="B377" t="inlineStr">
        <is>
          <t>SIKES MILL</t>
        </is>
      </c>
      <c r="C377" t="n">
        <v>0.019</v>
      </c>
      <c r="D377" t="inlineStr">
        <is>
          <t>S</t>
        </is>
      </c>
      <c r="E377" t="inlineStr">
        <is>
          <t>BAUCOM</t>
        </is>
      </c>
      <c r="F377" t="inlineStr">
        <is>
          <t>SPRING LAKE</t>
        </is>
      </c>
      <c r="G377" t="inlineStr">
        <is>
          <t>SR 1001</t>
        </is>
      </c>
      <c r="H377" t="n">
        <v>1.333</v>
      </c>
      <c r="J377" t="n">
        <v>106776645</v>
      </c>
      <c r="K377" s="11" t="n">
        <v>44519</v>
      </c>
      <c r="L377" t="n">
        <v>17</v>
      </c>
      <c r="M377" t="n">
        <v>1</v>
      </c>
      <c r="N377" t="n">
        <v>0</v>
      </c>
      <c r="O377" t="n">
        <v>5</v>
      </c>
      <c r="P377" t="inlineStr">
        <is>
          <t>O</t>
        </is>
      </c>
    </row>
    <row r="378">
      <c r="A378" t="inlineStr">
        <is>
          <t>UNIONVILLE</t>
        </is>
      </c>
      <c r="B378" t="inlineStr">
        <is>
          <t>SIKES MILL</t>
        </is>
      </c>
      <c r="C378" t="n">
        <v>0.12</v>
      </c>
      <c r="D378" t="inlineStr">
        <is>
          <t>NE</t>
        </is>
      </c>
      <c r="E378" t="inlineStr">
        <is>
          <t>UNIONVILLE</t>
        </is>
      </c>
      <c r="F378" t="inlineStr">
        <is>
          <t>TOM BOYD</t>
        </is>
      </c>
      <c r="G378" t="inlineStr">
        <is>
          <t>SR 1001</t>
        </is>
      </c>
      <c r="H378" t="n">
        <v>2.991</v>
      </c>
      <c r="J378" t="n">
        <v>106000270</v>
      </c>
      <c r="K378" s="11" t="n">
        <v>43729</v>
      </c>
      <c r="L378" t="n">
        <v>19</v>
      </c>
      <c r="M378" t="n">
        <v>1</v>
      </c>
      <c r="N378" t="n">
        <v>0</v>
      </c>
      <c r="O378" t="n">
        <v>1</v>
      </c>
      <c r="P378" t="inlineStr">
        <is>
          <t>O</t>
        </is>
      </c>
    </row>
    <row r="379">
      <c r="A379" t="inlineStr">
        <is>
          <t>UNIONVILLE</t>
        </is>
      </c>
      <c r="B379" t="inlineStr">
        <is>
          <t>LOVE MILL</t>
        </is>
      </c>
      <c r="C379" t="n">
        <v>0</v>
      </c>
      <c r="E379" t="inlineStr">
        <is>
          <t>PIEDMONT SCHOOL</t>
        </is>
      </c>
      <c r="F379" t="inlineStr">
        <is>
          <t>*LCL PURSER RUSHING ROAD</t>
        </is>
      </c>
      <c r="G379" t="inlineStr">
        <is>
          <t>SR 1001</t>
        </is>
      </c>
      <c r="H379" t="n">
        <v>4.604</v>
      </c>
      <c r="J379" t="n">
        <v>106755818</v>
      </c>
      <c r="K379" s="11" t="n">
        <v>44508</v>
      </c>
      <c r="L379" t="n">
        <v>26</v>
      </c>
      <c r="M379" t="n">
        <v>1</v>
      </c>
      <c r="N379" t="n">
        <v>8</v>
      </c>
      <c r="O379" t="n">
        <v>1</v>
      </c>
      <c r="P379" t="inlineStr">
        <is>
          <t>O</t>
        </is>
      </c>
    </row>
    <row r="380">
      <c r="A380" t="inlineStr">
        <is>
          <t>RURAL</t>
        </is>
      </c>
      <c r="B380" t="inlineStr">
        <is>
          <t>SIKES MILL</t>
        </is>
      </c>
      <c r="C380" t="n">
        <v>0.2</v>
      </c>
      <c r="D380" t="inlineStr">
        <is>
          <t>S</t>
        </is>
      </c>
      <c r="E380" t="inlineStr">
        <is>
          <t>OLD FERRY</t>
        </is>
      </c>
      <c r="F380" t="inlineStr">
        <is>
          <t>BRIEF</t>
        </is>
      </c>
      <c r="G380" t="inlineStr">
        <is>
          <t>SIKES MILL</t>
        </is>
      </c>
      <c r="H380" t="n">
        <v>999.999</v>
      </c>
      <c r="J380" t="n">
        <v>106023012</v>
      </c>
      <c r="K380" s="11" t="n">
        <v>43753</v>
      </c>
      <c r="L380" t="n">
        <v>17</v>
      </c>
      <c r="M380" t="n">
        <v>1</v>
      </c>
      <c r="N380" t="n">
        <v>0</v>
      </c>
      <c r="O380" t="n">
        <v>5</v>
      </c>
      <c r="P380" t="inlineStr">
        <is>
          <t>O</t>
        </is>
      </c>
    </row>
    <row r="381">
      <c r="A381" t="inlineStr">
        <is>
          <t>UNIONVILLE</t>
        </is>
      </c>
      <c r="B381" t="inlineStr">
        <is>
          <t>TOM HELMS</t>
        </is>
      </c>
      <c r="C381" t="n">
        <v>0</v>
      </c>
      <c r="E381" t="inlineStr">
        <is>
          <t>SIKES MILL</t>
        </is>
      </c>
      <c r="G381" t="inlineStr">
        <is>
          <t>SR 1001</t>
        </is>
      </c>
      <c r="H381" t="n">
        <v>4.094</v>
      </c>
      <c r="J381" t="n">
        <v>105402668</v>
      </c>
      <c r="K381" s="11" t="n">
        <v>43165</v>
      </c>
      <c r="L381" t="n">
        <v>30</v>
      </c>
      <c r="M381" t="n">
        <v>2</v>
      </c>
      <c r="N381" t="n">
        <v>10</v>
      </c>
      <c r="O381" t="n">
        <v>1</v>
      </c>
      <c r="P381" t="inlineStr">
        <is>
          <t>O</t>
        </is>
      </c>
    </row>
    <row r="382">
      <c r="A382" t="inlineStr">
        <is>
          <t>UNIONVILLE</t>
        </is>
      </c>
      <c r="B382" t="inlineStr">
        <is>
          <t>SIKES MILL</t>
        </is>
      </c>
      <c r="C382" t="n">
        <v>0</v>
      </c>
      <c r="E382" t="inlineStr">
        <is>
          <t>PIEDMONT SCHOOL</t>
        </is>
      </c>
      <c r="F382" t="inlineStr">
        <is>
          <t>HENRY SMITH</t>
        </is>
      </c>
      <c r="G382" t="inlineStr">
        <is>
          <t>SIKES MILL</t>
        </is>
      </c>
      <c r="H382" t="n">
        <v>999.999</v>
      </c>
      <c r="J382" t="n">
        <v>105787598</v>
      </c>
      <c r="K382" s="11" t="n">
        <v>43524</v>
      </c>
      <c r="L382" t="n">
        <v>24</v>
      </c>
      <c r="M382" t="n">
        <v>1</v>
      </c>
      <c r="N382" t="n">
        <v>8</v>
      </c>
      <c r="O382" t="n">
        <v>1</v>
      </c>
      <c r="P382" t="inlineStr">
        <is>
          <t>C</t>
        </is>
      </c>
    </row>
    <row r="383">
      <c r="A383" t="inlineStr">
        <is>
          <t>RURAL</t>
        </is>
      </c>
      <c r="B383" t="inlineStr">
        <is>
          <t>SIKES MILL</t>
        </is>
      </c>
      <c r="C383" t="n">
        <v>0.13</v>
      </c>
      <c r="D383" t="inlineStr">
        <is>
          <t>S</t>
        </is>
      </c>
      <c r="E383" t="inlineStr">
        <is>
          <t>LAWYERS</t>
        </is>
      </c>
      <c r="F383" t="inlineStr">
        <is>
          <t>TOM BOYD</t>
        </is>
      </c>
      <c r="G383" t="inlineStr">
        <is>
          <t>SR 1001</t>
        </is>
      </c>
      <c r="H383" t="n">
        <v>3.98</v>
      </c>
      <c r="J383" t="n">
        <v>106083176</v>
      </c>
      <c r="K383" s="11" t="n">
        <v>43803</v>
      </c>
      <c r="L383" t="n">
        <v>17</v>
      </c>
      <c r="M383" t="n">
        <v>1</v>
      </c>
      <c r="N383" t="n">
        <v>0</v>
      </c>
      <c r="O383" t="n">
        <v>5</v>
      </c>
      <c r="P383" t="inlineStr">
        <is>
          <t>O</t>
        </is>
      </c>
    </row>
    <row r="384">
      <c r="A384" t="inlineStr">
        <is>
          <t>UNIONVILLE</t>
        </is>
      </c>
      <c r="B384" t="inlineStr">
        <is>
          <t>LOVE MILL</t>
        </is>
      </c>
      <c r="C384" t="n">
        <v>0.2</v>
      </c>
      <c r="D384" t="inlineStr">
        <is>
          <t>NE</t>
        </is>
      </c>
      <c r="E384" t="inlineStr">
        <is>
          <t>SIKES MILL</t>
        </is>
      </c>
      <c r="F384" t="inlineStr">
        <is>
          <t>*LCL PURSER RUSHING RD</t>
        </is>
      </c>
      <c r="G384" t="inlineStr">
        <is>
          <t>LOVE MILL</t>
        </is>
      </c>
      <c r="H384" t="n">
        <v>999.999</v>
      </c>
      <c r="J384" t="n">
        <v>105536078</v>
      </c>
      <c r="K384" s="11" t="n">
        <v>43290</v>
      </c>
      <c r="L384" t="n">
        <v>17</v>
      </c>
      <c r="M384" t="n">
        <v>1</v>
      </c>
      <c r="N384" t="n">
        <v>0</v>
      </c>
      <c r="O384" t="n">
        <v>2</v>
      </c>
      <c r="P384" t="inlineStr">
        <is>
          <t>O</t>
        </is>
      </c>
    </row>
    <row r="385">
      <c r="A385" t="inlineStr">
        <is>
          <t>RURAL</t>
        </is>
      </c>
      <c r="B385" t="inlineStr">
        <is>
          <t>SR 1001</t>
        </is>
      </c>
      <c r="C385" t="n">
        <v>0.15</v>
      </c>
      <c r="D385" t="inlineStr">
        <is>
          <t>W</t>
        </is>
      </c>
      <c r="E385" t="inlineStr">
        <is>
          <t>SR 1753</t>
        </is>
      </c>
      <c r="F385" t="inlineStr">
        <is>
          <t>SR 1754</t>
        </is>
      </c>
      <c r="G385" t="inlineStr">
        <is>
          <t>SR 1001</t>
        </is>
      </c>
      <c r="H385" t="n">
        <v>999.999</v>
      </c>
      <c r="J385" t="n">
        <v>105518601</v>
      </c>
      <c r="K385" s="11" t="n">
        <v>43267</v>
      </c>
      <c r="L385" t="n">
        <v>19</v>
      </c>
      <c r="M385" t="n">
        <v>1</v>
      </c>
      <c r="N385" t="n">
        <v>0</v>
      </c>
      <c r="O385" t="n">
        <v>1</v>
      </c>
      <c r="P385" t="inlineStr">
        <is>
          <t>O</t>
        </is>
      </c>
    </row>
    <row r="386">
      <c r="A386" t="inlineStr">
        <is>
          <t>NEW SALEM</t>
        </is>
      </c>
      <c r="B386" t="inlineStr">
        <is>
          <t>SR 1672</t>
        </is>
      </c>
      <c r="C386" t="n">
        <v>0</v>
      </c>
      <c r="E386" t="inlineStr">
        <is>
          <t>SR 1001</t>
        </is>
      </c>
      <c r="G386" t="inlineStr">
        <is>
          <t>SR 1672</t>
        </is>
      </c>
      <c r="H386" t="n">
        <v>999.999</v>
      </c>
      <c r="J386" t="n">
        <v>105067773</v>
      </c>
      <c r="K386" s="11" t="n">
        <v>42828</v>
      </c>
      <c r="L386" t="n">
        <v>19</v>
      </c>
      <c r="M386" t="n">
        <v>1</v>
      </c>
      <c r="N386" t="n">
        <v>8</v>
      </c>
      <c r="O386" t="n">
        <v>1</v>
      </c>
      <c r="P386" t="inlineStr">
        <is>
          <t>O</t>
        </is>
      </c>
    </row>
    <row r="387">
      <c r="A387" t="inlineStr">
        <is>
          <t>UNIONVILLE</t>
        </is>
      </c>
      <c r="B387" t="inlineStr">
        <is>
          <t>SR 1001</t>
        </is>
      </c>
      <c r="C387" t="n">
        <v>0.2</v>
      </c>
      <c r="D387" t="inlineStr">
        <is>
          <t>NE</t>
        </is>
      </c>
      <c r="E387" t="inlineStr">
        <is>
          <t>SR 1606</t>
        </is>
      </c>
      <c r="F387" t="inlineStr">
        <is>
          <t>PIEDMONT SCHOOL</t>
        </is>
      </c>
      <c r="G387" t="inlineStr">
        <is>
          <t>SR 1001</t>
        </is>
      </c>
      <c r="H387" t="n">
        <v>4.294</v>
      </c>
      <c r="J387" t="n">
        <v>104987919</v>
      </c>
      <c r="K387" s="11" t="n">
        <v>42761</v>
      </c>
      <c r="L387" t="n">
        <v>29</v>
      </c>
      <c r="M387" t="n">
        <v>1</v>
      </c>
      <c r="N387" t="n">
        <v>0</v>
      </c>
      <c r="O387" t="n">
        <v>1</v>
      </c>
      <c r="P387" t="inlineStr">
        <is>
          <t>O</t>
        </is>
      </c>
    </row>
    <row r="388">
      <c r="A388" t="inlineStr">
        <is>
          <t>FAIRVIEW</t>
        </is>
      </c>
      <c r="B388" t="inlineStr">
        <is>
          <t>SIKES MILL</t>
        </is>
      </c>
      <c r="C388" t="n">
        <v>0.076</v>
      </c>
      <c r="D388" t="inlineStr">
        <is>
          <t>S</t>
        </is>
      </c>
      <c r="E388" t="inlineStr">
        <is>
          <t>OLD FERRY</t>
        </is>
      </c>
      <c r="F388" t="inlineStr">
        <is>
          <t>BRIEF</t>
        </is>
      </c>
      <c r="G388" t="inlineStr">
        <is>
          <t>SIKES MILL</t>
        </is>
      </c>
      <c r="H388" t="n">
        <v>999.999</v>
      </c>
      <c r="J388" t="n">
        <v>106285749</v>
      </c>
      <c r="K388" s="11" t="n">
        <v>44036</v>
      </c>
      <c r="L388" t="n">
        <v>29</v>
      </c>
      <c r="M388" t="n">
        <v>2</v>
      </c>
      <c r="N388" t="n">
        <v>0</v>
      </c>
      <c r="O388" t="n">
        <v>1</v>
      </c>
      <c r="P388" t="inlineStr">
        <is>
          <t>O</t>
        </is>
      </c>
    </row>
    <row r="389">
      <c r="A389" t="inlineStr">
        <is>
          <t>FAIRVIEW</t>
        </is>
      </c>
      <c r="B389" t="inlineStr">
        <is>
          <t>SIKES MILL</t>
        </is>
      </c>
      <c r="C389" t="n">
        <v>0.19</v>
      </c>
      <c r="D389" t="inlineStr">
        <is>
          <t>N</t>
        </is>
      </c>
      <c r="E389" t="inlineStr">
        <is>
          <t>NC 218</t>
        </is>
      </c>
      <c r="F389" t="inlineStr">
        <is>
          <t>BRIEF</t>
        </is>
      </c>
      <c r="G389" t="inlineStr">
        <is>
          <t>SIKES MILL</t>
        </is>
      </c>
      <c r="H389" t="n">
        <v>999.999</v>
      </c>
      <c r="J389" t="n">
        <v>107132496</v>
      </c>
      <c r="K389" s="11" t="n">
        <v>44868</v>
      </c>
      <c r="L389" t="n">
        <v>28</v>
      </c>
      <c r="M389" t="n">
        <v>1</v>
      </c>
      <c r="N389" t="n">
        <v>0</v>
      </c>
      <c r="O389" t="n">
        <v>1</v>
      </c>
      <c r="P389" t="inlineStr">
        <is>
          <t>O</t>
        </is>
      </c>
    </row>
    <row r="390">
      <c r="A390" t="inlineStr">
        <is>
          <t>UNIONVILLE</t>
        </is>
      </c>
      <c r="B390" t="inlineStr">
        <is>
          <t>SIKES MILL</t>
        </is>
      </c>
      <c r="C390" t="n">
        <v>0.23</v>
      </c>
      <c r="D390" t="inlineStr">
        <is>
          <t>SW</t>
        </is>
      </c>
      <c r="E390" t="inlineStr">
        <is>
          <t>BAUCOM</t>
        </is>
      </c>
      <c r="F390" t="inlineStr">
        <is>
          <t>US 601</t>
        </is>
      </c>
      <c r="G390" t="inlineStr">
        <is>
          <t>SR 1001</t>
        </is>
      </c>
      <c r="H390" t="n">
        <v>1.122</v>
      </c>
      <c r="J390" t="n">
        <v>105934391</v>
      </c>
      <c r="K390" s="11" t="n">
        <v>43668</v>
      </c>
      <c r="L390" t="n">
        <v>19</v>
      </c>
      <c r="M390" t="n">
        <v>1</v>
      </c>
      <c r="N390" t="n">
        <v>0</v>
      </c>
      <c r="O390" t="n">
        <v>1</v>
      </c>
      <c r="P390" t="inlineStr">
        <is>
          <t>O</t>
        </is>
      </c>
    </row>
    <row r="391">
      <c r="A391" t="inlineStr">
        <is>
          <t>RURAL</t>
        </is>
      </c>
      <c r="B391" t="inlineStr">
        <is>
          <t>SIKES MILL</t>
        </is>
      </c>
      <c r="C391" t="n">
        <v>0.24</v>
      </c>
      <c r="D391" t="inlineStr">
        <is>
          <t>S</t>
        </is>
      </c>
      <c r="E391" t="inlineStr">
        <is>
          <t>CHANEY</t>
        </is>
      </c>
      <c r="F391" t="inlineStr">
        <is>
          <t>BAUCOM</t>
        </is>
      </c>
      <c r="G391" t="inlineStr">
        <is>
          <t>SR 1001</t>
        </is>
      </c>
      <c r="H391" t="n">
        <v>1.975</v>
      </c>
      <c r="J391" t="n">
        <v>105178227</v>
      </c>
      <c r="K391" s="11" t="n">
        <v>42947</v>
      </c>
      <c r="L391" t="n">
        <v>19</v>
      </c>
      <c r="M391" t="n">
        <v>1</v>
      </c>
      <c r="N391" t="n">
        <v>0</v>
      </c>
      <c r="O391" t="n">
        <v>5</v>
      </c>
      <c r="P391" t="inlineStr">
        <is>
          <t>O</t>
        </is>
      </c>
    </row>
    <row r="392">
      <c r="A392" t="inlineStr">
        <is>
          <t>UNIONVILLE</t>
        </is>
      </c>
      <c r="B392" t="inlineStr">
        <is>
          <t>SIKES MILL</t>
        </is>
      </c>
      <c r="C392" t="n">
        <v>0.057</v>
      </c>
      <c r="D392" t="inlineStr">
        <is>
          <t>E</t>
        </is>
      </c>
      <c r="E392" t="inlineStr">
        <is>
          <t>BAUCOM</t>
        </is>
      </c>
      <c r="F392" t="inlineStr">
        <is>
          <t>CHANEY</t>
        </is>
      </c>
      <c r="G392" t="inlineStr">
        <is>
          <t>SR 1001</t>
        </is>
      </c>
      <c r="H392" t="n">
        <v>1.409</v>
      </c>
      <c r="J392" t="n">
        <v>106790781</v>
      </c>
      <c r="K392" s="11" t="n">
        <v>44533</v>
      </c>
      <c r="L392" t="n">
        <v>28</v>
      </c>
      <c r="M392" t="n">
        <v>1</v>
      </c>
      <c r="N392" t="n">
        <v>0</v>
      </c>
      <c r="O392" t="n">
        <v>1</v>
      </c>
      <c r="P392" t="inlineStr">
        <is>
          <t>O</t>
        </is>
      </c>
    </row>
    <row r="393">
      <c r="A393" t="inlineStr">
        <is>
          <t>UNIONVILLE</t>
        </is>
      </c>
      <c r="B393" t="inlineStr">
        <is>
          <t>SIKES MILL</t>
        </is>
      </c>
      <c r="C393" t="n">
        <v>0.19</v>
      </c>
      <c r="D393" t="inlineStr">
        <is>
          <t>N</t>
        </is>
      </c>
      <c r="E393" t="inlineStr">
        <is>
          <t>OLD FERRY</t>
        </is>
      </c>
      <c r="F393" t="inlineStr">
        <is>
          <t>*LCL BIGGERS CEMETERY RD</t>
        </is>
      </c>
      <c r="G393" t="inlineStr">
        <is>
          <t>SIKES MILL</t>
        </is>
      </c>
      <c r="H393" t="n">
        <v>999.999</v>
      </c>
      <c r="J393" t="n">
        <v>106626412</v>
      </c>
      <c r="K393" s="11" t="n">
        <v>44386</v>
      </c>
      <c r="L393" t="n">
        <v>29</v>
      </c>
      <c r="M393" t="n">
        <v>2</v>
      </c>
      <c r="N393" t="n">
        <v>0</v>
      </c>
      <c r="O393" t="n">
        <v>1</v>
      </c>
      <c r="P393" t="inlineStr">
        <is>
          <t>O</t>
        </is>
      </c>
    </row>
    <row r="394">
      <c r="A394" t="inlineStr">
        <is>
          <t>UNIONVILLE</t>
        </is>
      </c>
      <c r="B394" t="inlineStr">
        <is>
          <t>SR 1001</t>
        </is>
      </c>
      <c r="C394" t="n">
        <v>0.1</v>
      </c>
      <c r="D394" t="inlineStr">
        <is>
          <t>S</t>
        </is>
      </c>
      <c r="E394" t="inlineStr">
        <is>
          <t>SR 1638</t>
        </is>
      </c>
      <c r="F394" t="inlineStr">
        <is>
          <t>SR 1674</t>
        </is>
      </c>
      <c r="G394" t="inlineStr">
        <is>
          <t>SR 1001</t>
        </is>
      </c>
      <c r="H394" t="n">
        <v>5.126</v>
      </c>
      <c r="J394" t="n">
        <v>107149319</v>
      </c>
      <c r="K394" s="11" t="n">
        <v>44881</v>
      </c>
      <c r="L394" t="n">
        <v>17</v>
      </c>
      <c r="M394" t="n">
        <v>1</v>
      </c>
      <c r="N394" t="n">
        <v>0</v>
      </c>
      <c r="O394" t="n">
        <v>5</v>
      </c>
      <c r="P394" t="inlineStr">
        <is>
          <t>O</t>
        </is>
      </c>
    </row>
    <row r="395">
      <c r="A395" t="inlineStr">
        <is>
          <t>NEW SALEM</t>
        </is>
      </c>
      <c r="B395" t="inlineStr">
        <is>
          <t>SR 1001</t>
        </is>
      </c>
      <c r="C395" t="n">
        <v>0.1</v>
      </c>
      <c r="D395" t="inlineStr">
        <is>
          <t>N</t>
        </is>
      </c>
      <c r="E395" t="inlineStr">
        <is>
          <t>SR 1663</t>
        </is>
      </c>
      <c r="F395" t="inlineStr">
        <is>
          <t>SR 1664</t>
        </is>
      </c>
      <c r="G395" t="inlineStr">
        <is>
          <t>SR 1001</t>
        </is>
      </c>
      <c r="H395" t="n">
        <v>8.749000000000001</v>
      </c>
      <c r="J395" t="n">
        <v>105964117</v>
      </c>
      <c r="K395" s="11" t="n">
        <v>43690</v>
      </c>
      <c r="L395" t="n">
        <v>19</v>
      </c>
      <c r="M395" t="n">
        <v>2</v>
      </c>
      <c r="N395" t="n">
        <v>0</v>
      </c>
      <c r="O395" t="n">
        <v>1</v>
      </c>
      <c r="P395" t="inlineStr">
        <is>
          <t>O</t>
        </is>
      </c>
    </row>
    <row r="396">
      <c r="A396" t="inlineStr">
        <is>
          <t>UNIONVILLE</t>
        </is>
      </c>
      <c r="B396" t="inlineStr">
        <is>
          <t>SR 1001</t>
        </is>
      </c>
      <c r="C396" t="n">
        <v>0.3</v>
      </c>
      <c r="D396" t="inlineStr">
        <is>
          <t>N</t>
        </is>
      </c>
      <c r="E396" t="inlineStr">
        <is>
          <t>NC 218</t>
        </is>
      </c>
      <c r="F396" t="inlineStr">
        <is>
          <t>SR 1547</t>
        </is>
      </c>
      <c r="G396" t="inlineStr">
        <is>
          <t>SR 1001</t>
        </is>
      </c>
      <c r="H396" t="n">
        <v>8.436999999999999</v>
      </c>
      <c r="J396" t="n">
        <v>105838344</v>
      </c>
      <c r="K396" s="11" t="n">
        <v>43573</v>
      </c>
      <c r="L396" t="n">
        <v>17</v>
      </c>
      <c r="M396" t="n">
        <v>1</v>
      </c>
      <c r="N396" t="n">
        <v>0</v>
      </c>
      <c r="O396" t="n">
        <v>5</v>
      </c>
      <c r="P396" t="inlineStr">
        <is>
          <t>O</t>
        </is>
      </c>
    </row>
    <row r="397">
      <c r="A397" t="inlineStr">
        <is>
          <t>UNIONVILLE</t>
        </is>
      </c>
      <c r="B397" t="inlineStr">
        <is>
          <t>SR 1001</t>
        </is>
      </c>
      <c r="C397" t="n">
        <v>0.2</v>
      </c>
      <c r="D397" t="inlineStr">
        <is>
          <t>S</t>
        </is>
      </c>
      <c r="E397" t="inlineStr">
        <is>
          <t>SR 1610</t>
        </is>
      </c>
      <c r="F397" t="inlineStr">
        <is>
          <t>SR 1654</t>
        </is>
      </c>
      <c r="G397" t="inlineStr">
        <is>
          <t>SR 1001</t>
        </is>
      </c>
      <c r="H397" t="n">
        <v>999.999</v>
      </c>
      <c r="J397" t="n">
        <v>105363575</v>
      </c>
      <c r="K397" s="11" t="n">
        <v>43124</v>
      </c>
      <c r="L397" t="n">
        <v>29</v>
      </c>
      <c r="M397" t="n">
        <v>1</v>
      </c>
      <c r="N397" t="n">
        <v>0</v>
      </c>
      <c r="O397" t="n">
        <v>5</v>
      </c>
      <c r="P397" t="inlineStr">
        <is>
          <t>O</t>
        </is>
      </c>
    </row>
    <row r="398">
      <c r="A398" t="inlineStr">
        <is>
          <t>UNIONVILLE</t>
        </is>
      </c>
      <c r="B398" t="inlineStr">
        <is>
          <t>SIKES MILL</t>
        </is>
      </c>
      <c r="C398" t="n">
        <v>0.076</v>
      </c>
      <c r="D398" t="inlineStr">
        <is>
          <t>N</t>
        </is>
      </c>
      <c r="E398" t="inlineStr">
        <is>
          <t>SPRING LAKE</t>
        </is>
      </c>
      <c r="F398" t="inlineStr">
        <is>
          <t>BAUCOM</t>
        </is>
      </c>
      <c r="G398" t="inlineStr">
        <is>
          <t>SR 1001</t>
        </is>
      </c>
      <c r="H398" t="n">
        <v>0.961</v>
      </c>
      <c r="J398" t="n">
        <v>105442537</v>
      </c>
      <c r="K398" s="11" t="n">
        <v>43202</v>
      </c>
      <c r="L398" t="n">
        <v>19</v>
      </c>
      <c r="M398" t="n">
        <v>1</v>
      </c>
      <c r="N398" t="n">
        <v>0</v>
      </c>
      <c r="O398" t="n">
        <v>1</v>
      </c>
      <c r="P398" t="inlineStr">
        <is>
          <t>O</t>
        </is>
      </c>
    </row>
    <row r="399">
      <c r="A399" t="inlineStr">
        <is>
          <t>UNIONVILLE</t>
        </is>
      </c>
      <c r="B399" t="inlineStr">
        <is>
          <t>SIKES MILL</t>
        </is>
      </c>
      <c r="C399" t="n">
        <v>0.25</v>
      </c>
      <c r="D399" t="inlineStr">
        <is>
          <t>N</t>
        </is>
      </c>
      <c r="E399" t="inlineStr">
        <is>
          <t>BRIARCLIFF</t>
        </is>
      </c>
      <c r="F399" t="inlineStr">
        <is>
          <t>UNIONVILLE</t>
        </is>
      </c>
      <c r="G399" t="inlineStr">
        <is>
          <t>SR 1001</t>
        </is>
      </c>
      <c r="H399" t="n">
        <v>2.775</v>
      </c>
      <c r="J399" t="n">
        <v>106042505</v>
      </c>
      <c r="K399" s="11" t="n">
        <v>43754</v>
      </c>
      <c r="L399" t="n">
        <v>1</v>
      </c>
      <c r="M399" t="n">
        <v>3</v>
      </c>
      <c r="N399" t="n">
        <v>0</v>
      </c>
      <c r="O399" t="n">
        <v>1</v>
      </c>
      <c r="P399" t="inlineStr">
        <is>
          <t>O</t>
        </is>
      </c>
    </row>
    <row r="400">
      <c r="A400" t="inlineStr">
        <is>
          <t>UNIONVILLE</t>
        </is>
      </c>
      <c r="B400" t="inlineStr">
        <is>
          <t>SIKES MILL</t>
        </is>
      </c>
      <c r="C400" t="n">
        <v>0</v>
      </c>
      <c r="E400" t="inlineStr">
        <is>
          <t>TOM BOYD</t>
        </is>
      </c>
      <c r="F400" t="inlineStr">
        <is>
          <t>UNIONVILLE</t>
        </is>
      </c>
      <c r="G400" t="inlineStr">
        <is>
          <t>SR 1001</t>
        </is>
      </c>
      <c r="H400" t="n">
        <v>3.461</v>
      </c>
      <c r="J400" t="n">
        <v>106772984</v>
      </c>
      <c r="K400" s="11" t="n">
        <v>44519</v>
      </c>
      <c r="L400" t="n">
        <v>30</v>
      </c>
      <c r="M400" t="n">
        <v>1</v>
      </c>
      <c r="N400" t="n">
        <v>7</v>
      </c>
      <c r="O400" t="n">
        <v>1</v>
      </c>
      <c r="P400" t="inlineStr">
        <is>
          <t>O</t>
        </is>
      </c>
    </row>
    <row r="401">
      <c r="A401" t="inlineStr">
        <is>
          <t>RURAL</t>
        </is>
      </c>
      <c r="B401" t="inlineStr">
        <is>
          <t>SR 1001</t>
        </is>
      </c>
      <c r="C401" t="n">
        <v>0.095</v>
      </c>
      <c r="D401" t="inlineStr">
        <is>
          <t>S</t>
        </is>
      </c>
      <c r="E401" t="inlineStr">
        <is>
          <t>SR 1654</t>
        </is>
      </c>
      <c r="F401" t="inlineStr">
        <is>
          <t>SR 1675</t>
        </is>
      </c>
      <c r="G401" t="inlineStr">
        <is>
          <t>SR 1001</t>
        </is>
      </c>
      <c r="H401" t="n">
        <v>6.136</v>
      </c>
      <c r="J401" t="n">
        <v>106893722</v>
      </c>
      <c r="K401" s="11" t="n">
        <v>44636</v>
      </c>
      <c r="L401" t="n">
        <v>17</v>
      </c>
      <c r="M401" t="n">
        <v>1</v>
      </c>
      <c r="N401" t="n">
        <v>0</v>
      </c>
      <c r="O401" t="n">
        <v>1</v>
      </c>
      <c r="P401" t="inlineStr">
        <is>
          <t>O</t>
        </is>
      </c>
    </row>
    <row r="402">
      <c r="A402" t="inlineStr">
        <is>
          <t>RURAL</t>
        </is>
      </c>
      <c r="B402" t="inlineStr">
        <is>
          <t>SR 1001</t>
        </is>
      </c>
      <c r="C402" t="n">
        <v>0.2</v>
      </c>
      <c r="D402" t="inlineStr">
        <is>
          <t>S</t>
        </is>
      </c>
      <c r="E402" t="inlineStr">
        <is>
          <t>SR 1508</t>
        </is>
      </c>
      <c r="F402" t="inlineStr">
        <is>
          <t>SR 1503</t>
        </is>
      </c>
      <c r="G402" t="inlineStr">
        <is>
          <t>SR 1001</t>
        </is>
      </c>
      <c r="H402" t="n">
        <v>999.999</v>
      </c>
      <c r="J402" t="n">
        <v>105717397</v>
      </c>
      <c r="K402" s="11" t="n">
        <v>43451</v>
      </c>
      <c r="L402" t="n">
        <v>21</v>
      </c>
      <c r="M402" t="n">
        <v>1</v>
      </c>
      <c r="N402" t="n">
        <v>0</v>
      </c>
      <c r="O402" t="n">
        <v>1</v>
      </c>
      <c r="P402" t="inlineStr">
        <is>
          <t>O</t>
        </is>
      </c>
    </row>
    <row r="403">
      <c r="A403" t="inlineStr">
        <is>
          <t>RURAL</t>
        </is>
      </c>
      <c r="B403" t="inlineStr">
        <is>
          <t>SR 1001</t>
        </is>
      </c>
      <c r="C403" t="n">
        <v>0.019</v>
      </c>
      <c r="D403" t="inlineStr">
        <is>
          <t>N</t>
        </is>
      </c>
      <c r="E403" t="inlineStr">
        <is>
          <t>SR 1656</t>
        </is>
      </c>
      <c r="F403" t="inlineStr">
        <is>
          <t>NC 218</t>
        </is>
      </c>
      <c r="G403" t="inlineStr">
        <is>
          <t>SR 1001</t>
        </is>
      </c>
      <c r="H403" t="n">
        <v>7.298</v>
      </c>
      <c r="J403" t="n">
        <v>105308467</v>
      </c>
      <c r="K403" s="11" t="n">
        <v>43072</v>
      </c>
      <c r="L403" t="n">
        <v>17</v>
      </c>
      <c r="M403" t="n">
        <v>1</v>
      </c>
      <c r="N403" t="n">
        <v>8</v>
      </c>
      <c r="O403" t="n">
        <v>5</v>
      </c>
      <c r="P403" t="inlineStr">
        <is>
          <t>O</t>
        </is>
      </c>
    </row>
    <row r="404">
      <c r="A404" t="inlineStr">
        <is>
          <t>UNIONVILLE</t>
        </is>
      </c>
      <c r="B404" t="inlineStr">
        <is>
          <t>SR 1001</t>
        </is>
      </c>
      <c r="C404" t="n">
        <v>0</v>
      </c>
      <c r="E404" t="inlineStr">
        <is>
          <t>SR 1637</t>
        </is>
      </c>
      <c r="F404" t="inlineStr">
        <is>
          <t>SR 1636</t>
        </is>
      </c>
      <c r="G404" t="inlineStr">
        <is>
          <t>SR 1001</t>
        </is>
      </c>
      <c r="H404" t="n">
        <v>4.11</v>
      </c>
      <c r="J404" t="n">
        <v>105337648</v>
      </c>
      <c r="K404" s="11" t="n">
        <v>43088</v>
      </c>
      <c r="L404" t="n">
        <v>30</v>
      </c>
      <c r="M404" t="n">
        <v>1</v>
      </c>
      <c r="N404" t="n">
        <v>10</v>
      </c>
      <c r="O404" t="n">
        <v>5</v>
      </c>
      <c r="P404" t="inlineStr">
        <is>
          <t>B</t>
        </is>
      </c>
    </row>
    <row r="405">
      <c r="A405" t="inlineStr">
        <is>
          <t>UNIONVILLE</t>
        </is>
      </c>
      <c r="B405" t="inlineStr">
        <is>
          <t>SR 1001</t>
        </is>
      </c>
      <c r="C405" t="n">
        <v>0</v>
      </c>
      <c r="E405" t="inlineStr">
        <is>
          <t>SR 1547</t>
        </is>
      </c>
      <c r="F405" t="inlineStr">
        <is>
          <t>SR 1655</t>
        </is>
      </c>
      <c r="G405" t="inlineStr">
        <is>
          <t>SR 1001</t>
        </is>
      </c>
      <c r="H405" t="n">
        <v>999.999</v>
      </c>
      <c r="J405" t="n">
        <v>105273256</v>
      </c>
      <c r="K405" s="11" t="n">
        <v>43035</v>
      </c>
      <c r="L405" t="n">
        <v>24</v>
      </c>
      <c r="M405" t="n">
        <v>1</v>
      </c>
      <c r="N405" t="n">
        <v>7</v>
      </c>
      <c r="O405" t="n">
        <v>1</v>
      </c>
      <c r="P405" t="inlineStr">
        <is>
          <t>C</t>
        </is>
      </c>
    </row>
    <row r="406">
      <c r="A406" t="inlineStr">
        <is>
          <t>HEMBY BRIDGE</t>
        </is>
      </c>
      <c r="B406" t="inlineStr">
        <is>
          <t>SR 1001</t>
        </is>
      </c>
      <c r="C406" t="n">
        <v>0.2</v>
      </c>
      <c r="D406" t="inlineStr">
        <is>
          <t>S</t>
        </is>
      </c>
      <c r="E406" t="inlineStr">
        <is>
          <t>SR 1004</t>
        </is>
      </c>
      <c r="F406" t="inlineStr">
        <is>
          <t>SR 2492</t>
        </is>
      </c>
      <c r="G406" t="inlineStr">
        <is>
          <t>SR 1001</t>
        </is>
      </c>
      <c r="H406" t="n">
        <v>999.999</v>
      </c>
      <c r="J406" t="n">
        <v>104794097</v>
      </c>
      <c r="K406" s="11" t="n">
        <v>42566</v>
      </c>
      <c r="L406" t="n">
        <v>1</v>
      </c>
      <c r="M406" t="n">
        <v>1</v>
      </c>
      <c r="N406" t="n">
        <v>0</v>
      </c>
      <c r="O406" t="n">
        <v>1</v>
      </c>
      <c r="P406" t="inlineStr">
        <is>
          <t>O</t>
        </is>
      </c>
    </row>
    <row r="407">
      <c r="A407" t="inlineStr">
        <is>
          <t>UNIONVILLE</t>
        </is>
      </c>
      <c r="B407" t="inlineStr">
        <is>
          <t>SR 1001</t>
        </is>
      </c>
      <c r="C407" t="n">
        <v>0.75</v>
      </c>
      <c r="D407" t="inlineStr">
        <is>
          <t>S</t>
        </is>
      </c>
      <c r="E407" t="inlineStr">
        <is>
          <t>SR 1638</t>
        </is>
      </c>
      <c r="F407" t="inlineStr">
        <is>
          <t>SR 1688</t>
        </is>
      </c>
      <c r="G407" t="inlineStr">
        <is>
          <t>SR 1001</t>
        </is>
      </c>
      <c r="H407" t="n">
        <v>4.476</v>
      </c>
      <c r="J407" t="n">
        <v>106194121</v>
      </c>
      <c r="K407" s="11" t="n">
        <v>43914</v>
      </c>
      <c r="L407" t="n">
        <v>17</v>
      </c>
      <c r="M407" t="n">
        <v>1</v>
      </c>
      <c r="N407" t="n">
        <v>0</v>
      </c>
      <c r="O407" t="n">
        <v>5</v>
      </c>
      <c r="P407" t="inlineStr">
        <is>
          <t>O</t>
        </is>
      </c>
    </row>
    <row r="408">
      <c r="A408" t="inlineStr">
        <is>
          <t>UNIONVILLE</t>
        </is>
      </c>
      <c r="B408" t="inlineStr">
        <is>
          <t>SIKES MILL</t>
        </is>
      </c>
      <c r="C408" t="n">
        <v>0.22</v>
      </c>
      <c r="D408" t="inlineStr">
        <is>
          <t>N</t>
        </is>
      </c>
      <c r="E408" t="inlineStr">
        <is>
          <t>PIEDMONT SCHOOL</t>
        </is>
      </c>
      <c r="F408" t="inlineStr">
        <is>
          <t>HAIGLER BAUCOM</t>
        </is>
      </c>
      <c r="G408" t="inlineStr">
        <is>
          <t>SIKES MILL</t>
        </is>
      </c>
      <c r="H408" t="n">
        <v>999.999</v>
      </c>
      <c r="J408" t="n">
        <v>104745060</v>
      </c>
      <c r="K408" s="11" t="n">
        <v>42516</v>
      </c>
      <c r="L408" t="n">
        <v>21</v>
      </c>
      <c r="M408" t="n">
        <v>1</v>
      </c>
      <c r="N408" t="n">
        <v>0</v>
      </c>
      <c r="O408" t="n">
        <v>1</v>
      </c>
      <c r="P408" t="inlineStr">
        <is>
          <t>O</t>
        </is>
      </c>
    </row>
    <row r="409">
      <c r="A409" t="inlineStr">
        <is>
          <t>UNIONVILLE</t>
        </is>
      </c>
      <c r="B409" t="inlineStr">
        <is>
          <t>SIKES MILL</t>
        </is>
      </c>
      <c r="C409" t="n">
        <v>0.19</v>
      </c>
      <c r="D409" t="inlineStr">
        <is>
          <t>S</t>
        </is>
      </c>
      <c r="E409" t="inlineStr">
        <is>
          <t>TOM BOYD</t>
        </is>
      </c>
      <c r="F409" t="inlineStr">
        <is>
          <t>SIKES MILL</t>
        </is>
      </c>
      <c r="G409" t="inlineStr">
        <is>
          <t>SR 1001</t>
        </is>
      </c>
      <c r="H409" t="n">
        <v>3.271</v>
      </c>
      <c r="J409" t="n">
        <v>104712202</v>
      </c>
      <c r="K409" s="11" t="n">
        <v>42483</v>
      </c>
      <c r="L409" t="n">
        <v>19</v>
      </c>
      <c r="M409" t="n">
        <v>2</v>
      </c>
      <c r="N409" t="n">
        <v>0</v>
      </c>
      <c r="O409" t="n">
        <v>5</v>
      </c>
      <c r="P409" t="inlineStr">
        <is>
          <t>O</t>
        </is>
      </c>
    </row>
    <row r="410">
      <c r="A410" t="inlineStr">
        <is>
          <t>RURAL</t>
        </is>
      </c>
      <c r="B410" t="inlineStr">
        <is>
          <t>SR 1001</t>
        </is>
      </c>
      <c r="C410" t="n">
        <v>0.4</v>
      </c>
      <c r="D410" t="inlineStr">
        <is>
          <t>N</t>
        </is>
      </c>
      <c r="E410" t="inlineStr">
        <is>
          <t>SR 1664</t>
        </is>
      </c>
      <c r="F410" t="inlineStr">
        <is>
          <t>SR 1152</t>
        </is>
      </c>
      <c r="G410" t="inlineStr">
        <is>
          <t>SR 1001</t>
        </is>
      </c>
      <c r="H410" t="n">
        <v>10.045</v>
      </c>
      <c r="J410" t="n">
        <v>106674471</v>
      </c>
      <c r="K410" s="11" t="n">
        <v>44398</v>
      </c>
      <c r="L410" t="n">
        <v>19</v>
      </c>
      <c r="M410" t="n">
        <v>1</v>
      </c>
      <c r="N410" t="n">
        <v>0</v>
      </c>
      <c r="O410" t="n">
        <v>1</v>
      </c>
      <c r="P410" t="inlineStr">
        <is>
          <t>B</t>
        </is>
      </c>
    </row>
    <row r="411">
      <c r="A411" t="inlineStr">
        <is>
          <t>FAIRVIEW</t>
        </is>
      </c>
      <c r="B411" t="inlineStr">
        <is>
          <t>SR 1001</t>
        </is>
      </c>
      <c r="C411" t="n">
        <v>0.1</v>
      </c>
      <c r="D411" t="inlineStr">
        <is>
          <t>S</t>
        </is>
      </c>
      <c r="E411" t="inlineStr">
        <is>
          <t>SR 1663</t>
        </is>
      </c>
      <c r="F411" t="inlineStr">
        <is>
          <t>SR 1639</t>
        </is>
      </c>
      <c r="G411" t="inlineStr">
        <is>
          <t>SR 1001</t>
        </is>
      </c>
      <c r="H411" t="n">
        <v>8.548999999999999</v>
      </c>
      <c r="J411" t="n">
        <v>106934042</v>
      </c>
      <c r="K411" s="11" t="n">
        <v>44676</v>
      </c>
      <c r="L411" t="n">
        <v>5</v>
      </c>
      <c r="M411" t="n">
        <v>1</v>
      </c>
      <c r="N411" t="n">
        <v>0</v>
      </c>
      <c r="O411" t="n">
        <v>1</v>
      </c>
      <c r="P411" t="inlineStr">
        <is>
          <t>C</t>
        </is>
      </c>
    </row>
    <row r="412">
      <c r="A412" t="inlineStr">
        <is>
          <t>RURAL</t>
        </is>
      </c>
      <c r="B412" t="inlineStr">
        <is>
          <t>SR 1001</t>
        </is>
      </c>
      <c r="C412" t="n">
        <v>1</v>
      </c>
      <c r="D412" t="inlineStr">
        <is>
          <t>E</t>
        </is>
      </c>
      <c r="E412" t="inlineStr">
        <is>
          <t>SR 1524</t>
        </is>
      </c>
      <c r="F412" t="inlineStr">
        <is>
          <t>SR 1007</t>
        </is>
      </c>
      <c r="G412" t="inlineStr">
        <is>
          <t>SR 1001</t>
        </is>
      </c>
      <c r="H412" t="n">
        <v>999.999</v>
      </c>
      <c r="J412" t="n">
        <v>107177955</v>
      </c>
      <c r="K412" s="11" t="n">
        <v>44905</v>
      </c>
      <c r="L412" t="n">
        <v>21</v>
      </c>
      <c r="M412" t="n">
        <v>1</v>
      </c>
      <c r="N412" t="n">
        <v>0</v>
      </c>
      <c r="O412" t="n">
        <v>1</v>
      </c>
      <c r="P412" t="inlineStr">
        <is>
          <t>O</t>
        </is>
      </c>
    </row>
    <row r="413">
      <c r="A413" t="inlineStr">
        <is>
          <t>RURAL</t>
        </is>
      </c>
      <c r="B413" t="inlineStr">
        <is>
          <t>SR 1001</t>
        </is>
      </c>
      <c r="C413" t="n">
        <v>0.7</v>
      </c>
      <c r="D413" t="inlineStr">
        <is>
          <t>S</t>
        </is>
      </c>
      <c r="E413" t="inlineStr">
        <is>
          <t>SR 1606</t>
        </is>
      </c>
      <c r="F413" t="inlineStr">
        <is>
          <t>SR 1640</t>
        </is>
      </c>
      <c r="G413" t="inlineStr">
        <is>
          <t>SR 1001</t>
        </is>
      </c>
      <c r="H413" t="n">
        <v>3.394</v>
      </c>
      <c r="J413" t="n">
        <v>106325966</v>
      </c>
      <c r="K413" s="11" t="n">
        <v>44062</v>
      </c>
      <c r="L413" t="n">
        <v>29</v>
      </c>
      <c r="M413" t="n">
        <v>1</v>
      </c>
      <c r="N413" t="n">
        <v>2</v>
      </c>
      <c r="O413" t="n">
        <v>1</v>
      </c>
      <c r="P413" t="inlineStr">
        <is>
          <t>O</t>
        </is>
      </c>
    </row>
    <row r="414">
      <c r="A414" t="inlineStr">
        <is>
          <t>UNIONVILLE</t>
        </is>
      </c>
      <c r="B414" t="inlineStr">
        <is>
          <t>SIKES MILL</t>
        </is>
      </c>
      <c r="C414" t="n">
        <v>0.5</v>
      </c>
      <c r="D414" t="inlineStr">
        <is>
          <t>S</t>
        </is>
      </c>
      <c r="E414" t="inlineStr">
        <is>
          <t>TOM BOYD</t>
        </is>
      </c>
      <c r="F414" t="inlineStr">
        <is>
          <t>UNIONVILLE</t>
        </is>
      </c>
      <c r="G414" t="inlineStr">
        <is>
          <t>SR 1001</t>
        </is>
      </c>
      <c r="H414" t="n">
        <v>2.961</v>
      </c>
      <c r="J414" t="n">
        <v>106582879</v>
      </c>
      <c r="K414" s="11" t="n">
        <v>44340</v>
      </c>
      <c r="L414" t="n">
        <v>17</v>
      </c>
      <c r="M414" t="n">
        <v>1</v>
      </c>
      <c r="N414" t="n">
        <v>0</v>
      </c>
      <c r="O414" t="n">
        <v>1</v>
      </c>
      <c r="P414" t="inlineStr">
        <is>
          <t>O</t>
        </is>
      </c>
    </row>
    <row r="415">
      <c r="A415" t="inlineStr">
        <is>
          <t>RURAL</t>
        </is>
      </c>
      <c r="B415" t="inlineStr">
        <is>
          <t>SR 1001</t>
        </is>
      </c>
      <c r="C415" t="n">
        <v>0</v>
      </c>
      <c r="E415" t="inlineStr">
        <is>
          <t>SR 1637</t>
        </is>
      </c>
      <c r="F415" t="inlineStr">
        <is>
          <t>SR 1606</t>
        </is>
      </c>
      <c r="G415" t="inlineStr">
        <is>
          <t>SR 1001</t>
        </is>
      </c>
      <c r="H415" t="n">
        <v>4.11</v>
      </c>
      <c r="J415" t="n">
        <v>106532803</v>
      </c>
      <c r="K415" s="11" t="n">
        <v>44286</v>
      </c>
      <c r="L415" t="n">
        <v>26</v>
      </c>
      <c r="M415" t="n">
        <v>1</v>
      </c>
      <c r="N415" t="n">
        <v>10</v>
      </c>
      <c r="O415" t="n">
        <v>1</v>
      </c>
      <c r="P415" t="inlineStr">
        <is>
          <t>O</t>
        </is>
      </c>
    </row>
    <row r="416">
      <c r="A416" t="inlineStr">
        <is>
          <t>UNIONVILLE</t>
        </is>
      </c>
      <c r="B416" t="inlineStr">
        <is>
          <t>SR 1001</t>
        </is>
      </c>
      <c r="C416" t="n">
        <v>0</v>
      </c>
      <c r="E416" t="inlineStr">
        <is>
          <t>SR 1638</t>
        </is>
      </c>
      <c r="F416" t="inlineStr">
        <is>
          <t>SR 1674</t>
        </is>
      </c>
      <c r="G416" t="inlineStr">
        <is>
          <t>SR 1001</t>
        </is>
      </c>
      <c r="H416" t="n">
        <v>5.226</v>
      </c>
      <c r="J416" t="n">
        <v>105561390</v>
      </c>
      <c r="K416" s="11" t="n">
        <v>43313</v>
      </c>
      <c r="L416" t="n">
        <v>30</v>
      </c>
      <c r="M416" t="n">
        <v>1</v>
      </c>
      <c r="N416" t="n">
        <v>7</v>
      </c>
      <c r="O416" t="n">
        <v>1</v>
      </c>
      <c r="P416" t="inlineStr">
        <is>
          <t>O</t>
        </is>
      </c>
    </row>
    <row r="417">
      <c r="A417" t="inlineStr">
        <is>
          <t>UNIONVILLE</t>
        </is>
      </c>
      <c r="B417" t="inlineStr">
        <is>
          <t>SR 1001</t>
        </is>
      </c>
      <c r="C417" t="n">
        <v>0.3</v>
      </c>
      <c r="D417" t="inlineStr">
        <is>
          <t>N</t>
        </is>
      </c>
      <c r="E417" t="inlineStr">
        <is>
          <t>SR 1678</t>
        </is>
      </c>
      <c r="F417" t="inlineStr">
        <is>
          <t>SR 1615</t>
        </is>
      </c>
      <c r="G417" t="inlineStr">
        <is>
          <t>SR 1001</t>
        </is>
      </c>
      <c r="H417" t="n">
        <v>999.999</v>
      </c>
      <c r="J417" t="n">
        <v>104835188</v>
      </c>
      <c r="K417" s="11" t="n">
        <v>42613</v>
      </c>
      <c r="L417" t="n">
        <v>29</v>
      </c>
      <c r="M417" t="n">
        <v>1</v>
      </c>
      <c r="N417" t="n">
        <v>0</v>
      </c>
      <c r="O417" t="n">
        <v>1</v>
      </c>
      <c r="P417" t="inlineStr">
        <is>
          <t>O</t>
        </is>
      </c>
    </row>
    <row r="418">
      <c r="A418" t="inlineStr">
        <is>
          <t>RURAL</t>
        </is>
      </c>
      <c r="B418" t="inlineStr">
        <is>
          <t>SR 1001</t>
        </is>
      </c>
      <c r="C418" t="n">
        <v>0.75</v>
      </c>
      <c r="D418" t="inlineStr">
        <is>
          <t>N</t>
        </is>
      </c>
      <c r="E418" t="inlineStr">
        <is>
          <t>NC 218</t>
        </is>
      </c>
      <c r="F418" t="inlineStr">
        <is>
          <t>SANTA CLAUS</t>
        </is>
      </c>
      <c r="G418" t="inlineStr">
        <is>
          <t>SR 1001</t>
        </is>
      </c>
      <c r="H418" t="n">
        <v>8.887</v>
      </c>
      <c r="J418" t="n">
        <v>105604627</v>
      </c>
      <c r="K418" s="11" t="n">
        <v>43359</v>
      </c>
      <c r="L418" t="n">
        <v>18</v>
      </c>
      <c r="M418" t="n">
        <v>2</v>
      </c>
      <c r="N418" t="n">
        <v>0</v>
      </c>
      <c r="O418" t="n">
        <v>5</v>
      </c>
      <c r="P418" t="inlineStr">
        <is>
          <t>O</t>
        </is>
      </c>
    </row>
    <row r="419">
      <c r="A419" t="inlineStr">
        <is>
          <t>UNIONVILLE</t>
        </is>
      </c>
      <c r="B419" t="inlineStr">
        <is>
          <t>SR 1001</t>
        </is>
      </c>
      <c r="C419" t="n">
        <v>0.1</v>
      </c>
      <c r="D419" t="inlineStr">
        <is>
          <t>NE</t>
        </is>
      </c>
      <c r="E419" t="inlineStr">
        <is>
          <t>SR 1606</t>
        </is>
      </c>
      <c r="F419" t="inlineStr">
        <is>
          <t>PIEDMONT SCHOOL</t>
        </is>
      </c>
      <c r="G419" t="inlineStr">
        <is>
          <t>SR 1001</t>
        </is>
      </c>
      <c r="H419" t="n">
        <v>4.194</v>
      </c>
      <c r="J419" t="n">
        <v>104695165</v>
      </c>
      <c r="K419" s="11" t="n">
        <v>42464</v>
      </c>
      <c r="L419" t="n">
        <v>19</v>
      </c>
      <c r="M419" t="n">
        <v>1</v>
      </c>
      <c r="N419" t="n">
        <v>0</v>
      </c>
      <c r="O419" t="n">
        <v>1</v>
      </c>
      <c r="P419" t="inlineStr">
        <is>
          <t>O</t>
        </is>
      </c>
    </row>
    <row r="420">
      <c r="A420" t="inlineStr">
        <is>
          <t>RURAL</t>
        </is>
      </c>
      <c r="B420" t="inlineStr">
        <is>
          <t>SR 1001</t>
        </is>
      </c>
      <c r="C420" t="n">
        <v>0.1</v>
      </c>
      <c r="D420" t="inlineStr">
        <is>
          <t>S</t>
        </is>
      </c>
      <c r="E420" t="inlineStr">
        <is>
          <t>CL-STANLY</t>
        </is>
      </c>
      <c r="F420" t="inlineStr">
        <is>
          <t>SR 1664</t>
        </is>
      </c>
      <c r="G420" t="inlineStr">
        <is>
          <t>SR 1001</t>
        </is>
      </c>
      <c r="H420" t="n">
        <v>10.376</v>
      </c>
      <c r="J420" t="n">
        <v>104947533</v>
      </c>
      <c r="K420" s="11" t="n">
        <v>42718</v>
      </c>
      <c r="L420" t="n">
        <v>19</v>
      </c>
      <c r="M420" t="n">
        <v>2</v>
      </c>
      <c r="N420" t="n">
        <v>0</v>
      </c>
      <c r="O420" t="n">
        <v>5</v>
      </c>
      <c r="P420" t="inlineStr">
        <is>
          <t>B</t>
        </is>
      </c>
    </row>
    <row r="421">
      <c r="A421" t="inlineStr">
        <is>
          <t>UNIONVILLE</t>
        </is>
      </c>
      <c r="B421" t="inlineStr">
        <is>
          <t>SR 1001</t>
        </is>
      </c>
      <c r="C421" t="n">
        <v>1.5</v>
      </c>
      <c r="D421" t="inlineStr">
        <is>
          <t>N</t>
        </is>
      </c>
      <c r="E421" t="inlineStr">
        <is>
          <t>SR 1367</t>
        </is>
      </c>
      <c r="F421" t="inlineStr">
        <is>
          <t>SR 1606</t>
        </is>
      </c>
      <c r="G421" t="inlineStr">
        <is>
          <t>SR 1001</t>
        </is>
      </c>
      <c r="H421" t="n">
        <v>999.999</v>
      </c>
      <c r="J421" t="n">
        <v>104852366</v>
      </c>
      <c r="K421" s="11" t="n">
        <v>42627</v>
      </c>
      <c r="L421" t="n">
        <v>29</v>
      </c>
      <c r="M421" t="n">
        <v>1</v>
      </c>
      <c r="N421" t="n">
        <v>0</v>
      </c>
      <c r="O421" t="n">
        <v>5</v>
      </c>
      <c r="P421" t="inlineStr">
        <is>
          <t>O</t>
        </is>
      </c>
    </row>
    <row r="422">
      <c r="A422" t="inlineStr">
        <is>
          <t>RURAL</t>
        </is>
      </c>
      <c r="B422" t="inlineStr">
        <is>
          <t>SR 1001</t>
        </is>
      </c>
      <c r="C422" t="n">
        <v>0</v>
      </c>
      <c r="E422" t="inlineStr">
        <is>
          <t>SR 1656</t>
        </is>
      </c>
      <c r="F422" t="inlineStr">
        <is>
          <t>SR 1655</t>
        </is>
      </c>
      <c r="G422" t="inlineStr">
        <is>
          <t>SR 1001</t>
        </is>
      </c>
      <c r="H422" t="n">
        <v>7.279</v>
      </c>
      <c r="J422" t="n">
        <v>106846006</v>
      </c>
      <c r="K422" s="11" t="n">
        <v>44588</v>
      </c>
      <c r="L422" t="n">
        <v>24</v>
      </c>
      <c r="M422" t="n">
        <v>1</v>
      </c>
      <c r="N422" t="n">
        <v>8</v>
      </c>
      <c r="O422" t="n">
        <v>1</v>
      </c>
      <c r="P422" t="inlineStr">
        <is>
          <t>O</t>
        </is>
      </c>
    </row>
    <row r="423">
      <c r="A423" t="inlineStr">
        <is>
          <t>UNIONVILLE</t>
        </is>
      </c>
      <c r="B423" t="inlineStr">
        <is>
          <t>SR 1001</t>
        </is>
      </c>
      <c r="C423" t="n">
        <v>0.1</v>
      </c>
      <c r="D423" t="inlineStr">
        <is>
          <t>S</t>
        </is>
      </c>
      <c r="E423" t="inlineStr">
        <is>
          <t>SR 1638</t>
        </is>
      </c>
      <c r="F423" t="inlineStr">
        <is>
          <t>SR 1674</t>
        </is>
      </c>
      <c r="G423" t="inlineStr">
        <is>
          <t>SR 1001</t>
        </is>
      </c>
      <c r="H423" t="n">
        <v>5.126</v>
      </c>
      <c r="J423" t="n">
        <v>105260877</v>
      </c>
      <c r="K423" s="11" t="n">
        <v>43023</v>
      </c>
      <c r="L423" t="n">
        <v>19</v>
      </c>
      <c r="M423" t="n">
        <v>1</v>
      </c>
      <c r="N423" t="n">
        <v>0</v>
      </c>
      <c r="O423" t="n">
        <v>5</v>
      </c>
      <c r="P423" t="inlineStr">
        <is>
          <t>O</t>
        </is>
      </c>
    </row>
    <row r="424">
      <c r="A424" t="inlineStr">
        <is>
          <t>UNIONVILLE</t>
        </is>
      </c>
      <c r="B424" t="inlineStr">
        <is>
          <t>SR 1001</t>
        </is>
      </c>
      <c r="C424" t="n">
        <v>0.3</v>
      </c>
      <c r="D424" t="inlineStr">
        <is>
          <t>S</t>
        </is>
      </c>
      <c r="E424" t="inlineStr">
        <is>
          <t>SR 1678</t>
        </is>
      </c>
      <c r="F424" t="inlineStr">
        <is>
          <t>SR 1618</t>
        </is>
      </c>
      <c r="G424" t="inlineStr">
        <is>
          <t>SR 1001</t>
        </is>
      </c>
      <c r="H424" t="n">
        <v>999.999</v>
      </c>
      <c r="J424" t="n">
        <v>106458989</v>
      </c>
      <c r="K424" s="11" t="n">
        <v>44188</v>
      </c>
      <c r="L424" t="n">
        <v>19</v>
      </c>
      <c r="M424" t="n">
        <v>1</v>
      </c>
      <c r="N424" t="n">
        <v>0</v>
      </c>
      <c r="O424" t="n">
        <v>1</v>
      </c>
      <c r="P424" t="inlineStr">
        <is>
          <t>O</t>
        </is>
      </c>
    </row>
    <row r="425">
      <c r="A425" t="inlineStr">
        <is>
          <t>RURAL</t>
        </is>
      </c>
      <c r="B425" t="inlineStr">
        <is>
          <t>SR 1001</t>
        </is>
      </c>
      <c r="C425" t="n">
        <v>0.3</v>
      </c>
      <c r="D425" t="inlineStr">
        <is>
          <t>N</t>
        </is>
      </c>
      <c r="E425" t="inlineStr">
        <is>
          <t>SR 1664</t>
        </is>
      </c>
      <c r="F425" t="inlineStr">
        <is>
          <t>CL-STANLY</t>
        </is>
      </c>
      <c r="G425" t="inlineStr">
        <is>
          <t>SR 1001</t>
        </is>
      </c>
      <c r="H425" t="n">
        <v>9.945</v>
      </c>
      <c r="J425" t="n">
        <v>106138896</v>
      </c>
      <c r="K425" s="11" t="n">
        <v>43857</v>
      </c>
      <c r="L425" t="n">
        <v>19</v>
      </c>
      <c r="M425" t="n">
        <v>1</v>
      </c>
      <c r="N425" t="n">
        <v>0</v>
      </c>
      <c r="O425" t="n">
        <v>1</v>
      </c>
      <c r="P425" t="inlineStr">
        <is>
          <t>C</t>
        </is>
      </c>
    </row>
    <row r="426">
      <c r="A426" t="inlineStr">
        <is>
          <t>UNIONVILLE</t>
        </is>
      </c>
      <c r="B426" t="inlineStr">
        <is>
          <t>SR 1001</t>
        </is>
      </c>
      <c r="C426" t="n">
        <v>0</v>
      </c>
      <c r="E426" t="inlineStr">
        <is>
          <t>SR 1637</t>
        </is>
      </c>
      <c r="F426" t="inlineStr">
        <is>
          <t>SR 1001</t>
        </is>
      </c>
      <c r="G426" t="inlineStr">
        <is>
          <t>SR 1001</t>
        </is>
      </c>
      <c r="H426" t="n">
        <v>4.11</v>
      </c>
      <c r="J426" t="n">
        <v>105414221</v>
      </c>
      <c r="K426" s="11" t="n">
        <v>43173</v>
      </c>
      <c r="L426" t="n">
        <v>26</v>
      </c>
      <c r="M426" t="n">
        <v>1</v>
      </c>
      <c r="N426" t="n">
        <v>10</v>
      </c>
      <c r="O426" t="n">
        <v>5</v>
      </c>
      <c r="P426" t="inlineStr">
        <is>
          <t>O</t>
        </is>
      </c>
    </row>
    <row r="427">
      <c r="A427" t="inlineStr">
        <is>
          <t>UNIONVILLE</t>
        </is>
      </c>
      <c r="B427" t="inlineStr">
        <is>
          <t>SR 1001</t>
        </is>
      </c>
      <c r="C427" t="n">
        <v>0.014</v>
      </c>
      <c r="D427" t="inlineStr">
        <is>
          <t>S</t>
        </is>
      </c>
      <c r="E427" t="inlineStr">
        <is>
          <t>SR 1638</t>
        </is>
      </c>
      <c r="F427" t="inlineStr">
        <is>
          <t>SR 1674</t>
        </is>
      </c>
      <c r="G427" t="inlineStr">
        <is>
          <t>SR 1001</t>
        </is>
      </c>
      <c r="H427" t="n">
        <v>5.212</v>
      </c>
      <c r="J427" t="n">
        <v>105196253</v>
      </c>
      <c r="K427" s="11" t="n">
        <v>42965</v>
      </c>
      <c r="L427" t="n">
        <v>31</v>
      </c>
      <c r="M427" t="n">
        <v>1</v>
      </c>
      <c r="N427" t="n">
        <v>0</v>
      </c>
      <c r="O427" t="n">
        <v>5</v>
      </c>
      <c r="P427" t="inlineStr">
        <is>
          <t>O</t>
        </is>
      </c>
    </row>
    <row r="428">
      <c r="A428" t="inlineStr">
        <is>
          <t>FAIRVIEW</t>
        </is>
      </c>
      <c r="B428" t="inlineStr">
        <is>
          <t>SR 1001</t>
        </is>
      </c>
      <c r="C428" t="n">
        <v>0.9</v>
      </c>
      <c r="D428" t="inlineStr">
        <is>
          <t>N</t>
        </is>
      </c>
      <c r="E428" t="inlineStr">
        <is>
          <t>SR 1654</t>
        </is>
      </c>
      <c r="F428" t="inlineStr">
        <is>
          <t>SR 1610</t>
        </is>
      </c>
      <c r="G428" t="inlineStr">
        <is>
          <t>SR 1001</t>
        </is>
      </c>
      <c r="H428" t="n">
        <v>7.131</v>
      </c>
      <c r="J428" t="n">
        <v>105778686</v>
      </c>
      <c r="K428" s="11" t="n">
        <v>43507</v>
      </c>
      <c r="L428" t="n">
        <v>5</v>
      </c>
      <c r="M428" t="n">
        <v>2</v>
      </c>
      <c r="N428" t="n">
        <v>0</v>
      </c>
      <c r="O428" t="n">
        <v>1</v>
      </c>
      <c r="P428" t="inlineStr">
        <is>
          <t>C</t>
        </is>
      </c>
    </row>
    <row r="429">
      <c r="A429" t="inlineStr">
        <is>
          <t>RURAL</t>
        </is>
      </c>
      <c r="B429" t="inlineStr">
        <is>
          <t>SR 1001</t>
        </is>
      </c>
      <c r="C429" t="n">
        <v>0</v>
      </c>
      <c r="E429" t="inlineStr">
        <is>
          <t>SR 1653</t>
        </is>
      </c>
      <c r="F429" t="inlineStr">
        <is>
          <t>SR 1654</t>
        </is>
      </c>
      <c r="G429" t="inlineStr">
        <is>
          <t>SR 1001</t>
        </is>
      </c>
      <c r="H429" t="n">
        <v>6.69</v>
      </c>
      <c r="J429" t="n">
        <v>106620818</v>
      </c>
      <c r="K429" s="11" t="n">
        <v>44372</v>
      </c>
      <c r="L429" t="n">
        <v>24</v>
      </c>
      <c r="M429" t="n">
        <v>1</v>
      </c>
      <c r="N429" t="n">
        <v>8</v>
      </c>
      <c r="O429" t="n">
        <v>1</v>
      </c>
      <c r="P429" t="inlineStr">
        <is>
          <t>B</t>
        </is>
      </c>
    </row>
    <row r="430">
      <c r="A430" t="inlineStr">
        <is>
          <t>UNIONVILLE</t>
        </is>
      </c>
      <c r="B430" t="inlineStr">
        <is>
          <t>LOVE MILL</t>
        </is>
      </c>
      <c r="C430" t="n">
        <v>0.25</v>
      </c>
      <c r="D430" t="inlineStr">
        <is>
          <t>N</t>
        </is>
      </c>
      <c r="E430" t="inlineStr">
        <is>
          <t>*LCL PURSER RUSHING RD</t>
        </is>
      </c>
      <c r="F430" t="inlineStr">
        <is>
          <t>HAIGLER BAUCOM</t>
        </is>
      </c>
      <c r="H430" t="n">
        <v>999.999</v>
      </c>
      <c r="J430" t="n">
        <v>108479327</v>
      </c>
      <c r="K430" s="11" t="n">
        <v>46140</v>
      </c>
      <c r="L430" t="n">
        <v>17</v>
      </c>
      <c r="M430" t="n">
        <v>1</v>
      </c>
      <c r="N430" t="n">
        <v>0</v>
      </c>
      <c r="O430" t="n">
        <v>5</v>
      </c>
      <c r="P430" t="inlineStr">
        <is>
          <t>O</t>
        </is>
      </c>
    </row>
    <row r="431">
      <c r="A431" t="inlineStr">
        <is>
          <t>UNIONVILLE</t>
        </is>
      </c>
      <c r="B431" t="inlineStr">
        <is>
          <t>SIKES MILL</t>
        </is>
      </c>
      <c r="C431" t="n">
        <v>0.21</v>
      </c>
      <c r="D431" t="inlineStr">
        <is>
          <t>N</t>
        </is>
      </c>
      <c r="E431" t="inlineStr">
        <is>
          <t>HENRY SMITH</t>
        </is>
      </c>
      <c r="F431" t="inlineStr">
        <is>
          <t>HAIGLER BAUCOM</t>
        </is>
      </c>
      <c r="G431" t="inlineStr">
        <is>
          <t>SIKES MILL</t>
        </is>
      </c>
      <c r="H431" t="n">
        <v>999.999</v>
      </c>
      <c r="J431" t="n">
        <v>107337337</v>
      </c>
      <c r="K431" s="11" t="n">
        <v>45062</v>
      </c>
      <c r="L431" t="n">
        <v>21</v>
      </c>
      <c r="M431" t="n">
        <v>1</v>
      </c>
      <c r="N431" t="n">
        <v>0</v>
      </c>
      <c r="O431" t="n">
        <v>1</v>
      </c>
      <c r="P431" t="inlineStr">
        <is>
          <t>O</t>
        </is>
      </c>
    </row>
    <row r="432">
      <c r="A432" t="inlineStr">
        <is>
          <t>UNIONVILLE</t>
        </is>
      </c>
      <c r="B432" t="inlineStr">
        <is>
          <t>SIKES MILL</t>
        </is>
      </c>
      <c r="C432" t="n">
        <v>0.095</v>
      </c>
      <c r="D432" t="inlineStr">
        <is>
          <t>S</t>
        </is>
      </c>
      <c r="E432" t="inlineStr">
        <is>
          <t>LOVE MILL</t>
        </is>
      </c>
      <c r="F432" t="inlineStr">
        <is>
          <t>TOM BOYD</t>
        </is>
      </c>
      <c r="G432" t="inlineStr">
        <is>
          <t>SR 1001</t>
        </is>
      </c>
      <c r="H432" t="n">
        <v>4.015</v>
      </c>
      <c r="J432" t="n">
        <v>107319455</v>
      </c>
      <c r="K432" s="11" t="n">
        <v>44992</v>
      </c>
      <c r="L432" t="n">
        <v>17</v>
      </c>
      <c r="M432" t="n">
        <v>1</v>
      </c>
      <c r="N432" t="n">
        <v>0</v>
      </c>
      <c r="O432" t="n">
        <v>1</v>
      </c>
      <c r="P432" t="inlineStr">
        <is>
          <t>O</t>
        </is>
      </c>
    </row>
    <row r="433">
      <c r="A433" t="inlineStr">
        <is>
          <t>FAIRVIEW</t>
        </is>
      </c>
      <c r="B433" t="inlineStr">
        <is>
          <t>SR 1606</t>
        </is>
      </c>
      <c r="C433" t="n">
        <v>0.095</v>
      </c>
      <c r="D433" t="inlineStr">
        <is>
          <t>N</t>
        </is>
      </c>
      <c r="E433" t="inlineStr">
        <is>
          <t>SR 1607</t>
        </is>
      </c>
      <c r="F433" t="inlineStr">
        <is>
          <t>SR 1604</t>
        </is>
      </c>
      <c r="G433" t="inlineStr">
        <is>
          <t>SR 1606</t>
        </is>
      </c>
      <c r="H433" t="n">
        <v>0.989</v>
      </c>
      <c r="J433" t="n">
        <v>107325118</v>
      </c>
      <c r="K433" s="11" t="n">
        <v>45050</v>
      </c>
      <c r="L433" t="n">
        <v>17</v>
      </c>
      <c r="M433" t="n">
        <v>1</v>
      </c>
      <c r="N433" t="n">
        <v>0</v>
      </c>
      <c r="O433" t="n">
        <v>5</v>
      </c>
      <c r="P433" t="inlineStr">
        <is>
          <t>O</t>
        </is>
      </c>
    </row>
    <row r="434">
      <c r="A434" t="inlineStr">
        <is>
          <t>UNIONVILLE</t>
        </is>
      </c>
      <c r="B434" t="inlineStr">
        <is>
          <t>SIKES MILL</t>
        </is>
      </c>
      <c r="C434" t="n">
        <v>0.095</v>
      </c>
      <c r="D434" t="inlineStr">
        <is>
          <t>N</t>
        </is>
      </c>
      <c r="E434" t="inlineStr">
        <is>
          <t>BAUCOM</t>
        </is>
      </c>
      <c r="F434" t="inlineStr">
        <is>
          <t>CHANEY</t>
        </is>
      </c>
      <c r="G434" t="inlineStr">
        <is>
          <t>SR 1001</t>
        </is>
      </c>
      <c r="H434" t="n">
        <v>1.447</v>
      </c>
      <c r="J434" t="n">
        <v>107319625</v>
      </c>
      <c r="K434" s="11" t="n">
        <v>45027</v>
      </c>
      <c r="L434" t="n">
        <v>29</v>
      </c>
      <c r="M434" t="n">
        <v>1</v>
      </c>
      <c r="N434" t="n">
        <v>0</v>
      </c>
      <c r="O434" t="n">
        <v>1</v>
      </c>
      <c r="P434" t="inlineStr">
        <is>
          <t>O</t>
        </is>
      </c>
    </row>
    <row r="435">
      <c r="A435" t="inlineStr">
        <is>
          <t>RURAL</t>
        </is>
      </c>
      <c r="B435" t="inlineStr">
        <is>
          <t>SR 1606</t>
        </is>
      </c>
      <c r="C435" t="n">
        <v>0.6</v>
      </c>
      <c r="D435" t="inlineStr">
        <is>
          <t>S</t>
        </is>
      </c>
      <c r="E435" t="inlineStr">
        <is>
          <t>SR 1547</t>
        </is>
      </c>
      <c r="F435" t="inlineStr">
        <is>
          <t>NC 218</t>
        </is>
      </c>
      <c r="G435" t="inlineStr">
        <is>
          <t>SR 1606</t>
        </is>
      </c>
      <c r="H435" t="n">
        <v>2.187</v>
      </c>
      <c r="J435" t="n">
        <v>107283618</v>
      </c>
      <c r="K435" s="11" t="n">
        <v>45010</v>
      </c>
      <c r="L435" t="n">
        <v>19</v>
      </c>
      <c r="M435" t="n">
        <v>2</v>
      </c>
      <c r="N435" t="n">
        <v>0</v>
      </c>
      <c r="O435" t="n">
        <v>1</v>
      </c>
      <c r="P435" t="inlineStr">
        <is>
          <t>O</t>
        </is>
      </c>
    </row>
    <row r="436">
      <c r="A436" t="inlineStr">
        <is>
          <t>RURAL</t>
        </is>
      </c>
      <c r="B436" t="inlineStr">
        <is>
          <t>US 601</t>
        </is>
      </c>
      <c r="C436" t="n">
        <v>0.015</v>
      </c>
      <c r="D436" t="inlineStr">
        <is>
          <t>S</t>
        </is>
      </c>
      <c r="E436" t="inlineStr">
        <is>
          <t>SR 1001</t>
        </is>
      </c>
      <c r="F436" t="inlineStr">
        <is>
          <t>SR 1504</t>
        </is>
      </c>
      <c r="G436" t="inlineStr">
        <is>
          <t>US 601</t>
        </is>
      </c>
      <c r="H436" t="n">
        <v>17.992</v>
      </c>
      <c r="J436" t="n">
        <v>107931418</v>
      </c>
      <c r="K436" s="11" t="n">
        <v>45583</v>
      </c>
      <c r="L436" t="n">
        <v>14</v>
      </c>
      <c r="M436" t="n">
        <v>1</v>
      </c>
      <c r="N436" t="n">
        <v>0</v>
      </c>
      <c r="O436" t="n">
        <v>5</v>
      </c>
      <c r="P436" t="inlineStr">
        <is>
          <t>K</t>
        </is>
      </c>
      <c r="Q436" t="n">
        <v>35.032613</v>
      </c>
      <c r="R436" t="n">
        <v>-80.536895</v>
      </c>
      <c r="S436" t="inlineStr">
        <is>
          <t>VHB_PEDBIKE</t>
        </is>
      </c>
    </row>
    <row r="437">
      <c r="A437" t="inlineStr">
        <is>
          <t>UNIONVILLE</t>
        </is>
      </c>
      <c r="B437" t="inlineStr">
        <is>
          <t>SR 1606</t>
        </is>
      </c>
      <c r="C437" t="n">
        <v>0</v>
      </c>
      <c r="E437" t="inlineStr">
        <is>
          <t>SR 1688</t>
        </is>
      </c>
      <c r="F437" t="inlineStr">
        <is>
          <t>SR 1618</t>
        </is>
      </c>
      <c r="G437" t="inlineStr">
        <is>
          <t>SR 1606</t>
        </is>
      </c>
      <c r="H437" t="n">
        <v>5.728</v>
      </c>
      <c r="J437" t="n">
        <v>107281872</v>
      </c>
      <c r="K437" s="11" t="n">
        <v>45008</v>
      </c>
      <c r="L437" t="n">
        <v>23</v>
      </c>
      <c r="M437" t="n">
        <v>1</v>
      </c>
      <c r="N437" t="n">
        <v>0</v>
      </c>
      <c r="O437" t="n">
        <v>1</v>
      </c>
      <c r="P437" t="inlineStr">
        <is>
          <t>O</t>
        </is>
      </c>
    </row>
    <row r="438">
      <c r="A438" t="inlineStr">
        <is>
          <t>RURAL</t>
        </is>
      </c>
      <c r="B438" t="inlineStr">
        <is>
          <t>SR 1001</t>
        </is>
      </c>
      <c r="C438" t="n">
        <v>0.008999999999999999</v>
      </c>
      <c r="D438" t="inlineStr">
        <is>
          <t>E</t>
        </is>
      </c>
      <c r="E438" t="inlineStr">
        <is>
          <t>SR 1663</t>
        </is>
      </c>
      <c r="F438" t="inlineStr">
        <is>
          <t>NC 218</t>
        </is>
      </c>
      <c r="G438" t="inlineStr">
        <is>
          <t>SR 1001</t>
        </is>
      </c>
      <c r="H438" t="n">
        <v>8.657999999999999</v>
      </c>
      <c r="J438" t="n">
        <v>107330783</v>
      </c>
      <c r="K438" s="11" t="n">
        <v>45052</v>
      </c>
      <c r="L438" t="n">
        <v>17</v>
      </c>
      <c r="M438" t="n">
        <v>1</v>
      </c>
      <c r="N438" t="n">
        <v>0</v>
      </c>
      <c r="O438" t="n">
        <v>5</v>
      </c>
      <c r="P438" t="inlineStr">
        <is>
          <t>O</t>
        </is>
      </c>
    </row>
    <row r="439">
      <c r="A439" t="inlineStr">
        <is>
          <t>FAIRVIEW</t>
        </is>
      </c>
      <c r="B439" t="inlineStr">
        <is>
          <t>SR 1606</t>
        </is>
      </c>
      <c r="C439" t="n">
        <v>0</v>
      </c>
      <c r="E439" t="inlineStr">
        <is>
          <t>SR 1547</t>
        </is>
      </c>
      <c r="F439" t="inlineStr">
        <is>
          <t>SR 1607</t>
        </is>
      </c>
      <c r="G439" t="inlineStr">
        <is>
          <t>SR 1606</t>
        </is>
      </c>
      <c r="H439" t="n">
        <v>1.587</v>
      </c>
      <c r="J439" t="n">
        <v>107313774</v>
      </c>
      <c r="K439" s="11" t="n">
        <v>45027</v>
      </c>
      <c r="L439" t="n">
        <v>30</v>
      </c>
      <c r="M439" t="n">
        <v>1</v>
      </c>
      <c r="N439" t="n">
        <v>7</v>
      </c>
      <c r="O439" t="n">
        <v>1</v>
      </c>
      <c r="P439" t="inlineStr">
        <is>
          <t>O</t>
        </is>
      </c>
    </row>
    <row r="440">
      <c r="A440" t="inlineStr">
        <is>
          <t>UNIONVILLE</t>
        </is>
      </c>
      <c r="B440" t="inlineStr">
        <is>
          <t>SR 1001</t>
        </is>
      </c>
      <c r="C440" t="n">
        <v>0.1</v>
      </c>
      <c r="D440" t="inlineStr">
        <is>
          <t>SW</t>
        </is>
      </c>
      <c r="E440" t="inlineStr">
        <is>
          <t>SR 1665</t>
        </is>
      </c>
      <c r="F440" t="inlineStr">
        <is>
          <t>SR 1620</t>
        </is>
      </c>
      <c r="G440" t="inlineStr">
        <is>
          <t>SR 1001</t>
        </is>
      </c>
      <c r="H440" t="n">
        <v>2.115</v>
      </c>
      <c r="J440" t="n">
        <v>107412806</v>
      </c>
      <c r="K440" s="11" t="n">
        <v>45138</v>
      </c>
      <c r="L440" t="n">
        <v>29</v>
      </c>
      <c r="M440" t="n">
        <v>1</v>
      </c>
      <c r="N440" t="n">
        <v>0</v>
      </c>
      <c r="O440" t="n">
        <v>1</v>
      </c>
      <c r="P440" t="inlineStr">
        <is>
          <t>C</t>
        </is>
      </c>
    </row>
    <row r="441">
      <c r="A441" t="inlineStr">
        <is>
          <t>UNIONVILLE</t>
        </is>
      </c>
      <c r="B441" t="inlineStr">
        <is>
          <t>SR 1001</t>
        </is>
      </c>
      <c r="C441" t="n">
        <v>0.3</v>
      </c>
      <c r="D441" t="inlineStr">
        <is>
          <t>N</t>
        </is>
      </c>
      <c r="E441" t="inlineStr">
        <is>
          <t>US 601</t>
        </is>
      </c>
      <c r="F441" t="inlineStr">
        <is>
          <t>SR 1620</t>
        </is>
      </c>
      <c r="G441" t="inlineStr">
        <is>
          <t>SR 1001</t>
        </is>
      </c>
      <c r="H441" t="n">
        <v>0.3</v>
      </c>
      <c r="J441" t="n">
        <v>107224114</v>
      </c>
      <c r="K441" s="11" t="n">
        <v>44950</v>
      </c>
      <c r="L441" t="n">
        <v>19</v>
      </c>
      <c r="M441" t="n">
        <v>1</v>
      </c>
      <c r="N441" t="n">
        <v>0</v>
      </c>
      <c r="O441" t="n">
        <v>5</v>
      </c>
      <c r="P441" t="inlineStr">
        <is>
          <t>O</t>
        </is>
      </c>
    </row>
    <row r="442">
      <c r="A442" t="inlineStr">
        <is>
          <t>UNIONVILLE</t>
        </is>
      </c>
      <c r="B442" t="inlineStr">
        <is>
          <t>SR 1001</t>
        </is>
      </c>
      <c r="C442" t="n">
        <v>0.2</v>
      </c>
      <c r="D442" t="inlineStr">
        <is>
          <t>N</t>
        </is>
      </c>
      <c r="E442" t="inlineStr">
        <is>
          <t>SR 1675</t>
        </is>
      </c>
      <c r="F442" t="inlineStr">
        <is>
          <t>SR 1654</t>
        </is>
      </c>
      <c r="G442" t="inlineStr">
        <is>
          <t>SR 1001</t>
        </is>
      </c>
      <c r="H442" t="n">
        <v>6.165</v>
      </c>
      <c r="J442" t="n">
        <v>107329666</v>
      </c>
      <c r="K442" s="11" t="n">
        <v>45054</v>
      </c>
      <c r="L442" t="n">
        <v>21</v>
      </c>
      <c r="M442" t="n">
        <v>1</v>
      </c>
      <c r="N442" t="n">
        <v>0</v>
      </c>
      <c r="O442" t="n">
        <v>1</v>
      </c>
      <c r="P442" t="inlineStr">
        <is>
          <t>O</t>
        </is>
      </c>
    </row>
    <row r="443">
      <c r="A443" t="inlineStr">
        <is>
          <t>UNIONVILLE</t>
        </is>
      </c>
      <c r="B443" t="inlineStr">
        <is>
          <t>PVA 2623 SIKES MILL RD</t>
        </is>
      </c>
      <c r="C443" t="n">
        <v>0.008999999999999999</v>
      </c>
      <c r="D443" t="inlineStr">
        <is>
          <t>W</t>
        </is>
      </c>
      <c r="E443" t="inlineStr">
        <is>
          <t>SR 1001</t>
        </is>
      </c>
      <c r="F443" t="inlineStr">
        <is>
          <t>SR 1618</t>
        </is>
      </c>
      <c r="H443" t="n">
        <v>999.999</v>
      </c>
      <c r="J443" t="n">
        <v>107250998</v>
      </c>
      <c r="K443" s="11" t="n">
        <v>44966</v>
      </c>
      <c r="L443" t="n">
        <v>20</v>
      </c>
      <c r="M443" t="n">
        <v>1</v>
      </c>
      <c r="N443" t="n">
        <v>4</v>
      </c>
      <c r="O443" t="n">
        <v>1</v>
      </c>
      <c r="P443" t="inlineStr">
        <is>
          <t>O</t>
        </is>
      </c>
    </row>
    <row r="444">
      <c r="A444" t="inlineStr">
        <is>
          <t>RURAL</t>
        </is>
      </c>
      <c r="B444" t="inlineStr">
        <is>
          <t>SR 1001</t>
        </is>
      </c>
      <c r="C444" t="n">
        <v>0</v>
      </c>
      <c r="E444" t="inlineStr">
        <is>
          <t>NC 218</t>
        </is>
      </c>
      <c r="F444" t="inlineStr">
        <is>
          <t>SR 1639</t>
        </is>
      </c>
      <c r="G444" t="inlineStr">
        <is>
          <t>SR 1001</t>
        </is>
      </c>
      <c r="H444" t="n">
        <v>8.137</v>
      </c>
      <c r="J444" t="n">
        <v>107214357</v>
      </c>
      <c r="K444" s="11" t="n">
        <v>44941</v>
      </c>
      <c r="L444" t="n">
        <v>30</v>
      </c>
      <c r="M444" t="n">
        <v>1</v>
      </c>
      <c r="N444" t="n">
        <v>7</v>
      </c>
      <c r="O444" t="n">
        <v>1</v>
      </c>
      <c r="P444" t="inlineStr">
        <is>
          <t>B</t>
        </is>
      </c>
    </row>
    <row r="445">
      <c r="A445" t="inlineStr">
        <is>
          <t>UNIONVILLE</t>
        </is>
      </c>
      <c r="B445" t="inlineStr">
        <is>
          <t>SIKES MILL</t>
        </is>
      </c>
      <c r="C445" t="n">
        <v>0.095</v>
      </c>
      <c r="D445" t="inlineStr">
        <is>
          <t>S</t>
        </is>
      </c>
      <c r="E445" t="inlineStr">
        <is>
          <t>HENRY SMITH</t>
        </is>
      </c>
      <c r="F445" t="inlineStr">
        <is>
          <t>TOM HELMS</t>
        </is>
      </c>
      <c r="G445" t="inlineStr">
        <is>
          <t>SIKES MILL</t>
        </is>
      </c>
      <c r="H445" t="n">
        <v>999.999</v>
      </c>
      <c r="J445" t="n">
        <v>107217101</v>
      </c>
      <c r="K445" s="11" t="n">
        <v>44945</v>
      </c>
      <c r="L445" t="n">
        <v>24</v>
      </c>
      <c r="M445" t="n">
        <v>2</v>
      </c>
      <c r="N445" t="n">
        <v>4</v>
      </c>
      <c r="O445" t="n">
        <v>1</v>
      </c>
      <c r="P445" t="inlineStr">
        <is>
          <t>C</t>
        </is>
      </c>
    </row>
    <row r="446">
      <c r="A446" t="inlineStr">
        <is>
          <t>FAIRVIEW</t>
        </is>
      </c>
      <c r="B446" t="inlineStr">
        <is>
          <t>NC 218</t>
        </is>
      </c>
      <c r="C446" t="n">
        <v>0.008999999999999999</v>
      </c>
      <c r="D446" t="inlineStr">
        <is>
          <t>W</t>
        </is>
      </c>
      <c r="E446" t="inlineStr">
        <is>
          <t>SIKES MILL</t>
        </is>
      </c>
      <c r="F446" t="inlineStr">
        <is>
          <t>*LCL CROOKED CREEK CH RD</t>
        </is>
      </c>
      <c r="G446" t="inlineStr">
        <is>
          <t>NC 218</t>
        </is>
      </c>
      <c r="H446" t="n">
        <v>8.073</v>
      </c>
      <c r="J446" t="n">
        <v>107209411</v>
      </c>
      <c r="K446" s="11" t="n">
        <v>44937</v>
      </c>
      <c r="L446" t="n">
        <v>21</v>
      </c>
      <c r="M446" t="n">
        <v>1</v>
      </c>
      <c r="N446" t="n">
        <v>12</v>
      </c>
      <c r="O446" t="n">
        <v>1</v>
      </c>
      <c r="P446" t="inlineStr">
        <is>
          <t>C</t>
        </is>
      </c>
    </row>
    <row r="447">
      <c r="A447" t="inlineStr">
        <is>
          <t>UNIONVILLE</t>
        </is>
      </c>
      <c r="B447" t="inlineStr">
        <is>
          <t>NC 200</t>
        </is>
      </c>
      <c r="C447" t="n">
        <v>0</v>
      </c>
      <c r="E447" t="inlineStr">
        <is>
          <t>SR 1606</t>
        </is>
      </c>
      <c r="F447" t="inlineStr">
        <is>
          <t>SR 1633</t>
        </is>
      </c>
      <c r="G447" t="inlineStr">
        <is>
          <t>NC 200</t>
        </is>
      </c>
      <c r="H447" t="n">
        <v>25.69</v>
      </c>
      <c r="J447" t="n">
        <v>107224951</v>
      </c>
      <c r="K447" s="11" t="n">
        <v>44948</v>
      </c>
      <c r="L447" t="n">
        <v>23</v>
      </c>
      <c r="M447" t="n">
        <v>2</v>
      </c>
      <c r="N447" t="n">
        <v>7</v>
      </c>
      <c r="O447" t="n">
        <v>5</v>
      </c>
      <c r="P447" t="inlineStr">
        <is>
          <t>O</t>
        </is>
      </c>
    </row>
    <row r="448">
      <c r="A448" t="inlineStr">
        <is>
          <t>RURAL</t>
        </is>
      </c>
      <c r="B448" t="inlineStr">
        <is>
          <t>SR 1665</t>
        </is>
      </c>
      <c r="C448" t="n">
        <v>0.008</v>
      </c>
      <c r="D448" t="inlineStr">
        <is>
          <t>W</t>
        </is>
      </c>
      <c r="E448" t="inlineStr">
        <is>
          <t>SR 1001</t>
        </is>
      </c>
      <c r="F448" t="inlineStr">
        <is>
          <t>SR 2709</t>
        </is>
      </c>
      <c r="G448" t="inlineStr">
        <is>
          <t>SR 1665</t>
        </is>
      </c>
      <c r="H448" t="n">
        <v>0.008</v>
      </c>
      <c r="J448" t="n">
        <v>107374234</v>
      </c>
      <c r="K448" s="11" t="n">
        <v>45098</v>
      </c>
      <c r="L448" t="n">
        <v>19</v>
      </c>
      <c r="M448" t="n">
        <v>2</v>
      </c>
      <c r="N448" t="n">
        <v>8</v>
      </c>
      <c r="O448" t="n">
        <v>1</v>
      </c>
      <c r="P448" t="inlineStr">
        <is>
          <t>C</t>
        </is>
      </c>
    </row>
    <row r="449">
      <c r="A449" t="inlineStr">
        <is>
          <t>RURAL</t>
        </is>
      </c>
      <c r="B449" t="inlineStr">
        <is>
          <t>SR 1001</t>
        </is>
      </c>
      <c r="C449" t="n">
        <v>0</v>
      </c>
      <c r="E449" t="inlineStr">
        <is>
          <t>NC 218</t>
        </is>
      </c>
      <c r="F449" t="inlineStr">
        <is>
          <t>NC 200</t>
        </is>
      </c>
      <c r="G449" t="inlineStr">
        <is>
          <t>SR 1001</t>
        </is>
      </c>
      <c r="H449" t="n">
        <v>8.137</v>
      </c>
      <c r="J449" t="n">
        <v>107384204</v>
      </c>
      <c r="K449" s="11" t="n">
        <v>45107</v>
      </c>
      <c r="L449" t="n">
        <v>30</v>
      </c>
      <c r="M449" t="n">
        <v>1</v>
      </c>
      <c r="N449" t="n">
        <v>7</v>
      </c>
      <c r="O449" t="n">
        <v>5</v>
      </c>
      <c r="P449" t="inlineStr">
        <is>
          <t>C</t>
        </is>
      </c>
    </row>
    <row r="450">
      <c r="A450" t="inlineStr">
        <is>
          <t>RURAL</t>
        </is>
      </c>
      <c r="B450" t="inlineStr">
        <is>
          <t>SR 1001</t>
        </is>
      </c>
      <c r="C450" t="n">
        <v>0</v>
      </c>
      <c r="E450" t="inlineStr">
        <is>
          <t>NC 218</t>
        </is>
      </c>
      <c r="F450" t="inlineStr">
        <is>
          <t>SR 1639</t>
        </is>
      </c>
      <c r="G450" t="inlineStr">
        <is>
          <t>SR 1001</t>
        </is>
      </c>
      <c r="H450" t="n">
        <v>8.137</v>
      </c>
      <c r="J450" t="n">
        <v>107423069</v>
      </c>
      <c r="K450" s="11" t="n">
        <v>45149</v>
      </c>
      <c r="L450" t="n">
        <v>30</v>
      </c>
      <c r="M450" t="n">
        <v>1</v>
      </c>
      <c r="N450" t="n">
        <v>0</v>
      </c>
      <c r="O450" t="n">
        <v>1</v>
      </c>
      <c r="P450" t="inlineStr">
        <is>
          <t>O</t>
        </is>
      </c>
    </row>
    <row r="451">
      <c r="A451" t="inlineStr">
        <is>
          <t>RURAL</t>
        </is>
      </c>
      <c r="B451" t="inlineStr">
        <is>
          <t>SR 1606</t>
        </is>
      </c>
      <c r="C451" t="n">
        <v>0.2</v>
      </c>
      <c r="D451" t="inlineStr">
        <is>
          <t>N</t>
        </is>
      </c>
      <c r="E451" t="inlineStr">
        <is>
          <t>SR 1678</t>
        </is>
      </c>
      <c r="F451" t="inlineStr">
        <is>
          <t>SR 1638</t>
        </is>
      </c>
      <c r="G451" t="inlineStr">
        <is>
          <t>SR 1606</t>
        </is>
      </c>
      <c r="H451" t="n">
        <v>5.596</v>
      </c>
      <c r="J451" t="n">
        <v>107360456</v>
      </c>
      <c r="K451" s="11" t="n">
        <v>45083</v>
      </c>
      <c r="L451" t="n">
        <v>29</v>
      </c>
      <c r="M451" t="n">
        <v>1</v>
      </c>
      <c r="N451" t="n">
        <v>0</v>
      </c>
      <c r="O451" t="n">
        <v>1</v>
      </c>
      <c r="P451" t="inlineStr">
        <is>
          <t>O</t>
        </is>
      </c>
    </row>
    <row r="452">
      <c r="A452" t="inlineStr">
        <is>
          <t>UNIONVILLE</t>
        </is>
      </c>
      <c r="B452" t="inlineStr">
        <is>
          <t>SIKES MILL</t>
        </is>
      </c>
      <c r="C452" t="n">
        <v>0.038</v>
      </c>
      <c r="D452" t="inlineStr">
        <is>
          <t>N</t>
        </is>
      </c>
      <c r="E452" t="inlineStr">
        <is>
          <t>US 601</t>
        </is>
      </c>
      <c r="F452" t="inlineStr">
        <is>
          <t>SPRING LAKE</t>
        </is>
      </c>
      <c r="G452" t="inlineStr">
        <is>
          <t>SR 1001</t>
        </is>
      </c>
      <c r="H452" t="n">
        <v>0.038</v>
      </c>
      <c r="J452" t="n">
        <v>107395905</v>
      </c>
      <c r="K452" s="11" t="n">
        <v>45121</v>
      </c>
      <c r="L452" t="n">
        <v>19</v>
      </c>
      <c r="M452" t="n">
        <v>1</v>
      </c>
      <c r="N452" t="n">
        <v>0</v>
      </c>
      <c r="O452" t="n">
        <v>1</v>
      </c>
      <c r="P452" t="inlineStr">
        <is>
          <t>O</t>
        </is>
      </c>
    </row>
    <row r="453">
      <c r="A453" t="inlineStr">
        <is>
          <t>RURAL</t>
        </is>
      </c>
      <c r="B453" t="inlineStr">
        <is>
          <t>*PP 2815 OLD CAMDEN RD</t>
        </is>
      </c>
      <c r="C453" t="n">
        <v>0.019</v>
      </c>
      <c r="D453" t="inlineStr">
        <is>
          <t>W</t>
        </is>
      </c>
      <c r="E453" t="inlineStr">
        <is>
          <t>SR 1606</t>
        </is>
      </c>
      <c r="F453" t="inlineStr">
        <is>
          <t>DEAD END</t>
        </is>
      </c>
      <c r="H453" t="n">
        <v>999.999</v>
      </c>
      <c r="J453" t="n">
        <v>107479024</v>
      </c>
      <c r="K453" s="11" t="n">
        <v>45203</v>
      </c>
      <c r="L453" t="n">
        <v>20</v>
      </c>
      <c r="M453" t="n">
        <v>1</v>
      </c>
      <c r="N453" t="n">
        <v>5</v>
      </c>
      <c r="O453" t="n">
        <v>5</v>
      </c>
      <c r="P453" t="inlineStr">
        <is>
          <t>O</t>
        </is>
      </c>
    </row>
    <row r="454">
      <c r="A454" t="inlineStr">
        <is>
          <t>UNIONVILLE</t>
        </is>
      </c>
      <c r="B454" t="inlineStr">
        <is>
          <t>SR 1001</t>
        </is>
      </c>
      <c r="C454" t="n">
        <v>0.3</v>
      </c>
      <c r="D454" t="inlineStr">
        <is>
          <t>S</t>
        </is>
      </c>
      <c r="E454" t="inlineStr">
        <is>
          <t>SR 1638</t>
        </is>
      </c>
      <c r="F454" t="inlineStr">
        <is>
          <t>SR 1674</t>
        </is>
      </c>
      <c r="G454" t="inlineStr">
        <is>
          <t>SR 1001</t>
        </is>
      </c>
      <c r="H454" t="n">
        <v>4.926</v>
      </c>
      <c r="J454" t="n">
        <v>107423126</v>
      </c>
      <c r="K454" s="11" t="n">
        <v>45150</v>
      </c>
      <c r="L454" t="n">
        <v>17</v>
      </c>
      <c r="M454" t="n">
        <v>1</v>
      </c>
      <c r="N454" t="n">
        <v>0</v>
      </c>
      <c r="O454" t="n">
        <v>5</v>
      </c>
      <c r="P454" t="inlineStr">
        <is>
          <t>O</t>
        </is>
      </c>
    </row>
    <row r="455">
      <c r="A455" t="inlineStr">
        <is>
          <t>UNIONVILLE</t>
        </is>
      </c>
      <c r="B455" t="inlineStr">
        <is>
          <t>SR 1001</t>
        </is>
      </c>
      <c r="C455" t="n">
        <v>0</v>
      </c>
      <c r="E455" t="inlineStr">
        <is>
          <t>SR 1654</t>
        </is>
      </c>
      <c r="F455" t="inlineStr">
        <is>
          <t>SR 1653</t>
        </is>
      </c>
      <c r="G455" t="inlineStr">
        <is>
          <t>SR 1001</t>
        </is>
      </c>
      <c r="H455" t="n">
        <v>6.231</v>
      </c>
      <c r="J455" t="n">
        <v>107363964</v>
      </c>
      <c r="K455" s="11" t="n">
        <v>45089</v>
      </c>
      <c r="L455" t="n">
        <v>21</v>
      </c>
      <c r="M455" t="n">
        <v>1</v>
      </c>
      <c r="N455" t="n">
        <v>8</v>
      </c>
      <c r="O455" t="n">
        <v>1</v>
      </c>
      <c r="P455" t="inlineStr">
        <is>
          <t>O</t>
        </is>
      </c>
    </row>
    <row r="456">
      <c r="A456" t="inlineStr">
        <is>
          <t>UNIONVILLE</t>
        </is>
      </c>
      <c r="B456" t="inlineStr">
        <is>
          <t>SR 1001</t>
        </is>
      </c>
      <c r="C456" t="n">
        <v>0.24</v>
      </c>
      <c r="D456" t="inlineStr">
        <is>
          <t>S</t>
        </is>
      </c>
      <c r="E456" t="inlineStr">
        <is>
          <t>SR 1620</t>
        </is>
      </c>
      <c r="F456" t="inlineStr">
        <is>
          <t>US 601</t>
        </is>
      </c>
      <c r="G456" t="inlineStr">
        <is>
          <t>SR 1001</t>
        </is>
      </c>
      <c r="H456" t="n">
        <v>1.112</v>
      </c>
      <c r="J456" t="n">
        <v>108478263</v>
      </c>
      <c r="K456" s="11" t="n">
        <v>46136</v>
      </c>
      <c r="L456" t="n">
        <v>23</v>
      </c>
      <c r="M456" t="n">
        <v>1</v>
      </c>
      <c r="N456" t="n">
        <v>0</v>
      </c>
      <c r="O456" t="n">
        <v>1</v>
      </c>
      <c r="P456" t="inlineStr">
        <is>
          <t>O</t>
        </is>
      </c>
      <c r="Q456" t="n">
        <v>35.05437</v>
      </c>
      <c r="R456" t="n">
        <v>-80.52348000000001</v>
      </c>
      <c r="S456" t="inlineStr">
        <is>
          <t>DMV349</t>
        </is>
      </c>
    </row>
    <row r="457">
      <c r="A457" t="inlineStr">
        <is>
          <t>RURAL</t>
        </is>
      </c>
      <c r="B457" t="inlineStr">
        <is>
          <t>LOVE MILL</t>
        </is>
      </c>
      <c r="C457" t="n">
        <v>1.2</v>
      </c>
      <c r="D457" t="inlineStr">
        <is>
          <t>N</t>
        </is>
      </c>
      <c r="E457" t="inlineStr">
        <is>
          <t>ZEBULON WILLIAMS</t>
        </is>
      </c>
      <c r="F457" t="inlineStr">
        <is>
          <t>CARRIKER</t>
        </is>
      </c>
      <c r="G457" t="inlineStr">
        <is>
          <t>SR 1001</t>
        </is>
      </c>
      <c r="H457" t="n">
        <v>7.89</v>
      </c>
      <c r="J457" t="n">
        <v>107535604</v>
      </c>
      <c r="K457" s="11" t="n">
        <v>45251</v>
      </c>
      <c r="L457" t="n">
        <v>17</v>
      </c>
      <c r="M457" t="n">
        <v>2</v>
      </c>
      <c r="N457" t="n">
        <v>0</v>
      </c>
      <c r="O457" t="n">
        <v>5</v>
      </c>
      <c r="P457" t="inlineStr">
        <is>
          <t>O</t>
        </is>
      </c>
    </row>
    <row r="458">
      <c r="A458" t="inlineStr">
        <is>
          <t>RURAL</t>
        </is>
      </c>
      <c r="B458" t="inlineStr">
        <is>
          <t>SR 1547</t>
        </is>
      </c>
      <c r="C458" t="n">
        <v>0</v>
      </c>
      <c r="E458" t="inlineStr">
        <is>
          <t>SR 1606</t>
        </is>
      </c>
      <c r="F458" t="inlineStr">
        <is>
          <t>US 601</t>
        </is>
      </c>
      <c r="G458" t="inlineStr">
        <is>
          <t>SR 1547</t>
        </is>
      </c>
      <c r="H458" t="n">
        <v>2.101</v>
      </c>
      <c r="J458" t="n">
        <v>107547852</v>
      </c>
      <c r="K458" s="11" t="n">
        <v>45258</v>
      </c>
      <c r="L458" t="n">
        <v>30</v>
      </c>
      <c r="M458" t="n">
        <v>1</v>
      </c>
      <c r="N458" t="n">
        <v>7</v>
      </c>
      <c r="O458" t="n">
        <v>1</v>
      </c>
      <c r="P458" t="inlineStr">
        <is>
          <t>B</t>
        </is>
      </c>
      <c r="Q458" t="n">
        <v>35.1478</v>
      </c>
      <c r="R458" t="n">
        <v>-80.47555</v>
      </c>
      <c r="S458" t="inlineStr">
        <is>
          <t>DMV349CLEANED</t>
        </is>
      </c>
    </row>
    <row r="459">
      <c r="A459" t="inlineStr">
        <is>
          <t>UNIONVILLE</t>
        </is>
      </c>
      <c r="B459" t="inlineStr">
        <is>
          <t>SIKES MILL</t>
        </is>
      </c>
      <c r="C459" t="n">
        <v>0.008999999999999999</v>
      </c>
      <c r="D459" t="inlineStr">
        <is>
          <t>N</t>
        </is>
      </c>
      <c r="E459" t="inlineStr">
        <is>
          <t>TOM HELMS</t>
        </is>
      </c>
      <c r="F459" t="inlineStr">
        <is>
          <t>HENRY SMITH</t>
        </is>
      </c>
      <c r="G459" t="inlineStr">
        <is>
          <t>SR 1001</t>
        </is>
      </c>
      <c r="H459" t="n">
        <v>4.103</v>
      </c>
      <c r="J459" t="n">
        <v>107554045</v>
      </c>
      <c r="K459" s="11" t="n">
        <v>45258</v>
      </c>
      <c r="L459" t="n">
        <v>28</v>
      </c>
      <c r="M459" t="n">
        <v>1</v>
      </c>
      <c r="N459" t="n">
        <v>10</v>
      </c>
      <c r="O459" t="n">
        <v>5</v>
      </c>
      <c r="P459" t="inlineStr">
        <is>
          <t>O</t>
        </is>
      </c>
    </row>
    <row r="460">
      <c r="A460" t="inlineStr">
        <is>
          <t>RURAL</t>
        </is>
      </c>
      <c r="B460" t="inlineStr">
        <is>
          <t>SR 1001</t>
        </is>
      </c>
      <c r="C460" t="n">
        <v>0.1</v>
      </c>
      <c r="D460" t="inlineStr">
        <is>
          <t>N</t>
        </is>
      </c>
      <c r="E460" t="inlineStr">
        <is>
          <t>SR 1615</t>
        </is>
      </c>
      <c r="F460" t="inlineStr">
        <is>
          <t>SR 1619</t>
        </is>
      </c>
      <c r="G460" t="inlineStr">
        <is>
          <t>SR 1001</t>
        </is>
      </c>
      <c r="H460" t="n">
        <v>2.971</v>
      </c>
      <c r="J460" t="n">
        <v>107410107</v>
      </c>
      <c r="K460" s="11" t="n">
        <v>45136</v>
      </c>
      <c r="L460" t="n">
        <v>17</v>
      </c>
      <c r="M460" t="n">
        <v>1</v>
      </c>
      <c r="N460" t="n">
        <v>0</v>
      </c>
      <c r="O460" t="n">
        <v>1</v>
      </c>
      <c r="P460" t="inlineStr">
        <is>
          <t>O</t>
        </is>
      </c>
    </row>
    <row r="461">
      <c r="A461" t="inlineStr">
        <is>
          <t>UNIONVILLE</t>
        </is>
      </c>
      <c r="B461" t="inlineStr">
        <is>
          <t>SR 1615</t>
        </is>
      </c>
      <c r="C461" t="n">
        <v>0</v>
      </c>
      <c r="E461" t="inlineStr">
        <is>
          <t>SR 1001</t>
        </is>
      </c>
      <c r="F461" t="inlineStr">
        <is>
          <t>SR 1619</t>
        </is>
      </c>
      <c r="G461" t="inlineStr">
        <is>
          <t>SR 1615</t>
        </is>
      </c>
      <c r="H461" t="n">
        <v>2.89</v>
      </c>
      <c r="J461" t="n">
        <v>107574676</v>
      </c>
      <c r="K461" s="11" t="n">
        <v>45283</v>
      </c>
      <c r="L461" t="n">
        <v>19</v>
      </c>
      <c r="M461" t="n">
        <v>1</v>
      </c>
      <c r="N461" t="n">
        <v>8</v>
      </c>
      <c r="O461" t="n">
        <v>5</v>
      </c>
      <c r="P461" t="inlineStr">
        <is>
          <t>O</t>
        </is>
      </c>
      <c r="Q461" t="n">
        <v>35.07595</v>
      </c>
      <c r="R461" t="n">
        <v>-80.50811</v>
      </c>
      <c r="S461" t="inlineStr">
        <is>
          <t>DMV349CLEANED</t>
        </is>
      </c>
    </row>
    <row r="462">
      <c r="A462" t="inlineStr">
        <is>
          <t>UNIONVILLE</t>
        </is>
      </c>
      <c r="B462" t="inlineStr">
        <is>
          <t>SR 1001</t>
        </is>
      </c>
      <c r="C462" t="n">
        <v>0</v>
      </c>
      <c r="E462" t="inlineStr">
        <is>
          <t>SR 1655</t>
        </is>
      </c>
      <c r="F462" t="inlineStr">
        <is>
          <t>SR 1656</t>
        </is>
      </c>
      <c r="G462" t="inlineStr">
        <is>
          <t>SR 1001</t>
        </is>
      </c>
      <c r="H462" t="n">
        <v>7.256</v>
      </c>
      <c r="J462" t="n">
        <v>107575087</v>
      </c>
      <c r="K462" s="11" t="n">
        <v>45282</v>
      </c>
      <c r="L462" t="n">
        <v>24</v>
      </c>
      <c r="M462" t="n">
        <v>1</v>
      </c>
      <c r="N462" t="n">
        <v>8</v>
      </c>
      <c r="O462" t="n">
        <v>5</v>
      </c>
      <c r="P462" t="inlineStr">
        <is>
          <t>O</t>
        </is>
      </c>
      <c r="Q462" t="n">
        <v>35.12313</v>
      </c>
      <c r="R462" t="n">
        <v>-80.45792</v>
      </c>
      <c r="S462" t="inlineStr">
        <is>
          <t>DMV349CLEANED</t>
        </is>
      </c>
    </row>
    <row r="463">
      <c r="A463" t="inlineStr">
        <is>
          <t>FAIRVIEW</t>
        </is>
      </c>
      <c r="B463" t="inlineStr">
        <is>
          <t>SIKES MILL</t>
        </is>
      </c>
      <c r="C463" t="n">
        <v>0.11</v>
      </c>
      <c r="D463" t="inlineStr">
        <is>
          <t>N</t>
        </is>
      </c>
      <c r="E463" t="inlineStr">
        <is>
          <t>NC 218</t>
        </is>
      </c>
      <c r="F463" t="inlineStr">
        <is>
          <t>BRIEF</t>
        </is>
      </c>
      <c r="G463" t="inlineStr">
        <is>
          <t>SIKES MILL</t>
        </is>
      </c>
      <c r="H463" t="n">
        <v>999.999</v>
      </c>
      <c r="J463" t="n">
        <v>107575353</v>
      </c>
      <c r="K463" s="11" t="n">
        <v>45286</v>
      </c>
      <c r="L463" t="n">
        <v>19</v>
      </c>
      <c r="M463" t="n">
        <v>2</v>
      </c>
      <c r="N463" t="n">
        <v>0</v>
      </c>
      <c r="O463" t="n">
        <v>1</v>
      </c>
      <c r="P463" t="inlineStr">
        <is>
          <t>O</t>
        </is>
      </c>
    </row>
    <row r="464">
      <c r="A464" t="inlineStr">
        <is>
          <t>RURAL</t>
        </is>
      </c>
      <c r="B464" t="inlineStr">
        <is>
          <t>SR 1001</t>
        </is>
      </c>
      <c r="C464" t="n">
        <v>0.076</v>
      </c>
      <c r="D464" t="inlineStr">
        <is>
          <t>N</t>
        </is>
      </c>
      <c r="E464" t="inlineStr">
        <is>
          <t>SR 1620</t>
        </is>
      </c>
      <c r="F464" t="inlineStr">
        <is>
          <t>SR 1645</t>
        </is>
      </c>
      <c r="G464" t="inlineStr">
        <is>
          <t>SR 1001</t>
        </is>
      </c>
      <c r="H464" t="n">
        <v>1.428</v>
      </c>
      <c r="J464" t="n">
        <v>107976497</v>
      </c>
      <c r="K464" s="11" t="n">
        <v>45655</v>
      </c>
      <c r="L464" t="n">
        <v>19</v>
      </c>
      <c r="M464" t="n">
        <v>2</v>
      </c>
      <c r="N464" t="n">
        <v>0</v>
      </c>
      <c r="O464" t="n">
        <v>5</v>
      </c>
      <c r="P464" t="inlineStr">
        <is>
          <t>O</t>
        </is>
      </c>
      <c r="Q464" t="n">
        <v>35.060048</v>
      </c>
      <c r="R464" t="n">
        <v>-80.52142000000001</v>
      </c>
      <c r="S464" t="inlineStr">
        <is>
          <t>DMV349CLEANED</t>
        </is>
      </c>
    </row>
    <row r="465">
      <c r="A465" t="inlineStr">
        <is>
          <t>UNIONVILLE</t>
        </is>
      </c>
      <c r="B465" t="inlineStr">
        <is>
          <t>SR 1001</t>
        </is>
      </c>
      <c r="C465" t="n">
        <v>0.066</v>
      </c>
      <c r="D465" t="inlineStr">
        <is>
          <t>S</t>
        </is>
      </c>
      <c r="E465" t="inlineStr">
        <is>
          <t>SR 1617</t>
        </is>
      </c>
      <c r="F465" t="inlineStr">
        <is>
          <t>SR 1615</t>
        </is>
      </c>
      <c r="G465" t="inlineStr">
        <is>
          <t>SR 1001</t>
        </is>
      </c>
      <c r="H465" t="n">
        <v>3.395</v>
      </c>
      <c r="J465" t="n">
        <v>107405320</v>
      </c>
      <c r="K465" s="11" t="n">
        <v>45128</v>
      </c>
      <c r="L465" t="n">
        <v>17</v>
      </c>
      <c r="M465" t="n">
        <v>1</v>
      </c>
      <c r="N465" t="n">
        <v>0</v>
      </c>
      <c r="O465" t="n">
        <v>1</v>
      </c>
      <c r="P465" t="inlineStr">
        <is>
          <t>O</t>
        </is>
      </c>
    </row>
    <row r="466">
      <c r="A466" t="inlineStr">
        <is>
          <t>UNIONVILLE</t>
        </is>
      </c>
      <c r="B466" t="inlineStr">
        <is>
          <t>SR 1001</t>
        </is>
      </c>
      <c r="C466" t="n">
        <v>0.08500000000000001</v>
      </c>
      <c r="D466" t="inlineStr">
        <is>
          <t>S</t>
        </is>
      </c>
      <c r="E466" t="inlineStr">
        <is>
          <t>SR 1674</t>
        </is>
      </c>
      <c r="F466" t="inlineStr">
        <is>
          <t>SR 1606</t>
        </is>
      </c>
      <c r="G466" t="inlineStr">
        <is>
          <t>SR 1001</t>
        </is>
      </c>
      <c r="H466" t="n">
        <v>4.713</v>
      </c>
      <c r="J466" t="n">
        <v>107518060</v>
      </c>
      <c r="K466" s="11" t="n">
        <v>45231</v>
      </c>
      <c r="L466" t="n">
        <v>29</v>
      </c>
      <c r="M466" t="n">
        <v>1</v>
      </c>
      <c r="N466" t="n">
        <v>0</v>
      </c>
      <c r="O466" t="n">
        <v>1</v>
      </c>
      <c r="P466" t="inlineStr">
        <is>
          <t>O</t>
        </is>
      </c>
      <c r="Q466" t="n">
        <v>35.09489</v>
      </c>
      <c r="R466" t="n">
        <v>-80.48599</v>
      </c>
      <c r="S466" t="inlineStr">
        <is>
          <t>DMV349CLEANED</t>
        </is>
      </c>
    </row>
    <row r="467">
      <c r="A467" t="inlineStr">
        <is>
          <t>UNIONVILLE</t>
        </is>
      </c>
      <c r="B467" t="inlineStr">
        <is>
          <t>SR 1606</t>
        </is>
      </c>
      <c r="C467" t="n">
        <v>0.25</v>
      </c>
      <c r="D467" t="inlineStr">
        <is>
          <t>NW</t>
        </is>
      </c>
      <c r="E467" t="inlineStr">
        <is>
          <t>NC 200</t>
        </is>
      </c>
      <c r="F467" t="inlineStr">
        <is>
          <t>PRESSON FARM</t>
        </is>
      </c>
      <c r="G467" t="inlineStr">
        <is>
          <t>SR 1606</t>
        </is>
      </c>
      <c r="H467" t="n">
        <v>999.999</v>
      </c>
      <c r="J467" t="n">
        <v>107613194</v>
      </c>
      <c r="K467" s="11" t="n">
        <v>45325</v>
      </c>
      <c r="L467" t="n">
        <v>23</v>
      </c>
      <c r="M467" t="n">
        <v>1</v>
      </c>
      <c r="N467" t="n">
        <v>0</v>
      </c>
      <c r="O467" t="n">
        <v>1</v>
      </c>
      <c r="P467" t="inlineStr">
        <is>
          <t>O</t>
        </is>
      </c>
      <c r="Q467" t="n">
        <v>35.06</v>
      </c>
      <c r="R467" t="n">
        <v>-80.48999999999999</v>
      </c>
      <c r="S467" t="inlineStr">
        <is>
          <t>DMV349</t>
        </is>
      </c>
    </row>
    <row r="468">
      <c r="A468" t="inlineStr">
        <is>
          <t>UNIONVILLE</t>
        </is>
      </c>
      <c r="B468" t="inlineStr">
        <is>
          <t>SIKES MILL</t>
        </is>
      </c>
      <c r="C468" t="n">
        <v>1.16</v>
      </c>
      <c r="D468" t="inlineStr">
        <is>
          <t>N</t>
        </is>
      </c>
      <c r="E468" t="inlineStr">
        <is>
          <t>US 601</t>
        </is>
      </c>
      <c r="F468" t="inlineStr">
        <is>
          <t>BAUCOM</t>
        </is>
      </c>
      <c r="G468" t="inlineStr">
        <is>
          <t>SR 1001</t>
        </is>
      </c>
      <c r="H468" t="n">
        <v>1.16</v>
      </c>
      <c r="J468" t="n">
        <v>107470651</v>
      </c>
      <c r="K468" s="11" t="n">
        <v>45188</v>
      </c>
      <c r="L468" t="n">
        <v>17</v>
      </c>
      <c r="M468" t="n">
        <v>1</v>
      </c>
      <c r="N468" t="n">
        <v>0</v>
      </c>
      <c r="O468" t="n">
        <v>5</v>
      </c>
      <c r="P468" t="inlineStr">
        <is>
          <t>O</t>
        </is>
      </c>
    </row>
    <row r="469">
      <c r="A469" t="inlineStr">
        <is>
          <t>UNIONVILLE</t>
        </is>
      </c>
      <c r="B469" t="inlineStr">
        <is>
          <t>SR 1001</t>
        </is>
      </c>
      <c r="C469" t="n">
        <v>0.004</v>
      </c>
      <c r="D469" t="inlineStr">
        <is>
          <t>N</t>
        </is>
      </c>
      <c r="E469" t="inlineStr">
        <is>
          <t>US 601</t>
        </is>
      </c>
      <c r="F469" t="inlineStr">
        <is>
          <t>SR 1620</t>
        </is>
      </c>
      <c r="G469" t="inlineStr">
        <is>
          <t>SR 1001</t>
        </is>
      </c>
      <c r="H469" t="n">
        <v>0.004</v>
      </c>
      <c r="J469" t="n">
        <v>107405557</v>
      </c>
      <c r="K469" s="11" t="n">
        <v>45129</v>
      </c>
      <c r="L469" t="n">
        <v>21</v>
      </c>
      <c r="M469" t="n">
        <v>1</v>
      </c>
      <c r="N469" t="n">
        <v>9</v>
      </c>
      <c r="O469" t="n">
        <v>1</v>
      </c>
      <c r="P469" t="inlineStr">
        <is>
          <t>O</t>
        </is>
      </c>
    </row>
    <row r="470">
      <c r="A470" t="inlineStr">
        <is>
          <t>FAIRVIEW</t>
        </is>
      </c>
      <c r="B470" t="inlineStr">
        <is>
          <t>NC 218</t>
        </is>
      </c>
      <c r="C470" t="n">
        <v>0.005</v>
      </c>
      <c r="D470" t="inlineStr">
        <is>
          <t>E</t>
        </is>
      </c>
      <c r="E470" t="inlineStr">
        <is>
          <t>LOVE MILL</t>
        </is>
      </c>
      <c r="F470" t="inlineStr">
        <is>
          <t>NC 200</t>
        </is>
      </c>
      <c r="G470" t="inlineStr">
        <is>
          <t>NC 218</t>
        </is>
      </c>
      <c r="H470" t="n">
        <v>9.791</v>
      </c>
      <c r="J470" t="n">
        <v>107609800</v>
      </c>
      <c r="K470" s="11" t="n">
        <v>45322</v>
      </c>
      <c r="L470" t="n">
        <v>21</v>
      </c>
      <c r="M470" t="n">
        <v>2</v>
      </c>
      <c r="N470" t="n">
        <v>7</v>
      </c>
      <c r="O470" t="n">
        <v>1</v>
      </c>
      <c r="P470" t="inlineStr">
        <is>
          <t>C</t>
        </is>
      </c>
    </row>
    <row r="471">
      <c r="A471" t="inlineStr">
        <is>
          <t>RURAL</t>
        </is>
      </c>
      <c r="B471" t="inlineStr">
        <is>
          <t>SR 1606</t>
        </is>
      </c>
      <c r="C471" t="n">
        <v>0.8</v>
      </c>
      <c r="D471" t="inlineStr">
        <is>
          <t>N</t>
        </is>
      </c>
      <c r="E471" t="inlineStr">
        <is>
          <t>SR 1678</t>
        </is>
      </c>
      <c r="F471" t="inlineStr">
        <is>
          <t>SR 1615</t>
        </is>
      </c>
      <c r="G471" t="inlineStr">
        <is>
          <t>SR 1606</t>
        </is>
      </c>
      <c r="H471" t="n">
        <v>4.996</v>
      </c>
      <c r="J471" t="n">
        <v>107584544</v>
      </c>
      <c r="K471" s="11" t="n">
        <v>45294</v>
      </c>
      <c r="L471" t="n">
        <v>17</v>
      </c>
      <c r="M471" t="n">
        <v>2</v>
      </c>
      <c r="N471" t="n">
        <v>0</v>
      </c>
      <c r="O471" t="n">
        <v>5</v>
      </c>
      <c r="P471" t="inlineStr">
        <is>
          <t>O</t>
        </is>
      </c>
      <c r="Q471" t="n">
        <v>35.10365</v>
      </c>
      <c r="R471" t="n">
        <v>-80.49062000000001</v>
      </c>
      <c r="S471" t="inlineStr">
        <is>
          <t>DMV349CLEANED</t>
        </is>
      </c>
    </row>
    <row r="472">
      <c r="A472" t="inlineStr">
        <is>
          <t>RURAL</t>
        </is>
      </c>
      <c r="B472" t="inlineStr">
        <is>
          <t>SR 1001</t>
        </is>
      </c>
      <c r="C472" t="n">
        <v>0.5</v>
      </c>
      <c r="D472" t="inlineStr">
        <is>
          <t>N</t>
        </is>
      </c>
      <c r="E472" t="inlineStr">
        <is>
          <t>US 601</t>
        </is>
      </c>
      <c r="F472" t="inlineStr">
        <is>
          <t>SR 1620</t>
        </is>
      </c>
      <c r="G472" t="inlineStr">
        <is>
          <t>SR 1001</t>
        </is>
      </c>
      <c r="H472" t="n">
        <v>0.5</v>
      </c>
      <c r="J472" t="n">
        <v>107466297</v>
      </c>
      <c r="K472" s="11" t="n">
        <v>45189</v>
      </c>
      <c r="L472" t="n">
        <v>29</v>
      </c>
      <c r="M472" t="n">
        <v>1</v>
      </c>
      <c r="N472" t="n">
        <v>0</v>
      </c>
      <c r="O472" t="n">
        <v>1</v>
      </c>
      <c r="P472" t="inlineStr">
        <is>
          <t>C</t>
        </is>
      </c>
    </row>
    <row r="473">
      <c r="A473" t="inlineStr">
        <is>
          <t>UNIONVILLE</t>
        </is>
      </c>
      <c r="B473" t="inlineStr">
        <is>
          <t>SR 1001</t>
        </is>
      </c>
      <c r="C473" t="n">
        <v>0.25</v>
      </c>
      <c r="D473" t="inlineStr">
        <is>
          <t>N</t>
        </is>
      </c>
      <c r="E473" t="inlineStr">
        <is>
          <t>SR 1620</t>
        </is>
      </c>
      <c r="F473" t="inlineStr">
        <is>
          <t>SR 1665</t>
        </is>
      </c>
      <c r="G473" t="inlineStr">
        <is>
          <t>SR 1001</t>
        </is>
      </c>
      <c r="H473" t="n">
        <v>1.602</v>
      </c>
      <c r="J473" t="n">
        <v>107595975</v>
      </c>
      <c r="K473" s="11" t="n">
        <v>45306</v>
      </c>
      <c r="L473" t="n">
        <v>19</v>
      </c>
      <c r="M473" t="n">
        <v>1</v>
      </c>
      <c r="N473" t="n">
        <v>0</v>
      </c>
      <c r="O473" t="n">
        <v>1</v>
      </c>
      <c r="P473" t="inlineStr">
        <is>
          <t>O</t>
        </is>
      </c>
      <c r="Q473" t="n">
        <v>35.06</v>
      </c>
      <c r="R473" t="n">
        <v>-80.52</v>
      </c>
      <c r="S473" t="inlineStr">
        <is>
          <t>DMV349</t>
        </is>
      </c>
    </row>
    <row r="474">
      <c r="A474" t="inlineStr">
        <is>
          <t>UNIONVILLE</t>
        </is>
      </c>
      <c r="B474" t="inlineStr">
        <is>
          <t>SR 1001</t>
        </is>
      </c>
      <c r="C474" t="n">
        <v>0.01</v>
      </c>
      <c r="D474" t="inlineStr">
        <is>
          <t>NE</t>
        </is>
      </c>
      <c r="E474" t="inlineStr">
        <is>
          <t>US 601</t>
        </is>
      </c>
      <c r="F474" t="inlineStr">
        <is>
          <t>SR 1620</t>
        </is>
      </c>
      <c r="G474" t="inlineStr">
        <is>
          <t>SR 1001</t>
        </is>
      </c>
      <c r="H474" t="n">
        <v>0.01</v>
      </c>
      <c r="J474" t="n">
        <v>107615459</v>
      </c>
      <c r="K474" s="11" t="n">
        <v>45327</v>
      </c>
      <c r="L474" t="n">
        <v>29</v>
      </c>
      <c r="M474" t="n">
        <v>1</v>
      </c>
      <c r="N474" t="n">
        <v>0</v>
      </c>
      <c r="O474" t="n">
        <v>3</v>
      </c>
      <c r="P474" t="inlineStr">
        <is>
          <t>O</t>
        </is>
      </c>
      <c r="Q474" t="n">
        <v>35.04076</v>
      </c>
      <c r="R474" t="n">
        <v>-80.5309</v>
      </c>
      <c r="S474" t="inlineStr">
        <is>
          <t>DMV349CLEANED</t>
        </is>
      </c>
    </row>
    <row r="475">
      <c r="A475" t="inlineStr">
        <is>
          <t>UNIONVILLE</t>
        </is>
      </c>
      <c r="B475" t="inlineStr">
        <is>
          <t>SR 1001</t>
        </is>
      </c>
      <c r="C475" t="n">
        <v>0</v>
      </c>
      <c r="E475" t="inlineStr">
        <is>
          <t>SR 1618</t>
        </is>
      </c>
      <c r="F475" t="inlineStr">
        <is>
          <t>SR 1693</t>
        </is>
      </c>
      <c r="G475" t="inlineStr">
        <is>
          <t>SR 1001</t>
        </is>
      </c>
      <c r="H475" t="n">
        <v>4.094</v>
      </c>
      <c r="J475" t="n">
        <v>107587041</v>
      </c>
      <c r="K475" s="11" t="n">
        <v>45297</v>
      </c>
      <c r="L475" t="n">
        <v>26</v>
      </c>
      <c r="M475" t="n">
        <v>1</v>
      </c>
      <c r="N475" t="n">
        <v>10</v>
      </c>
      <c r="O475" t="n">
        <v>5</v>
      </c>
      <c r="P475" t="inlineStr">
        <is>
          <t>O</t>
        </is>
      </c>
      <c r="Q475" t="n">
        <v>35.0889</v>
      </c>
      <c r="R475" t="n">
        <v>-80.49403</v>
      </c>
      <c r="S475" t="inlineStr">
        <is>
          <t>DMV349CLEANED</t>
        </is>
      </c>
    </row>
    <row r="476">
      <c r="A476" t="inlineStr">
        <is>
          <t>UNIONVILLE</t>
        </is>
      </c>
      <c r="B476" t="inlineStr">
        <is>
          <t>SR 1001</t>
        </is>
      </c>
      <c r="C476" t="n">
        <v>0</v>
      </c>
      <c r="E476" t="inlineStr">
        <is>
          <t>SR 1637</t>
        </is>
      </c>
      <c r="F476" t="inlineStr">
        <is>
          <t>LOVE MILL</t>
        </is>
      </c>
      <c r="G476" t="inlineStr">
        <is>
          <t>SR 1001</t>
        </is>
      </c>
      <c r="H476" t="n">
        <v>4.11</v>
      </c>
      <c r="J476" t="n">
        <v>107495749</v>
      </c>
      <c r="K476" s="11" t="n">
        <v>45218</v>
      </c>
      <c r="L476" t="n">
        <v>28</v>
      </c>
      <c r="M476" t="n">
        <v>1</v>
      </c>
      <c r="N476" t="n">
        <v>10</v>
      </c>
      <c r="O476" t="n">
        <v>5</v>
      </c>
      <c r="P476" t="inlineStr">
        <is>
          <t>O</t>
        </is>
      </c>
    </row>
    <row r="477">
      <c r="A477" t="inlineStr">
        <is>
          <t>UNIONVILLE</t>
        </is>
      </c>
      <c r="B477" t="inlineStr">
        <is>
          <t>SIKES MILL</t>
        </is>
      </c>
      <c r="C477" t="n">
        <v>0</v>
      </c>
      <c r="E477" t="inlineStr">
        <is>
          <t>TOM BOYD</t>
        </is>
      </c>
      <c r="F477" t="inlineStr">
        <is>
          <t>UNIONVILLE</t>
        </is>
      </c>
      <c r="G477" t="inlineStr">
        <is>
          <t>SR 1001</t>
        </is>
      </c>
      <c r="H477" t="n">
        <v>3.461</v>
      </c>
      <c r="J477" t="n">
        <v>107601791</v>
      </c>
      <c r="K477" s="11" t="n">
        <v>45314</v>
      </c>
      <c r="L477" t="n">
        <v>30</v>
      </c>
      <c r="M477" t="n">
        <v>2</v>
      </c>
      <c r="N477" t="n">
        <v>7</v>
      </c>
      <c r="O477" t="n">
        <v>1</v>
      </c>
      <c r="P477" t="inlineStr">
        <is>
          <t>O</t>
        </is>
      </c>
    </row>
    <row r="478">
      <c r="A478" t="inlineStr">
        <is>
          <t>FAIRVIEW</t>
        </is>
      </c>
      <c r="B478" t="inlineStr">
        <is>
          <t>SIKES MILL</t>
        </is>
      </c>
      <c r="C478" t="n">
        <v>0.35</v>
      </c>
      <c r="D478" t="inlineStr">
        <is>
          <t>S</t>
        </is>
      </c>
      <c r="E478" t="inlineStr">
        <is>
          <t>BRIEF</t>
        </is>
      </c>
      <c r="F478" t="inlineStr">
        <is>
          <t>NC 218</t>
        </is>
      </c>
      <c r="G478" t="inlineStr">
        <is>
          <t>SIKES MILL</t>
        </is>
      </c>
      <c r="H478" t="n">
        <v>999.999</v>
      </c>
      <c r="J478" t="n">
        <v>107562589</v>
      </c>
      <c r="K478" s="11" t="n">
        <v>45274</v>
      </c>
      <c r="L478" t="n">
        <v>19</v>
      </c>
      <c r="M478" t="n">
        <v>1</v>
      </c>
      <c r="N478" t="n">
        <v>0</v>
      </c>
      <c r="O478" t="n">
        <v>1</v>
      </c>
      <c r="P478" t="inlineStr">
        <is>
          <t>O</t>
        </is>
      </c>
    </row>
    <row r="479">
      <c r="A479" t="inlineStr">
        <is>
          <t>UNIONVILLE</t>
        </is>
      </c>
      <c r="B479" t="inlineStr">
        <is>
          <t>LAWYERS</t>
        </is>
      </c>
      <c r="C479" t="n">
        <v>0.005</v>
      </c>
      <c r="D479" t="inlineStr">
        <is>
          <t>SE</t>
        </is>
      </c>
      <c r="E479" t="inlineStr">
        <is>
          <t>SIKES MILL</t>
        </is>
      </c>
      <c r="F479" t="inlineStr">
        <is>
          <t>OLD CAMDEN</t>
        </is>
      </c>
      <c r="G479" t="inlineStr">
        <is>
          <t>LAWYERS</t>
        </is>
      </c>
      <c r="H479" t="n">
        <v>999.999</v>
      </c>
      <c r="J479" t="n">
        <v>107493499</v>
      </c>
      <c r="K479" s="11" t="n">
        <v>45217</v>
      </c>
      <c r="L479" t="n">
        <v>21</v>
      </c>
      <c r="M479" t="n">
        <v>1</v>
      </c>
      <c r="N479" t="n">
        <v>10</v>
      </c>
      <c r="O479" t="n">
        <v>1</v>
      </c>
      <c r="P479" t="inlineStr">
        <is>
          <t>O</t>
        </is>
      </c>
      <c r="Q479" t="n">
        <v>35.088954</v>
      </c>
      <c r="R479" t="n">
        <v>-80.493752</v>
      </c>
      <c r="S479" t="inlineStr">
        <is>
          <t>ITRE_CMV</t>
        </is>
      </c>
    </row>
    <row r="480">
      <c r="A480" t="inlineStr">
        <is>
          <t>RURAL</t>
        </is>
      </c>
      <c r="B480" t="inlineStr">
        <is>
          <t>SR 1006</t>
        </is>
      </c>
      <c r="C480" t="n">
        <v>0</v>
      </c>
      <c r="E480" t="inlineStr">
        <is>
          <t>SR 1606</t>
        </is>
      </c>
      <c r="F480" t="inlineStr">
        <is>
          <t>SR 2188</t>
        </is>
      </c>
      <c r="G480" t="inlineStr">
        <is>
          <t>SR 1006</t>
        </is>
      </c>
      <c r="H480" t="n">
        <v>999.999</v>
      </c>
      <c r="J480" t="n">
        <v>107569594</v>
      </c>
      <c r="K480" s="11" t="n">
        <v>45278</v>
      </c>
      <c r="L480" t="n">
        <v>24</v>
      </c>
      <c r="M480" t="n">
        <v>1</v>
      </c>
      <c r="N480" t="n">
        <v>8</v>
      </c>
      <c r="O480" t="n">
        <v>1</v>
      </c>
      <c r="P480" t="inlineStr">
        <is>
          <t>B</t>
        </is>
      </c>
      <c r="Q480" t="n">
        <v>35.03187</v>
      </c>
      <c r="R480" t="n">
        <v>-80.47551</v>
      </c>
      <c r="S480" t="inlineStr">
        <is>
          <t>DMV349CLEANED</t>
        </is>
      </c>
    </row>
    <row r="481">
      <c r="A481" t="inlineStr">
        <is>
          <t>UNIONVILLE</t>
        </is>
      </c>
      <c r="B481" t="inlineStr">
        <is>
          <t>SR 1001</t>
        </is>
      </c>
      <c r="C481" t="n">
        <v>0.3</v>
      </c>
      <c r="D481" t="inlineStr">
        <is>
          <t>S</t>
        </is>
      </c>
      <c r="E481" t="inlineStr">
        <is>
          <t>SR 1617</t>
        </is>
      </c>
      <c r="F481" t="inlineStr">
        <is>
          <t>SR 1615</t>
        </is>
      </c>
      <c r="G481" t="inlineStr">
        <is>
          <t>SR 1001</t>
        </is>
      </c>
      <c r="H481" t="n">
        <v>3.161</v>
      </c>
      <c r="J481" t="n">
        <v>107634836</v>
      </c>
      <c r="K481" s="11" t="n">
        <v>45346</v>
      </c>
      <c r="L481" t="n">
        <v>29</v>
      </c>
      <c r="M481" t="n">
        <v>1</v>
      </c>
      <c r="N481" t="n">
        <v>0</v>
      </c>
      <c r="O481" t="n">
        <v>5</v>
      </c>
      <c r="P481" t="inlineStr">
        <is>
          <t>O</t>
        </is>
      </c>
      <c r="Q481" t="n">
        <v>35.07842</v>
      </c>
      <c r="R481" t="n">
        <v>-80.50516</v>
      </c>
      <c r="S481" t="inlineStr">
        <is>
          <t>DMV349CLEANED</t>
        </is>
      </c>
    </row>
    <row r="482">
      <c r="A482" t="inlineStr">
        <is>
          <t>UNIONVILLE</t>
        </is>
      </c>
      <c r="B482" t="inlineStr">
        <is>
          <t>SR 1606</t>
        </is>
      </c>
      <c r="C482" t="n">
        <v>0.006</v>
      </c>
      <c r="D482" t="inlineStr">
        <is>
          <t>S</t>
        </is>
      </c>
      <c r="E482" t="inlineStr">
        <is>
          <t>SR 1678</t>
        </is>
      </c>
      <c r="F482" t="inlineStr">
        <is>
          <t>SR 1001</t>
        </is>
      </c>
      <c r="G482" t="inlineStr">
        <is>
          <t>SR 1606</t>
        </is>
      </c>
      <c r="H482" t="n">
        <v>5.802</v>
      </c>
      <c r="J482" t="n">
        <v>107611797</v>
      </c>
      <c r="K482" s="11" t="n">
        <v>45322</v>
      </c>
      <c r="L482" t="n">
        <v>19</v>
      </c>
      <c r="M482" t="n">
        <v>1</v>
      </c>
      <c r="N482" t="n">
        <v>0</v>
      </c>
      <c r="O482" t="n">
        <v>1</v>
      </c>
      <c r="P482" t="inlineStr">
        <is>
          <t>O</t>
        </is>
      </c>
      <c r="Q482" t="n">
        <v>35.09593</v>
      </c>
      <c r="R482" t="n">
        <v>-80.49285</v>
      </c>
      <c r="S482" t="inlineStr">
        <is>
          <t>DMV349CLEANED</t>
        </is>
      </c>
    </row>
    <row r="483">
      <c r="A483" t="inlineStr">
        <is>
          <t>FAIRVIEW</t>
        </is>
      </c>
      <c r="B483" t="inlineStr">
        <is>
          <t>SIKES MILL</t>
        </is>
      </c>
      <c r="C483" t="n">
        <v>0.19</v>
      </c>
      <c r="D483" t="inlineStr">
        <is>
          <t>N</t>
        </is>
      </c>
      <c r="E483" t="inlineStr">
        <is>
          <t>BRIEF</t>
        </is>
      </c>
      <c r="F483" t="inlineStr">
        <is>
          <t>OLD FERRY</t>
        </is>
      </c>
      <c r="G483" t="inlineStr">
        <is>
          <t>SIKES MILL</t>
        </is>
      </c>
      <c r="H483" t="n">
        <v>999.999</v>
      </c>
      <c r="J483" t="n">
        <v>108485442</v>
      </c>
      <c r="K483" s="11" t="n">
        <v>46146</v>
      </c>
      <c r="L483" t="n">
        <v>17</v>
      </c>
      <c r="M483" t="n">
        <v>1</v>
      </c>
      <c r="O483" t="n">
        <v>1</v>
      </c>
      <c r="P483" t="inlineStr">
        <is>
          <t>O</t>
        </is>
      </c>
    </row>
    <row r="484">
      <c r="A484" t="inlineStr">
        <is>
          <t>UNIONVILLE</t>
        </is>
      </c>
      <c r="B484" t="inlineStr">
        <is>
          <t>SR 1001</t>
        </is>
      </c>
      <c r="C484" t="n">
        <v>0</v>
      </c>
      <c r="E484" t="inlineStr">
        <is>
          <t>SR 1606</t>
        </is>
      </c>
      <c r="F484" t="inlineStr">
        <is>
          <t>SR 1618</t>
        </is>
      </c>
      <c r="G484" t="inlineStr">
        <is>
          <t>SR 1001</t>
        </is>
      </c>
      <c r="H484" t="n">
        <v>4.094</v>
      </c>
      <c r="J484" t="n">
        <v>107633193</v>
      </c>
      <c r="K484" s="11" t="n">
        <v>45343</v>
      </c>
      <c r="L484" t="n">
        <v>26</v>
      </c>
      <c r="M484" t="n">
        <v>1</v>
      </c>
      <c r="N484" t="n">
        <v>10</v>
      </c>
      <c r="O484" t="n">
        <v>5</v>
      </c>
      <c r="P484" t="inlineStr">
        <is>
          <t>O</t>
        </is>
      </c>
      <c r="Q484" t="n">
        <v>35.089281</v>
      </c>
      <c r="R484" t="n">
        <v>-80.494</v>
      </c>
      <c r="S484" t="inlineStr">
        <is>
          <t>DMV349CLEANED</t>
        </is>
      </c>
    </row>
    <row r="485">
      <c r="A485" t="inlineStr">
        <is>
          <t>UNIONVILLE</t>
        </is>
      </c>
      <c r="B485" t="inlineStr">
        <is>
          <t>SR 1001</t>
        </is>
      </c>
      <c r="C485" t="n">
        <v>0.2</v>
      </c>
      <c r="D485" t="inlineStr">
        <is>
          <t>S</t>
        </is>
      </c>
      <c r="E485" t="inlineStr">
        <is>
          <t>SR 1615</t>
        </is>
      </c>
      <c r="F485" t="inlineStr">
        <is>
          <t>SR 2713</t>
        </is>
      </c>
      <c r="G485" t="inlineStr">
        <is>
          <t>SR 1001</t>
        </is>
      </c>
      <c r="H485" t="n">
        <v>2.671</v>
      </c>
      <c r="J485" t="n">
        <v>107693734</v>
      </c>
      <c r="K485" s="11" t="n">
        <v>45401</v>
      </c>
      <c r="L485" t="n">
        <v>17</v>
      </c>
      <c r="M485" t="n">
        <v>1</v>
      </c>
      <c r="N485" t="n">
        <v>0</v>
      </c>
      <c r="O485" t="n">
        <v>1</v>
      </c>
      <c r="P485" t="inlineStr">
        <is>
          <t>O</t>
        </is>
      </c>
      <c r="Q485" t="n">
        <v>35.07412</v>
      </c>
      <c r="R485" t="n">
        <v>-80.5104</v>
      </c>
      <c r="S485" t="inlineStr">
        <is>
          <t>DMV349CLEANED</t>
        </is>
      </c>
    </row>
    <row r="486">
      <c r="A486" t="inlineStr">
        <is>
          <t>FAIRVIEW</t>
        </is>
      </c>
      <c r="B486" t="inlineStr">
        <is>
          <t>NC 218</t>
        </is>
      </c>
      <c r="C486" t="n">
        <v>0</v>
      </c>
      <c r="E486" t="inlineStr">
        <is>
          <t>SIKES MILL</t>
        </is>
      </c>
      <c r="F486" t="inlineStr">
        <is>
          <t>BRIEF</t>
        </is>
      </c>
      <c r="G486" t="inlineStr">
        <is>
          <t>NC 218</t>
        </is>
      </c>
      <c r="H486" t="n">
        <v>8.082000000000001</v>
      </c>
      <c r="J486" t="n">
        <v>107705518</v>
      </c>
      <c r="K486" s="11" t="n">
        <v>45413</v>
      </c>
      <c r="L486" t="n">
        <v>23</v>
      </c>
      <c r="M486" t="n">
        <v>1</v>
      </c>
      <c r="N486" t="n">
        <v>7</v>
      </c>
      <c r="O486" t="n">
        <v>1</v>
      </c>
      <c r="P486" t="inlineStr">
        <is>
          <t>C</t>
        </is>
      </c>
    </row>
    <row r="487">
      <c r="A487" t="inlineStr">
        <is>
          <t>UNIONVILLE</t>
        </is>
      </c>
      <c r="B487" t="inlineStr">
        <is>
          <t>SR 1001</t>
        </is>
      </c>
      <c r="C487" t="n">
        <v>0.2</v>
      </c>
      <c r="D487" t="inlineStr">
        <is>
          <t>N</t>
        </is>
      </c>
      <c r="E487" t="inlineStr">
        <is>
          <t>US 601</t>
        </is>
      </c>
      <c r="F487" t="inlineStr">
        <is>
          <t>SR 1620</t>
        </is>
      </c>
      <c r="G487" t="inlineStr">
        <is>
          <t>SR 1001</t>
        </is>
      </c>
      <c r="H487" t="n">
        <v>0.2</v>
      </c>
      <c r="J487" t="n">
        <v>107643542</v>
      </c>
      <c r="K487" s="11" t="n">
        <v>45353</v>
      </c>
      <c r="L487" t="n">
        <v>19</v>
      </c>
      <c r="M487" t="n">
        <v>1</v>
      </c>
      <c r="N487" t="n">
        <v>0</v>
      </c>
      <c r="O487" t="n">
        <v>2</v>
      </c>
      <c r="P487" t="inlineStr">
        <is>
          <t>C</t>
        </is>
      </c>
      <c r="Q487" t="n">
        <v>35.042236</v>
      </c>
      <c r="R487" t="n">
        <v>-80.52955</v>
      </c>
      <c r="S487" t="inlineStr">
        <is>
          <t>DMV349CLEANED</t>
        </is>
      </c>
    </row>
    <row r="488">
      <c r="A488" t="inlineStr">
        <is>
          <t>RURAL</t>
        </is>
      </c>
      <c r="B488" t="inlineStr">
        <is>
          <t>SR 1606</t>
        </is>
      </c>
      <c r="C488" t="n">
        <v>0</v>
      </c>
      <c r="E488" t="inlineStr">
        <is>
          <t>SR 1547</t>
        </is>
      </c>
      <c r="F488" t="inlineStr">
        <is>
          <t>SR 1607</t>
        </is>
      </c>
      <c r="G488" t="inlineStr">
        <is>
          <t>SR 1606</t>
        </is>
      </c>
      <c r="H488" t="n">
        <v>1.587</v>
      </c>
      <c r="J488" t="n">
        <v>107659363</v>
      </c>
      <c r="K488" s="11" t="n">
        <v>45369</v>
      </c>
      <c r="L488" t="n">
        <v>30</v>
      </c>
      <c r="M488" t="n">
        <v>1</v>
      </c>
      <c r="N488" t="n">
        <v>7</v>
      </c>
      <c r="O488" t="n">
        <v>1</v>
      </c>
      <c r="P488" t="inlineStr">
        <is>
          <t>O</t>
        </is>
      </c>
      <c r="Q488" t="n">
        <v>35.14808</v>
      </c>
      <c r="R488" t="n">
        <v>-80.47566999999999</v>
      </c>
      <c r="S488" t="inlineStr">
        <is>
          <t>DMV349CLEANED</t>
        </is>
      </c>
    </row>
    <row r="489">
      <c r="A489" t="inlineStr">
        <is>
          <t>RURAL</t>
        </is>
      </c>
      <c r="B489" t="inlineStr">
        <is>
          <t>NC 218</t>
        </is>
      </c>
      <c r="C489" t="n">
        <v>0</v>
      </c>
      <c r="E489" t="inlineStr">
        <is>
          <t>SR 1606</t>
        </is>
      </c>
      <c r="F489" t="inlineStr">
        <is>
          <t>SR 1547</t>
        </is>
      </c>
      <c r="G489" t="inlineStr">
        <is>
          <t>NC 218</t>
        </is>
      </c>
      <c r="H489" t="n">
        <v>8.082000000000001</v>
      </c>
      <c r="J489" t="n">
        <v>107659355</v>
      </c>
      <c r="K489" s="11" t="n">
        <v>45367</v>
      </c>
      <c r="L489" t="n">
        <v>30</v>
      </c>
      <c r="M489" t="n">
        <v>1</v>
      </c>
      <c r="N489" t="n">
        <v>7</v>
      </c>
      <c r="O489" t="n">
        <v>1</v>
      </c>
      <c r="P489" t="inlineStr">
        <is>
          <t>O</t>
        </is>
      </c>
      <c r="Q489" t="n">
        <v>35.13035</v>
      </c>
      <c r="R489" t="n">
        <v>-80.47906999999999</v>
      </c>
      <c r="S489" t="inlineStr">
        <is>
          <t>DMV349CLEANED</t>
        </is>
      </c>
    </row>
    <row r="490">
      <c r="A490" t="inlineStr">
        <is>
          <t>UNIONVILLE</t>
        </is>
      </c>
      <c r="B490" t="inlineStr">
        <is>
          <t>SR 1606</t>
        </is>
      </c>
      <c r="C490" t="n">
        <v>0.3</v>
      </c>
      <c r="D490" t="inlineStr">
        <is>
          <t>E</t>
        </is>
      </c>
      <c r="E490" t="inlineStr">
        <is>
          <t>SR 1697</t>
        </is>
      </c>
      <c r="F490" t="inlineStr">
        <is>
          <t>NC 200</t>
        </is>
      </c>
      <c r="G490" t="inlineStr">
        <is>
          <t>SR 1606</t>
        </is>
      </c>
      <c r="H490" t="n">
        <v>999.999</v>
      </c>
      <c r="J490" t="n">
        <v>107647374</v>
      </c>
      <c r="K490" s="11" t="n">
        <v>45358</v>
      </c>
      <c r="L490" t="n">
        <v>19</v>
      </c>
      <c r="M490" t="n">
        <v>1</v>
      </c>
      <c r="N490" t="n">
        <v>0</v>
      </c>
      <c r="O490" t="n">
        <v>1</v>
      </c>
      <c r="P490" t="inlineStr">
        <is>
          <t>O</t>
        </is>
      </c>
      <c r="Q490" t="n">
        <v>35.05937</v>
      </c>
      <c r="R490" t="n">
        <v>-80.48739999999999</v>
      </c>
      <c r="S490" t="inlineStr">
        <is>
          <t>DMV349CLEANED</t>
        </is>
      </c>
    </row>
    <row r="491">
      <c r="A491" t="inlineStr">
        <is>
          <t>UNIONVILLE</t>
        </is>
      </c>
      <c r="B491" t="inlineStr">
        <is>
          <t>PVA PIEDMONT MIDDLE SCHOOL</t>
        </is>
      </c>
      <c r="C491" t="n">
        <v>0.019</v>
      </c>
      <c r="D491" t="inlineStr">
        <is>
          <t>E</t>
        </is>
      </c>
      <c r="E491" t="inlineStr">
        <is>
          <t>SIKES MILL</t>
        </is>
      </c>
      <c r="H491" t="n">
        <v>999.999</v>
      </c>
      <c r="J491" t="n">
        <v>107683218</v>
      </c>
      <c r="K491" s="11" t="n">
        <v>45393</v>
      </c>
      <c r="L491" t="n">
        <v>31</v>
      </c>
      <c r="M491" t="n">
        <v>2</v>
      </c>
      <c r="N491" t="n">
        <v>4</v>
      </c>
      <c r="O491" t="n">
        <v>1</v>
      </c>
      <c r="P491" t="inlineStr">
        <is>
          <t>O</t>
        </is>
      </c>
    </row>
    <row r="492">
      <c r="A492" t="inlineStr">
        <is>
          <t>FAIRVIEW</t>
        </is>
      </c>
      <c r="B492" t="inlineStr">
        <is>
          <t>NC 218</t>
        </is>
      </c>
      <c r="C492" t="n">
        <v>0</v>
      </c>
      <c r="E492" t="inlineStr">
        <is>
          <t>SIKES MILL</t>
        </is>
      </c>
      <c r="F492" t="inlineStr">
        <is>
          <t>BRIEF</t>
        </is>
      </c>
      <c r="G492" t="inlineStr">
        <is>
          <t>NC 218</t>
        </is>
      </c>
      <c r="H492" t="n">
        <v>8.082000000000001</v>
      </c>
      <c r="J492" t="n">
        <v>107751347</v>
      </c>
      <c r="K492" s="11" t="n">
        <v>45457</v>
      </c>
      <c r="L492" t="n">
        <v>24</v>
      </c>
      <c r="M492" t="n">
        <v>1</v>
      </c>
      <c r="N492" t="n">
        <v>7</v>
      </c>
      <c r="O492" t="n">
        <v>1</v>
      </c>
      <c r="P492" t="inlineStr">
        <is>
          <t>C</t>
        </is>
      </c>
    </row>
    <row r="493">
      <c r="A493" t="inlineStr">
        <is>
          <t>UNIONVILLE</t>
        </is>
      </c>
      <c r="B493" t="inlineStr">
        <is>
          <t>PVA MARATHON GAS STATION</t>
        </is>
      </c>
      <c r="C493" t="n">
        <v>0.019</v>
      </c>
      <c r="D493" t="inlineStr">
        <is>
          <t>W</t>
        </is>
      </c>
      <c r="E493" t="inlineStr">
        <is>
          <t>SR 1001</t>
        </is>
      </c>
      <c r="F493" t="inlineStr">
        <is>
          <t>DEAD END</t>
        </is>
      </c>
      <c r="H493" t="n">
        <v>999.999</v>
      </c>
      <c r="J493" t="n">
        <v>107692192</v>
      </c>
      <c r="K493" s="11" t="n">
        <v>45400</v>
      </c>
      <c r="L493" t="n">
        <v>31</v>
      </c>
      <c r="M493" t="n">
        <v>1</v>
      </c>
      <c r="N493" t="n">
        <v>4</v>
      </c>
      <c r="O493" t="n">
        <v>1</v>
      </c>
      <c r="P493" t="inlineStr">
        <is>
          <t>O</t>
        </is>
      </c>
      <c r="Q493" t="n">
        <v>35.0886</v>
      </c>
      <c r="R493" t="n">
        <v>-80.49449</v>
      </c>
      <c r="S493" t="inlineStr">
        <is>
          <t>DMV349</t>
        </is>
      </c>
    </row>
    <row r="494">
      <c r="A494" t="inlineStr">
        <is>
          <t>UNIONVILLE</t>
        </is>
      </c>
      <c r="B494" t="inlineStr">
        <is>
          <t>SR 1001</t>
        </is>
      </c>
      <c r="C494" t="n">
        <v>0.031</v>
      </c>
      <c r="D494" t="inlineStr">
        <is>
          <t>S</t>
        </is>
      </c>
      <c r="E494" t="inlineStr">
        <is>
          <t>SR 2713</t>
        </is>
      </c>
      <c r="F494" t="inlineStr">
        <is>
          <t>SR 1665</t>
        </is>
      </c>
      <c r="G494" t="inlineStr">
        <is>
          <t>SR 1001</t>
        </is>
      </c>
      <c r="H494" t="n">
        <v>2.494</v>
      </c>
      <c r="J494" t="n">
        <v>107743856</v>
      </c>
      <c r="K494" s="11" t="n">
        <v>45447</v>
      </c>
      <c r="L494" t="n">
        <v>5</v>
      </c>
      <c r="M494" t="n">
        <v>1</v>
      </c>
      <c r="N494" t="n">
        <v>0</v>
      </c>
      <c r="O494" t="n">
        <v>1</v>
      </c>
      <c r="P494" t="inlineStr">
        <is>
          <t>A</t>
        </is>
      </c>
      <c r="Q494" t="n">
        <v>35.068813</v>
      </c>
      <c r="R494" t="n">
        <v>-80.51643</v>
      </c>
      <c r="S494" t="inlineStr">
        <is>
          <t>DMV349CLEANED</t>
        </is>
      </c>
    </row>
    <row r="495">
      <c r="A495" t="inlineStr">
        <is>
          <t>FAIRVIEW</t>
        </is>
      </c>
      <c r="B495" t="inlineStr">
        <is>
          <t>NC 218</t>
        </is>
      </c>
      <c r="C495" t="n">
        <v>0</v>
      </c>
      <c r="E495" t="inlineStr">
        <is>
          <t>SIKES MILL</t>
        </is>
      </c>
      <c r="F495" t="inlineStr">
        <is>
          <t>*LCL OLD FISH RD</t>
        </is>
      </c>
      <c r="G495" t="inlineStr">
        <is>
          <t>NC 218</t>
        </is>
      </c>
      <c r="H495" t="n">
        <v>8.082000000000001</v>
      </c>
      <c r="J495" t="n">
        <v>108486827</v>
      </c>
      <c r="K495" s="11" t="n">
        <v>46146</v>
      </c>
      <c r="L495" t="n">
        <v>28</v>
      </c>
      <c r="M495" t="n">
        <v>1</v>
      </c>
      <c r="N495" t="n">
        <v>10</v>
      </c>
      <c r="O495" t="n">
        <v>1</v>
      </c>
      <c r="P495" t="inlineStr">
        <is>
          <t>O</t>
        </is>
      </c>
    </row>
    <row r="496">
      <c r="A496" t="inlineStr">
        <is>
          <t>FAIRVIEW</t>
        </is>
      </c>
      <c r="B496" t="inlineStr">
        <is>
          <t>SR 1606</t>
        </is>
      </c>
      <c r="C496" t="n">
        <v>0.006</v>
      </c>
      <c r="D496" t="inlineStr">
        <is>
          <t>S</t>
        </is>
      </c>
      <c r="E496" t="inlineStr">
        <is>
          <t>NC 218</t>
        </is>
      </c>
      <c r="F496" t="inlineStr">
        <is>
          <t>SR 1610</t>
        </is>
      </c>
      <c r="G496" t="inlineStr">
        <is>
          <t>SR 1606</t>
        </is>
      </c>
      <c r="H496" t="n">
        <v>2.947</v>
      </c>
      <c r="J496" t="n">
        <v>107743765</v>
      </c>
      <c r="K496" s="11" t="n">
        <v>45448</v>
      </c>
      <c r="L496" t="n">
        <v>29</v>
      </c>
      <c r="M496" t="n">
        <v>2</v>
      </c>
      <c r="N496" t="n">
        <v>7</v>
      </c>
      <c r="O496" t="n">
        <v>1</v>
      </c>
      <c r="P496" t="inlineStr">
        <is>
          <t>O</t>
        </is>
      </c>
    </row>
    <row r="497">
      <c r="A497" t="inlineStr">
        <is>
          <t>UNIONVILLE</t>
        </is>
      </c>
      <c r="B497" t="inlineStr">
        <is>
          <t>LOVE MILL</t>
        </is>
      </c>
      <c r="C497" t="n">
        <v>0.07199999999999999</v>
      </c>
      <c r="D497" t="inlineStr">
        <is>
          <t>N</t>
        </is>
      </c>
      <c r="E497" t="inlineStr">
        <is>
          <t>*LCL PURSER RUSHING RD</t>
        </is>
      </c>
      <c r="F497" t="inlineStr">
        <is>
          <t>HAIGLER BAUCOM</t>
        </is>
      </c>
      <c r="H497" t="n">
        <v>999.999</v>
      </c>
      <c r="J497" t="n">
        <v>107756918</v>
      </c>
      <c r="K497" s="11" t="n">
        <v>45463</v>
      </c>
      <c r="L497" t="n">
        <v>23</v>
      </c>
      <c r="M497" t="n">
        <v>1</v>
      </c>
      <c r="N497" t="n">
        <v>5</v>
      </c>
      <c r="O497" t="n">
        <v>3</v>
      </c>
      <c r="P497" t="inlineStr">
        <is>
          <t>O</t>
        </is>
      </c>
    </row>
    <row r="498">
      <c r="A498" t="inlineStr">
        <is>
          <t>FAIRVIEW</t>
        </is>
      </c>
      <c r="B498" t="inlineStr">
        <is>
          <t>SIKES MILL</t>
        </is>
      </c>
      <c r="C498" t="n">
        <v>0.3</v>
      </c>
      <c r="D498" t="inlineStr">
        <is>
          <t>N</t>
        </is>
      </c>
      <c r="E498" t="inlineStr">
        <is>
          <t>OLD FERRY</t>
        </is>
      </c>
      <c r="F498" t="inlineStr">
        <is>
          <t>*LCL BIGGERS CEMETRY RD</t>
        </is>
      </c>
      <c r="G498" t="inlineStr">
        <is>
          <t>SIKES MILL</t>
        </is>
      </c>
      <c r="H498" t="n">
        <v>999.999</v>
      </c>
      <c r="J498" t="n">
        <v>107748214</v>
      </c>
      <c r="K498" s="11" t="n">
        <v>45455</v>
      </c>
      <c r="L498" t="n">
        <v>17</v>
      </c>
      <c r="M498" t="n">
        <v>1</v>
      </c>
      <c r="N498" t="n">
        <v>0</v>
      </c>
      <c r="O498" t="n">
        <v>1</v>
      </c>
      <c r="P498" t="inlineStr">
        <is>
          <t>O</t>
        </is>
      </c>
    </row>
    <row r="499">
      <c r="A499" t="inlineStr">
        <is>
          <t>RURAL</t>
        </is>
      </c>
      <c r="B499" t="inlineStr">
        <is>
          <t>SIKES MILL</t>
        </is>
      </c>
      <c r="C499" t="n">
        <v>0.13</v>
      </c>
      <c r="D499" t="inlineStr">
        <is>
          <t>N</t>
        </is>
      </c>
      <c r="E499" t="inlineStr">
        <is>
          <t>SPRING LAKE</t>
        </is>
      </c>
      <c r="F499" t="inlineStr">
        <is>
          <t>CHANEY</t>
        </is>
      </c>
      <c r="G499" t="inlineStr">
        <is>
          <t>SR 1001</t>
        </is>
      </c>
      <c r="H499" t="n">
        <v>1.015</v>
      </c>
      <c r="J499" t="n">
        <v>107715447</v>
      </c>
      <c r="K499" s="11" t="n">
        <v>45419</v>
      </c>
      <c r="L499" t="n">
        <v>17</v>
      </c>
      <c r="M499" t="n">
        <v>1</v>
      </c>
      <c r="N499" t="n">
        <v>0</v>
      </c>
      <c r="O499" t="n">
        <v>5</v>
      </c>
      <c r="P499" t="inlineStr">
        <is>
          <t>O</t>
        </is>
      </c>
    </row>
    <row r="500">
      <c r="A500" t="inlineStr">
        <is>
          <t>UNIONVILLE</t>
        </is>
      </c>
      <c r="B500" t="inlineStr">
        <is>
          <t>SIKES MILL</t>
        </is>
      </c>
      <c r="C500" t="n">
        <v>0.15</v>
      </c>
      <c r="D500" t="inlineStr">
        <is>
          <t>S</t>
        </is>
      </c>
      <c r="E500" t="inlineStr">
        <is>
          <t>CLONTZ LONG</t>
        </is>
      </c>
      <c r="F500" t="inlineStr">
        <is>
          <t>UNIONVILLE</t>
        </is>
      </c>
      <c r="G500" t="inlineStr">
        <is>
          <t>SIKES MILL</t>
        </is>
      </c>
      <c r="H500" t="n">
        <v>999.999</v>
      </c>
      <c r="J500" t="n">
        <v>107408108</v>
      </c>
      <c r="K500" s="11" t="n">
        <v>45134</v>
      </c>
      <c r="L500" t="n">
        <v>29</v>
      </c>
      <c r="M500" t="n">
        <v>1</v>
      </c>
      <c r="N500" t="n">
        <v>0</v>
      </c>
      <c r="O500" t="n">
        <v>1</v>
      </c>
      <c r="P500" t="inlineStr">
        <is>
          <t>O</t>
        </is>
      </c>
    </row>
    <row r="501">
      <c r="A501" t="inlineStr">
        <is>
          <t>RURAL</t>
        </is>
      </c>
      <c r="B501" t="inlineStr">
        <is>
          <t>SR 1656</t>
        </is>
      </c>
      <c r="C501" t="n">
        <v>0</v>
      </c>
      <c r="E501" t="inlineStr">
        <is>
          <t>SR 1001</t>
        </is>
      </c>
      <c r="F501" t="inlineStr">
        <is>
          <t>SR 1655</t>
        </is>
      </c>
      <c r="G501" t="inlineStr">
        <is>
          <t>SR 1656</t>
        </is>
      </c>
      <c r="H501" t="n">
        <v>0</v>
      </c>
      <c r="J501" t="n">
        <v>107648441</v>
      </c>
      <c r="K501" s="11" t="n">
        <v>45359</v>
      </c>
      <c r="L501" t="n">
        <v>24</v>
      </c>
      <c r="M501" t="n">
        <v>1</v>
      </c>
      <c r="N501" t="n">
        <v>8</v>
      </c>
      <c r="O501" t="n">
        <v>1</v>
      </c>
      <c r="P501" t="inlineStr">
        <is>
          <t>C</t>
        </is>
      </c>
      <c r="Q501" t="n">
        <v>35.12324</v>
      </c>
      <c r="R501" t="n">
        <v>-80.4575</v>
      </c>
      <c r="S501" t="inlineStr">
        <is>
          <t>DMV349CLEANED</t>
        </is>
      </c>
    </row>
    <row r="502">
      <c r="A502" t="inlineStr">
        <is>
          <t>UNIONVILLE</t>
        </is>
      </c>
      <c r="B502" t="inlineStr">
        <is>
          <t>SIKES MILL</t>
        </is>
      </c>
      <c r="C502" t="n">
        <v>0.19</v>
      </c>
      <c r="D502" t="inlineStr">
        <is>
          <t>S</t>
        </is>
      </c>
      <c r="E502" t="inlineStr">
        <is>
          <t>TOM BOYD</t>
        </is>
      </c>
      <c r="F502" t="inlineStr">
        <is>
          <t>UNIONVILLE</t>
        </is>
      </c>
      <c r="G502" t="inlineStr">
        <is>
          <t>SR 1001</t>
        </is>
      </c>
      <c r="H502" t="n">
        <v>3.271</v>
      </c>
      <c r="J502" t="n">
        <v>107653449</v>
      </c>
      <c r="K502" s="11" t="n">
        <v>45364</v>
      </c>
      <c r="L502" t="n">
        <v>29</v>
      </c>
      <c r="M502" t="n">
        <v>1</v>
      </c>
      <c r="N502" t="n">
        <v>0</v>
      </c>
      <c r="O502" t="n">
        <v>1</v>
      </c>
      <c r="P502" t="inlineStr">
        <is>
          <t>O</t>
        </is>
      </c>
    </row>
    <row r="503">
      <c r="A503" t="inlineStr">
        <is>
          <t>UNIONVILLE</t>
        </is>
      </c>
      <c r="B503" t="inlineStr">
        <is>
          <t>SIKES MILL</t>
        </is>
      </c>
      <c r="C503" t="n">
        <v>0.21</v>
      </c>
      <c r="D503" t="inlineStr">
        <is>
          <t>N</t>
        </is>
      </c>
      <c r="E503" t="inlineStr">
        <is>
          <t>UNIONVILLE</t>
        </is>
      </c>
      <c r="F503" t="inlineStr">
        <is>
          <t>CLONTZ LONG</t>
        </is>
      </c>
      <c r="G503" t="inlineStr">
        <is>
          <t>SR 1001</t>
        </is>
      </c>
      <c r="H503" t="n">
        <v>3.081</v>
      </c>
      <c r="J503" t="n">
        <v>106523220</v>
      </c>
      <c r="K503" s="11" t="n">
        <v>44275</v>
      </c>
      <c r="L503" t="n">
        <v>19</v>
      </c>
      <c r="M503" t="n">
        <v>2</v>
      </c>
      <c r="N503" t="n">
        <v>0</v>
      </c>
      <c r="O503" t="n">
        <v>5</v>
      </c>
      <c r="P503" t="inlineStr">
        <is>
          <t>O</t>
        </is>
      </c>
    </row>
    <row r="504">
      <c r="A504" t="inlineStr">
        <is>
          <t>RURAL</t>
        </is>
      </c>
      <c r="B504" t="inlineStr">
        <is>
          <t>SR 1606</t>
        </is>
      </c>
      <c r="C504" t="n">
        <v>0</v>
      </c>
      <c r="E504" t="inlineStr">
        <is>
          <t>SR 1627</t>
        </is>
      </c>
      <c r="F504" t="inlineStr">
        <is>
          <t>NC 200</t>
        </is>
      </c>
      <c r="G504" t="inlineStr">
        <is>
          <t>SR 1606</t>
        </is>
      </c>
      <c r="H504" t="n">
        <v>999.999</v>
      </c>
      <c r="J504" t="n">
        <v>107696630</v>
      </c>
      <c r="K504" s="11" t="n">
        <v>45399</v>
      </c>
      <c r="L504" t="n">
        <v>30</v>
      </c>
      <c r="M504" t="n">
        <v>1</v>
      </c>
      <c r="N504" t="n">
        <v>7</v>
      </c>
      <c r="O504" t="n">
        <v>1</v>
      </c>
      <c r="P504" t="inlineStr">
        <is>
          <t>B</t>
        </is>
      </c>
      <c r="Q504" t="n">
        <v>35.04972</v>
      </c>
      <c r="R504" t="n">
        <v>-80.48138</v>
      </c>
      <c r="S504" t="inlineStr">
        <is>
          <t>DMV349CLEANED</t>
        </is>
      </c>
    </row>
    <row r="505">
      <c r="A505" t="inlineStr">
        <is>
          <t>RURAL</t>
        </is>
      </c>
      <c r="B505" t="inlineStr">
        <is>
          <t>SIKES MILL</t>
        </is>
      </c>
      <c r="C505" t="n">
        <v>1</v>
      </c>
      <c r="D505" t="inlineStr">
        <is>
          <t>N</t>
        </is>
      </c>
      <c r="E505" t="inlineStr">
        <is>
          <t>UNIONVILLE</t>
        </is>
      </c>
      <c r="F505" t="inlineStr">
        <is>
          <t>CLONTZ LONG</t>
        </is>
      </c>
      <c r="G505" t="inlineStr">
        <is>
          <t>SR 1001</t>
        </is>
      </c>
      <c r="H505" t="n">
        <v>3.871</v>
      </c>
      <c r="J505" t="n">
        <v>107319577</v>
      </c>
      <c r="K505" s="11" t="n">
        <v>45018</v>
      </c>
      <c r="L505" t="n">
        <v>17</v>
      </c>
      <c r="M505" t="n">
        <v>1</v>
      </c>
      <c r="N505" t="n">
        <v>0</v>
      </c>
      <c r="O505" t="n">
        <v>5</v>
      </c>
      <c r="P505" t="inlineStr">
        <is>
          <t>O</t>
        </is>
      </c>
    </row>
    <row r="506">
      <c r="A506" t="inlineStr">
        <is>
          <t>UNIONVILLE</t>
        </is>
      </c>
      <c r="B506" t="inlineStr">
        <is>
          <t>SIKES MILL</t>
        </is>
      </c>
      <c r="C506" t="n">
        <v>0.25</v>
      </c>
      <c r="D506" t="inlineStr">
        <is>
          <t>S</t>
        </is>
      </c>
      <c r="E506" t="inlineStr">
        <is>
          <t>CLONTZ LONG</t>
        </is>
      </c>
      <c r="F506" t="inlineStr">
        <is>
          <t>UNIONVILLE</t>
        </is>
      </c>
      <c r="G506" t="inlineStr">
        <is>
          <t>SIKES MILL</t>
        </is>
      </c>
      <c r="H506" t="n">
        <v>999.999</v>
      </c>
      <c r="J506" t="n">
        <v>107535602</v>
      </c>
      <c r="K506" s="11" t="n">
        <v>45250</v>
      </c>
      <c r="L506" t="n">
        <v>17</v>
      </c>
      <c r="M506" t="n">
        <v>1</v>
      </c>
      <c r="N506" t="n">
        <v>0</v>
      </c>
      <c r="O506" t="n">
        <v>5</v>
      </c>
      <c r="P506" t="inlineStr">
        <is>
          <t>O</t>
        </is>
      </c>
    </row>
    <row r="507">
      <c r="A507" t="inlineStr">
        <is>
          <t>UNIONVILLE</t>
        </is>
      </c>
      <c r="B507" t="inlineStr">
        <is>
          <t>PVA PIEDMONT HS</t>
        </is>
      </c>
      <c r="C507" t="n">
        <v>0.028</v>
      </c>
      <c r="D507" t="inlineStr">
        <is>
          <t>E</t>
        </is>
      </c>
      <c r="E507" t="inlineStr">
        <is>
          <t>SIKES MILL</t>
        </is>
      </c>
      <c r="H507" t="n">
        <v>999.999</v>
      </c>
      <c r="J507" t="n">
        <v>107711938</v>
      </c>
      <c r="K507" s="11" t="n">
        <v>45419</v>
      </c>
      <c r="L507" t="n">
        <v>23</v>
      </c>
      <c r="M507" t="n">
        <v>1</v>
      </c>
      <c r="N507" t="n">
        <v>4</v>
      </c>
      <c r="O507" t="n">
        <v>1</v>
      </c>
      <c r="P507" t="inlineStr">
        <is>
          <t>O</t>
        </is>
      </c>
    </row>
    <row r="508">
      <c r="A508" t="inlineStr">
        <is>
          <t>RURAL</t>
        </is>
      </c>
      <c r="B508" t="inlineStr">
        <is>
          <t>NC 218</t>
        </is>
      </c>
      <c r="C508" t="n">
        <v>0</v>
      </c>
      <c r="E508" t="inlineStr">
        <is>
          <t>SR 1001</t>
        </is>
      </c>
      <c r="F508" t="inlineStr">
        <is>
          <t>NC 200</t>
        </is>
      </c>
      <c r="G508" t="inlineStr">
        <is>
          <t>NC 218</t>
        </is>
      </c>
      <c r="H508" t="n">
        <v>9.786</v>
      </c>
      <c r="J508" t="n">
        <v>107715702</v>
      </c>
      <c r="K508" s="11" t="n">
        <v>45423</v>
      </c>
      <c r="L508" t="n">
        <v>30</v>
      </c>
      <c r="M508" t="n">
        <v>1</v>
      </c>
      <c r="N508" t="n">
        <v>7</v>
      </c>
      <c r="O508" t="n">
        <v>1</v>
      </c>
      <c r="P508" t="inlineStr">
        <is>
          <t>O</t>
        </is>
      </c>
      <c r="Q508" t="n">
        <v>35.13378</v>
      </c>
      <c r="R508" t="n">
        <v>-80.44974000000001</v>
      </c>
      <c r="S508" t="inlineStr">
        <is>
          <t>DMV349CLEANED</t>
        </is>
      </c>
    </row>
    <row r="509">
      <c r="A509" t="inlineStr">
        <is>
          <t>FAIRVIEW</t>
        </is>
      </c>
      <c r="B509" t="inlineStr">
        <is>
          <t>SR 1606</t>
        </is>
      </c>
      <c r="C509" t="n">
        <v>0.1</v>
      </c>
      <c r="D509" t="inlineStr">
        <is>
          <t>SW</t>
        </is>
      </c>
      <c r="E509" t="inlineStr">
        <is>
          <t>SR 1507</t>
        </is>
      </c>
      <c r="F509" t="inlineStr">
        <is>
          <t>NC 218</t>
        </is>
      </c>
      <c r="G509" t="inlineStr">
        <is>
          <t>SR 1606</t>
        </is>
      </c>
      <c r="H509" t="n">
        <v>999.999</v>
      </c>
      <c r="J509" t="n">
        <v>107737133</v>
      </c>
      <c r="K509" s="11" t="n">
        <v>45442</v>
      </c>
      <c r="L509" t="n">
        <v>29</v>
      </c>
      <c r="M509" t="n">
        <v>1</v>
      </c>
      <c r="N509" t="n">
        <v>0</v>
      </c>
      <c r="O509" t="n">
        <v>1</v>
      </c>
      <c r="P509" t="inlineStr">
        <is>
          <t>O</t>
        </is>
      </c>
      <c r="Q509" t="n">
        <v>35.145932</v>
      </c>
      <c r="R509" t="n">
        <v>-80.478031</v>
      </c>
      <c r="S509" t="inlineStr">
        <is>
          <t>ITRE_CMV</t>
        </is>
      </c>
    </row>
    <row r="510">
      <c r="A510" t="inlineStr">
        <is>
          <t>UNIONVILLE</t>
        </is>
      </c>
      <c r="B510" t="inlineStr">
        <is>
          <t>NC 200</t>
        </is>
      </c>
      <c r="C510" t="n">
        <v>0.01</v>
      </c>
      <c r="D510" t="inlineStr">
        <is>
          <t>N</t>
        </is>
      </c>
      <c r="E510" t="inlineStr">
        <is>
          <t>SR 1606</t>
        </is>
      </c>
      <c r="F510" t="inlineStr">
        <is>
          <t>SR 1637</t>
        </is>
      </c>
      <c r="G510" t="inlineStr">
        <is>
          <t>NC 200</t>
        </is>
      </c>
      <c r="H510" t="n">
        <v>25.7</v>
      </c>
      <c r="J510" t="n">
        <v>107859973</v>
      </c>
      <c r="K510" s="11" t="n">
        <v>45554</v>
      </c>
      <c r="L510" t="n">
        <v>19</v>
      </c>
      <c r="M510" t="n">
        <v>1</v>
      </c>
      <c r="N510" t="n">
        <v>0</v>
      </c>
      <c r="O510" t="n">
        <v>1</v>
      </c>
      <c r="P510" t="inlineStr">
        <is>
          <t>B</t>
        </is>
      </c>
      <c r="Q510" t="n">
        <v>35.060963</v>
      </c>
      <c r="R510" t="n">
        <v>-80.48599</v>
      </c>
      <c r="S510" t="inlineStr">
        <is>
          <t>DMV349CLEANED</t>
        </is>
      </c>
    </row>
    <row r="511">
      <c r="A511" t="inlineStr">
        <is>
          <t>FAIRVIEW</t>
        </is>
      </c>
      <c r="B511" t="inlineStr">
        <is>
          <t>SR 1606</t>
        </is>
      </c>
      <c r="C511" t="n">
        <v>0</v>
      </c>
      <c r="E511" t="inlineStr">
        <is>
          <t>SR 1547</t>
        </is>
      </c>
      <c r="F511" t="inlineStr">
        <is>
          <t>SR 1607</t>
        </is>
      </c>
      <c r="G511" t="inlineStr">
        <is>
          <t>SR 1606</t>
        </is>
      </c>
      <c r="H511" t="n">
        <v>1.587</v>
      </c>
      <c r="J511" t="n">
        <v>107737177</v>
      </c>
      <c r="K511" s="11" t="n">
        <v>45441</v>
      </c>
      <c r="L511" t="n">
        <v>30</v>
      </c>
      <c r="M511" t="n">
        <v>1</v>
      </c>
      <c r="N511" t="n">
        <v>7</v>
      </c>
      <c r="O511" t="n">
        <v>5</v>
      </c>
      <c r="P511" t="inlineStr">
        <is>
          <t>O</t>
        </is>
      </c>
      <c r="Q511" t="n">
        <v>35.14776</v>
      </c>
      <c r="R511" t="n">
        <v>-80.47546</v>
      </c>
      <c r="S511" t="inlineStr">
        <is>
          <t>DMV349CLEANED</t>
        </is>
      </c>
    </row>
    <row r="512">
      <c r="A512" t="inlineStr">
        <is>
          <t>RURAL</t>
        </is>
      </c>
      <c r="B512" t="inlineStr">
        <is>
          <t>SR 1001</t>
        </is>
      </c>
      <c r="C512" t="n">
        <v>0</v>
      </c>
      <c r="E512" t="inlineStr">
        <is>
          <t>SR 1639</t>
        </is>
      </c>
      <c r="F512" t="inlineStr">
        <is>
          <t>NC 218</t>
        </is>
      </c>
      <c r="G512" t="inlineStr">
        <is>
          <t>SR 1001</t>
        </is>
      </c>
      <c r="H512" t="n">
        <v>8.536</v>
      </c>
      <c r="J512" t="n">
        <v>107852234</v>
      </c>
      <c r="K512" s="11" t="n">
        <v>45549</v>
      </c>
      <c r="L512" t="n">
        <v>14</v>
      </c>
      <c r="M512" t="n">
        <v>1</v>
      </c>
      <c r="N512" t="n">
        <v>0</v>
      </c>
      <c r="O512" t="n">
        <v>5</v>
      </c>
      <c r="P512" t="inlineStr">
        <is>
          <t>A</t>
        </is>
      </c>
      <c r="Q512" t="n">
        <v>35.139131</v>
      </c>
      <c r="R512" t="n">
        <v>-80.44638399999999</v>
      </c>
      <c r="S512" t="inlineStr">
        <is>
          <t>VHB_PEDBIKE</t>
        </is>
      </c>
    </row>
    <row r="513">
      <c r="A513" t="inlineStr">
        <is>
          <t>RURAL</t>
        </is>
      </c>
      <c r="B513" t="inlineStr">
        <is>
          <t>US 601</t>
        </is>
      </c>
      <c r="C513" t="n">
        <v>0</v>
      </c>
      <c r="E513" t="inlineStr">
        <is>
          <t>SR 1001</t>
        </is>
      </c>
      <c r="F513" t="inlineStr">
        <is>
          <t>SR 1504</t>
        </is>
      </c>
      <c r="G513" t="inlineStr">
        <is>
          <t>US 601</t>
        </is>
      </c>
      <c r="H513" t="n">
        <v>18.007</v>
      </c>
      <c r="J513" t="n">
        <v>107931666</v>
      </c>
      <c r="K513" s="11" t="n">
        <v>45611</v>
      </c>
      <c r="L513" t="n">
        <v>24</v>
      </c>
      <c r="M513" t="n">
        <v>1</v>
      </c>
      <c r="N513" t="n">
        <v>9</v>
      </c>
      <c r="O513" t="n">
        <v>5</v>
      </c>
      <c r="P513" t="inlineStr">
        <is>
          <t>C</t>
        </is>
      </c>
      <c r="Q513" t="n">
        <v>35.032614</v>
      </c>
      <c r="R513" t="n">
        <v>-80.53691000000001</v>
      </c>
      <c r="S513" t="inlineStr">
        <is>
          <t>DMV349CLEANED</t>
        </is>
      </c>
    </row>
    <row r="514">
      <c r="A514" t="inlineStr">
        <is>
          <t>FAIRVIEW</t>
        </is>
      </c>
      <c r="B514" t="inlineStr">
        <is>
          <t>SR 1606</t>
        </is>
      </c>
      <c r="C514" t="n">
        <v>0</v>
      </c>
      <c r="E514" t="inlineStr">
        <is>
          <t>SR 1547</t>
        </is>
      </c>
      <c r="F514" t="inlineStr">
        <is>
          <t>SR 1607</t>
        </is>
      </c>
      <c r="G514" t="inlineStr">
        <is>
          <t>SR 1606</t>
        </is>
      </c>
      <c r="H514" t="n">
        <v>1.587</v>
      </c>
      <c r="J514" t="n">
        <v>107892491</v>
      </c>
      <c r="K514" s="11" t="n">
        <v>45584</v>
      </c>
      <c r="L514" t="n">
        <v>30</v>
      </c>
      <c r="M514" t="n">
        <v>1</v>
      </c>
      <c r="N514" t="n">
        <v>7</v>
      </c>
      <c r="O514" t="n">
        <v>1</v>
      </c>
      <c r="P514" t="inlineStr">
        <is>
          <t>O</t>
        </is>
      </c>
      <c r="Q514" t="n">
        <v>35.14</v>
      </c>
      <c r="R514" t="n">
        <v>-80.47</v>
      </c>
      <c r="S514" t="inlineStr">
        <is>
          <t>DMV349</t>
        </is>
      </c>
    </row>
    <row r="515">
      <c r="A515" t="inlineStr">
        <is>
          <t>FAIRVIEW</t>
        </is>
      </c>
      <c r="B515" t="inlineStr">
        <is>
          <t>SIKES MILL</t>
        </is>
      </c>
      <c r="C515" t="n">
        <v>0</v>
      </c>
      <c r="E515" t="inlineStr">
        <is>
          <t>OLD FERRY</t>
        </is>
      </c>
      <c r="F515" t="inlineStr">
        <is>
          <t>*LCL BIGGERS CEMETERY RD</t>
        </is>
      </c>
      <c r="G515" t="inlineStr">
        <is>
          <t>SIKES MILL</t>
        </is>
      </c>
      <c r="H515" t="n">
        <v>999.999</v>
      </c>
      <c r="J515" t="n">
        <v>107885248</v>
      </c>
      <c r="K515" s="11" t="n">
        <v>45581</v>
      </c>
      <c r="L515" t="n">
        <v>23</v>
      </c>
      <c r="M515" t="n">
        <v>1</v>
      </c>
      <c r="N515" t="n">
        <v>7</v>
      </c>
      <c r="O515" t="n">
        <v>1</v>
      </c>
      <c r="P515" t="inlineStr">
        <is>
          <t>O</t>
        </is>
      </c>
    </row>
    <row r="516">
      <c r="A516" t="inlineStr">
        <is>
          <t>UNIONVILLE</t>
        </is>
      </c>
      <c r="B516" t="inlineStr">
        <is>
          <t>TOM BOYD</t>
        </is>
      </c>
      <c r="C516" t="n">
        <v>0.29</v>
      </c>
      <c r="D516" t="inlineStr">
        <is>
          <t>SE</t>
        </is>
      </c>
      <c r="E516" t="inlineStr">
        <is>
          <t>SIKES MILL</t>
        </is>
      </c>
      <c r="F516" t="inlineStr">
        <is>
          <t>OLD CAMDEN</t>
        </is>
      </c>
      <c r="H516" t="n">
        <v>999.999</v>
      </c>
      <c r="J516" t="n">
        <v>107906736</v>
      </c>
      <c r="K516" s="11" t="n">
        <v>45593</v>
      </c>
      <c r="L516" t="n">
        <v>17</v>
      </c>
      <c r="M516" t="n">
        <v>1</v>
      </c>
      <c r="N516" t="n">
        <v>0</v>
      </c>
      <c r="O516" t="n">
        <v>5</v>
      </c>
      <c r="P516" t="inlineStr">
        <is>
          <t>O</t>
        </is>
      </c>
    </row>
    <row r="517">
      <c r="A517" t="inlineStr">
        <is>
          <t>UNIONVILLE</t>
        </is>
      </c>
      <c r="B517" t="inlineStr">
        <is>
          <t>SR 1001</t>
        </is>
      </c>
      <c r="C517" t="n">
        <v>1</v>
      </c>
      <c r="D517" t="inlineStr">
        <is>
          <t>N</t>
        </is>
      </c>
      <c r="E517" t="inlineStr">
        <is>
          <t>US 601</t>
        </is>
      </c>
      <c r="F517" t="inlineStr">
        <is>
          <t>SR 1620</t>
        </is>
      </c>
      <c r="G517" t="inlineStr">
        <is>
          <t>SR 1001</t>
        </is>
      </c>
      <c r="H517" t="n">
        <v>1</v>
      </c>
      <c r="J517" t="n">
        <v>107900538</v>
      </c>
      <c r="K517" s="11" t="n">
        <v>45586</v>
      </c>
      <c r="L517" t="n">
        <v>14</v>
      </c>
      <c r="M517" t="n">
        <v>1</v>
      </c>
      <c r="N517" t="n">
        <v>0</v>
      </c>
      <c r="O517" t="n">
        <v>1</v>
      </c>
      <c r="P517" t="inlineStr">
        <is>
          <t>C</t>
        </is>
      </c>
      <c r="Q517" t="n">
        <v>35.0539</v>
      </c>
      <c r="R517" t="n">
        <v>-80.523561</v>
      </c>
      <c r="S517" t="inlineStr">
        <is>
          <t>VHB_PEDBIKE</t>
        </is>
      </c>
    </row>
    <row r="518">
      <c r="A518" t="inlineStr">
        <is>
          <t>UNIONVILLE</t>
        </is>
      </c>
      <c r="B518" t="inlineStr">
        <is>
          <t>SIKES MILL</t>
        </is>
      </c>
      <c r="C518" t="n">
        <v>0.19</v>
      </c>
      <c r="D518" t="inlineStr">
        <is>
          <t>N</t>
        </is>
      </c>
      <c r="E518" t="inlineStr">
        <is>
          <t>LOVE MILL</t>
        </is>
      </c>
      <c r="F518" t="inlineStr">
        <is>
          <t>HENRY SMITH</t>
        </is>
      </c>
      <c r="G518" t="inlineStr">
        <is>
          <t>SR 1001</t>
        </is>
      </c>
      <c r="H518" t="n">
        <v>4.11</v>
      </c>
      <c r="J518" t="n">
        <v>107844522</v>
      </c>
      <c r="K518" s="11" t="n">
        <v>45545</v>
      </c>
      <c r="L518" t="n">
        <v>24</v>
      </c>
      <c r="M518" t="n">
        <v>1</v>
      </c>
      <c r="N518" t="n">
        <v>4</v>
      </c>
      <c r="O518" t="n">
        <v>1</v>
      </c>
      <c r="P518" t="inlineStr">
        <is>
          <t>O</t>
        </is>
      </c>
    </row>
    <row r="519">
      <c r="A519" t="inlineStr">
        <is>
          <t>RURAL</t>
        </is>
      </c>
      <c r="B519" t="inlineStr">
        <is>
          <t>SR 1606</t>
        </is>
      </c>
      <c r="C519" t="n">
        <v>0</v>
      </c>
      <c r="E519" t="inlineStr">
        <is>
          <t>SR 1547</t>
        </is>
      </c>
      <c r="F519" t="inlineStr">
        <is>
          <t>NC 218</t>
        </is>
      </c>
      <c r="G519" t="inlineStr">
        <is>
          <t>SR 1606</t>
        </is>
      </c>
      <c r="H519" t="n">
        <v>1.587</v>
      </c>
      <c r="J519" t="n">
        <v>107707929</v>
      </c>
      <c r="K519" s="11" t="n">
        <v>45415</v>
      </c>
      <c r="L519" t="n">
        <v>30</v>
      </c>
      <c r="M519" t="n">
        <v>1</v>
      </c>
      <c r="N519" t="n">
        <v>7</v>
      </c>
      <c r="O519" t="n">
        <v>1</v>
      </c>
      <c r="P519" t="inlineStr">
        <is>
          <t>C</t>
        </is>
      </c>
      <c r="Q519" t="n">
        <v>35.14785</v>
      </c>
      <c r="R519" t="n">
        <v>-80.47548</v>
      </c>
      <c r="S519" t="inlineStr">
        <is>
          <t>DMV349CLEANED</t>
        </is>
      </c>
    </row>
    <row r="520">
      <c r="A520" t="inlineStr">
        <is>
          <t>RURAL</t>
        </is>
      </c>
      <c r="B520" t="inlineStr">
        <is>
          <t>SR 1001</t>
        </is>
      </c>
      <c r="C520" t="n">
        <v>0.038</v>
      </c>
      <c r="D520" t="inlineStr">
        <is>
          <t>S</t>
        </is>
      </c>
      <c r="E520" t="inlineStr">
        <is>
          <t>SR 1665</t>
        </is>
      </c>
      <c r="F520" t="inlineStr">
        <is>
          <t>SR 1620</t>
        </is>
      </c>
      <c r="G520" t="inlineStr">
        <is>
          <t>SR 1001</t>
        </is>
      </c>
      <c r="H520" t="n">
        <v>2.177</v>
      </c>
      <c r="J520" t="n">
        <v>107935833</v>
      </c>
      <c r="K520" s="11" t="n">
        <v>45621</v>
      </c>
      <c r="L520" t="n">
        <v>17</v>
      </c>
      <c r="M520" t="n">
        <v>1</v>
      </c>
      <c r="N520" t="n">
        <v>0</v>
      </c>
      <c r="O520" t="n">
        <v>5</v>
      </c>
      <c r="P520" t="inlineStr">
        <is>
          <t>O</t>
        </is>
      </c>
      <c r="Q520" t="n">
        <v>35.06681</v>
      </c>
      <c r="R520" t="n">
        <v>-80.51741</v>
      </c>
      <c r="S520" t="inlineStr">
        <is>
          <t>DMV349CLEANED</t>
        </is>
      </c>
    </row>
    <row r="521">
      <c r="A521" t="inlineStr">
        <is>
          <t>UNIONVILLE</t>
        </is>
      </c>
      <c r="B521" t="inlineStr">
        <is>
          <t>SR 1001</t>
        </is>
      </c>
      <c r="C521" t="n">
        <v>1</v>
      </c>
      <c r="D521" t="inlineStr">
        <is>
          <t>S</t>
        </is>
      </c>
      <c r="E521" t="inlineStr">
        <is>
          <t>SR 1620</t>
        </is>
      </c>
      <c r="F521" t="inlineStr">
        <is>
          <t>SPRING LAKE</t>
        </is>
      </c>
      <c r="G521" t="inlineStr">
        <is>
          <t>SR 1001</t>
        </is>
      </c>
      <c r="H521" t="n">
        <v>0.352</v>
      </c>
      <c r="J521" t="n">
        <v>107943300</v>
      </c>
      <c r="K521" s="11" t="n">
        <v>45627</v>
      </c>
      <c r="L521" t="n">
        <v>17</v>
      </c>
      <c r="M521" t="n">
        <v>1</v>
      </c>
      <c r="N521" t="n">
        <v>0</v>
      </c>
      <c r="O521" t="n">
        <v>5</v>
      </c>
      <c r="P521" t="inlineStr">
        <is>
          <t>O</t>
        </is>
      </c>
      <c r="Q521" t="n">
        <v>35.05371</v>
      </c>
      <c r="R521" t="n">
        <v>-80.52052</v>
      </c>
      <c r="S521" t="inlineStr">
        <is>
          <t>DMV349CLEANED</t>
        </is>
      </c>
    </row>
    <row r="522">
      <c r="A522" t="inlineStr">
        <is>
          <t>UNIONVILLE</t>
        </is>
      </c>
      <c r="B522" t="inlineStr">
        <is>
          <t>SIKES MILL</t>
        </is>
      </c>
      <c r="C522" t="n">
        <v>0</v>
      </c>
      <c r="E522" t="inlineStr">
        <is>
          <t>TOM HELMS</t>
        </is>
      </c>
      <c r="F522" t="inlineStr">
        <is>
          <t>TOM BOYD</t>
        </is>
      </c>
      <c r="G522" t="inlineStr">
        <is>
          <t>SR 1001</t>
        </is>
      </c>
      <c r="H522" t="n">
        <v>4.094</v>
      </c>
      <c r="J522" t="n">
        <v>108047061</v>
      </c>
      <c r="K522" s="11" t="n">
        <v>45730</v>
      </c>
      <c r="L522" t="n">
        <v>28</v>
      </c>
      <c r="M522" t="n">
        <v>1</v>
      </c>
      <c r="N522" t="n">
        <v>10</v>
      </c>
      <c r="O522" t="n">
        <v>1</v>
      </c>
      <c r="P522" t="inlineStr">
        <is>
          <t>O</t>
        </is>
      </c>
    </row>
    <row r="523">
      <c r="A523" t="inlineStr">
        <is>
          <t>UNIONVILLE</t>
        </is>
      </c>
      <c r="B523" t="inlineStr">
        <is>
          <t>US 601</t>
        </is>
      </c>
      <c r="C523" t="n">
        <v>0.002</v>
      </c>
      <c r="D523" t="inlineStr">
        <is>
          <t>N</t>
        </is>
      </c>
      <c r="E523" t="inlineStr">
        <is>
          <t>SR 1001</t>
        </is>
      </c>
      <c r="F523" t="inlineStr">
        <is>
          <t>SR 1505</t>
        </is>
      </c>
      <c r="G523" t="inlineStr">
        <is>
          <t>US 601</t>
        </is>
      </c>
      <c r="H523" t="n">
        <v>18.009</v>
      </c>
      <c r="J523" t="n">
        <v>107708011</v>
      </c>
      <c r="K523" s="11" t="n">
        <v>45416</v>
      </c>
      <c r="L523" t="n">
        <v>21</v>
      </c>
      <c r="M523" t="n">
        <v>2</v>
      </c>
      <c r="N523" t="n">
        <v>0</v>
      </c>
      <c r="O523" t="n">
        <v>1</v>
      </c>
      <c r="P523" t="inlineStr">
        <is>
          <t>O</t>
        </is>
      </c>
      <c r="Q523" t="n">
        <v>35.040357</v>
      </c>
      <c r="R523" t="n">
        <v>-80.53178</v>
      </c>
      <c r="S523" t="inlineStr">
        <is>
          <t>DMV349CLEANED</t>
        </is>
      </c>
    </row>
    <row r="524">
      <c r="A524" t="inlineStr">
        <is>
          <t>UNIONVILLE</t>
        </is>
      </c>
      <c r="B524" t="inlineStr">
        <is>
          <t>SR 1606</t>
        </is>
      </c>
      <c r="C524" t="n">
        <v>0</v>
      </c>
      <c r="E524" t="inlineStr">
        <is>
          <t>SR 1618</t>
        </is>
      </c>
      <c r="F524" t="inlineStr">
        <is>
          <t>SR 1678</t>
        </is>
      </c>
      <c r="G524" t="inlineStr">
        <is>
          <t>SR 1606</t>
        </is>
      </c>
      <c r="H524" t="n">
        <v>6.066</v>
      </c>
      <c r="J524" t="n">
        <v>107997463</v>
      </c>
      <c r="K524" s="11" t="n">
        <v>45675</v>
      </c>
      <c r="L524" t="n">
        <v>30</v>
      </c>
      <c r="M524" t="n">
        <v>2</v>
      </c>
      <c r="N524" t="n">
        <v>10</v>
      </c>
      <c r="O524" t="n">
        <v>5</v>
      </c>
      <c r="P524" t="inlineStr">
        <is>
          <t>O</t>
        </is>
      </c>
      <c r="Q524" t="n">
        <v>35.089242</v>
      </c>
      <c r="R524" t="n">
        <v>-80.49406999999999</v>
      </c>
      <c r="S524" t="inlineStr">
        <is>
          <t>DMV349CLEANED</t>
        </is>
      </c>
    </row>
    <row r="525">
      <c r="A525" t="inlineStr">
        <is>
          <t>UNIONVILLE</t>
        </is>
      </c>
      <c r="B525" t="inlineStr">
        <is>
          <t>SR 1001</t>
        </is>
      </c>
      <c r="C525" t="n">
        <v>0</v>
      </c>
      <c r="E525" t="inlineStr">
        <is>
          <t>US 601</t>
        </is>
      </c>
      <c r="F525" t="inlineStr">
        <is>
          <t>US 74</t>
        </is>
      </c>
      <c r="G525" t="inlineStr">
        <is>
          <t>SR 1001</t>
        </is>
      </c>
      <c r="H525" t="n">
        <v>0</v>
      </c>
      <c r="J525" t="n">
        <v>108010266</v>
      </c>
      <c r="K525" s="11" t="n">
        <v>45691</v>
      </c>
      <c r="L525" t="n">
        <v>21</v>
      </c>
      <c r="M525" t="n">
        <v>1</v>
      </c>
      <c r="N525" t="n">
        <v>8</v>
      </c>
      <c r="O525" t="n">
        <v>1</v>
      </c>
      <c r="P525" t="inlineStr">
        <is>
          <t>O</t>
        </is>
      </c>
      <c r="Q525" t="n">
        <v>35.04</v>
      </c>
      <c r="R525" t="n">
        <v>-80.53</v>
      </c>
      <c r="S525" t="inlineStr">
        <is>
          <t>DMV349</t>
        </is>
      </c>
    </row>
    <row r="526">
      <c r="A526" t="inlineStr">
        <is>
          <t>RURAL</t>
        </is>
      </c>
      <c r="B526" t="inlineStr">
        <is>
          <t>SR 1606</t>
        </is>
      </c>
      <c r="C526" t="n">
        <v>0.1</v>
      </c>
      <c r="D526" t="inlineStr">
        <is>
          <t>N</t>
        </is>
      </c>
      <c r="E526" t="inlineStr">
        <is>
          <t>SR 1604</t>
        </is>
      </c>
      <c r="F526" t="inlineStr">
        <is>
          <t>CL-STANLY</t>
        </is>
      </c>
      <c r="G526" t="inlineStr">
        <is>
          <t>SR 1606</t>
        </is>
      </c>
      <c r="H526" t="n">
        <v>0.105</v>
      </c>
      <c r="J526" t="n">
        <v>107999824</v>
      </c>
      <c r="K526" s="11" t="n">
        <v>45678</v>
      </c>
      <c r="L526" t="n">
        <v>19</v>
      </c>
      <c r="M526" t="n">
        <v>5</v>
      </c>
      <c r="N526" t="n">
        <v>0</v>
      </c>
      <c r="O526" t="n">
        <v>5</v>
      </c>
      <c r="P526" t="inlineStr">
        <is>
          <t>O</t>
        </is>
      </c>
      <c r="Q526" t="n">
        <v>35.169336</v>
      </c>
      <c r="R526" t="n">
        <v>-80.47313</v>
      </c>
      <c r="S526" t="inlineStr">
        <is>
          <t>DMV349CLEANED</t>
        </is>
      </c>
    </row>
    <row r="527">
      <c r="A527" t="inlineStr">
        <is>
          <t>UNIONVILLE</t>
        </is>
      </c>
      <c r="B527" t="inlineStr">
        <is>
          <t>PVA 709 SIKES MILL RD</t>
        </is>
      </c>
      <c r="C527" t="n">
        <v>0.005</v>
      </c>
      <c r="D527" t="inlineStr">
        <is>
          <t>W</t>
        </is>
      </c>
      <c r="E527" t="inlineStr">
        <is>
          <t>SR 1001</t>
        </is>
      </c>
      <c r="F527" t="inlineStr">
        <is>
          <t>DEAD END</t>
        </is>
      </c>
      <c r="H527" t="n">
        <v>999.999</v>
      </c>
      <c r="J527" t="n">
        <v>107994713</v>
      </c>
      <c r="K527" s="11" t="n">
        <v>45674</v>
      </c>
      <c r="L527" t="n">
        <v>20</v>
      </c>
      <c r="M527" t="n">
        <v>1</v>
      </c>
      <c r="N527" t="n">
        <v>5</v>
      </c>
      <c r="O527" t="n">
        <v>2</v>
      </c>
    </row>
    <row r="528">
      <c r="A528" t="inlineStr">
        <is>
          <t>FAIRVIEW</t>
        </is>
      </c>
      <c r="B528" t="inlineStr">
        <is>
          <t>SR 1606</t>
        </is>
      </c>
      <c r="C528" t="n">
        <v>0.2</v>
      </c>
      <c r="D528" t="inlineStr">
        <is>
          <t>N</t>
        </is>
      </c>
      <c r="E528" t="inlineStr">
        <is>
          <t>SR 1547</t>
        </is>
      </c>
      <c r="F528" t="inlineStr">
        <is>
          <t>SR 1607</t>
        </is>
      </c>
      <c r="G528" t="inlineStr">
        <is>
          <t>SR 1606</t>
        </is>
      </c>
      <c r="H528" t="n">
        <v>1.387</v>
      </c>
      <c r="J528" t="n">
        <v>107731025</v>
      </c>
      <c r="K528" s="11" t="n">
        <v>45437</v>
      </c>
      <c r="L528" t="n">
        <v>29</v>
      </c>
      <c r="M528" t="n">
        <v>1</v>
      </c>
      <c r="N528" t="n">
        <v>0</v>
      </c>
      <c r="O528" t="n">
        <v>5</v>
      </c>
      <c r="P528" t="inlineStr">
        <is>
          <t>O</t>
        </is>
      </c>
      <c r="Q528" t="n">
        <v>35.15063</v>
      </c>
      <c r="R528" t="n">
        <v>-80.47333999999999</v>
      </c>
      <c r="S528" t="inlineStr">
        <is>
          <t>DMV349CLEANED</t>
        </is>
      </c>
    </row>
    <row r="529">
      <c r="A529" t="inlineStr">
        <is>
          <t>FAIRVIEW</t>
        </is>
      </c>
      <c r="B529" t="inlineStr">
        <is>
          <t>SR 1606</t>
        </is>
      </c>
      <c r="C529" t="n">
        <v>0.76</v>
      </c>
      <c r="D529" t="inlineStr">
        <is>
          <t>N</t>
        </is>
      </c>
      <c r="E529" t="inlineStr">
        <is>
          <t>SR 1607</t>
        </is>
      </c>
      <c r="F529" t="inlineStr">
        <is>
          <t>SR 1604</t>
        </is>
      </c>
      <c r="G529" t="inlineStr">
        <is>
          <t>SR 1606</t>
        </is>
      </c>
      <c r="H529" t="n">
        <v>0.324</v>
      </c>
      <c r="J529" t="n">
        <v>107977960</v>
      </c>
      <c r="K529" s="11" t="n">
        <v>45658</v>
      </c>
      <c r="L529" t="n">
        <v>17</v>
      </c>
      <c r="M529" t="n">
        <v>1</v>
      </c>
      <c r="N529" t="n">
        <v>0</v>
      </c>
      <c r="O529" t="n">
        <v>5</v>
      </c>
      <c r="P529" t="inlineStr">
        <is>
          <t>O</t>
        </is>
      </c>
      <c r="Q529" t="n">
        <v>35.16079</v>
      </c>
      <c r="R529" t="n">
        <v>-80.47311999999999</v>
      </c>
      <c r="S529" t="inlineStr">
        <is>
          <t>DMV349CLEANED</t>
        </is>
      </c>
    </row>
    <row r="530">
      <c r="A530" t="inlineStr">
        <is>
          <t>UNIONVILLE</t>
        </is>
      </c>
      <c r="B530" t="inlineStr">
        <is>
          <t>SIKES MILL</t>
        </is>
      </c>
      <c r="C530" t="n">
        <v>0.038</v>
      </c>
      <c r="D530" t="inlineStr">
        <is>
          <t>N</t>
        </is>
      </c>
      <c r="E530" t="inlineStr">
        <is>
          <t>*LCL PIEDMONT SCH RD</t>
        </is>
      </c>
      <c r="F530" t="inlineStr">
        <is>
          <t>HAIGLER BAUCOM</t>
        </is>
      </c>
      <c r="H530" t="n">
        <v>999.999</v>
      </c>
      <c r="J530" t="n">
        <v>107926331</v>
      </c>
      <c r="K530" s="11" t="n">
        <v>45611</v>
      </c>
      <c r="L530" t="n">
        <v>24</v>
      </c>
      <c r="M530" t="n">
        <v>1</v>
      </c>
      <c r="N530" t="n">
        <v>4</v>
      </c>
      <c r="O530" t="n">
        <v>1</v>
      </c>
      <c r="P530" t="inlineStr">
        <is>
          <t>O</t>
        </is>
      </c>
    </row>
    <row r="531">
      <c r="A531" t="inlineStr">
        <is>
          <t>FAIRVIEW</t>
        </is>
      </c>
      <c r="B531" t="inlineStr">
        <is>
          <t>SR 1606</t>
        </is>
      </c>
      <c r="C531" t="n">
        <v>0.8</v>
      </c>
      <c r="D531" t="inlineStr">
        <is>
          <t>N</t>
        </is>
      </c>
      <c r="E531" t="inlineStr">
        <is>
          <t>NC 218</t>
        </is>
      </c>
      <c r="F531" t="inlineStr">
        <is>
          <t>SR 1547</t>
        </is>
      </c>
      <c r="G531" t="inlineStr">
        <is>
          <t>SR 1606</t>
        </is>
      </c>
      <c r="H531" t="n">
        <v>2.141</v>
      </c>
      <c r="J531" t="n">
        <v>107927512</v>
      </c>
      <c r="K531" s="11" t="n">
        <v>45614</v>
      </c>
      <c r="L531" t="n">
        <v>17</v>
      </c>
      <c r="M531" t="n">
        <v>1</v>
      </c>
      <c r="N531" t="n">
        <v>0</v>
      </c>
      <c r="O531" t="n">
        <v>5</v>
      </c>
      <c r="P531" t="inlineStr">
        <is>
          <t>O</t>
        </is>
      </c>
      <c r="Q531" t="n">
        <v>35.14643</v>
      </c>
      <c r="R531" t="n">
        <v>-80.47709</v>
      </c>
      <c r="S531" t="inlineStr">
        <is>
          <t>DMV349CLEANED</t>
        </is>
      </c>
    </row>
    <row r="532">
      <c r="A532" t="inlineStr">
        <is>
          <t>UNIONVILLE</t>
        </is>
      </c>
      <c r="B532" t="inlineStr">
        <is>
          <t>SR 1001</t>
        </is>
      </c>
      <c r="C532" t="n">
        <v>0</v>
      </c>
      <c r="E532" t="inlineStr">
        <is>
          <t>SR 1617</t>
        </is>
      </c>
      <c r="F532" t="inlineStr">
        <is>
          <t>SR 1681</t>
        </is>
      </c>
      <c r="G532" t="inlineStr">
        <is>
          <t>SR 1001</t>
        </is>
      </c>
      <c r="H532" t="n">
        <v>3.461</v>
      </c>
      <c r="J532" t="n">
        <v>107902086</v>
      </c>
      <c r="K532" s="11" t="n">
        <v>45593</v>
      </c>
      <c r="L532" t="n">
        <v>30</v>
      </c>
      <c r="M532" t="n">
        <v>1</v>
      </c>
      <c r="N532" t="n">
        <v>7</v>
      </c>
      <c r="O532" t="n">
        <v>1</v>
      </c>
      <c r="P532" t="inlineStr">
        <is>
          <t>O</t>
        </is>
      </c>
      <c r="Q532" t="n">
        <v>35.08155</v>
      </c>
      <c r="R532" t="n">
        <v>-80.50036</v>
      </c>
      <c r="S532" t="inlineStr">
        <is>
          <t>DMV349CLEANED</t>
        </is>
      </c>
    </row>
    <row r="533">
      <c r="A533" t="inlineStr">
        <is>
          <t>UNIONVILLE</t>
        </is>
      </c>
      <c r="B533" t="inlineStr">
        <is>
          <t>SIKES MILL</t>
        </is>
      </c>
      <c r="C533" t="n">
        <v>0.24</v>
      </c>
      <c r="D533" t="inlineStr">
        <is>
          <t>SW</t>
        </is>
      </c>
      <c r="E533" t="inlineStr">
        <is>
          <t>TOM BOYD</t>
        </is>
      </c>
      <c r="F533" t="inlineStr">
        <is>
          <t>UNIONVILLE</t>
        </is>
      </c>
      <c r="G533" t="inlineStr">
        <is>
          <t>SR 1001</t>
        </is>
      </c>
      <c r="H533" t="n">
        <v>3.221</v>
      </c>
      <c r="J533" t="n">
        <v>108025090</v>
      </c>
      <c r="K533" s="11" t="n">
        <v>45699</v>
      </c>
      <c r="L533" t="n">
        <v>19</v>
      </c>
      <c r="M533" t="n">
        <v>2</v>
      </c>
      <c r="N533" t="n">
        <v>0</v>
      </c>
      <c r="O533" t="n">
        <v>5</v>
      </c>
      <c r="P533" t="inlineStr">
        <is>
          <t>O</t>
        </is>
      </c>
    </row>
    <row r="534">
      <c r="A534" t="inlineStr">
        <is>
          <t>RURAL</t>
        </is>
      </c>
      <c r="B534" t="inlineStr">
        <is>
          <t>SR 1606</t>
        </is>
      </c>
      <c r="C534" t="n">
        <v>0.3</v>
      </c>
      <c r="D534" t="inlineStr">
        <is>
          <t>N</t>
        </is>
      </c>
      <c r="E534" t="inlineStr">
        <is>
          <t>SR 1006</t>
        </is>
      </c>
      <c r="F534" t="inlineStr">
        <is>
          <t>SR 1627</t>
        </is>
      </c>
      <c r="G534" t="inlineStr">
        <is>
          <t>SR 1606</t>
        </is>
      </c>
      <c r="H534" t="n">
        <v>999.999</v>
      </c>
      <c r="J534" t="n">
        <v>108052545</v>
      </c>
      <c r="K534" s="11" t="n">
        <v>45734</v>
      </c>
      <c r="L534" t="n">
        <v>19</v>
      </c>
      <c r="M534" t="n">
        <v>1</v>
      </c>
      <c r="N534" t="n">
        <v>0</v>
      </c>
      <c r="O534" t="n">
        <v>5</v>
      </c>
      <c r="P534" t="inlineStr">
        <is>
          <t>C</t>
        </is>
      </c>
      <c r="Q534" t="n">
        <v>35.036125</v>
      </c>
      <c r="R534" t="n">
        <v>-80.47554</v>
      </c>
      <c r="S534" t="inlineStr">
        <is>
          <t>DMV349CLEANED</t>
        </is>
      </c>
    </row>
    <row r="535">
      <c r="A535" t="inlineStr">
        <is>
          <t>UNIONVILLE</t>
        </is>
      </c>
      <c r="B535" t="inlineStr">
        <is>
          <t>SIKES MILL</t>
        </is>
      </c>
      <c r="C535" t="n">
        <v>0.11</v>
      </c>
      <c r="D535" t="inlineStr">
        <is>
          <t>S</t>
        </is>
      </c>
      <c r="E535" t="inlineStr">
        <is>
          <t>TOM HELMS</t>
        </is>
      </c>
      <c r="F535" t="inlineStr">
        <is>
          <t>TOM BOYD</t>
        </is>
      </c>
      <c r="G535" t="inlineStr">
        <is>
          <t>SR 1001</t>
        </is>
      </c>
      <c r="H535" t="n">
        <v>3.984</v>
      </c>
      <c r="J535" t="n">
        <v>108072099</v>
      </c>
      <c r="K535" s="11" t="n">
        <v>45755</v>
      </c>
      <c r="L535" t="n">
        <v>29</v>
      </c>
      <c r="M535" t="n">
        <v>1</v>
      </c>
      <c r="N535" t="n">
        <v>0</v>
      </c>
      <c r="O535" t="n">
        <v>1</v>
      </c>
      <c r="P535" t="inlineStr">
        <is>
          <t>O</t>
        </is>
      </c>
    </row>
    <row r="536">
      <c r="A536" t="inlineStr">
        <is>
          <t>UNIONVILLE</t>
        </is>
      </c>
      <c r="B536" t="inlineStr">
        <is>
          <t>SR 1606</t>
        </is>
      </c>
      <c r="C536" t="n">
        <v>1.5</v>
      </c>
      <c r="D536" t="inlineStr">
        <is>
          <t>NW</t>
        </is>
      </c>
      <c r="E536" t="inlineStr">
        <is>
          <t>NC 200</t>
        </is>
      </c>
      <c r="F536" t="inlineStr">
        <is>
          <t>MILL CREEK CHUR</t>
        </is>
      </c>
      <c r="G536" t="inlineStr">
        <is>
          <t>SR 1606</t>
        </is>
      </c>
      <c r="H536" t="n">
        <v>999.999</v>
      </c>
      <c r="J536" t="n">
        <v>107505990</v>
      </c>
      <c r="K536" s="11" t="n">
        <v>45226</v>
      </c>
      <c r="L536" t="n">
        <v>17</v>
      </c>
      <c r="M536" t="n">
        <v>1</v>
      </c>
      <c r="N536" t="n">
        <v>0</v>
      </c>
      <c r="O536" t="n">
        <v>3</v>
      </c>
      <c r="P536" t="inlineStr">
        <is>
          <t>O</t>
        </is>
      </c>
    </row>
    <row r="537">
      <c r="A537" t="inlineStr">
        <is>
          <t>UNIONVILLE</t>
        </is>
      </c>
      <c r="B537" t="inlineStr">
        <is>
          <t>SR 1001</t>
        </is>
      </c>
      <c r="C537" t="n">
        <v>0</v>
      </c>
      <c r="E537" t="inlineStr">
        <is>
          <t>SR 1675</t>
        </is>
      </c>
      <c r="F537" t="inlineStr">
        <is>
          <t>SR 1654</t>
        </is>
      </c>
      <c r="G537" t="inlineStr">
        <is>
          <t>SR 1001</t>
        </is>
      </c>
      <c r="H537" t="n">
        <v>5.965</v>
      </c>
      <c r="J537" t="n">
        <v>108055290</v>
      </c>
      <c r="K537" s="11" t="n">
        <v>45737</v>
      </c>
      <c r="L537" t="n">
        <v>17</v>
      </c>
      <c r="M537" t="n">
        <v>1</v>
      </c>
      <c r="N537" t="n">
        <v>8</v>
      </c>
      <c r="O537" t="n">
        <v>5</v>
      </c>
      <c r="P537" t="inlineStr">
        <is>
          <t>O</t>
        </is>
      </c>
      <c r="Q537" t="n">
        <v>35.108503</v>
      </c>
      <c r="R537" t="n">
        <v>-80.4725</v>
      </c>
      <c r="S537" t="inlineStr">
        <is>
          <t>DMV349CLEANED</t>
        </is>
      </c>
    </row>
    <row r="538">
      <c r="A538" t="inlineStr">
        <is>
          <t>UNIONVILLE</t>
        </is>
      </c>
      <c r="B538" t="inlineStr">
        <is>
          <t>SR 1001</t>
        </is>
      </c>
      <c r="C538" t="n">
        <v>0.23</v>
      </c>
      <c r="D538" t="inlineStr">
        <is>
          <t>E</t>
        </is>
      </c>
      <c r="E538" t="inlineStr">
        <is>
          <t>US 601</t>
        </is>
      </c>
      <c r="F538" t="inlineStr">
        <is>
          <t>SPRING LAKE</t>
        </is>
      </c>
      <c r="G538" t="inlineStr">
        <is>
          <t>SR 1001</t>
        </is>
      </c>
      <c r="H538" t="n">
        <v>0.23</v>
      </c>
      <c r="J538" t="n">
        <v>108184095</v>
      </c>
      <c r="K538" s="11" t="n">
        <v>45859</v>
      </c>
      <c r="L538" t="n">
        <v>19</v>
      </c>
      <c r="M538" t="n">
        <v>1</v>
      </c>
      <c r="N538" t="n">
        <v>0</v>
      </c>
      <c r="O538" t="n">
        <v>1</v>
      </c>
      <c r="P538" t="inlineStr">
        <is>
          <t>A</t>
        </is>
      </c>
      <c r="Q538" t="n">
        <v>35.045834</v>
      </c>
      <c r="R538" t="n">
        <v>-80.52664</v>
      </c>
      <c r="S538" t="inlineStr">
        <is>
          <t>DMV349CLEANED</t>
        </is>
      </c>
    </row>
    <row r="539">
      <c r="A539" t="inlineStr">
        <is>
          <t>UNIONVILLE</t>
        </is>
      </c>
      <c r="B539" t="inlineStr">
        <is>
          <t>SR 1001</t>
        </is>
      </c>
      <c r="C539" t="n">
        <v>0.1</v>
      </c>
      <c r="D539" t="inlineStr">
        <is>
          <t>N</t>
        </is>
      </c>
      <c r="E539" t="inlineStr">
        <is>
          <t>SR 1615</t>
        </is>
      </c>
      <c r="F539" t="inlineStr">
        <is>
          <t>SR 1617</t>
        </is>
      </c>
      <c r="G539" t="inlineStr">
        <is>
          <t>SR 1001</t>
        </is>
      </c>
      <c r="H539" t="n">
        <v>2.971</v>
      </c>
      <c r="J539" t="n">
        <v>108184887</v>
      </c>
      <c r="K539" s="11" t="n">
        <v>45865</v>
      </c>
      <c r="L539" t="n">
        <v>19</v>
      </c>
      <c r="M539" t="n">
        <v>1</v>
      </c>
      <c r="N539" t="n">
        <v>0</v>
      </c>
      <c r="O539" t="n">
        <v>1</v>
      </c>
      <c r="P539" t="inlineStr">
        <is>
          <t>A</t>
        </is>
      </c>
      <c r="Q539" t="n">
        <v>35.08039</v>
      </c>
      <c r="R539" t="n">
        <v>-80.50270999999999</v>
      </c>
      <c r="S539" t="inlineStr">
        <is>
          <t>DMV349CLEANED</t>
        </is>
      </c>
    </row>
    <row r="540">
      <c r="A540" t="inlineStr">
        <is>
          <t>RURAL</t>
        </is>
      </c>
      <c r="B540" t="inlineStr">
        <is>
          <t>SR 1001</t>
        </is>
      </c>
      <c r="C540" t="n">
        <v>0.12</v>
      </c>
      <c r="D540" t="inlineStr">
        <is>
          <t>N</t>
        </is>
      </c>
      <c r="E540" t="inlineStr">
        <is>
          <t>SR 1656</t>
        </is>
      </c>
      <c r="F540" t="inlineStr">
        <is>
          <t>NC 218</t>
        </is>
      </c>
      <c r="G540" t="inlineStr">
        <is>
          <t>SR 1001</t>
        </is>
      </c>
      <c r="H540" t="n">
        <v>7.399</v>
      </c>
      <c r="J540" t="n">
        <v>108066713</v>
      </c>
      <c r="K540" s="11" t="n">
        <v>45747</v>
      </c>
      <c r="L540" t="n">
        <v>19</v>
      </c>
      <c r="M540" t="n">
        <v>1</v>
      </c>
      <c r="N540" t="n">
        <v>0</v>
      </c>
      <c r="O540" t="n">
        <v>5</v>
      </c>
      <c r="P540" t="inlineStr">
        <is>
          <t>C</t>
        </is>
      </c>
      <c r="Q540" t="n">
        <v>35.12462</v>
      </c>
      <c r="R540" t="n">
        <v>-80.45634</v>
      </c>
      <c r="S540" t="inlineStr">
        <is>
          <t>DMV349CLEANED</t>
        </is>
      </c>
    </row>
    <row r="541">
      <c r="A541" t="inlineStr">
        <is>
          <t>UNIONVILLE</t>
        </is>
      </c>
      <c r="B541" t="inlineStr">
        <is>
          <t>SR 1001</t>
        </is>
      </c>
      <c r="C541" t="n">
        <v>0.12</v>
      </c>
      <c r="D541" t="inlineStr">
        <is>
          <t>S</t>
        </is>
      </c>
      <c r="E541" t="inlineStr">
        <is>
          <t>SR 1618</t>
        </is>
      </c>
      <c r="F541" t="inlineStr">
        <is>
          <t>SR 1619</t>
        </is>
      </c>
      <c r="G541" t="inlineStr">
        <is>
          <t>SR 1001</t>
        </is>
      </c>
      <c r="H541" t="n">
        <v>3.974</v>
      </c>
      <c r="J541" t="n">
        <v>108066712</v>
      </c>
      <c r="K541" s="11" t="n">
        <v>45747</v>
      </c>
      <c r="L541" t="n">
        <v>19</v>
      </c>
      <c r="M541" t="n">
        <v>1</v>
      </c>
      <c r="N541" t="n">
        <v>0</v>
      </c>
      <c r="O541" t="n">
        <v>1</v>
      </c>
      <c r="P541" t="inlineStr">
        <is>
          <t>O</t>
        </is>
      </c>
      <c r="Q541" t="n">
        <v>35.08755</v>
      </c>
      <c r="R541" t="n">
        <v>-80.49453</v>
      </c>
      <c r="S541" t="inlineStr">
        <is>
          <t>DMV349CLEANED</t>
        </is>
      </c>
    </row>
    <row r="542">
      <c r="A542" t="inlineStr">
        <is>
          <t>UNIONVILLE</t>
        </is>
      </c>
      <c r="B542" t="inlineStr">
        <is>
          <t>SR 1001</t>
        </is>
      </c>
      <c r="C542" t="n">
        <v>0.1</v>
      </c>
      <c r="D542" t="inlineStr">
        <is>
          <t>N</t>
        </is>
      </c>
      <c r="E542" t="inlineStr">
        <is>
          <t>SR 1674</t>
        </is>
      </c>
      <c r="F542" t="inlineStr">
        <is>
          <t>SR 1638</t>
        </is>
      </c>
      <c r="G542" t="inlineStr">
        <is>
          <t>SR 1001</t>
        </is>
      </c>
      <c r="H542" t="n">
        <v>4.898</v>
      </c>
      <c r="J542" t="n">
        <v>108010852</v>
      </c>
      <c r="K542" s="11" t="n">
        <v>45692</v>
      </c>
      <c r="L542" t="n">
        <v>23</v>
      </c>
      <c r="M542" t="n">
        <v>1</v>
      </c>
      <c r="N542" t="n">
        <v>0</v>
      </c>
      <c r="O542" t="n">
        <v>1</v>
      </c>
      <c r="P542" t="inlineStr">
        <is>
          <t>O</t>
        </is>
      </c>
      <c r="Q542" t="n">
        <v>35.09</v>
      </c>
      <c r="R542" t="n">
        <v>-80.48</v>
      </c>
      <c r="S542" t="inlineStr">
        <is>
          <t>DMV349</t>
        </is>
      </c>
    </row>
    <row r="543">
      <c r="A543" t="inlineStr">
        <is>
          <t>FAIRVIEW</t>
        </is>
      </c>
      <c r="B543" t="inlineStr">
        <is>
          <t>SR 1606</t>
        </is>
      </c>
      <c r="C543" t="n">
        <v>0.1</v>
      </c>
      <c r="D543" t="inlineStr">
        <is>
          <t>N</t>
        </is>
      </c>
      <c r="E543" t="inlineStr">
        <is>
          <t>SR 1547</t>
        </is>
      </c>
      <c r="F543" t="inlineStr">
        <is>
          <t>NC 218</t>
        </is>
      </c>
      <c r="G543" t="inlineStr">
        <is>
          <t>SR 1606</t>
        </is>
      </c>
      <c r="H543" t="n">
        <v>1.487</v>
      </c>
      <c r="J543" t="n">
        <v>108318481</v>
      </c>
      <c r="K543" s="11" t="n">
        <v>45966</v>
      </c>
      <c r="L543" t="n">
        <v>18</v>
      </c>
      <c r="M543" t="n">
        <v>1</v>
      </c>
      <c r="N543" t="n">
        <v>0</v>
      </c>
      <c r="O543" t="n">
        <v>1</v>
      </c>
      <c r="P543" t="inlineStr">
        <is>
          <t>O</t>
        </is>
      </c>
      <c r="Q543" t="n">
        <v>35.14495</v>
      </c>
      <c r="R543" t="n">
        <v>-80.47996999999999</v>
      </c>
      <c r="S543" t="inlineStr">
        <is>
          <t>DMV349CLEANED</t>
        </is>
      </c>
    </row>
    <row r="544">
      <c r="A544" t="inlineStr">
        <is>
          <t>UNIONVILLE</t>
        </is>
      </c>
      <c r="B544" t="inlineStr">
        <is>
          <t>SIKES MILL</t>
        </is>
      </c>
      <c r="C544" t="n">
        <v>0.14</v>
      </c>
      <c r="D544" t="inlineStr">
        <is>
          <t>N</t>
        </is>
      </c>
      <c r="E544" t="inlineStr">
        <is>
          <t>*LCL PIEDMONT SCH DR</t>
        </is>
      </c>
      <c r="F544" t="inlineStr">
        <is>
          <t>HAIGLER BAUCOM</t>
        </is>
      </c>
      <c r="H544" t="n">
        <v>999.999</v>
      </c>
      <c r="J544" t="n">
        <v>108319024</v>
      </c>
      <c r="K544" s="11" t="n">
        <v>45986</v>
      </c>
      <c r="L544" t="n">
        <v>24</v>
      </c>
      <c r="M544" t="n">
        <v>1</v>
      </c>
      <c r="N544" t="n">
        <v>4</v>
      </c>
      <c r="O544" t="n">
        <v>1</v>
      </c>
      <c r="P544" t="inlineStr">
        <is>
          <t>B</t>
        </is>
      </c>
    </row>
    <row r="545">
      <c r="A545" t="inlineStr">
        <is>
          <t>RURAL</t>
        </is>
      </c>
      <c r="B545" t="inlineStr">
        <is>
          <t>SR 1001</t>
        </is>
      </c>
      <c r="C545" t="n">
        <v>1</v>
      </c>
      <c r="D545" t="inlineStr">
        <is>
          <t>NE</t>
        </is>
      </c>
      <c r="E545" t="inlineStr">
        <is>
          <t>NC 218</t>
        </is>
      </c>
      <c r="F545" t="inlineStr">
        <is>
          <t>SR 1639</t>
        </is>
      </c>
      <c r="G545" t="inlineStr">
        <is>
          <t>SR 1001</t>
        </is>
      </c>
      <c r="H545" t="n">
        <v>9.137</v>
      </c>
      <c r="J545" t="n">
        <v>108021945</v>
      </c>
      <c r="K545" s="11" t="n">
        <v>45690</v>
      </c>
      <c r="L545" t="n">
        <v>19</v>
      </c>
      <c r="M545" t="n">
        <v>1</v>
      </c>
      <c r="N545" t="n">
        <v>0</v>
      </c>
      <c r="O545" t="n">
        <v>1</v>
      </c>
      <c r="P545" t="inlineStr">
        <is>
          <t>C</t>
        </is>
      </c>
      <c r="Q545" t="n">
        <v>35.12502</v>
      </c>
      <c r="R545" t="n">
        <v>-80.45609</v>
      </c>
      <c r="S545" t="inlineStr">
        <is>
          <t>DMV349CLEANED</t>
        </is>
      </c>
    </row>
    <row r="546">
      <c r="A546" t="inlineStr">
        <is>
          <t>UNIONVILLE</t>
        </is>
      </c>
      <c r="B546" t="inlineStr">
        <is>
          <t>SR 1001</t>
        </is>
      </c>
      <c r="C546" t="n">
        <v>0.2</v>
      </c>
      <c r="D546" t="inlineStr">
        <is>
          <t>N</t>
        </is>
      </c>
      <c r="E546" t="inlineStr">
        <is>
          <t>SR 1654</t>
        </is>
      </c>
      <c r="F546" t="inlineStr">
        <is>
          <t>SR 1653</t>
        </is>
      </c>
      <c r="G546" t="inlineStr">
        <is>
          <t>SR 1001</t>
        </is>
      </c>
      <c r="H546" t="n">
        <v>6.431</v>
      </c>
      <c r="J546" t="n">
        <v>108050644</v>
      </c>
      <c r="K546" s="11" t="n">
        <v>45732</v>
      </c>
      <c r="L546" t="n">
        <v>19</v>
      </c>
      <c r="M546" t="n">
        <v>1</v>
      </c>
      <c r="N546" t="n">
        <v>0</v>
      </c>
      <c r="O546" t="n">
        <v>1</v>
      </c>
      <c r="P546" t="inlineStr">
        <is>
          <t>O</t>
        </is>
      </c>
      <c r="Q546" t="n">
        <v>35.113697</v>
      </c>
      <c r="R546" t="n">
        <v>-80.46643</v>
      </c>
      <c r="S546" t="inlineStr">
        <is>
          <t>DMV349CLEANED</t>
        </is>
      </c>
    </row>
    <row r="547">
      <c r="A547" t="inlineStr">
        <is>
          <t>RURAL</t>
        </is>
      </c>
      <c r="B547" t="inlineStr">
        <is>
          <t>SR 1001</t>
        </is>
      </c>
      <c r="C547" t="n">
        <v>0.5</v>
      </c>
      <c r="D547" t="inlineStr">
        <is>
          <t>N</t>
        </is>
      </c>
      <c r="E547" t="inlineStr">
        <is>
          <t>SR 1665</t>
        </is>
      </c>
      <c r="F547" t="inlineStr">
        <is>
          <t>SR 2713</t>
        </is>
      </c>
      <c r="G547" t="inlineStr">
        <is>
          <t>SR 1001</t>
        </is>
      </c>
      <c r="H547" t="n">
        <v>2.715</v>
      </c>
      <c r="J547" t="n">
        <v>108271610</v>
      </c>
      <c r="K547" s="11" t="n">
        <v>45943</v>
      </c>
      <c r="L547" t="n">
        <v>29</v>
      </c>
      <c r="M547" t="n">
        <v>1</v>
      </c>
      <c r="N547" t="n">
        <v>0</v>
      </c>
      <c r="O547" t="n">
        <v>1</v>
      </c>
      <c r="P547" t="inlineStr">
        <is>
          <t>O</t>
        </is>
      </c>
      <c r="Q547" t="n">
        <v>35.071635</v>
      </c>
      <c r="R547" t="n">
        <v>-80.51358</v>
      </c>
      <c r="S547" t="inlineStr">
        <is>
          <t>DMV349CLEANED</t>
        </is>
      </c>
    </row>
    <row r="548">
      <c r="A548" t="inlineStr">
        <is>
          <t>RURAL</t>
        </is>
      </c>
      <c r="B548" t="inlineStr">
        <is>
          <t>SR 1001</t>
        </is>
      </c>
      <c r="C548" t="n">
        <v>0.2</v>
      </c>
      <c r="D548" t="inlineStr">
        <is>
          <t>N</t>
        </is>
      </c>
      <c r="E548" t="inlineStr">
        <is>
          <t>SR 1547</t>
        </is>
      </c>
      <c r="F548" t="inlineStr">
        <is>
          <t>SR 1607</t>
        </is>
      </c>
      <c r="G548" t="inlineStr">
        <is>
          <t>SR 1001</t>
        </is>
      </c>
      <c r="H548" t="n">
        <v>999.999</v>
      </c>
      <c r="J548" t="n">
        <v>108343169</v>
      </c>
      <c r="K548" s="11" t="n">
        <v>46002</v>
      </c>
      <c r="L548" t="n">
        <v>29</v>
      </c>
      <c r="M548" t="n">
        <v>1</v>
      </c>
      <c r="N548" t="n">
        <v>0</v>
      </c>
      <c r="O548" t="n">
        <v>5</v>
      </c>
      <c r="P548" t="inlineStr">
        <is>
          <t>O</t>
        </is>
      </c>
      <c r="Q548" t="n">
        <v>35.14858</v>
      </c>
      <c r="R548" t="n">
        <v>-80.47485</v>
      </c>
      <c r="S548" t="inlineStr">
        <is>
          <t>DMV349CLEANED</t>
        </is>
      </c>
    </row>
    <row r="549">
      <c r="A549" t="inlineStr">
        <is>
          <t>UNIONVILLE</t>
        </is>
      </c>
      <c r="B549" t="inlineStr">
        <is>
          <t>SR 1001</t>
        </is>
      </c>
      <c r="C549" t="n">
        <v>0.028</v>
      </c>
      <c r="D549" t="inlineStr">
        <is>
          <t>N</t>
        </is>
      </c>
      <c r="E549" t="inlineStr">
        <is>
          <t>SR 1620</t>
        </is>
      </c>
      <c r="F549" t="inlineStr">
        <is>
          <t>SR 1665</t>
        </is>
      </c>
      <c r="G549" t="inlineStr">
        <is>
          <t>SR 1001</t>
        </is>
      </c>
      <c r="H549" t="n">
        <v>1.38</v>
      </c>
      <c r="J549" t="n">
        <v>108296963</v>
      </c>
      <c r="K549" s="11" t="n">
        <v>45959</v>
      </c>
      <c r="L549" t="n">
        <v>21</v>
      </c>
      <c r="M549" t="n">
        <v>2</v>
      </c>
      <c r="N549" t="n">
        <v>0</v>
      </c>
      <c r="O549" t="n">
        <v>1</v>
      </c>
      <c r="P549" t="inlineStr">
        <is>
          <t>O</t>
        </is>
      </c>
      <c r="Q549" t="n">
        <v>35.05</v>
      </c>
      <c r="R549" t="n">
        <v>-80.52</v>
      </c>
      <c r="S549" t="inlineStr">
        <is>
          <t>DMV349</t>
        </is>
      </c>
    </row>
    <row r="550">
      <c r="A550" t="inlineStr">
        <is>
          <t>RURAL</t>
        </is>
      </c>
      <c r="B550" t="inlineStr">
        <is>
          <t>SR 1001</t>
        </is>
      </c>
      <c r="C550" t="n">
        <v>0</v>
      </c>
      <c r="E550" t="inlineStr">
        <is>
          <t>SR 1639</t>
        </is>
      </c>
      <c r="F550" t="inlineStr">
        <is>
          <t>NC 218</t>
        </is>
      </c>
      <c r="G550" t="inlineStr">
        <is>
          <t>SR 1001</t>
        </is>
      </c>
      <c r="H550" t="n">
        <v>8.536</v>
      </c>
      <c r="J550" t="n">
        <v>108145851</v>
      </c>
      <c r="K550" s="11" t="n">
        <v>45822</v>
      </c>
      <c r="L550" t="n">
        <v>17</v>
      </c>
      <c r="M550" t="n">
        <v>1</v>
      </c>
      <c r="N550" t="n">
        <v>0</v>
      </c>
      <c r="O550" t="n">
        <v>5</v>
      </c>
      <c r="P550" t="inlineStr">
        <is>
          <t>O</t>
        </is>
      </c>
      <c r="Q550" t="n">
        <v>35.138995</v>
      </c>
      <c r="R550" t="n">
        <v>-80.44653</v>
      </c>
      <c r="S550" t="inlineStr">
        <is>
          <t>DMV349CLEANED</t>
        </is>
      </c>
    </row>
    <row r="551">
      <c r="A551" t="inlineStr">
        <is>
          <t>UNIONVILLE</t>
        </is>
      </c>
      <c r="B551" t="inlineStr">
        <is>
          <t>PVA MARATHON</t>
        </is>
      </c>
      <c r="C551" t="n">
        <v>0.008999999999999999</v>
      </c>
      <c r="D551" t="inlineStr">
        <is>
          <t>W</t>
        </is>
      </c>
      <c r="E551" t="inlineStr">
        <is>
          <t>SR 1001</t>
        </is>
      </c>
      <c r="F551" t="inlineStr">
        <is>
          <t>SR 1618</t>
        </is>
      </c>
      <c r="H551" t="n">
        <v>999.999</v>
      </c>
      <c r="J551" t="n">
        <v>108345733</v>
      </c>
      <c r="K551" s="11" t="n">
        <v>46010</v>
      </c>
      <c r="L551" t="n">
        <v>20</v>
      </c>
      <c r="M551" t="n">
        <v>1</v>
      </c>
      <c r="N551" t="n">
        <v>4</v>
      </c>
      <c r="O551" t="n">
        <v>1</v>
      </c>
      <c r="P551" t="inlineStr">
        <is>
          <t>O</t>
        </is>
      </c>
      <c r="Q551" t="n">
        <v>35.08</v>
      </c>
      <c r="R551" t="n">
        <v>-80.48999999999999</v>
      </c>
      <c r="S551" t="inlineStr">
        <is>
          <t>DMV349</t>
        </is>
      </c>
    </row>
    <row r="552">
      <c r="A552" t="inlineStr">
        <is>
          <t>UNIONVILLE</t>
        </is>
      </c>
      <c r="B552" t="inlineStr">
        <is>
          <t>SIKES MILL</t>
        </is>
      </c>
      <c r="C552" t="n">
        <v>0</v>
      </c>
      <c r="E552" t="inlineStr">
        <is>
          <t>UNIONVILLE</t>
        </is>
      </c>
      <c r="F552" t="inlineStr">
        <is>
          <t>HAIGLER BAUCOM</t>
        </is>
      </c>
      <c r="G552" t="inlineStr">
        <is>
          <t>SR 1001</t>
        </is>
      </c>
      <c r="H552" t="n">
        <v>2.871</v>
      </c>
      <c r="J552" t="n">
        <v>108179130</v>
      </c>
      <c r="K552" s="11" t="n">
        <v>45860</v>
      </c>
      <c r="L552" t="n">
        <v>19</v>
      </c>
      <c r="M552" t="n">
        <v>1</v>
      </c>
      <c r="N552" t="n">
        <v>0</v>
      </c>
      <c r="O552" t="n">
        <v>1</v>
      </c>
      <c r="P552" t="inlineStr">
        <is>
          <t>C</t>
        </is>
      </c>
    </row>
    <row r="553">
      <c r="A553" t="inlineStr">
        <is>
          <t>UNIONVILLE</t>
        </is>
      </c>
      <c r="B553" t="inlineStr">
        <is>
          <t>SR 1606</t>
        </is>
      </c>
      <c r="C553" t="n">
        <v>0.6</v>
      </c>
      <c r="D553" t="inlineStr">
        <is>
          <t>W</t>
        </is>
      </c>
      <c r="E553" t="inlineStr">
        <is>
          <t>NC 200</t>
        </is>
      </c>
      <c r="F553" t="inlineStr">
        <is>
          <t>SR 1697</t>
        </is>
      </c>
      <c r="G553" t="inlineStr">
        <is>
          <t>SR 1606</t>
        </is>
      </c>
      <c r="H553" t="n">
        <v>999.999</v>
      </c>
      <c r="J553" t="n">
        <v>108023442</v>
      </c>
      <c r="K553" s="11" t="n">
        <v>45704</v>
      </c>
      <c r="L553" t="n">
        <v>21</v>
      </c>
      <c r="M553" t="n">
        <v>1</v>
      </c>
      <c r="N553" t="n">
        <v>0</v>
      </c>
      <c r="O553" t="n">
        <v>1</v>
      </c>
      <c r="P553" t="inlineStr">
        <is>
          <t>A</t>
        </is>
      </c>
      <c r="Q553" t="n">
        <v>35.06645</v>
      </c>
      <c r="R553" t="n">
        <v>-80.49057000000001</v>
      </c>
      <c r="S553" t="inlineStr">
        <is>
          <t>DMV349CLEANED</t>
        </is>
      </c>
    </row>
    <row r="554">
      <c r="A554" t="inlineStr">
        <is>
          <t>FAIRVIEW</t>
        </is>
      </c>
      <c r="B554" t="inlineStr">
        <is>
          <t>SIKES MILL</t>
        </is>
      </c>
      <c r="C554" t="n">
        <v>0.44</v>
      </c>
      <c r="D554" t="inlineStr">
        <is>
          <t>N</t>
        </is>
      </c>
      <c r="E554" t="inlineStr">
        <is>
          <t>NC 218</t>
        </is>
      </c>
      <c r="F554" t="inlineStr">
        <is>
          <t>BRIEF</t>
        </is>
      </c>
      <c r="G554" t="inlineStr">
        <is>
          <t>SIKES MILL</t>
        </is>
      </c>
      <c r="H554" t="n">
        <v>999.999</v>
      </c>
      <c r="J554" t="n">
        <v>108296735</v>
      </c>
      <c r="K554" s="11" t="n">
        <v>45967</v>
      </c>
      <c r="L554" t="n">
        <v>29</v>
      </c>
      <c r="M554" t="n">
        <v>1</v>
      </c>
      <c r="N554" t="n">
        <v>0</v>
      </c>
      <c r="O554" t="n">
        <v>5</v>
      </c>
      <c r="P554" t="inlineStr">
        <is>
          <t>O</t>
        </is>
      </c>
    </row>
    <row r="555">
      <c r="A555" t="inlineStr">
        <is>
          <t>UNIONVILLE</t>
        </is>
      </c>
      <c r="B555" t="inlineStr">
        <is>
          <t>SR 1001</t>
        </is>
      </c>
      <c r="C555" t="n">
        <v>0.2</v>
      </c>
      <c r="D555" t="inlineStr">
        <is>
          <t>E</t>
        </is>
      </c>
      <c r="E555" t="inlineStr">
        <is>
          <t>SR 1674</t>
        </is>
      </c>
      <c r="F555" t="inlineStr">
        <is>
          <t>SR 1638</t>
        </is>
      </c>
      <c r="G555" t="inlineStr">
        <is>
          <t>SR 1001</t>
        </is>
      </c>
      <c r="H555" t="n">
        <v>4.998</v>
      </c>
      <c r="J555" t="n">
        <v>108279466</v>
      </c>
      <c r="K555" s="11" t="n">
        <v>45953</v>
      </c>
      <c r="L555" t="n">
        <v>17</v>
      </c>
      <c r="M555" t="n">
        <v>1</v>
      </c>
      <c r="N555" t="n">
        <v>0</v>
      </c>
      <c r="O555" t="n">
        <v>1</v>
      </c>
      <c r="P555" t="inlineStr">
        <is>
          <t>O</t>
        </is>
      </c>
      <c r="Q555" t="n">
        <v>35.09663</v>
      </c>
      <c r="R555" t="n">
        <v>-80.48478</v>
      </c>
      <c r="S555" t="inlineStr">
        <is>
          <t>DMV349CLEANED</t>
        </is>
      </c>
    </row>
    <row r="556">
      <c r="A556" t="inlineStr">
        <is>
          <t>RURAL</t>
        </is>
      </c>
      <c r="B556" t="inlineStr">
        <is>
          <t>SR 1001</t>
        </is>
      </c>
      <c r="C556" t="n">
        <v>0.22</v>
      </c>
      <c r="D556" t="inlineStr">
        <is>
          <t>SE</t>
        </is>
      </c>
      <c r="E556" t="inlineStr">
        <is>
          <t>SR 1653</t>
        </is>
      </c>
      <c r="F556" t="inlineStr">
        <is>
          <t>SR 1654</t>
        </is>
      </c>
      <c r="G556" t="inlineStr">
        <is>
          <t>SR 1001</t>
        </is>
      </c>
      <c r="H556" t="n">
        <v>6.47</v>
      </c>
      <c r="J556" t="n">
        <v>108275804</v>
      </c>
      <c r="K556" s="11" t="n">
        <v>45949</v>
      </c>
      <c r="L556" t="n">
        <v>19</v>
      </c>
      <c r="M556" t="n">
        <v>1</v>
      </c>
      <c r="N556" t="n">
        <v>0</v>
      </c>
      <c r="O556" t="n">
        <v>1</v>
      </c>
      <c r="P556" t="inlineStr">
        <is>
          <t>O</t>
        </is>
      </c>
      <c r="Q556" t="n">
        <v>35.11388</v>
      </c>
      <c r="R556" t="n">
        <v>-80.46619</v>
      </c>
      <c r="S556" t="inlineStr">
        <is>
          <t>DMV349CLEANED</t>
        </is>
      </c>
    </row>
    <row r="557">
      <c r="A557" t="inlineStr">
        <is>
          <t>UNIONVILLE</t>
        </is>
      </c>
      <c r="B557" t="inlineStr">
        <is>
          <t>SR 1001</t>
        </is>
      </c>
      <c r="C557" t="n">
        <v>0</v>
      </c>
      <c r="E557" t="inlineStr">
        <is>
          <t>SR 1617</t>
        </is>
      </c>
      <c r="F557" t="inlineStr">
        <is>
          <t>SR 1606</t>
        </is>
      </c>
      <c r="G557" t="inlineStr">
        <is>
          <t>SR 1001</t>
        </is>
      </c>
      <c r="H557" t="n">
        <v>3.461</v>
      </c>
      <c r="J557" t="n">
        <v>108279485</v>
      </c>
      <c r="K557" s="11" t="n">
        <v>45953</v>
      </c>
      <c r="L557" t="n">
        <v>30</v>
      </c>
      <c r="M557" t="n">
        <v>1</v>
      </c>
      <c r="N557" t="n">
        <v>7</v>
      </c>
      <c r="O557" t="n">
        <v>1</v>
      </c>
      <c r="P557" t="inlineStr">
        <is>
          <t>C</t>
        </is>
      </c>
      <c r="Q557" t="n">
        <v>35.081547</v>
      </c>
      <c r="R557" t="n">
        <v>-80.50037</v>
      </c>
      <c r="S557" t="inlineStr">
        <is>
          <t>DMV349CLEANED</t>
        </is>
      </c>
    </row>
    <row r="558">
      <c r="A558" t="inlineStr">
        <is>
          <t>UNIONVILLE</t>
        </is>
      </c>
      <c r="B558" t="inlineStr">
        <is>
          <t>SR 1688</t>
        </is>
      </c>
      <c r="C558" t="n">
        <v>0</v>
      </c>
      <c r="E558" t="inlineStr">
        <is>
          <t>SR 1001</t>
        </is>
      </c>
      <c r="F558" t="inlineStr">
        <is>
          <t>SR 1674</t>
        </is>
      </c>
      <c r="G558" t="inlineStr">
        <is>
          <t>SR 1688</t>
        </is>
      </c>
      <c r="H558" t="n">
        <v>999.999</v>
      </c>
      <c r="J558" t="n">
        <v>108248173</v>
      </c>
      <c r="K558" s="11" t="n">
        <v>45922</v>
      </c>
      <c r="L558" t="n">
        <v>24</v>
      </c>
      <c r="M558" t="n">
        <v>1</v>
      </c>
      <c r="N558" t="n">
        <v>8</v>
      </c>
      <c r="O558" t="n">
        <v>1</v>
      </c>
      <c r="P558" t="inlineStr">
        <is>
          <t>O</t>
        </is>
      </c>
      <c r="Q558" t="n">
        <v>35.09387</v>
      </c>
      <c r="R558" t="n">
        <v>-80.48769</v>
      </c>
      <c r="S558" t="inlineStr">
        <is>
          <t>DMV349CLEANED</t>
        </is>
      </c>
    </row>
    <row r="559">
      <c r="A559" t="inlineStr">
        <is>
          <t>UNIONVILLE</t>
        </is>
      </c>
      <c r="B559" t="inlineStr">
        <is>
          <t>SR 1606</t>
        </is>
      </c>
      <c r="C559" t="n">
        <v>0.2</v>
      </c>
      <c r="D559" t="inlineStr">
        <is>
          <t>S</t>
        </is>
      </c>
      <c r="E559" t="inlineStr">
        <is>
          <t>SR 1691</t>
        </is>
      </c>
      <c r="F559" t="inlineStr">
        <is>
          <t>NC 200</t>
        </is>
      </c>
      <c r="G559" t="inlineStr">
        <is>
          <t>SR 1606</t>
        </is>
      </c>
      <c r="H559" t="n">
        <v>999.999</v>
      </c>
      <c r="J559" t="n">
        <v>108320401</v>
      </c>
      <c r="K559" s="11" t="n">
        <v>45981</v>
      </c>
      <c r="L559" t="n">
        <v>23</v>
      </c>
      <c r="M559" t="n">
        <v>1</v>
      </c>
      <c r="N559" t="n">
        <v>0</v>
      </c>
      <c r="O559" t="n">
        <v>1</v>
      </c>
      <c r="P559" t="inlineStr">
        <is>
          <t>O</t>
        </is>
      </c>
      <c r="Q559" t="n">
        <v>35.07005</v>
      </c>
      <c r="R559" t="n">
        <v>-80.49195</v>
      </c>
      <c r="S559" t="inlineStr">
        <is>
          <t>DMV349CLEANED</t>
        </is>
      </c>
    </row>
    <row r="560">
      <c r="A560" t="inlineStr">
        <is>
          <t>UNIONVILLE</t>
        </is>
      </c>
      <c r="B560" t="inlineStr">
        <is>
          <t>PVA PIEDMONT MIDDLE SCHOOL</t>
        </is>
      </c>
      <c r="C560" t="n">
        <v>0.001</v>
      </c>
      <c r="D560" t="inlineStr">
        <is>
          <t>E</t>
        </is>
      </c>
      <c r="E560" t="inlineStr">
        <is>
          <t>SIKES MILL</t>
        </is>
      </c>
      <c r="H560" t="n">
        <v>999.999</v>
      </c>
      <c r="J560" t="n">
        <v>108247372</v>
      </c>
      <c r="K560" s="11" t="n">
        <v>45930</v>
      </c>
      <c r="L560" t="n">
        <v>21</v>
      </c>
      <c r="M560" t="n">
        <v>2</v>
      </c>
      <c r="N560" t="n">
        <v>4</v>
      </c>
      <c r="O560" t="n">
        <v>1</v>
      </c>
      <c r="P560" t="inlineStr">
        <is>
          <t>O</t>
        </is>
      </c>
    </row>
    <row r="561">
      <c r="A561" t="inlineStr">
        <is>
          <t>UNIONVILLE</t>
        </is>
      </c>
      <c r="B561" t="inlineStr">
        <is>
          <t>TOM BOYD</t>
        </is>
      </c>
      <c r="C561" t="n">
        <v>0.36</v>
      </c>
      <c r="D561" t="inlineStr">
        <is>
          <t>E</t>
        </is>
      </c>
      <c r="E561" t="inlineStr">
        <is>
          <t>OLD CAMDEN</t>
        </is>
      </c>
      <c r="F561" t="inlineStr">
        <is>
          <t>SIKES MILL</t>
        </is>
      </c>
      <c r="H561" t="n">
        <v>999.999</v>
      </c>
      <c r="J561" t="n">
        <v>108277405</v>
      </c>
      <c r="K561" s="11" t="n">
        <v>45954</v>
      </c>
      <c r="L561" t="n">
        <v>17</v>
      </c>
      <c r="M561" t="n">
        <v>1</v>
      </c>
      <c r="N561" t="n">
        <v>0</v>
      </c>
      <c r="O561" t="n">
        <v>3</v>
      </c>
      <c r="P561" t="inlineStr">
        <is>
          <t>B</t>
        </is>
      </c>
    </row>
    <row r="562">
      <c r="A562" t="inlineStr">
        <is>
          <t>UNIONVILLE</t>
        </is>
      </c>
      <c r="B562" t="inlineStr">
        <is>
          <t>SR 1001</t>
        </is>
      </c>
      <c r="C562" t="n">
        <v>0.053</v>
      </c>
      <c r="D562" t="inlineStr">
        <is>
          <t>N</t>
        </is>
      </c>
      <c r="E562" t="inlineStr">
        <is>
          <t>SR 1620</t>
        </is>
      </c>
      <c r="F562" t="inlineStr">
        <is>
          <t>SR 1665</t>
        </is>
      </c>
      <c r="G562" t="inlineStr">
        <is>
          <t>SR 1001</t>
        </is>
      </c>
      <c r="H562" t="n">
        <v>1.405</v>
      </c>
      <c r="J562" t="n">
        <v>108285791</v>
      </c>
      <c r="K562" s="11" t="n">
        <v>45959</v>
      </c>
      <c r="L562" t="n">
        <v>29</v>
      </c>
      <c r="M562" t="n">
        <v>2</v>
      </c>
      <c r="N562" t="n">
        <v>0</v>
      </c>
      <c r="O562" t="n">
        <v>1</v>
      </c>
      <c r="P562" t="inlineStr">
        <is>
          <t>O</t>
        </is>
      </c>
      <c r="Q562" t="n">
        <v>35.05844</v>
      </c>
      <c r="R562" t="n">
        <v>-80.52197</v>
      </c>
      <c r="S562" t="inlineStr">
        <is>
          <t>DMV349CLEANED</t>
        </is>
      </c>
    </row>
    <row r="563">
      <c r="A563" t="inlineStr">
        <is>
          <t>FAIRVIEW</t>
        </is>
      </c>
      <c r="B563" t="inlineStr">
        <is>
          <t>SR 1606</t>
        </is>
      </c>
      <c r="C563" t="n">
        <v>0</v>
      </c>
      <c r="E563" t="inlineStr">
        <is>
          <t>NC 218</t>
        </is>
      </c>
      <c r="F563" t="inlineStr">
        <is>
          <t>*LCL OLD FISH RD</t>
        </is>
      </c>
      <c r="G563" t="inlineStr">
        <is>
          <t>SR 1606</t>
        </is>
      </c>
      <c r="H563" t="n">
        <v>2.941</v>
      </c>
      <c r="J563" t="n">
        <v>108248400</v>
      </c>
      <c r="K563" s="11" t="n">
        <v>45924</v>
      </c>
      <c r="L563" t="n">
        <v>28</v>
      </c>
      <c r="M563" t="n">
        <v>1</v>
      </c>
      <c r="N563" t="n">
        <v>10</v>
      </c>
      <c r="O563" t="n">
        <v>1</v>
      </c>
      <c r="P563" t="inlineStr">
        <is>
          <t>O</t>
        </is>
      </c>
      <c r="Q563" t="n">
        <v>35.130707</v>
      </c>
      <c r="R563" t="n">
        <v>-80.47909</v>
      </c>
      <c r="S563" t="inlineStr">
        <is>
          <t>DMV349CLEANED</t>
        </is>
      </c>
    </row>
    <row r="564">
      <c r="A564" t="inlineStr">
        <is>
          <t>UNIONVILLE</t>
        </is>
      </c>
      <c r="B564" t="inlineStr">
        <is>
          <t>LOVE MILL</t>
        </is>
      </c>
      <c r="C564" t="n">
        <v>0.41</v>
      </c>
      <c r="D564" t="inlineStr">
        <is>
          <t>S</t>
        </is>
      </c>
      <c r="E564" t="inlineStr">
        <is>
          <t>BRIEF</t>
        </is>
      </c>
      <c r="F564" t="inlineStr">
        <is>
          <t>NC 218</t>
        </is>
      </c>
      <c r="G564" t="inlineStr">
        <is>
          <t>LOVE MILL</t>
        </is>
      </c>
      <c r="H564" t="n">
        <v>999.999</v>
      </c>
      <c r="J564" t="n">
        <v>108330211</v>
      </c>
      <c r="K564" s="11" t="n">
        <v>45995</v>
      </c>
      <c r="L564" t="n">
        <v>17</v>
      </c>
      <c r="M564" t="n">
        <v>1</v>
      </c>
      <c r="N564" t="n">
        <v>0</v>
      </c>
      <c r="O564" t="n">
        <v>5</v>
      </c>
      <c r="P564" t="inlineStr">
        <is>
          <t>O</t>
        </is>
      </c>
    </row>
    <row r="565">
      <c r="A565" t="inlineStr">
        <is>
          <t>UNIONVILLE</t>
        </is>
      </c>
      <c r="B565" t="inlineStr">
        <is>
          <t>SR 1001</t>
        </is>
      </c>
      <c r="C565" t="n">
        <v>0</v>
      </c>
      <c r="E565" t="inlineStr">
        <is>
          <t>SR 1617</t>
        </is>
      </c>
      <c r="F565" t="inlineStr">
        <is>
          <t>SR 1618</t>
        </is>
      </c>
      <c r="G565" t="inlineStr">
        <is>
          <t>SR 1001</t>
        </is>
      </c>
      <c r="H565" t="n">
        <v>3.461</v>
      </c>
      <c r="J565" t="n">
        <v>108250468</v>
      </c>
      <c r="K565" s="11" t="n">
        <v>45931</v>
      </c>
      <c r="L565" t="n">
        <v>30</v>
      </c>
      <c r="M565" t="n">
        <v>1</v>
      </c>
      <c r="N565" t="n">
        <v>7</v>
      </c>
      <c r="O565" t="n">
        <v>5</v>
      </c>
      <c r="P565" t="inlineStr">
        <is>
          <t>O</t>
        </is>
      </c>
      <c r="Q565" t="n">
        <v>35.081578</v>
      </c>
      <c r="R565" t="n">
        <v>-80.50036</v>
      </c>
      <c r="S565" t="inlineStr">
        <is>
          <t>DMV349CLEANED</t>
        </is>
      </c>
    </row>
    <row r="566">
      <c r="A566" t="inlineStr">
        <is>
          <t>UNIONVILLE</t>
        </is>
      </c>
      <c r="B566" t="inlineStr">
        <is>
          <t>SR 1606</t>
        </is>
      </c>
      <c r="C566" t="n">
        <v>0.076</v>
      </c>
      <c r="D566" t="inlineStr">
        <is>
          <t>N</t>
        </is>
      </c>
      <c r="E566" t="inlineStr">
        <is>
          <t>SR 1688</t>
        </is>
      </c>
      <c r="F566" t="inlineStr">
        <is>
          <t>SR 1638</t>
        </is>
      </c>
      <c r="G566" t="inlineStr">
        <is>
          <t>SR 1606</t>
        </is>
      </c>
      <c r="H566" t="n">
        <v>5.652</v>
      </c>
      <c r="J566" t="n">
        <v>108134261</v>
      </c>
      <c r="K566" s="11" t="n">
        <v>45814</v>
      </c>
      <c r="L566" t="n">
        <v>19</v>
      </c>
      <c r="M566" t="n">
        <v>1</v>
      </c>
      <c r="N566" t="n">
        <v>0</v>
      </c>
      <c r="O566" t="n">
        <v>5</v>
      </c>
      <c r="P566" t="inlineStr">
        <is>
          <t>B</t>
        </is>
      </c>
      <c r="Q566" t="n">
        <v>35.097676</v>
      </c>
      <c r="R566" t="n">
        <v>-80.49236000000001</v>
      </c>
      <c r="S566" t="inlineStr">
        <is>
          <t>DMV349CLEANED</t>
        </is>
      </c>
    </row>
    <row r="567">
      <c r="A567" t="inlineStr">
        <is>
          <t>UNIONVILLE</t>
        </is>
      </c>
      <c r="B567" t="inlineStr">
        <is>
          <t>US 601</t>
        </is>
      </c>
      <c r="C567" t="n">
        <v>0</v>
      </c>
      <c r="E567" t="inlineStr">
        <is>
          <t>SR 1001</t>
        </is>
      </c>
      <c r="F567" t="inlineStr">
        <is>
          <t>SR 1504</t>
        </is>
      </c>
      <c r="G567" t="inlineStr">
        <is>
          <t>US 601</t>
        </is>
      </c>
      <c r="H567" t="n">
        <v>18.007</v>
      </c>
      <c r="J567" t="n">
        <v>108338300</v>
      </c>
      <c r="K567" s="11" t="n">
        <v>46000</v>
      </c>
      <c r="L567" t="n">
        <v>24</v>
      </c>
      <c r="M567" t="n">
        <v>1</v>
      </c>
      <c r="N567" t="n">
        <v>8</v>
      </c>
      <c r="O567" t="n">
        <v>5</v>
      </c>
      <c r="P567" t="inlineStr">
        <is>
          <t>O</t>
        </is>
      </c>
      <c r="Q567" t="n">
        <v>35.040332</v>
      </c>
      <c r="R567" t="n">
        <v>-80.53180999999999</v>
      </c>
      <c r="S567" t="inlineStr">
        <is>
          <t>DMV349CLEANED</t>
        </is>
      </c>
    </row>
    <row r="568">
      <c r="A568" t="inlineStr">
        <is>
          <t>FAIRVIEW</t>
        </is>
      </c>
      <c r="B568" t="inlineStr">
        <is>
          <t>SR 1606</t>
        </is>
      </c>
      <c r="C568" t="n">
        <v>0</v>
      </c>
      <c r="E568" t="inlineStr">
        <is>
          <t>SR 1610</t>
        </is>
      </c>
      <c r="F568" t="inlineStr">
        <is>
          <t>NC 218</t>
        </is>
      </c>
      <c r="G568" t="inlineStr">
        <is>
          <t>SR 1606</t>
        </is>
      </c>
      <c r="H568" t="n">
        <v>3.158</v>
      </c>
      <c r="J568" t="n">
        <v>108370708</v>
      </c>
      <c r="K568" s="11" t="n">
        <v>46035</v>
      </c>
      <c r="L568" t="n">
        <v>25</v>
      </c>
      <c r="M568" t="n">
        <v>1</v>
      </c>
      <c r="N568" t="n">
        <v>0</v>
      </c>
      <c r="O568" t="n">
        <v>1</v>
      </c>
      <c r="P568" t="inlineStr">
        <is>
          <t>O</t>
        </is>
      </c>
      <c r="Q568" t="n">
        <v>35.127524</v>
      </c>
      <c r="R568" t="n">
        <v>-80.47974000000001</v>
      </c>
      <c r="S568" t="inlineStr">
        <is>
          <t>DMV349CLEANED</t>
        </is>
      </c>
    </row>
    <row r="569">
      <c r="A569" t="inlineStr">
        <is>
          <t>RURAL</t>
        </is>
      </c>
      <c r="B569" t="inlineStr">
        <is>
          <t>SR 1606</t>
        </is>
      </c>
      <c r="C569" t="n">
        <v>0.1</v>
      </c>
      <c r="D569" t="inlineStr">
        <is>
          <t>N</t>
        </is>
      </c>
      <c r="E569" t="inlineStr">
        <is>
          <t>SR 1547</t>
        </is>
      </c>
      <c r="F569" t="inlineStr">
        <is>
          <t>SR 1607</t>
        </is>
      </c>
      <c r="G569" t="inlineStr">
        <is>
          <t>SR 1606</t>
        </is>
      </c>
      <c r="H569" t="n">
        <v>1.487</v>
      </c>
      <c r="J569" t="n">
        <v>108244970</v>
      </c>
      <c r="K569" s="11" t="n">
        <v>45926</v>
      </c>
      <c r="L569" t="n">
        <v>21</v>
      </c>
      <c r="M569" t="n">
        <v>2</v>
      </c>
      <c r="N569" t="n">
        <v>5</v>
      </c>
      <c r="O569" t="n">
        <v>1</v>
      </c>
      <c r="P569" t="inlineStr">
        <is>
          <t>O</t>
        </is>
      </c>
      <c r="Q569" t="n">
        <v>35.148995</v>
      </c>
      <c r="R569" t="n">
        <v>-80.47454999999999</v>
      </c>
      <c r="S569" t="inlineStr">
        <is>
          <t>DMV349CLEANED</t>
        </is>
      </c>
    </row>
    <row r="570">
      <c r="A570" t="inlineStr">
        <is>
          <t>FAIRVIEW</t>
        </is>
      </c>
      <c r="B570" t="inlineStr">
        <is>
          <t>NC 218</t>
        </is>
      </c>
      <c r="C570" t="n">
        <v>0.01</v>
      </c>
      <c r="D570" t="inlineStr">
        <is>
          <t>E</t>
        </is>
      </c>
      <c r="E570" t="inlineStr">
        <is>
          <t>SR 1606</t>
        </is>
      </c>
      <c r="F570" t="inlineStr">
        <is>
          <t>SR 1547</t>
        </is>
      </c>
      <c r="G570" t="inlineStr">
        <is>
          <t>NC 218</t>
        </is>
      </c>
      <c r="H570" t="n">
        <v>8.092000000000001</v>
      </c>
      <c r="J570" t="n">
        <v>108326425</v>
      </c>
      <c r="K570" s="11" t="n">
        <v>45991</v>
      </c>
      <c r="L570" t="n">
        <v>21</v>
      </c>
      <c r="M570" t="n">
        <v>2</v>
      </c>
      <c r="N570" t="n">
        <v>0</v>
      </c>
      <c r="O570" t="n">
        <v>5</v>
      </c>
      <c r="P570" t="inlineStr">
        <is>
          <t>O</t>
        </is>
      </c>
      <c r="Q570" t="n">
        <v>35.131031</v>
      </c>
      <c r="R570" t="n">
        <v>-80.47403</v>
      </c>
      <c r="S570" t="inlineStr">
        <is>
          <t>DMV349CLEANED</t>
        </is>
      </c>
    </row>
    <row r="571">
      <c r="A571" t="inlineStr">
        <is>
          <t>UNIONVILLE</t>
        </is>
      </c>
      <c r="B571" t="inlineStr">
        <is>
          <t>LOVE MILL</t>
        </is>
      </c>
      <c r="C571" t="n">
        <v>0.23</v>
      </c>
      <c r="D571" t="inlineStr">
        <is>
          <t>N</t>
        </is>
      </c>
      <c r="E571" t="inlineStr">
        <is>
          <t>*LCL A G R NANCE RD</t>
        </is>
      </c>
      <c r="F571" t="inlineStr">
        <is>
          <t>ZEBULON WILLIAMS</t>
        </is>
      </c>
      <c r="H571" t="n">
        <v>999.999</v>
      </c>
      <c r="J571" t="n">
        <v>108377465</v>
      </c>
      <c r="K571" s="11" t="n">
        <v>46042</v>
      </c>
      <c r="L571" t="n">
        <v>19</v>
      </c>
      <c r="M571" t="n">
        <v>1</v>
      </c>
      <c r="N571" t="n">
        <v>0</v>
      </c>
      <c r="O571" t="n">
        <v>1</v>
      </c>
      <c r="P571" t="inlineStr">
        <is>
          <t>O</t>
        </is>
      </c>
    </row>
    <row r="572">
      <c r="A572" t="inlineStr">
        <is>
          <t>UNIONVILLE</t>
        </is>
      </c>
      <c r="B572" t="inlineStr">
        <is>
          <t>SR 1001</t>
        </is>
      </c>
      <c r="C572" t="n">
        <v>0</v>
      </c>
      <c r="E572" t="inlineStr">
        <is>
          <t>SR 2713</t>
        </is>
      </c>
      <c r="F572" t="inlineStr">
        <is>
          <t>SR 1615</t>
        </is>
      </c>
      <c r="G572" t="inlineStr">
        <is>
          <t>SR 1001</t>
        </is>
      </c>
      <c r="H572" t="n">
        <v>2.525</v>
      </c>
      <c r="J572" t="n">
        <v>108377777</v>
      </c>
      <c r="K572" s="11" t="n">
        <v>46041</v>
      </c>
      <c r="L572" t="n">
        <v>23</v>
      </c>
      <c r="M572" t="n">
        <v>1</v>
      </c>
      <c r="N572" t="n">
        <v>8</v>
      </c>
      <c r="O572" t="n">
        <v>1</v>
      </c>
      <c r="P572" t="inlineStr">
        <is>
          <t>O</t>
        </is>
      </c>
      <c r="Q572" t="n">
        <v>35.072702</v>
      </c>
      <c r="R572" t="n">
        <v>-80.51262</v>
      </c>
      <c r="S572" t="inlineStr">
        <is>
          <t>DMV349CLEANED</t>
        </is>
      </c>
    </row>
    <row r="573">
      <c r="A573" t="inlineStr">
        <is>
          <t>UNIONVILLE</t>
        </is>
      </c>
      <c r="B573" t="inlineStr">
        <is>
          <t>SIKES MILL</t>
        </is>
      </c>
      <c r="C573" t="n">
        <v>0.005</v>
      </c>
      <c r="D573" t="inlineStr">
        <is>
          <t>N</t>
        </is>
      </c>
      <c r="E573" t="inlineStr">
        <is>
          <t>TOM HELMS</t>
        </is>
      </c>
      <c r="F573" t="inlineStr">
        <is>
          <t>HENRY SMITH</t>
        </is>
      </c>
      <c r="G573" t="inlineStr">
        <is>
          <t>SR 1001</t>
        </is>
      </c>
      <c r="H573" t="n">
        <v>4.099</v>
      </c>
      <c r="J573" t="n">
        <v>108134024</v>
      </c>
      <c r="K573" s="11" t="n">
        <v>45811</v>
      </c>
      <c r="L573" t="n">
        <v>28</v>
      </c>
      <c r="M573" t="n">
        <v>1</v>
      </c>
      <c r="N573" t="n">
        <v>10</v>
      </c>
      <c r="O573" t="n">
        <v>5</v>
      </c>
      <c r="P573" t="inlineStr">
        <is>
          <t>O</t>
        </is>
      </c>
    </row>
    <row r="574">
      <c r="A574" t="inlineStr">
        <is>
          <t>RURAL</t>
        </is>
      </c>
      <c r="B574" t="inlineStr">
        <is>
          <t>NC 218</t>
        </is>
      </c>
      <c r="C574" t="n">
        <v>0</v>
      </c>
      <c r="E574" t="inlineStr">
        <is>
          <t>SR 1001</t>
        </is>
      </c>
      <c r="F574" t="inlineStr">
        <is>
          <t>SR 1547</t>
        </is>
      </c>
      <c r="G574" t="inlineStr">
        <is>
          <t>NC 218</t>
        </is>
      </c>
      <c r="H574" t="n">
        <v>9.786</v>
      </c>
      <c r="J574" t="n">
        <v>108267514</v>
      </c>
      <c r="K574" s="11" t="n">
        <v>45944</v>
      </c>
      <c r="L574" t="n">
        <v>21</v>
      </c>
      <c r="M574" t="n">
        <v>1</v>
      </c>
      <c r="N574" t="n">
        <v>0</v>
      </c>
      <c r="O574" t="n">
        <v>1</v>
      </c>
      <c r="P574" t="inlineStr">
        <is>
          <t>O</t>
        </is>
      </c>
      <c r="Q574" t="n">
        <v>35.13365</v>
      </c>
      <c r="R574" t="n">
        <v>-80.44976</v>
      </c>
      <c r="S574" t="inlineStr">
        <is>
          <t>DMV349CLEANED</t>
        </is>
      </c>
    </row>
    <row r="575">
      <c r="A575" t="inlineStr">
        <is>
          <t>RURAL</t>
        </is>
      </c>
      <c r="B575" t="inlineStr">
        <is>
          <t>SR 1606</t>
        </is>
      </c>
      <c r="C575" t="n">
        <v>0.3</v>
      </c>
      <c r="D575" t="inlineStr">
        <is>
          <t>N</t>
        </is>
      </c>
      <c r="E575" t="inlineStr">
        <is>
          <t>SR 1607</t>
        </is>
      </c>
      <c r="F575" t="inlineStr">
        <is>
          <t>SR 1604</t>
        </is>
      </c>
      <c r="G575" t="inlineStr">
        <is>
          <t>SR 1606</t>
        </is>
      </c>
      <c r="H575" t="n">
        <v>0.784</v>
      </c>
      <c r="J575" t="n">
        <v>108416489</v>
      </c>
      <c r="K575" s="11" t="n">
        <v>46080</v>
      </c>
      <c r="L575" t="n">
        <v>19</v>
      </c>
      <c r="M575" t="n">
        <v>1</v>
      </c>
      <c r="N575" t="n">
        <v>0</v>
      </c>
      <c r="O575" t="n">
        <v>5</v>
      </c>
      <c r="P575" t="inlineStr">
        <is>
          <t>O</t>
        </is>
      </c>
      <c r="Q575" t="n">
        <v>35.159026</v>
      </c>
      <c r="R575" t="n">
        <v>-80.47320000000001</v>
      </c>
      <c r="S575" t="inlineStr">
        <is>
          <t>DMV349CLEANED</t>
        </is>
      </c>
    </row>
    <row r="576">
      <c r="A576" t="inlineStr">
        <is>
          <t>RURAL</t>
        </is>
      </c>
      <c r="B576" t="inlineStr">
        <is>
          <t>SIKES MILL</t>
        </is>
      </c>
      <c r="C576" t="n">
        <v>1</v>
      </c>
      <c r="D576" t="inlineStr">
        <is>
          <t>N</t>
        </is>
      </c>
      <c r="E576" t="inlineStr">
        <is>
          <t>UNIONVILLE</t>
        </is>
      </c>
      <c r="F576" t="inlineStr">
        <is>
          <t>CLONTZ LONG</t>
        </is>
      </c>
      <c r="G576" t="inlineStr">
        <is>
          <t>SR 1001</t>
        </is>
      </c>
      <c r="H576" t="n">
        <v>3.871</v>
      </c>
      <c r="J576" t="n">
        <v>108420507</v>
      </c>
      <c r="K576" s="11" t="n">
        <v>46082</v>
      </c>
      <c r="L576" t="n">
        <v>17</v>
      </c>
      <c r="M576" t="n">
        <v>1</v>
      </c>
      <c r="N576" t="n">
        <v>0</v>
      </c>
      <c r="O576" t="n">
        <v>5</v>
      </c>
      <c r="P576" t="inlineStr">
        <is>
          <t>O</t>
        </is>
      </c>
    </row>
    <row r="577">
      <c r="A577" t="inlineStr">
        <is>
          <t>UNIONVILLE</t>
        </is>
      </c>
      <c r="B577" t="inlineStr">
        <is>
          <t>SR 1606</t>
        </is>
      </c>
      <c r="C577" t="n">
        <v>0.25</v>
      </c>
      <c r="D577" t="inlineStr">
        <is>
          <t>S</t>
        </is>
      </c>
      <c r="E577" t="inlineStr">
        <is>
          <t>SR 1611</t>
        </is>
      </c>
      <c r="F577" t="inlineStr">
        <is>
          <t>SR 1615</t>
        </is>
      </c>
      <c r="G577" t="inlineStr">
        <is>
          <t>SR 1606</t>
        </is>
      </c>
      <c r="H577" t="n">
        <v>4.259</v>
      </c>
      <c r="J577" t="n">
        <v>108527675</v>
      </c>
      <c r="K577" s="11" t="n">
        <v>46184</v>
      </c>
      <c r="L577" t="n">
        <v>21</v>
      </c>
      <c r="M577" t="n">
        <v>1</v>
      </c>
      <c r="N577" t="n">
        <v>0</v>
      </c>
      <c r="O577" t="n">
        <v>1</v>
      </c>
      <c r="P577" t="inlineStr">
        <is>
          <t>C</t>
        </is>
      </c>
      <c r="Q577" t="n">
        <v>35.116088</v>
      </c>
      <c r="R577" t="n">
        <v>-80.48566</v>
      </c>
      <c r="S577" t="inlineStr">
        <is>
          <t>DMV349</t>
        </is>
      </c>
    </row>
    <row r="578">
      <c r="A578" t="inlineStr">
        <is>
          <t>UNIONVILLE</t>
        </is>
      </c>
      <c r="B578" t="inlineStr">
        <is>
          <t>SR 1001</t>
        </is>
      </c>
      <c r="C578" t="n">
        <v>0</v>
      </c>
      <c r="E578" t="inlineStr">
        <is>
          <t>*LCL PEIDMONT SCHOOL RD</t>
        </is>
      </c>
      <c r="F578" t="inlineStr">
        <is>
          <t>SR 1674</t>
        </is>
      </c>
      <c r="H578" t="n">
        <v>999.999</v>
      </c>
      <c r="J578" t="n">
        <v>108430866</v>
      </c>
      <c r="K578" s="11" t="n">
        <v>46094</v>
      </c>
      <c r="L578" t="n">
        <v>24</v>
      </c>
      <c r="M578" t="n">
        <v>1</v>
      </c>
      <c r="N578" t="n">
        <v>5</v>
      </c>
      <c r="O578" t="n">
        <v>1</v>
      </c>
      <c r="P578" t="inlineStr">
        <is>
          <t>C</t>
        </is>
      </c>
      <c r="Q578" t="n">
        <v>35.093641</v>
      </c>
      <c r="R578" t="n">
        <v>-80.4873</v>
      </c>
      <c r="S578" t="inlineStr">
        <is>
          <t>DMV349CLEANED</t>
        </is>
      </c>
    </row>
    <row r="579">
      <c r="A579" t="inlineStr">
        <is>
          <t>UNIONVILLE</t>
        </is>
      </c>
      <c r="B579" t="inlineStr">
        <is>
          <t>SIKES MILL</t>
        </is>
      </c>
      <c r="C579" t="n">
        <v>0.3</v>
      </c>
      <c r="D579" t="inlineStr">
        <is>
          <t>N</t>
        </is>
      </c>
      <c r="E579" t="inlineStr">
        <is>
          <t>CARRIKER</t>
        </is>
      </c>
      <c r="F579" t="inlineStr">
        <is>
          <t>*LCL OLD FISH RD</t>
        </is>
      </c>
      <c r="G579" t="inlineStr">
        <is>
          <t>SIKES MILL</t>
        </is>
      </c>
      <c r="H579" t="n">
        <v>999.999</v>
      </c>
      <c r="J579" t="n">
        <v>108496852</v>
      </c>
      <c r="K579" s="11" t="n">
        <v>46155</v>
      </c>
      <c r="L579" t="n">
        <v>17</v>
      </c>
      <c r="M579" t="n">
        <v>1</v>
      </c>
      <c r="N579" t="n">
        <v>0</v>
      </c>
      <c r="O579" t="n">
        <v>5</v>
      </c>
      <c r="P579" t="inlineStr">
        <is>
          <t>O</t>
        </is>
      </c>
    </row>
    <row r="580">
      <c r="A580" t="inlineStr">
        <is>
          <t>UNIONVILLE</t>
        </is>
      </c>
      <c r="B580" t="inlineStr">
        <is>
          <t>US 601</t>
        </is>
      </c>
      <c r="C580" t="n">
        <v>0</v>
      </c>
      <c r="E580" t="inlineStr">
        <is>
          <t>SR 1001</t>
        </is>
      </c>
      <c r="F580" t="inlineStr">
        <is>
          <t>DEAD END</t>
        </is>
      </c>
      <c r="G580" t="inlineStr">
        <is>
          <t>US 601</t>
        </is>
      </c>
      <c r="H580" t="n">
        <v>18.007</v>
      </c>
      <c r="J580" t="n">
        <v>108401808</v>
      </c>
      <c r="K580" s="11" t="n">
        <v>46066</v>
      </c>
      <c r="L580" t="n">
        <v>24</v>
      </c>
      <c r="M580" t="n">
        <v>1</v>
      </c>
      <c r="N580" t="n">
        <v>8</v>
      </c>
      <c r="O580" t="n">
        <v>5</v>
      </c>
      <c r="P580" t="inlineStr">
        <is>
          <t>O</t>
        </is>
      </c>
      <c r="Q580" t="n">
        <v>35.04264</v>
      </c>
      <c r="R580" t="n">
        <v>-80.53251</v>
      </c>
      <c r="S580" t="inlineStr">
        <is>
          <t>DMV349CLEANED</t>
        </is>
      </c>
    </row>
    <row r="581">
      <c r="A581" t="inlineStr">
        <is>
          <t>RURAL</t>
        </is>
      </c>
      <c r="B581" t="inlineStr">
        <is>
          <t>SR 1001</t>
        </is>
      </c>
      <c r="C581" t="n">
        <v>0.7</v>
      </c>
      <c r="D581" t="inlineStr">
        <is>
          <t>N</t>
        </is>
      </c>
      <c r="E581" t="inlineStr">
        <is>
          <t>US 601</t>
        </is>
      </c>
      <c r="F581" t="inlineStr">
        <is>
          <t>SR 1620</t>
        </is>
      </c>
      <c r="G581" t="inlineStr">
        <is>
          <t>SR 1001</t>
        </is>
      </c>
      <c r="H581" t="n">
        <v>0.7</v>
      </c>
      <c r="J581" t="n">
        <v>108424807</v>
      </c>
      <c r="K581" s="11" t="n">
        <v>46088</v>
      </c>
      <c r="L581" t="n">
        <v>29</v>
      </c>
      <c r="M581" t="n">
        <v>1</v>
      </c>
      <c r="N581" t="n">
        <v>0</v>
      </c>
      <c r="O581" t="n">
        <v>1</v>
      </c>
      <c r="P581" t="inlineStr">
        <is>
          <t>O</t>
        </is>
      </c>
      <c r="Q581" t="n">
        <v>35.049281</v>
      </c>
      <c r="R581" t="n">
        <v>-80.52564</v>
      </c>
      <c r="S581" t="inlineStr">
        <is>
          <t>DMV349CLEANED</t>
        </is>
      </c>
    </row>
    <row r="582">
      <c r="A582" t="inlineStr">
        <is>
          <t>FAIRVIEW</t>
        </is>
      </c>
      <c r="B582" t="inlineStr">
        <is>
          <t>NC 218</t>
        </is>
      </c>
      <c r="C582" t="n">
        <v>0.019</v>
      </c>
      <c r="D582" t="inlineStr">
        <is>
          <t>W</t>
        </is>
      </c>
      <c r="E582" t="inlineStr">
        <is>
          <t>SIKES MILL</t>
        </is>
      </c>
      <c r="F582" t="inlineStr">
        <is>
          <t>MILL CREEK CHUR</t>
        </is>
      </c>
      <c r="G582" t="inlineStr">
        <is>
          <t>NC 218</t>
        </is>
      </c>
      <c r="H582" t="n">
        <v>8.063000000000001</v>
      </c>
      <c r="J582" t="n">
        <v>108436294</v>
      </c>
      <c r="K582" s="11" t="n">
        <v>46096</v>
      </c>
      <c r="L582" t="n">
        <v>21</v>
      </c>
      <c r="M582" t="n">
        <v>1</v>
      </c>
      <c r="N582" t="n">
        <v>0</v>
      </c>
      <c r="O582" t="n">
        <v>1</v>
      </c>
      <c r="P582" t="inlineStr">
        <is>
          <t>O</t>
        </is>
      </c>
    </row>
    <row r="583">
      <c r="A583" t="inlineStr">
        <is>
          <t>UNIONVILLE</t>
        </is>
      </c>
      <c r="B583" t="inlineStr">
        <is>
          <t>SR 1001</t>
        </is>
      </c>
      <c r="C583" t="n">
        <v>0.1</v>
      </c>
      <c r="D583" t="inlineStr">
        <is>
          <t>N</t>
        </is>
      </c>
      <c r="E583" t="inlineStr">
        <is>
          <t>SR 1638</t>
        </is>
      </c>
      <c r="F583" t="inlineStr">
        <is>
          <t>SR 1675</t>
        </is>
      </c>
      <c r="G583" t="inlineStr">
        <is>
          <t>SR 1001</t>
        </is>
      </c>
      <c r="H583" t="n">
        <v>5.326</v>
      </c>
      <c r="J583" t="n">
        <v>108521472</v>
      </c>
      <c r="K583" s="11" t="n">
        <v>46179</v>
      </c>
      <c r="L583" t="n">
        <v>19</v>
      </c>
      <c r="M583" t="n">
        <v>1</v>
      </c>
      <c r="N583" t="n">
        <v>0</v>
      </c>
      <c r="O583" t="n">
        <v>1</v>
      </c>
      <c r="P583" t="inlineStr">
        <is>
          <t>C</t>
        </is>
      </c>
      <c r="Q583" t="n">
        <v>35.102127</v>
      </c>
      <c r="R583" t="n">
        <v>-80.47924999999999</v>
      </c>
      <c r="S583" t="inlineStr">
        <is>
          <t>DMV349</t>
        </is>
      </c>
    </row>
    <row r="584">
      <c r="A584" t="inlineStr">
        <is>
          <t>RURAL</t>
        </is>
      </c>
      <c r="B584" t="inlineStr">
        <is>
          <t>SR 1001</t>
        </is>
      </c>
      <c r="C584" t="n">
        <v>0</v>
      </c>
      <c r="E584" t="inlineStr">
        <is>
          <t>SR 1607</t>
        </is>
      </c>
      <c r="F584" t="inlineStr">
        <is>
          <t>SR 1604</t>
        </is>
      </c>
      <c r="G584" t="inlineStr">
        <is>
          <t>SR 1001</t>
        </is>
      </c>
      <c r="H584" t="n">
        <v>999.999</v>
      </c>
      <c r="J584" t="n">
        <v>108506936</v>
      </c>
      <c r="K584" s="11" t="n">
        <v>46161</v>
      </c>
      <c r="L584" t="n">
        <v>24</v>
      </c>
      <c r="M584" t="n">
        <v>1</v>
      </c>
      <c r="N584" t="n">
        <v>8</v>
      </c>
      <c r="O584" t="n">
        <v>1</v>
      </c>
      <c r="P584" t="inlineStr">
        <is>
          <t>O</t>
        </is>
      </c>
      <c r="Q584" t="n">
        <v>35.154566</v>
      </c>
      <c r="R584" t="n">
        <v>-80.47302000000001</v>
      </c>
      <c r="S584" t="inlineStr">
        <is>
          <t>DMV349</t>
        </is>
      </c>
    </row>
    <row r="585">
      <c r="A585" t="inlineStr">
        <is>
          <t>RURAL</t>
        </is>
      </c>
      <c r="B585" t="inlineStr">
        <is>
          <t>SR 1681</t>
        </is>
      </c>
      <c r="C585" t="n">
        <v>0.007</v>
      </c>
      <c r="D585" t="inlineStr">
        <is>
          <t>N</t>
        </is>
      </c>
      <c r="E585" t="inlineStr">
        <is>
          <t>SR 1617</t>
        </is>
      </c>
      <c r="F585" t="inlineStr">
        <is>
          <t>SR 1612</t>
        </is>
      </c>
      <c r="G585" t="inlineStr">
        <is>
          <t>SR 1681</t>
        </is>
      </c>
      <c r="H585" t="n">
        <v>999.999</v>
      </c>
      <c r="J585" t="n">
        <v>108526710</v>
      </c>
      <c r="K585" s="11" t="n">
        <v>46179</v>
      </c>
      <c r="L585" t="n">
        <v>21</v>
      </c>
      <c r="M585" t="n">
        <v>1</v>
      </c>
      <c r="N585" t="n">
        <v>12</v>
      </c>
      <c r="O585" t="n">
        <v>1</v>
      </c>
      <c r="P585" t="inlineStr">
        <is>
          <t>O</t>
        </is>
      </c>
      <c r="Q585" t="n">
        <v>35.076139</v>
      </c>
      <c r="R585" t="n">
        <v>-80.49294</v>
      </c>
      <c r="S585" t="inlineStr">
        <is>
          <t>DMV349</t>
        </is>
      </c>
    </row>
    <row r="586">
      <c r="A586" t="inlineStr">
        <is>
          <t>UNIONVILLE</t>
        </is>
      </c>
      <c r="B586" t="inlineStr">
        <is>
          <t>SR 1606</t>
        </is>
      </c>
      <c r="C586" t="n">
        <v>0.055</v>
      </c>
      <c r="D586" t="inlineStr">
        <is>
          <t>S</t>
        </is>
      </c>
      <c r="E586" t="inlineStr">
        <is>
          <t>SR 1678</t>
        </is>
      </c>
      <c r="F586" t="inlineStr">
        <is>
          <t>SR 1618</t>
        </is>
      </c>
      <c r="G586" t="inlineStr">
        <is>
          <t>SR 1606</t>
        </is>
      </c>
      <c r="H586" t="n">
        <v>5.851</v>
      </c>
      <c r="J586" t="n">
        <v>108466476</v>
      </c>
      <c r="K586" s="11" t="n">
        <v>46121</v>
      </c>
      <c r="L586" t="n">
        <v>28</v>
      </c>
      <c r="M586" t="n">
        <v>1</v>
      </c>
      <c r="N586" t="n">
        <v>0</v>
      </c>
      <c r="O586" t="n">
        <v>5</v>
      </c>
      <c r="P586" t="inlineStr">
        <is>
          <t>C</t>
        </is>
      </c>
      <c r="Q586" t="n">
        <v>35.09216</v>
      </c>
      <c r="R586" t="n">
        <v>-80.49361</v>
      </c>
      <c r="S586" t="inlineStr">
        <is>
          <t>DMV349</t>
        </is>
      </c>
    </row>
    <row r="587">
      <c r="A587" t="inlineStr">
        <is>
          <t>UNIONVILLE</t>
        </is>
      </c>
      <c r="B587" t="inlineStr">
        <is>
          <t>SIKES MILL</t>
        </is>
      </c>
      <c r="C587" t="n">
        <v>0.36</v>
      </c>
      <c r="D587" t="inlineStr">
        <is>
          <t>S</t>
        </is>
      </c>
      <c r="E587" t="inlineStr">
        <is>
          <t>TOM BOYD</t>
        </is>
      </c>
      <c r="F587" t="inlineStr">
        <is>
          <t>UNIONVILLE</t>
        </is>
      </c>
      <c r="G587" t="inlineStr">
        <is>
          <t>SR 1001</t>
        </is>
      </c>
      <c r="H587" t="n">
        <v>3.101</v>
      </c>
      <c r="J587" t="n">
        <v>108539563</v>
      </c>
      <c r="K587" s="11" t="n">
        <v>46194</v>
      </c>
      <c r="L587" t="n">
        <v>17</v>
      </c>
      <c r="M587" t="n">
        <v>1</v>
      </c>
      <c r="N587" t="n">
        <v>0</v>
      </c>
      <c r="O587" t="n">
        <v>2</v>
      </c>
      <c r="P587" t="inlineStr">
        <is>
          <t>B</t>
        </is>
      </c>
    </row>
    <row r="588">
      <c r="A588" t="inlineStr">
        <is>
          <t>RURAL</t>
        </is>
      </c>
      <c r="B588" t="inlineStr">
        <is>
          <t>LOVE MILL</t>
        </is>
      </c>
      <c r="C588" t="n">
        <v>0.66</v>
      </c>
      <c r="D588" t="inlineStr">
        <is>
          <t>N</t>
        </is>
      </c>
      <c r="E588" t="inlineStr">
        <is>
          <t>SANTA CLAUS</t>
        </is>
      </c>
      <c r="F588" t="inlineStr">
        <is>
          <t>TITE</t>
        </is>
      </c>
      <c r="G588" t="inlineStr">
        <is>
          <t>SR 1001</t>
        </is>
      </c>
      <c r="H588" t="n">
        <v>10.305</v>
      </c>
      <c r="J588" t="n">
        <v>108507895</v>
      </c>
      <c r="K588" s="11" t="n">
        <v>46167</v>
      </c>
      <c r="L588" t="n">
        <v>19</v>
      </c>
      <c r="M588" t="n">
        <v>2</v>
      </c>
      <c r="N588" t="n">
        <v>0</v>
      </c>
      <c r="O588" t="n">
        <v>1</v>
      </c>
      <c r="P588"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2026-08-20T20:26:32Z</dcterms:created>
  <dcterms:modified xsi:type="dcterms:W3CDTF">2026-08-20T20:30:08Z</dcterms:modified>
</cp:coreProperties>
</file>